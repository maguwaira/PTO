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требность" sheetId="1" state="visible" r:id="rId3"/>
    <sheet name="1 этаж" sheetId="2" state="visible" r:id="rId4"/>
    <sheet name="Исходные" sheetId="3" state="visible" r:id="rId5"/>
    <sheet name="Ведомость" sheetId="4" state="visible" r:id="rId6"/>
    <sheet name="Раскрой 11,7м" sheetId="5" state="visible" r:id="rId7"/>
    <sheet name="Проверки" sheetId="6" state="visible" r:id="rId8"/>
  </sheets>
  <definedNames>
    <definedName function="false" hidden="false" localSheetId="1" name="_xlnm.Print_Titles" vbProcedure="false">'1 этаж'!$4:$6</definedName>
    <definedName function="false" hidden="false" localSheetId="3" name="_xlnm.Print_Titles" vbProcedure="false">Ведомость!$4:$4</definedName>
    <definedName function="false" hidden="true" localSheetId="3" name="_xlnm._FilterDatabase" vbProcedure="false">Ведомость!$A$4:$V$397</definedName>
    <definedName function="false" hidden="false" localSheetId="4" name="_xlnm.Print_Titles" vbProcedure="false">'Раскрой 11,7м'!$4:$4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8" authorId="0">
      <text>
        <r>
          <rPr>
            <sz val="10"/>
            <rFont val="Arial"/>
            <family val="2"/>
          </rPr>
          <t xml:space="preserve">Дм: (колонна 600×600 + полки 700×400 + ребро ×400) × (4,0 − 0,12 плита). Сечения 1-1 АС-34…41.</t>
        </r>
      </text>
    </comment>
    <comment ref="G28" authorId="0">
      <text>
        <r>
          <rPr>
            <sz val="10"/>
            <rFont val="Arial"/>
            <family val="2"/>
          </rPr>
          <t xml:space="preserve">Колонны 600×600 × (4,0 − 0,12) — от -0.050 до низа плиты, включая узел с ригелем.</t>
        </r>
      </text>
    </comment>
    <comment ref="K28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 (узлы входят в колонны/Дм).</t>
        </r>
      </text>
    </comment>
    <comment ref="K38" authorId="0">
      <text>
        <r>
          <rPr>
            <sz val="10"/>
            <rFont val="Arial"/>
            <family val="2"/>
          </rPr>
          <t xml:space="preserve">Аш (АС-33, бетон В20 и выше): на концах стержней Ø&gt;20, доходящих до торца рамы — 4Ø28 поз.2 × 2 конца + ОС у торцов (Б-Б АС-31 «Аш-… свыше Ø20», узлы «3», «6»). Аш балок плиты (узел «1» АС-57) не считались.</t>
        </r>
      </text>
    </comment>
    <comment ref="S28" authorId="0">
      <text>
        <r>
          <rPr>
            <sz val="10"/>
            <rFont val="Arial"/>
            <family val="2"/>
          </rPr>
          <t xml:space="preserve">Рёбра балок ниже плиты: 1-1/2-2 — 137,85 м (чистые пролёты) × 0,3 × 0,18; 5-5 — 6,05 × 0,3 × 0,28; 4-4 — 11,71 × 0,2 × 0,18; 3-3 (эркеры) — 35,75 × 0,25 × 0,18.</t>
        </r>
      </text>
    </comment>
    <comment ref="V28" authorId="0">
      <text>
        <r>
          <rPr>
            <sz val="10"/>
            <rFont val="Arial"/>
            <family val="2"/>
          </rPr>
          <t xml:space="preserve">Площадь плиты по контуру АС-47 за вычетом проёмов лестницы/лифта = 542.03 м² × 0,12 м.</t>
        </r>
      </text>
    </comment>
  </commentList>
</comments>
</file>

<file path=xl/sharedStrings.xml><?xml version="1.0" encoding="utf-8"?>
<sst xmlns="http://schemas.openxmlformats.org/spreadsheetml/2006/main" count="5569" uniqueCount="1061">
  <si>
    <t xml:space="preserve">Блок 14, ул. Токомбаева</t>
  </si>
  <si>
    <t xml:space="preserve">Арматура</t>
  </si>
  <si>
    <t xml:space="preserve">Диаметр</t>
  </si>
  <si>
    <t xml:space="preserve">Ед. изм.</t>
  </si>
  <si>
    <t xml:space="preserve">1 этаж</t>
  </si>
  <si>
    <t xml:space="preserve">Итого</t>
  </si>
  <si>
    <t xml:space="preserve">Заказ (раскрой под прутки 11,7 м)</t>
  </si>
  <si>
    <t xml:space="preserve">Колонны, диафрагмы</t>
  </si>
  <si>
    <t xml:space="preserve">Плита перекрытия, балки, ригели</t>
  </si>
  <si>
    <t xml:space="preserve">Лестницы (ЛВ-1)</t>
  </si>
  <si>
    <t xml:space="preserve">Сетки-гребёнки С-1</t>
  </si>
  <si>
    <t xml:space="preserve">Прутков 11,7 м, шт</t>
  </si>
  <si>
    <t xml:space="preserve">Масса заказа, кг</t>
  </si>
  <si>
    <t xml:space="preserve">Отход, %</t>
  </si>
  <si>
    <t xml:space="preserve">Диаметр 32 А500С</t>
  </si>
  <si>
    <t xml:space="preserve">кг</t>
  </si>
  <si>
    <t xml:space="preserve">Диаметр 28 А500С</t>
  </si>
  <si>
    <t xml:space="preserve">Диаметр 25 А500С</t>
  </si>
  <si>
    <t xml:space="preserve">Диаметр 22 А500С</t>
  </si>
  <si>
    <t xml:space="preserve">Диаметр 20 А500С</t>
  </si>
  <si>
    <t xml:space="preserve">Диаметр 18 А500С</t>
  </si>
  <si>
    <t xml:space="preserve">Диаметр 16 А500С</t>
  </si>
  <si>
    <t xml:space="preserve">Диаметр 14 А500С</t>
  </si>
  <si>
    <t xml:space="preserve">Диаметр 12 А500С</t>
  </si>
  <si>
    <t xml:space="preserve">Диаметр 10 А500С</t>
  </si>
  <si>
    <t xml:space="preserve">Диаметр 8 А500С</t>
  </si>
  <si>
    <t xml:space="preserve">Диаметр 12 А240</t>
  </si>
  <si>
    <t xml:space="preserve">Диаметр 10 А240</t>
  </si>
  <si>
    <t xml:space="preserve">Диаметр 8 А240</t>
  </si>
  <si>
    <t xml:space="preserve">Диаметр 6 А240</t>
  </si>
  <si>
    <t xml:space="preserve">Итого:</t>
  </si>
  <si>
    <t xml:space="preserve">т</t>
  </si>
  <si>
    <t xml:space="preserve">Контроль: итог = «1 этаж» и «Ведомость»</t>
  </si>
  <si>
    <t xml:space="preserve">← должно быть 0</t>
  </si>
  <si>
    <t xml:space="preserve">Бетон</t>
  </si>
  <si>
    <t xml:space="preserve">Марка</t>
  </si>
  <si>
    <t xml:space="preserve">В25</t>
  </si>
  <si>
    <t xml:space="preserve">м3</t>
  </si>
  <si>
    <t xml:space="preserve">Прочие материалы</t>
  </si>
  <si>
    <t xml:space="preserve">Наименование</t>
  </si>
  <si>
    <t xml:space="preserve">Анкерная шайба АШ-1 (14)</t>
  </si>
  <si>
    <t xml:space="preserve">шт.</t>
  </si>
  <si>
    <t xml:space="preserve">Анкерная шайба АШ-2 (16)</t>
  </si>
  <si>
    <t xml:space="preserve">Анкерная шайба АШ-3 (18)</t>
  </si>
  <si>
    <t xml:space="preserve">Анкерная шайба АШ-4 (20)</t>
  </si>
  <si>
    <t xml:space="preserve">Анкерная шайба АШ-5 (22)</t>
  </si>
  <si>
    <t xml:space="preserve">Анкерная шайба АШ-6 (25)</t>
  </si>
  <si>
    <t xml:space="preserve">Анкерная шайба АШ-7 (28)</t>
  </si>
  <si>
    <t xml:space="preserve">Анкерная шайба АШ-8 (32)</t>
  </si>
  <si>
    <t xml:space="preserve">Ванночка d32 (стыков ванной сваркой)</t>
  </si>
  <si>
    <t xml:space="preserve">Ванночка d28 (стыков ванной сваркой)</t>
  </si>
  <si>
    <t xml:space="preserve">Ванночка d25 (стыков ванной сваркой)</t>
  </si>
  <si>
    <t xml:space="preserve">Ванночка d22 (стыков ванной сваркой)</t>
  </si>
  <si>
    <t xml:space="preserve">Ванночка d20 (стыков ванной сваркой)</t>
  </si>
  <si>
    <t xml:space="preserve">Примечания:</t>
  </si>
  <si>
    <t xml:space="preserve">1. Проектный расход — без запаса (К(зап)=1,00, лист «Исходные»). Заказ — по раскрою под прутки 11,7 м (лист «Раскрой 11,7м»).</t>
  </si>
  <si>
    <t xml:space="preserve">2. Лестница ЛВ-1 — листов армирования в предоставленном PDF нет, колонка пустая. Колонны (15 шт) и ригели рам на +3.950 (9 рам) — включены.</t>
  </si>
  <si>
    <t xml:space="preserve">3. Аш — только для стержней Ø&gt;20 у торцов рам (Б-Б АС-31); Аш балок плиты не считались. Сомнительные места — лист «Проверки».</t>
  </si>
  <si>
    <t xml:space="preserve">Блок 14, ул. Токомбаева — 1 этаж: подсчёт арматуры по элементам (м.п. → кг)</t>
  </si>
  <si>
    <t xml:space="preserve">м.п. в каждой ячейке = SUMIFS из листа «Ведомость» по Ø, классу и колонке; кг/м — «Исходные»; Всего = м.п. × кг/м × К(зап)</t>
  </si>
  <si>
    <t xml:space="preserve">К(зап) арматура</t>
  </si>
  <si>
    <t xml:space="preserve">К(зап) бетон</t>
  </si>
  <si>
    <t xml:space="preserve">Диафрагмы</t>
  </si>
  <si>
    <t xml:space="preserve">Колонны</t>
  </si>
  <si>
    <t xml:space="preserve">Ригели +3.950</t>
  </si>
  <si>
    <t xml:space="preserve">Балки плиты</t>
  </si>
  <si>
    <t xml:space="preserve">Перекрытие +3.950</t>
  </si>
  <si>
    <t xml:space="preserve">Лестничный марш</t>
  </si>
  <si>
    <t xml:space="preserve">Сетки-гребёнки</t>
  </si>
  <si>
    <t xml:space="preserve">Ригели, балки, плита</t>
  </si>
  <si>
    <t xml:space="preserve">Лестницы</t>
  </si>
  <si>
    <t xml:space="preserve">Сетки С-1</t>
  </si>
  <si>
    <t xml:space="preserve">На отметке -0.050…+3.950</t>
  </si>
  <si>
    <t xml:space="preserve">По оси А / 4</t>
  </si>
  <si>
    <t xml:space="preserve">По оси А / 2</t>
  </si>
  <si>
    <t xml:space="preserve">По оси Г / 2</t>
  </si>
  <si>
    <t xml:space="preserve">По оси Г / 3</t>
  </si>
  <si>
    <t xml:space="preserve">По оси Г / 4</t>
  </si>
  <si>
    <t xml:space="preserve">По оси А</t>
  </si>
  <si>
    <t xml:space="preserve">По оси Б</t>
  </si>
  <si>
    <t xml:space="preserve">По оси В</t>
  </si>
  <si>
    <t xml:space="preserve">По оси Г</t>
  </si>
  <si>
    <t xml:space="preserve">По осям 1, 5</t>
  </si>
  <si>
    <t xml:space="preserve">По оси 2</t>
  </si>
  <si>
    <t xml:space="preserve">По оси 3</t>
  </si>
  <si>
    <t xml:space="preserve">По оси 4</t>
  </si>
  <si>
    <t xml:space="preserve">Основная</t>
  </si>
  <si>
    <t xml:space="preserve">Хомуты</t>
  </si>
  <si>
    <t xml:space="preserve">Допник</t>
  </si>
  <si>
    <t xml:space="preserve">Шпильки, фиксаторы</t>
  </si>
  <si>
    <t xml:space="preserve">Отверстия</t>
  </si>
  <si>
    <t xml:space="preserve">Край</t>
  </si>
  <si>
    <t xml:space="preserve">ЛВ-1</t>
  </si>
  <si>
    <t xml:space="preserve">С-1</t>
  </si>
  <si>
    <t xml:space="preserve">Масса ед. кг</t>
  </si>
  <si>
    <t xml:space="preserve">Всего</t>
  </si>
  <si>
    <t xml:space="preserve">(1 этаж)</t>
  </si>
  <si>
    <t xml:space="preserve">Дм-1</t>
  </si>
  <si>
    <t xml:space="preserve">Дм-2</t>
  </si>
  <si>
    <t xml:space="preserve">Дм-3</t>
  </si>
  <si>
    <t xml:space="preserve">Дм-4</t>
  </si>
  <si>
    <t xml:space="preserve">Дм-5</t>
  </si>
  <si>
    <t xml:space="preserve">К 1-1 (3)</t>
  </si>
  <si>
    <t xml:space="preserve">К 1-1 (5)</t>
  </si>
  <si>
    <t xml:space="preserve">К 1-1 (2)</t>
  </si>
  <si>
    <t xml:space="preserve">Ригель 4-4</t>
  </si>
  <si>
    <t xml:space="preserve">Ригель 5-5 (2)</t>
  </si>
  <si>
    <t xml:space="preserve">Ригель 5-5</t>
  </si>
  <si>
    <t xml:space="preserve">сеч.1-1…5-5</t>
  </si>
  <si>
    <t xml:space="preserve">поз.10–13</t>
  </si>
  <si>
    <t xml:space="preserve">Ø18 L=1200</t>
  </si>
  <si>
    <t xml:space="preserve">сетка Ø10/200 низ+верх</t>
  </si>
  <si>
    <t xml:space="preserve">ш.800</t>
  </si>
  <si>
    <t xml:space="preserve">—</t>
  </si>
  <si>
    <t xml:space="preserve">Низ</t>
  </si>
  <si>
    <t xml:space="preserve">Верх</t>
  </si>
  <si>
    <t xml:space="preserve">сеч.6-6</t>
  </si>
  <si>
    <t xml:space="preserve">нет чертежей</t>
  </si>
  <si>
    <t xml:space="preserve">240 шт</t>
  </si>
  <si>
    <t xml:space="preserve">(м.п.)</t>
  </si>
  <si>
    <t xml:space="preserve">Арматура, (м.п.)</t>
  </si>
  <si>
    <t xml:space="preserve">Диаметр 32 А500С, L=м.п.</t>
  </si>
  <si>
    <t xml:space="preserve">Диаметр 28 А500С, L=м.п.</t>
  </si>
  <si>
    <t xml:space="preserve">Диаметр 25 А500С, L=м.п.</t>
  </si>
  <si>
    <t xml:space="preserve">Диаметр 22 А500С, L=м.п.</t>
  </si>
  <si>
    <t xml:space="preserve">Диаметр 20 А500С, L=м.п.</t>
  </si>
  <si>
    <t xml:space="preserve">Диаметр 18 А500С, L=м.п.</t>
  </si>
  <si>
    <t xml:space="preserve">Диаметр 16 А500С, L=м.п.</t>
  </si>
  <si>
    <t xml:space="preserve">Диаметр 14 А500С, L=м.п.</t>
  </si>
  <si>
    <t xml:space="preserve">Диаметр 12 А500С, L=м.п.</t>
  </si>
  <si>
    <t xml:space="preserve">Диаметр 10 А500С, L=м.п.</t>
  </si>
  <si>
    <t xml:space="preserve">Диаметр 8 А500С, L=м.п.</t>
  </si>
  <si>
    <t xml:space="preserve">Диаметр 12 А240, L=м.п.</t>
  </si>
  <si>
    <t xml:space="preserve">Диаметр 10 А240, L=м.п.</t>
  </si>
  <si>
    <t xml:space="preserve">Диаметр 8 А240, L=м.п.</t>
  </si>
  <si>
    <t xml:space="preserve">Диаметр 6 А240, L=м.п.</t>
  </si>
  <si>
    <t xml:space="preserve">Масса по элементу, кг</t>
  </si>
  <si>
    <t xml:space="preserve">Итого (кг):</t>
  </si>
  <si>
    <t xml:space="preserve">Итого (т):</t>
  </si>
  <si>
    <t xml:space="preserve">Контроль: Всего = итог «Ведомости» × К(зап)</t>
  </si>
  <si>
    <t xml:space="preserve">Бетон, (м3)</t>
  </si>
  <si>
    <t xml:space="preserve">Бетон В25, м3</t>
  </si>
  <si>
    <t xml:space="preserve">Удельный расход, кг/м³ (проверочный)</t>
  </si>
  <si>
    <t xml:space="preserve">Прочие материалы, (шт.)</t>
  </si>
  <si>
    <t xml:space="preserve">АШ-1, д14, шт.</t>
  </si>
  <si>
    <t xml:space="preserve">АШ-2, д16, шт.</t>
  </si>
  <si>
    <t xml:space="preserve">АШ-3, д18, шт.</t>
  </si>
  <si>
    <t xml:space="preserve">АШ-4, д20, шт.</t>
  </si>
  <si>
    <t xml:space="preserve">АШ-5, д22, шт.</t>
  </si>
  <si>
    <t xml:space="preserve">АШ-6, д25, шт.</t>
  </si>
  <si>
    <t xml:space="preserve">АШ-7, д28, шт.</t>
  </si>
  <si>
    <t xml:space="preserve">АШ-8, д32, шт.</t>
  </si>
  <si>
    <t xml:space="preserve">ВН32, шт. (стыки ванной сваркой)</t>
  </si>
  <si>
    <t xml:space="preserve">ВН28, шт. (стыки ванной сваркой)</t>
  </si>
  <si>
    <t xml:space="preserve">ВН25, шт. (стыки ванной сваркой)</t>
  </si>
  <si>
    <t xml:space="preserve">ВН22, шт. (стыки ванной сваркой)</t>
  </si>
  <si>
    <t xml:space="preserve">ВН20, шт. (стыки ванной сваркой)</t>
  </si>
  <si>
    <t xml:space="preserve">Ванная сварка «в инвентарных формах» (АС-19 прим.1, АС-32): число = кол-во стыков; вертикали Дм и колонн Ø≥20 — 1 стык на стержень на этаж; продольные Ø28 ригелей и Ø25 балок &gt;11,7 м — стыки прутков.</t>
  </si>
  <si>
    <t xml:space="preserve">Отверстия: отдельного армирования нет — проёмы лестницы/лифта обрамлены балками 2-2, 4-4, 5-5 (учтены в «Балки плиты»).</t>
  </si>
  <si>
    <t xml:space="preserve">Исходные данные, нормативы и принятые допущения</t>
  </si>
  <si>
    <t xml:space="preserve">Объект</t>
  </si>
  <si>
    <t xml:space="preserve">5,7,9-эт. жилые дома с объектами СКБ, подземным автопаркингом и помещениями футбольной академии на 1 этажах, ул. Токомбаева (Блоки 11–15)</t>
  </si>
  <si>
    <t xml:space="preserve">Корпус/блок</t>
  </si>
  <si>
    <t xml:space="preserve">Блок 14 (проект ОсОО «Билд-Форм», стадия РП, раздел АС)</t>
  </si>
  <si>
    <t xml:space="preserve">Этаж/отметка</t>
  </si>
  <si>
    <t xml:space="preserve">1 этаж: диафрагмы от -0.050 до +3.950; плита перекрытия на отм. +3.950 (над 1 этажом)</t>
  </si>
  <si>
    <t xml:space="preserve">Конструкции</t>
  </si>
  <si>
    <t xml:space="preserve">Диафрагмы Дм-1…Дм-5; колонны 600×600 (15 шт вне Дм); ригели рам на +3.950 (9 рам); плита перекрытия +3.950 (сетки, доп. стержни, край, балки плиты); сетки-гребёнки С-1; лестница ЛВ-1 (чертежей нет)</t>
  </si>
  <si>
    <t xml:space="preserve">Цель расчёта</t>
  </si>
  <si>
    <t xml:space="preserve">Чистый проектный расход + раскрой под прутки 11,7 м для заказа</t>
  </si>
  <si>
    <t xml:space="preserve">В25 (прим. АС-19, АС-34, АС-55)</t>
  </si>
  <si>
    <t xml:space="preserve">А500С, А240 по ГОСТ 34028-2016</t>
  </si>
  <si>
    <t xml:space="preserve">Параметры заказа (синим — вводимые значения)</t>
  </si>
  <si>
    <t xml:space="preserve">Длина стандартного прутка, м</t>
  </si>
  <si>
    <t xml:space="preserve">в образце 1,07; по заданию запас не добавляется (1,00). Умножает массы на листах «1 этаж» и «потребность»</t>
  </si>
  <si>
    <t xml:space="preserve">в образце 1,07; принято 1,00</t>
  </si>
  <si>
    <t xml:space="preserve">Теоретическая масса 1 м.п. (ГОСТ 34028-2016)</t>
  </si>
  <si>
    <t xml:space="preserve">Ø, мм</t>
  </si>
  <si>
    <t xml:space="preserve">кг/м</t>
  </si>
  <si>
    <t xml:space="preserve">Нахлёсты и стыки</t>
  </si>
  <si>
    <t xml:space="preserve">Сетки плиты Ø10 / Ø12 / Ø14</t>
  </si>
  <si>
    <t xml:space="preserve">нахлёст 400 / 500 / 560 мм вразбежку (АС-58 «Деталь стыка арматуры армирования плиты»)</t>
  </si>
  <si>
    <t xml:space="preserve">Стержни Ø20 и более</t>
  </si>
  <si>
    <t xml:space="preserve">ванная сварка в инвентарных медных формах встык, без нахлёста (АС-19 прим.1; АС-34 прим.1)</t>
  </si>
  <si>
    <t xml:space="preserve">Стержни Ø18 и менее (вертикали Дм)</t>
  </si>
  <si>
    <t xml:space="preserve">нахлёст с электродуговой сваркой однофланговыми швами Lшва=8d (АС-34 прим.1) → +8d к длине</t>
  </si>
  <si>
    <t xml:space="preserve">Выпуски вертикалей Дм</t>
  </si>
  <si>
    <t xml:space="preserve">перепуск 800 и 500 мм над перекрытием (АС-34 прим.3) → длина стержня на этаж = высота этажа 4,0 м</t>
  </si>
  <si>
    <t xml:space="preserve">Защитный слой</t>
  </si>
  <si>
    <t xml:space="preserve">сетки плиты — 20 мм до оси (сеч. АС-55); торцы стержней — 25 мм (по L=1950 доп. стержней полки 2000 мм)</t>
  </si>
  <si>
    <t xml:space="preserve">Использованные листы (стр. PDF → лист)</t>
  </si>
  <si>
    <t xml:space="preserve">Стр. PDF</t>
  </si>
  <si>
    <t xml:space="preserve">Лист</t>
  </si>
  <si>
    <t xml:space="preserve">Содержание</t>
  </si>
  <si>
    <t xml:space="preserve">Использование</t>
  </si>
  <si>
    <t xml:space="preserve">АС-19</t>
  </si>
  <si>
    <t xml:space="preserve">Монтажная схема рам, примечания</t>
  </si>
  <si>
    <t xml:space="preserve">расположение Дм-1…Дм-5, число колонн, правила стыков</t>
  </si>
  <si>
    <t xml:space="preserve">3–10</t>
  </si>
  <si>
    <t xml:space="preserve">АС-20…АС-27</t>
  </si>
  <si>
    <t xml:space="preserve">Рамы по осям А, Б, В, Г, 1, 5, 2, 3, 4</t>
  </si>
  <si>
    <t xml:space="preserve">ригели +3.950: ОС, Ос (бок), привязки стержней, зоны штриховки хомутов; сечения колонн</t>
  </si>
  <si>
    <t xml:space="preserve">АС-28</t>
  </si>
  <si>
    <t xml:space="preserve">Сечения колонн 1-1…3-3, ригелей 4-4, 5-5; ведомость деталей; Фрагмент №1</t>
  </si>
  <si>
    <t xml:space="preserve">колонны (4Ø32+8Ø20), ригели (4Ø28+2Ø18+2Ø16), хомуты поз.10–17</t>
  </si>
  <si>
    <t xml:space="preserve">АС-29</t>
  </si>
  <si>
    <t xml:space="preserve">Узлы «1», «2», расстановка хомутов ригелей</t>
  </si>
  <si>
    <t xml:space="preserve">С-1 «попарно шаг 90», высота узла 630</t>
  </si>
  <si>
    <t xml:space="preserve">АС-30</t>
  </si>
  <si>
    <t xml:space="preserve">Узлы «3»,«4»,«5»; сетка-гребёнка С-1</t>
  </si>
  <si>
    <t xml:space="preserve">геометрия С-1 (7Ø10, 570 мм)</t>
  </si>
  <si>
    <t xml:space="preserve">АС-31</t>
  </si>
  <si>
    <t xml:space="preserve">Узлы «6»,«7»</t>
  </si>
  <si>
    <t xml:space="preserve">С-1 в узлах, узел ригель–диафрагма</t>
  </si>
  <si>
    <t xml:space="preserve">АС-32</t>
  </si>
  <si>
    <t xml:space="preserve">Схема расстановки хомутов колонн</t>
  </si>
  <si>
    <t xml:space="preserve">шаг хомутов колонн и Дм (100×12 у опор, 200 в середине)</t>
  </si>
  <si>
    <t xml:space="preserve">АС-33</t>
  </si>
  <si>
    <t xml:space="preserve">Таблица анкерующих шайб</t>
  </si>
  <si>
    <t xml:space="preserve">марки Аш-1…Аш-8 (бетон В20 и выше)</t>
  </si>
  <si>
    <t xml:space="preserve">17–25</t>
  </si>
  <si>
    <t xml:space="preserve">АС-34…АС-42</t>
  </si>
  <si>
    <t xml:space="preserve">Дм-1…Дм-5: развертки, сечения, ведомость деталей</t>
  </si>
  <si>
    <t xml:space="preserve">вся арматура диафрагм</t>
  </si>
  <si>
    <t xml:space="preserve">АС-47</t>
  </si>
  <si>
    <t xml:space="preserve">План перекрытия на отм. 3.950</t>
  </si>
  <si>
    <t xml:space="preserve">контур плиты, проёмы, балки, доп. Ø20 L=3000</t>
  </si>
  <si>
    <t xml:space="preserve">АС-50</t>
  </si>
  <si>
    <t xml:space="preserve">Нижняя сетка перекрытия 3.950÷14.750</t>
  </si>
  <si>
    <t xml:space="preserve">осн. сетка, доп. нижние зоны</t>
  </si>
  <si>
    <t xml:space="preserve">АС-51</t>
  </si>
  <si>
    <t xml:space="preserve">Верхняя сетка перекрытия 3.950÷14.750</t>
  </si>
  <si>
    <t xml:space="preserve">доп. верхние зоны, Ø12</t>
  </si>
  <si>
    <t xml:space="preserve">АС-55</t>
  </si>
  <si>
    <t xml:space="preserve">Сечения 1-1…6-6, фрагмент армирования, примечания</t>
  </si>
  <si>
    <t xml:space="preserve">балки, край плиты, фиксаторы, шпильки</t>
  </si>
  <si>
    <t xml:space="preserve">АС-56</t>
  </si>
  <si>
    <t xml:space="preserve">Узлы «А»,«Б»,«В»</t>
  </si>
  <si>
    <t xml:space="preserve">угловые Ø18 L=1200, хомуты у ригелей</t>
  </si>
  <si>
    <t xml:space="preserve">АС-57</t>
  </si>
  <si>
    <t xml:space="preserve">Схема армирования балки, узлы «1»,«2»,«Г»,«Д»</t>
  </si>
  <si>
    <t xml:space="preserve">шаг хомутов, анкеровка, стыки 1/3 L</t>
  </si>
  <si>
    <t xml:space="preserve">АС-58</t>
  </si>
  <si>
    <t xml:space="preserve">Деталь стыка сетки, усиление отверстий, ведомость деталей</t>
  </si>
  <si>
    <t xml:space="preserve">нахлёсты, хомуты балок, пешки</t>
  </si>
  <si>
    <t xml:space="preserve">26–28, 30, 33, 34</t>
  </si>
  <si>
    <t xml:space="preserve">АС-43, 45, 46, 48, 52, 54</t>
  </si>
  <si>
    <t xml:space="preserve">Перекрытия -0.050, 7.550…21.750</t>
  </si>
  <si>
    <t xml:space="preserve">сверка (не 1 этаж)</t>
  </si>
  <si>
    <t xml:space="preserve">АС-59</t>
  </si>
  <si>
    <t xml:space="preserve">Схема усиления стен 1 этажа</t>
  </si>
  <si>
    <t xml:space="preserve">лестница видна, ЛВ-1 не детализирована</t>
  </si>
  <si>
    <t xml:space="preserve">АС-18</t>
  </si>
  <si>
    <t xml:space="preserve">Другой объект (адм. здание, ул. Турусбекова–Пушкина)</t>
  </si>
  <si>
    <t xml:space="preserve">НЕ относится к Блоку 14 — не использован</t>
  </si>
  <si>
    <t xml:space="preserve">Рабочая ведомость подсчёта арматуры — Блок 14, 1 этаж (Дм-1…Дм-5, колонны, ригели, плита +3.950, С-1, ЛВ-1)</t>
  </si>
  <si>
    <t xml:space="preserve">Общая длина = Кол-во элементов × Стержней в 1 элементе × Длина 1 шт.;  Масса = Общая длина × кг/м (кг/м — из листа «Исходные»). Синим — исходные данные из чертежей.</t>
  </si>
  <si>
    <t xml:space="preserve">№</t>
  </si>
  <si>
    <t xml:space="preserve">Конструкция</t>
  </si>
  <si>
    <t xml:space="preserve">Оси/участок</t>
  </si>
  <si>
    <t xml:space="preserve">Марка элемента</t>
  </si>
  <si>
    <t xml:space="preserve">Поз.</t>
  </si>
  <si>
    <t xml:space="preserve">Описание</t>
  </si>
  <si>
    <t xml:space="preserve">Ø</t>
  </si>
  <si>
    <t xml:space="preserve">Класс</t>
  </si>
  <si>
    <t xml:space="preserve">Шаг, мм</t>
  </si>
  <si>
    <t xml:space="preserve">Кол-во элементов</t>
  </si>
  <si>
    <t xml:space="preserve">Стержней в 1 элементе</t>
  </si>
  <si>
    <t xml:space="preserve">Длина 1 шт., м</t>
  </si>
  <si>
    <t xml:space="preserve">Общая длина, м</t>
  </si>
  <si>
    <t xml:space="preserve">Масса, кг</t>
  </si>
  <si>
    <t xml:space="preserve">Основание</t>
  </si>
  <si>
    <t xml:space="preserve">Статус</t>
  </si>
  <si>
    <t xml:space="preserve">Примечание / расшифровка</t>
  </si>
  <si>
    <t xml:space="preserve">Группа</t>
  </si>
  <si>
    <t xml:space="preserve">Допущение (1/0)</t>
  </si>
  <si>
    <t xml:space="preserve">Колонка листа «1 этаж»</t>
  </si>
  <si>
    <t xml:space="preserve">1. ДИАФРАГМЫ Дм-1…Дм-5, отм. -0.050…+3.950 (вертикали — сечения 1-1 «Подвал, 1 этаж»; горизонтали и доп. стержни — развертки)</t>
  </si>
  <si>
    <t xml:space="preserve">1 этаж (отм. -0.050…+3.950)</t>
  </si>
  <si>
    <t xml:space="preserve">А/4</t>
  </si>
  <si>
    <t xml:space="preserve">1</t>
  </si>
  <si>
    <t xml:space="preserve">Вертикальные: колонна, угловые</t>
  </si>
  <si>
    <t xml:space="preserve">А500С</t>
  </si>
  <si>
    <t xml:space="preserve">АС-34 сеч.1-1 «Подвал, 1 этаж»; прим.1,3</t>
  </si>
  <si>
    <t xml:space="preserve">по проекту</t>
  </si>
  <si>
    <t xml:space="preserve">стык ванной сваркой (Ø≥20), длина = высота этажа. поз.1 4Ø32</t>
  </si>
  <si>
    <t xml:space="preserve">5</t>
  </si>
  <si>
    <t xml:space="preserve">Вертикальные: колонна, промежуточные</t>
  </si>
  <si>
    <t xml:space="preserve">стык ванной сваркой (Ø≥20), длина = высота этажа. поз.5 8Ø20</t>
  </si>
  <si>
    <t xml:space="preserve">2</t>
  </si>
  <si>
    <t xml:space="preserve">Вертикальные: полка (2 торцевых эл-та × 11)</t>
  </si>
  <si>
    <t xml:space="preserve">стык ванной сваркой (Ø≥20), длина = высота этажа. выноска «6Ø28» на 6 стержней + 5 симметричных без выноски</t>
  </si>
  <si>
    <t xml:space="preserve">3</t>
  </si>
  <si>
    <t xml:space="preserve">Вертикальные: полка, стенка (2 × 4)</t>
  </si>
  <si>
    <t xml:space="preserve">стык ванной сваркой (Ø≥20), длина = высота этажа. выноска «2Ø25» + 2 симметричных</t>
  </si>
  <si>
    <t xml:space="preserve">Вертикальные: ребро, торцевой элемент</t>
  </si>
  <si>
    <t xml:space="preserve">стык ванной сваркой (Ø≥20), длина = высота этажа. выноска «5Ø28» + 5 симметричных</t>
  </si>
  <si>
    <t xml:space="preserve">Вертикальные: ребро, стенка</t>
  </si>
  <si>
    <t xml:space="preserve">стык ванной сваркой (Ø≥20), длина = высота этажа. выноска «4Ø20» + 4 симметричных</t>
  </si>
  <si>
    <t xml:space="preserve">6</t>
  </si>
  <si>
    <t xml:space="preserve">Вертикальные: ребро, стенка (4+4) + 1 на торце</t>
  </si>
  <si>
    <t xml:space="preserve">нахлёст 8d со сваркой (Ø≤18), учтён в длине. выноски «4Ø18» и «1Ø18»</t>
  </si>
  <si>
    <t xml:space="preserve">гор.</t>
  </si>
  <si>
    <t xml:space="preserve">Горизонтальные «Осн. стержни»: полка вдоль оси А, L=2000-2×25</t>
  </si>
  <si>
    <t xml:space="preserve">АС-34 развертка, шаг 200x16+100 (18 рядов × 2 грани)</t>
  </si>
  <si>
    <t xml:space="preserve">по геометрии (уточнить)</t>
  </si>
  <si>
    <t xml:space="preserve">L=1950 как у доп. стержней полки</t>
  </si>
  <si>
    <t xml:space="preserve">Горизонтальные «Осн. стержни»: ребро вдоль оси 4, L=2300-2×25</t>
  </si>
  <si>
    <t xml:space="preserve">ребро 1700 + колонна 600</t>
  </si>
  <si>
    <t xml:space="preserve">доп.</t>
  </si>
  <si>
    <t xml:space="preserve">Доп. стержни: полка у отм. -0.050, 10Ø20 L=1950</t>
  </si>
  <si>
    <t xml:space="preserve">АС-34 развертка, выноска «Доп. стержень»</t>
  </si>
  <si>
    <t xml:space="preserve">Доп. стержни: ребро у отм. -0.050, 6Ø20 L=1200</t>
  </si>
  <si>
    <t xml:space="preserve">Доп. стержни: ребро у отм. -0.050, 4Ø10 L=1200</t>
  </si>
  <si>
    <t xml:space="preserve">14</t>
  </si>
  <si>
    <t xml:space="preserve">П-образный стержень на торцах стенки: 3 шт/ряд × 18 рядов</t>
  </si>
  <si>
    <t xml:space="preserve">А240</t>
  </si>
  <si>
    <t xml:space="preserve">200</t>
  </si>
  <si>
    <t xml:space="preserve">сечение 1-1; АС-42 ведомость деталей поз.14 L=1330</t>
  </si>
  <si>
    <t xml:space="preserve">12*</t>
  </si>
  <si>
    <t xml:space="preserve">Хомут торцевого элемента полки: 2 шт/ряд × 18</t>
  </si>
  <si>
    <t xml:space="preserve">сечение 1-1 «хом.Ø10 ш.200»; АС-42 ведомость деталей поз.12 L=1560</t>
  </si>
  <si>
    <t xml:space="preserve">15*</t>
  </si>
  <si>
    <t xml:space="preserve">Хомут торцевого элемента ребра: 1 шт/ряд × 18</t>
  </si>
  <si>
    <t xml:space="preserve">сечение 1-1; АС-42 ведомость деталей поз.15,(15*) L=1760</t>
  </si>
  <si>
    <t xml:space="preserve">10</t>
  </si>
  <si>
    <t xml:space="preserve">Хомут колонны наружный (шаг 100 у опор ×12, 200 в середине) — 30 шт</t>
  </si>
  <si>
    <t xml:space="preserve">АС-32 схема хомутов колонн; АС-42 ведомость деталей поз.10 L=2440</t>
  </si>
  <si>
    <t xml:space="preserve">11</t>
  </si>
  <si>
    <t xml:space="preserve">Хомут колонны внутренний: 2 шт/ряд × 18</t>
  </si>
  <si>
    <t xml:space="preserve">сечение 1-1 «ш.200»; АС-42 ведомость деталей поз.11 L=1960</t>
  </si>
  <si>
    <t xml:space="preserve">13</t>
  </si>
  <si>
    <t xml:space="preserve">Шпилька ш.400 в шахм. порядке: 10 мест × 9 рядов</t>
  </si>
  <si>
    <t xml:space="preserve">сечение 1-1, прим.6; АС-42 ведомость деталей поз.13 L=530</t>
  </si>
  <si>
    <t xml:space="preserve">А/2</t>
  </si>
  <si>
    <t xml:space="preserve">АС-36 сеч.1-1 «Подвал, 1 этаж»; прим.1,3</t>
  </si>
  <si>
    <t xml:space="preserve">Вертикальные: колонна (1 этаж — поз.3 2Ø25 + 2 симметр.)</t>
  </si>
  <si>
    <t xml:space="preserve">стык ванной сваркой (Ø≥20), длина = высота этажа. «2,(3) 2Ø28 (2Ø25)»; в скобках — 1 этаж</t>
  </si>
  <si>
    <t xml:space="preserve">Вертикальные: колонна (2Ø20 + 2 симметр.)</t>
  </si>
  <si>
    <t xml:space="preserve">стык ванной сваркой (Ø≥20), длина = высота этажа. поз.5 2Ø20</t>
  </si>
  <si>
    <t xml:space="preserve">Вертикальные: полка, торцевой эл-т</t>
  </si>
  <si>
    <t xml:space="preserve">стык ванной сваркой (Ø≥20), длина = высота этажа. выноска «6Ø28» + 5 симметр.</t>
  </si>
  <si>
    <t xml:space="preserve">Вертикальные: полка, стенка</t>
  </si>
  <si>
    <t xml:space="preserve">стык ванной сваркой (Ø≥20), длина = высота этажа. «2Ø25» + 2 симметр.</t>
  </si>
  <si>
    <t xml:space="preserve">Вертикальные: ребро, торцевой эл-т</t>
  </si>
  <si>
    <t xml:space="preserve">4</t>
  </si>
  <si>
    <t xml:space="preserve">стык ванной сваркой (Ø≥20), длина = высота этажа. две выноски «4Ø22» + 8 симметр.</t>
  </si>
  <si>
    <t xml:space="preserve">Горизонтальные «Осн. стержни»: полка вдоль оси А, L=1300-2×25</t>
  </si>
  <si>
    <t xml:space="preserve">АС-36 развертка, шаг 200x16+100 (18 рядов × 2 грани)</t>
  </si>
  <si>
    <t xml:space="preserve">L=1250 как у доп. стержней полки</t>
  </si>
  <si>
    <t xml:space="preserve">Горизонтальные «Осн. стержни»: ребро вдоль оси 2, L=2300-2×25</t>
  </si>
  <si>
    <t xml:space="preserve">Доп. стержни: ребро у отм. -0.050, 10Ø20 L=1200</t>
  </si>
  <si>
    <t xml:space="preserve">АС-36 развертка, выноска «Доп. стержень»</t>
  </si>
  <si>
    <t xml:space="preserve">П-образный стержень на торцах стенки: 2 шт/ряд × 18 рядов</t>
  </si>
  <si>
    <t xml:space="preserve">Хомут торцевого элемента полки: 1 шт/ряд × 18</t>
  </si>
  <si>
    <t xml:space="preserve">Шпилька ш.400 в шахм. порядке: 7 мест × 9 рядов</t>
  </si>
  <si>
    <t xml:space="preserve">Г/2</t>
  </si>
  <si>
    <t xml:space="preserve">АС-38 сеч.1-1 «Подвал, 1 этаж»; прим.1,3</t>
  </si>
  <si>
    <t xml:space="preserve">стык ванной сваркой (Ø≥20), длина = высота этажа. поз.1</t>
  </si>
  <si>
    <t xml:space="preserve">стык ванной сваркой (Ø≥20), длина = высота этажа. «6Ø28» + 5 симметр. в каждом</t>
  </si>
  <si>
    <t xml:space="preserve">стык ванной сваркой (Ø≥20), длина = высота этажа. «2Ø22» + 2 симметр.</t>
  </si>
  <si>
    <t xml:space="preserve">стык ванной сваркой (Ø≥20), длина = высота этажа. «3Ø22» + 3 симметр.</t>
  </si>
  <si>
    <t xml:space="preserve">стык ванной сваркой (Ø≥20), длина = высота этажа. «5Ø25» + 5 симметр.</t>
  </si>
  <si>
    <t xml:space="preserve">Вертикальные: ребро, торец</t>
  </si>
  <si>
    <t xml:space="preserve">нахлёст 8d со сваркой (Ø≤18), учтён в длине. «1Ø18»</t>
  </si>
  <si>
    <t xml:space="preserve">Горизонтальные «Осн. стержни»: полка вдоль оси Г, L=2000-2×25</t>
  </si>
  <si>
    <t xml:space="preserve">АС-38 развертка, шаг 200x16+100 (18 рядов × 2 грани)</t>
  </si>
  <si>
    <t xml:space="preserve">Горизонтальные «Осн. стержни»: ребро вдоль оси 2, L=1500-2×25</t>
  </si>
  <si>
    <t xml:space="preserve">L=1450 как у доп. стержней</t>
  </si>
  <si>
    <t xml:space="preserve">Доп. стержни: полка у отм. -0.050, 10Ø22 L=1300</t>
  </si>
  <si>
    <t xml:space="preserve">АС-38 развертка, выноска «Доп. стержень»</t>
  </si>
  <si>
    <t xml:space="preserve">Доп. стержни: ребро у отм. -0.050, 10Ø18 L=1450</t>
  </si>
  <si>
    <t xml:space="preserve">Доп. стержни: вертикальные у отм. +3.950 «по 4Ø16 L=1600» × 2 места</t>
  </si>
  <si>
    <t xml:space="preserve">15</t>
  </si>
  <si>
    <t xml:space="preserve">Шпилька ш.400 в шахм. порядке: 9 мест × 9 рядов</t>
  </si>
  <si>
    <t xml:space="preserve">Г/3</t>
  </si>
  <si>
    <t xml:space="preserve">АС-40 сеч.1-1 «Подвал, 1 этаж»; прим.1,3</t>
  </si>
  <si>
    <t xml:space="preserve">Вертикальные: колонна (2Ø28 + 2 симметр.)</t>
  </si>
  <si>
    <t xml:space="preserve">стык ванной сваркой (Ø≥20), длина = высота этажа. поз.2 2Ø28</t>
  </si>
  <si>
    <t xml:space="preserve">Вертикальные: стенка</t>
  </si>
  <si>
    <t xml:space="preserve">стык ванной сваркой (Ø≥20), длина = высота этажа. «3Ø20» + 3 симметр.</t>
  </si>
  <si>
    <t xml:space="preserve">Вертикальные: торцевой эл-т</t>
  </si>
  <si>
    <t xml:space="preserve">стык ванной сваркой (Ø≥20), длина = высота этажа. «5Ø28» + 5 симметр.</t>
  </si>
  <si>
    <t xml:space="preserve">Горизонтальные «Осн. стержни»: вдоль оси Г, L=1500-2×25</t>
  </si>
  <si>
    <t xml:space="preserve">АС-40 развертка, шаг 200x16+100 (18 рядов × 2 грани)</t>
  </si>
  <si>
    <t xml:space="preserve">Доп. стержни: у отм. -0.050, 10Ø18 L=1450</t>
  </si>
  <si>
    <t xml:space="preserve">АС-40 развертка, выноска «Доп. стержень»</t>
  </si>
  <si>
    <t xml:space="preserve">П-образный стержень на торцах стенки: 1 шт/ряд × 18 рядов</t>
  </si>
  <si>
    <t xml:space="preserve">Шпилька ш.400 в шахм. порядке: 4 мест × 9 рядов</t>
  </si>
  <si>
    <t xml:space="preserve">Г/4</t>
  </si>
  <si>
    <t xml:space="preserve">АС-41 сеч.1-1 «Подвал, 1 этаж»; прим.1,3</t>
  </si>
  <si>
    <t xml:space="preserve">стык ванной сваркой (Ø≥20), длина = высота этажа. поз.2</t>
  </si>
  <si>
    <t xml:space="preserve">стык ванной сваркой (Ø≥20), длина = высота этажа. поз.5</t>
  </si>
  <si>
    <t xml:space="preserve">стык ванной сваркой (Ø≥20), длина = высота этажа. «2Ø20» + 2 симметр.</t>
  </si>
  <si>
    <t xml:space="preserve">Горизонтальные «Осн. стержни»: полка вдоль оси Г, L=1300-2×25</t>
  </si>
  <si>
    <t xml:space="preserve">АС-41 развертка, шаг 200x16+100 (18 рядов × 2 грани)</t>
  </si>
  <si>
    <t xml:space="preserve">L=1250 как у доп. стержней</t>
  </si>
  <si>
    <t xml:space="preserve">Горизонтальные «Осн. стержни»: ребро вдоль оси 4, L=1500-2×25</t>
  </si>
  <si>
    <t xml:space="preserve">Доп. стержни: полка у отм. -0.050, 6Ø10 L=1250</t>
  </si>
  <si>
    <t xml:space="preserve">АС-41 развертка, выноска «Доп. стержень»</t>
  </si>
  <si>
    <t xml:space="preserve">Доп. стержни: ребро у отм. -0.050, 6Ø14 L=1450</t>
  </si>
  <si>
    <t xml:space="preserve">Шпилька ш.400 в шахм. порядке: 6 мест × 9 рядов</t>
  </si>
  <si>
    <t xml:space="preserve">1а. КОЛОННЫ 600×600 вне диафрагм (15 шт), отм. -0.050…+3.950 — сеч.1-1 АС-28, хомуты по АС-32</t>
  </si>
  <si>
    <t xml:space="preserve">ось А: А/1, А/3, А/5</t>
  </si>
  <si>
    <t xml:space="preserve">К-А</t>
  </si>
  <si>
    <t xml:space="preserve">Вертикальные: угловые 4Ø32 (сеч.1-1)</t>
  </si>
  <si>
    <t xml:space="preserve">АС-28 сеч.1-1 поз.1; сечение по рамам АС-20…23 (1-1 у отм. -3.900…-0.050, принято и для 1 этажа)</t>
  </si>
  <si>
    <t xml:space="preserve">принято (уточнить)</t>
  </si>
  <si>
    <t xml:space="preserve">Длина = высота этажа 4,0 м (стык ванной сваркой, разбежка 800/500 — АС-32, АС-19 прим.1).</t>
  </si>
  <si>
    <t xml:space="preserve">Вертикальные: промежуточные 8Ø20 (сеч.1-1)</t>
  </si>
  <si>
    <t xml:space="preserve">АС-28 сеч.1-1 поз.5</t>
  </si>
  <si>
    <t xml:space="preserve">Длина = высота этажа 4,0 м, стык ванной сваркой.</t>
  </si>
  <si>
    <t xml:space="preserve">Хомут наружный Ø8 L=2440: 13 (100×12 низ) + 4 (ш.200) + 13 (100×12 верх) = 30 шт</t>
  </si>
  <si>
    <t xml:space="preserve">100/200</t>
  </si>
  <si>
    <t xml:space="preserve">АС-32 схема хомутов колонн (1 этаж: 50+100×12+200×n+100×12+50+600); АС-28 поз.10 L=2440</t>
  </si>
  <si>
    <t xml:space="preserve">Хомут внутренний Ø8 L=1960 ш.200: 2 шт × 18 рядов</t>
  </si>
  <si>
    <t xml:space="preserve">АС-28 сеч.1-1 «11 хом.Ø8 ш.200», поз.11 L=1960</t>
  </si>
  <si>
    <t xml:space="preserve">ось Б: Б/1, Б/2, Б/3, Б/4, Б/5</t>
  </si>
  <si>
    <t xml:space="preserve">К-Б</t>
  </si>
  <si>
    <t xml:space="preserve">ось В: В/1, В/2, В/3, В/4, В/5</t>
  </si>
  <si>
    <t xml:space="preserve">К-В</t>
  </si>
  <si>
    <t xml:space="preserve">ось Г: Г/1, Г/5</t>
  </si>
  <si>
    <t xml:space="preserve">К-Г</t>
  </si>
  <si>
    <t xml:space="preserve">1б. РИГЕЛИ РАМ на отм. +3.950 (450×600, сеч.4-4/5-5): 4 рамы по буквенным осям + 5 по цифровым (рама «1, 5» ×2)</t>
  </si>
  <si>
    <t xml:space="preserve">Ригели</t>
  </si>
  <si>
    <t xml:space="preserve">ось А (отм. +3.950)</t>
  </si>
  <si>
    <t xml:space="preserve">Р-А</t>
  </si>
  <si>
    <t xml:space="preserve">Продольные угловые 4Ø28 (сеч.4-4/5-5), сквозные, концы с Аш</t>
  </si>
  <si>
    <t xml:space="preserve">АС-20 рама + АС-28 сеч.4-4/5-5 поз.2; длина = 25000+2×250 (до 50 мм от наружной грани крайней колонны)</t>
  </si>
  <si>
    <t xml:space="preserve">по геометрии чертежа</t>
  </si>
  <si>
    <t xml:space="preserve">Стыки ванной сваркой без нахлёста: 2 на стержень (всего 8).</t>
  </si>
  <si>
    <t xml:space="preserve">Продольные средние верх/низ 2Ø18 (сеч.4-4/5-5)</t>
  </si>
  <si>
    <t xml:space="preserve">АС-28 сеч.4-4/5-5 поз.6</t>
  </si>
  <si>
    <t xml:space="preserve">6-нахл</t>
  </si>
  <si>
    <t xml:space="preserve">Нахлёсты стыков к поз. «Продольные средние верх/низ 2Ø18 (сеч.4-4/5-5)» (L=25.500 м &gt; 11,7 м): 3 куска, 2 стык(а) на стержень × 2 стерж.</t>
  </si>
  <si>
    <t xml:space="preserve">АС-19 прим.1: Ø18 и менее — внахлёстку электродуговой сваркой, Lшва=8d = 144 мм</t>
  </si>
  <si>
    <t xml:space="preserve">по проекту (стыковка прутков 11,7 м)</t>
  </si>
  <si>
    <t xml:space="preserve">Чистая длина 25.500 м; кусков 3; стыков 2; Lнахл=2×0.144=0.288 м на стержень</t>
  </si>
  <si>
    <t xml:space="preserve">7</t>
  </si>
  <si>
    <t xml:space="preserve">Боковые стержни 2Ø16 (сеч.4-4/5-5)</t>
  </si>
  <si>
    <t xml:space="preserve">АС-28 сеч.4-4/5-5 «Боковые стержни 2Ø16»</t>
  </si>
  <si>
    <t xml:space="preserve">7-нахл</t>
  </si>
  <si>
    <t xml:space="preserve">Нахлёсты стыков к поз. «Боковые стержни 2Ø16 (сеч.4-4/5-5)» (L=25.500 м &gt; 11,7 м): 3 куска, 2 стык(а) на стержень × 2 стерж.</t>
  </si>
  <si>
    <t xml:space="preserve">АС-19 прим.1: Ø18 и менее — внахлёстку электродуговой сваркой, Lшва=8d = 128 мм</t>
  </si>
  <si>
    <t xml:space="preserve">Чистая длина 25.500 м; кусков 3; стыков 2; Lнахл=2×0.128=0.256 м на стержень</t>
  </si>
  <si>
    <t xml:space="preserve">ОС</t>
  </si>
  <si>
    <t xml:space="preserve">ОС верх: 2Ø28, участок 0…1800 мм + 250 до торца</t>
  </si>
  <si>
    <t xml:space="preserve">АС-20: выноска «ОС 2Ø28 А500С»; длина по привязкам отдельных стержней</t>
  </si>
  <si>
    <t xml:space="preserve">Координаты от оси 1: 0…1800 мм; конец заведён до торца крайней колонны (+250)</t>
  </si>
  <si>
    <t xml:space="preserve">ОС верх: 2Ø25, участок 4700…9200 мм</t>
  </si>
  <si>
    <t xml:space="preserve">АС-20: выноска «ОС 2Ø25 А500С»; длина по привязкам отдельных стержней</t>
  </si>
  <si>
    <t xml:space="preserve">Координаты от оси 1: 4700…9200 мм</t>
  </si>
  <si>
    <t xml:space="preserve">ОС верх ств.: 2Ø22, участок 4700…9200 мм</t>
  </si>
  <si>
    <t xml:space="preserve">АС-20: выноска «ОС 2Ø22 А500С»; длина по привязкам отдельных стержней</t>
  </si>
  <si>
    <t xml:space="preserve">ОС верх: 2Ø32, участок 11800…15100 мм</t>
  </si>
  <si>
    <t xml:space="preserve">АС-20: выноска «ОС 2Ø32 А500С»; длина по привязкам отдельных стержней</t>
  </si>
  <si>
    <t xml:space="preserve">Координаты от оси 1: 11800…15100 мм</t>
  </si>
  <si>
    <t xml:space="preserve">ОС верх: 2Ø25, участок 17400…25000 мм + 250 до торца</t>
  </si>
  <si>
    <t xml:space="preserve">Координаты от оси 1: 17400…25000 мм; конец заведён до торца крайней колонны (+250)</t>
  </si>
  <si>
    <t xml:space="preserve">ОС верх ств.: 2Ø25, участок 17400…25000 мм + 250 до торца</t>
  </si>
  <si>
    <t xml:space="preserve">ОС низ: 2Ø16, участок 0…9200 мм + 250 до торца</t>
  </si>
  <si>
    <t xml:space="preserve">АС-20: выноска «ОС 2Ø16 А500С»; длина по привязкам отдельных стержней</t>
  </si>
  <si>
    <t xml:space="preserve">Координаты от оси 1: 0…9200 мм; конец заведён до торца крайней колонны (+250)</t>
  </si>
  <si>
    <t xml:space="preserve">ОС низ: 2Ø16, участок 11800…15100 мм</t>
  </si>
  <si>
    <t xml:space="preserve">ОС низ: 2Ø28, участок 17400…25000 мм + 250 до торца</t>
  </si>
  <si>
    <t xml:space="preserve">12</t>
  </si>
  <si>
    <t xml:space="preserve">Хомут Ø8 L=2060 ш.100 у опор (100×12), ш.150 в пролёте, 80×4 у балок плиты — вне заштрихованных участков</t>
  </si>
  <si>
    <t xml:space="preserve">100/150</t>
  </si>
  <si>
    <t xml:space="preserve">АС-28 сеч.4-4/5-5 поз.12; АС-29 «Расстановка хомутов в ригелях»</t>
  </si>
  <si>
    <t xml:space="preserve">Пролёты в свету [(300, 6200), (7500, 13200), (13800, 19000), (21000, 24700)], сумма 20500 мм</t>
  </si>
  <si>
    <t xml:space="preserve">Хомут наружный Ø10 L=2060 ш.100 — заштрихованные участки рамы</t>
  </si>
  <si>
    <t xml:space="preserve">АС-20 штриховка «100×15»; АС-28 Фрагмент №1, поз.13</t>
  </si>
  <si>
    <t xml:space="preserve">Участки (мм): одинарные [(7500, 8700), (17500, 18900)], двойные [(21000, 22200)]</t>
  </si>
  <si>
    <t xml:space="preserve">Хомут внутренний Ø10 L=1600 ш.100 — участки двойных хомутов</t>
  </si>
  <si>
    <t xml:space="preserve">АС-20 двойная штриховка; АС-28 Фрагмент №1, поз.15</t>
  </si>
  <si>
    <t xml:space="preserve">17</t>
  </si>
  <si>
    <t xml:space="preserve">Шпилька вертикальная Ø8 L=750: ш.200 у опор, ш.150 в пролёте (нет в зонах двойных хомутов)</t>
  </si>
  <si>
    <t xml:space="preserve">200/150</t>
  </si>
  <si>
    <t xml:space="preserve">АС-28 сеч.4-4/5-5 поз.17</t>
  </si>
  <si>
    <t xml:space="preserve">16</t>
  </si>
  <si>
    <t xml:space="preserve">Шпилька горизонтальная Ø8 L=580 ш.300 (связь боковых 2Ø16)</t>
  </si>
  <si>
    <t xml:space="preserve">АС-28 сеч.4-4/5-5 «шп.Ø8 А240 ш.300», поз.16 L=580</t>
  </si>
  <si>
    <t xml:space="preserve">Номер позиции на сечении не указан — принята поз.16 (L=580) по ведомости деталей.</t>
  </si>
  <si>
    <t xml:space="preserve">ось Б (отм. +3.950)</t>
  </si>
  <si>
    <t xml:space="preserve">Р-Б</t>
  </si>
  <si>
    <t xml:space="preserve">АС-21 рама + АС-28 сеч.4-4/5-5 поз.2; длина = 25000+2×250 (до 50 мм от наружной грани крайней колонны)</t>
  </si>
  <si>
    <t xml:space="preserve">ОС верх: 2Ø25, участок 0…1800 мм + 250 до торца</t>
  </si>
  <si>
    <t xml:space="preserve">АС-21: выноска «ОС 2Ø25 А500С»; длина по привязкам отдельных стержней</t>
  </si>
  <si>
    <t xml:space="preserve">ОС верх: 2Ø32, участок 4700…8400 мм</t>
  </si>
  <si>
    <t xml:space="preserve">АС-21: выноска «ОС 2Ø32 А500С»; длина по привязкам отдельных стержней</t>
  </si>
  <si>
    <t xml:space="preserve">Координаты от оси 1: 4700…8400 мм</t>
  </si>
  <si>
    <t xml:space="preserve">ОС верх: 2Ø28, участок 11600…15300 мм</t>
  </si>
  <si>
    <t xml:space="preserve">АС-21: выноска «ОС 2Ø28 А500С»; длина по привязкам отдельных стержней</t>
  </si>
  <si>
    <t xml:space="preserve">Координаты от оси 1: 11600…15300 мм</t>
  </si>
  <si>
    <t xml:space="preserve">ОС верх: 2Ø28, участок 18200…21800 мм</t>
  </si>
  <si>
    <t xml:space="preserve">Координаты от оси 1: 18200…21800 мм</t>
  </si>
  <si>
    <t xml:space="preserve">ОС верх: 2Ø25, участок 23200…25000 мм + 250 до торца</t>
  </si>
  <si>
    <t xml:space="preserve">Координаты от оси 1: 23200…25000 мм; конец заведён до торца крайней колонны (+250)</t>
  </si>
  <si>
    <t xml:space="preserve">ОС низ: 2Ø16, участок 1800…4700 мм</t>
  </si>
  <si>
    <t xml:space="preserve">АС-21: выноска «ОС 2Ø16 А500С»; длина по привязкам отдельных стержней</t>
  </si>
  <si>
    <t xml:space="preserve">Координаты от оси 1: 1800…4700 мм</t>
  </si>
  <si>
    <t xml:space="preserve">ОС низ: 2Ø22, участок 8400…11600 мм</t>
  </si>
  <si>
    <t xml:space="preserve">АС-21: выноска «ОС 2Ø22 А500С»; длина по привязкам отдельных стержней</t>
  </si>
  <si>
    <t xml:space="preserve">Координаты от оси 1: 8400…11600 мм</t>
  </si>
  <si>
    <t xml:space="preserve">ОС низ: 2Ø16, участок 15300…18200 мм</t>
  </si>
  <si>
    <t xml:space="preserve">Координаты от оси 1: 15300…18200 мм</t>
  </si>
  <si>
    <t xml:space="preserve">ОС низ 2-й ряд: 2Ø14, участок 4700…8400 мм</t>
  </si>
  <si>
    <t xml:space="preserve">АС-21: выноска «ОС 2Ø14 А500С»; длина по привязкам отдельных стержней</t>
  </si>
  <si>
    <t xml:space="preserve">ОС низ 2-й ряд: 2Ø14, участок 11600…15300 мм</t>
  </si>
  <si>
    <t xml:space="preserve">Ос (бок) бок: 2Ø12, участок 4700…15300 мм</t>
  </si>
  <si>
    <t xml:space="preserve">АС-21: выноска «Ос (бок) 2Ø12 А500С» (бок); длина по привязкам отдельных стержней</t>
  </si>
  <si>
    <t xml:space="preserve">Координаты от оси 1: 4700…15300 мм</t>
  </si>
  <si>
    <t xml:space="preserve">Ос (бок) бок: 2Ø12, участок 18200…21800 мм</t>
  </si>
  <si>
    <t xml:space="preserve">Пролёты в свету [(300, 6200), (6800, 13200), (13800, 19700), (20300, 24700)], сумма 22600 мм</t>
  </si>
  <si>
    <t xml:space="preserve">АС-21 штриховка «100×15»; АС-28 Фрагмент №1, поз.13</t>
  </si>
  <si>
    <t xml:space="preserve">Участки (мм): одинарные [(0, 1500), (7700, 12300), (13500, 14700), (18200, 20000)], двойные [(6500, 7700), (12300, 13500)]</t>
  </si>
  <si>
    <t xml:space="preserve">АС-21 двойная штриховка; АС-28 Фрагмент №1, поз.15</t>
  </si>
  <si>
    <t xml:space="preserve">ось В (отм. +3.950)</t>
  </si>
  <si>
    <t xml:space="preserve">Р-В</t>
  </si>
  <si>
    <t xml:space="preserve">АС-22 рама + АС-28 сеч.4-4/5-5 поз.2; длина = 25000+2×250 (до 50 мм от наружной грани крайней колонны)</t>
  </si>
  <si>
    <t xml:space="preserve">АС-22: выноска «ОС 2Ø28 А500С»; длина по привязкам отдельных стержней</t>
  </si>
  <si>
    <t xml:space="preserve">АС-22: выноска «ОС 2Ø32 А500С»; длина по привязкам отдельных стержней</t>
  </si>
  <si>
    <t xml:space="preserve">ОС верх: 2Ø32, участок 11600…15300 мм</t>
  </si>
  <si>
    <t xml:space="preserve">АС-22: выноска «ОС 2Ø25 А500С»; длина по привязкам отдельных стержней</t>
  </si>
  <si>
    <t xml:space="preserve">ОС верх 2-й ряд: 2Ø14, участок 7900…12100 мм</t>
  </si>
  <si>
    <t xml:space="preserve">АС-22: выноска «ОС 2Ø14 А500С»; длина по привязкам отдельных стержней</t>
  </si>
  <si>
    <t xml:space="preserve">Координаты от оси 1: 7900…12100 мм</t>
  </si>
  <si>
    <t xml:space="preserve">ОС верх 2-й ряд: 2Ø14, участок 14800…18700 мм</t>
  </si>
  <si>
    <t xml:space="preserve">Координаты от оси 1: 14800…18700 мм</t>
  </si>
  <si>
    <t xml:space="preserve">АС-22: выноска «ОС 2Ø16 А500С»; длина по привязкам отдельных стержней</t>
  </si>
  <si>
    <t xml:space="preserve">АС-22: выноска «ОС 2Ø22 А500С»; длина по привязкам отдельных стержней</t>
  </si>
  <si>
    <t xml:space="preserve">ОС низ 2-й ряд: 2Ø14, участок 11600…15800 мм</t>
  </si>
  <si>
    <t xml:space="preserve">Координаты от оси 1: 11600…15800 мм</t>
  </si>
  <si>
    <t xml:space="preserve">Ос (бок) бок: 4Ø12, участок 4700…21800 мм</t>
  </si>
  <si>
    <t xml:space="preserve">АС-22: выноска «Ос (бок) 4Ø12 А500С» (бок); длина по привязкам отдельных стержней</t>
  </si>
  <si>
    <t xml:space="preserve">Координаты от оси 1: 4700…21800 мм</t>
  </si>
  <si>
    <t xml:space="preserve">ОС-нахл</t>
  </si>
  <si>
    <t xml:space="preserve">Нахлёсты стыков к поз. «Ос (бок) бок: 4Ø12, участок 4700…21800 мм» (L=17.100 м &gt; 11,7 м): 2 куска, 1 стык(а) на стержень × 4 стерж.</t>
  </si>
  <si>
    <t xml:space="preserve">АС-19 прим.1: Ø18 и менее — внахлёстку электродуговой сваркой, Lшва=8d = 96 мм</t>
  </si>
  <si>
    <t xml:space="preserve">Чистая длина 17.100 м; кусков 2; стыков 1; Lнахл=1×0.096=0.096 м на стержень</t>
  </si>
  <si>
    <t xml:space="preserve">АС-22 штриховка «100×15»; АС-28 Фрагмент №1, поз.13</t>
  </si>
  <si>
    <t xml:space="preserve">Участки (мм): одинарные [(0, 1200)], двойные [(6500, 20000)]</t>
  </si>
  <si>
    <t xml:space="preserve">АС-22 двойная штриховка; АС-28 Фрагмент №1, поз.15</t>
  </si>
  <si>
    <t xml:space="preserve">ось Г (отм. +3.950)</t>
  </si>
  <si>
    <t xml:space="preserve">Р-Г</t>
  </si>
  <si>
    <t xml:space="preserve">АС-23 рама + АС-28 сеч.4-4/5-5 поз.2; длина = 25000+2×250 (до 50 мм от наружной грани крайней колонны)</t>
  </si>
  <si>
    <t xml:space="preserve">ОС верх: 2Ø28, участок 0…1600 мм + 250 до торца</t>
  </si>
  <si>
    <t xml:space="preserve">АС-23: выноска «ОС 2Ø28 А500С»; длина по привязкам отдельных стержней</t>
  </si>
  <si>
    <t xml:space="preserve">Координаты от оси 1: 0…1600 мм; конец заведён до торца крайней колонны (+250)</t>
  </si>
  <si>
    <t xml:space="preserve">ОС верх: 2Ø28, участок 3900…9400 мм</t>
  </si>
  <si>
    <t xml:space="preserve">Координаты от оси 1: 3900…9400 мм</t>
  </si>
  <si>
    <t xml:space="preserve">ОС верх ств.: 2Ø22, участок 3900…9400 мм</t>
  </si>
  <si>
    <t xml:space="preserve">АС-23: выноска «ОС 2Ø22 А500С»; длина по привязкам отдельных стержней</t>
  </si>
  <si>
    <t xml:space="preserve">ОС верх: 2Ø28, участок 11300…16000 мм</t>
  </si>
  <si>
    <t xml:space="preserve">Координаты от оси 1: 11300…16000 мм</t>
  </si>
  <si>
    <t xml:space="preserve">ОС верх ств.: 2Ø22, участок 11300…16000 мм</t>
  </si>
  <si>
    <t xml:space="preserve">ОС верх: 2Ø32, участок 17500…21800 мм</t>
  </si>
  <si>
    <t xml:space="preserve">АС-23: выноска «ОС 2Ø32 А500С»; длина по привязкам отдельных стержней</t>
  </si>
  <si>
    <t xml:space="preserve">Координаты от оси 1: 17500…21800 мм</t>
  </si>
  <si>
    <t xml:space="preserve">АС-23: выноска «ОС 2Ø25 А500С»; длина по привязкам отдельных стержней</t>
  </si>
  <si>
    <t xml:space="preserve">ОС низ: 2Ø16, участок 0…1600 мм + 250 до торца</t>
  </si>
  <si>
    <t xml:space="preserve">АС-23: выноска «ОС 2Ø16 А500С»; длина по привязкам отдельных стержней</t>
  </si>
  <si>
    <t xml:space="preserve">ОС низ: 2Ø22, участок 3900…9400 мм</t>
  </si>
  <si>
    <t xml:space="preserve">ОС низ: 2Ø28, участок 11300…16000 мм</t>
  </si>
  <si>
    <t xml:space="preserve">ОС низ: 2Ø28, участок 17500…21800 мм</t>
  </si>
  <si>
    <t xml:space="preserve">ОС низ: 2Ø22, участок 23200…25000 мм + 250 до торца</t>
  </si>
  <si>
    <t xml:space="preserve">Пролёты в свету [(300, 5500), (7500, 13200), (14500, 19000), (20300, 24700)], сумма 19800 мм</t>
  </si>
  <si>
    <t xml:space="preserve">АС-23 штриховка «100×15»; АС-28 Фрагмент №1, поз.13</t>
  </si>
  <si>
    <t xml:space="preserve">Участки (мм): одинарные [(4000, 5500), (7500, 9000), (17500, 19000)], двойные []</t>
  </si>
  <si>
    <t xml:space="preserve">оси 1, 5 (отм. +3.950)</t>
  </si>
  <si>
    <t xml:space="preserve">Р-1, 5</t>
  </si>
  <si>
    <t xml:space="preserve">АС-24 рама + АС-28 сеч.4-4/5-5 поз.2; длина = 20000+2×250 (до 50 мм от наружной грани крайней колонны)</t>
  </si>
  <si>
    <t xml:space="preserve">Стыки ванной сваркой без нахлёста: 1 на стержень (всего 8).</t>
  </si>
  <si>
    <t xml:space="preserve">Нахлёсты стыков к поз. «Продольные средние верх/низ 2Ø18 (сеч.4-4/5-5)» (L=20.500 м &gt; 11,7 м): 2 куска, 1 стык(а) на стержень × 4 стерж.</t>
  </si>
  <si>
    <t xml:space="preserve">Чистая длина 20.500 м; кусков 2; стыков 1; Lнахл=1×0.144=0.144 м на стержень</t>
  </si>
  <si>
    <t xml:space="preserve">Нахлёсты стыков к поз. «Боковые стержни 2Ø16 (сеч.4-4/5-5)» (L=20.500 м &gt; 11,7 м): 2 куска, 1 стык(а) на стержень × 4 стерж.</t>
  </si>
  <si>
    <t xml:space="preserve">Чистая длина 20.500 м; кусков 2; стыков 1; Lнахл=1×0.128=0.128 м на стержень</t>
  </si>
  <si>
    <t xml:space="preserve">АС-24: выноска «ОС 2Ø25 А500С»; длина по привязкам отдельных стержней</t>
  </si>
  <si>
    <t xml:space="preserve">Координаты от оси А: 0…1800 мм; конец заведён до торца крайней колонны (+250)</t>
  </si>
  <si>
    <t xml:space="preserve">ОС верх: 2Ø28, участок 4700…8500 мм</t>
  </si>
  <si>
    <t xml:space="preserve">АС-24: выноска «ОС 2Ø28 А500С»; длина по привязкам отдельных стержней</t>
  </si>
  <si>
    <t xml:space="preserve">Координаты от оси А: 4700…8500 мм</t>
  </si>
  <si>
    <t xml:space="preserve">ОС верх: 2Ø32, участок 11500…15300 мм</t>
  </si>
  <si>
    <t xml:space="preserve">АС-24: выноска «ОС 2Ø32 А500С»; длина по привязкам отдельных стержней</t>
  </si>
  <si>
    <t xml:space="preserve">Координаты от оси А: 11500…15300 мм</t>
  </si>
  <si>
    <t xml:space="preserve">ОС верх: 2Ø28, участок 18200…20000 мм + 250 до торца</t>
  </si>
  <si>
    <t xml:space="preserve">Координаты от оси А: 18200…20000 мм; конец заведён до торца крайней колонны (+250)</t>
  </si>
  <si>
    <t xml:space="preserve">ОС низ: 2Ø16, участок 0…4700 мм + 250 до торца</t>
  </si>
  <si>
    <t xml:space="preserve">АС-24: выноска «ОС 2Ø16 А500С»; длина по привязкам отдельных стержней</t>
  </si>
  <si>
    <t xml:space="preserve">Координаты от оси А: 0…4700 мм; конец заведён до торца крайней колонны (+250)</t>
  </si>
  <si>
    <t xml:space="preserve">ОС низ: 2Ø16, участок 8500…11500 мм</t>
  </si>
  <si>
    <t xml:space="preserve">Координаты от оси А: 8500…11500 мм</t>
  </si>
  <si>
    <t xml:space="preserve">Координаты от оси А: 15300…18200 мм</t>
  </si>
  <si>
    <t xml:space="preserve">Ос (бок) бок: 4Ø12, участок 0…1800 мм + 250 до торца</t>
  </si>
  <si>
    <t xml:space="preserve">АС-24: выноска «Ос (бок) 4Ø12 А500С» (бок); длина по привязкам отдельных стержней</t>
  </si>
  <si>
    <t xml:space="preserve">Пролёты в свету [(300, 6200), (6800, 13200), (13800, 19700)], сумма 18200 мм</t>
  </si>
  <si>
    <t xml:space="preserve">АС-24 штриховка «100×15»; АС-28 Фрагмент №1, поз.13</t>
  </si>
  <si>
    <t xml:space="preserve">Участки (мм): одинарные [(300, 1700), (5100, 7900)], двойные []</t>
  </si>
  <si>
    <t xml:space="preserve">ось 2 (отм. +3.950)</t>
  </si>
  <si>
    <t xml:space="preserve">Р-2</t>
  </si>
  <si>
    <t xml:space="preserve">АС-25 рама + АС-28 сеч.4-4/5-5 поз.2; длина = 20000+2×250 (до 50 мм от наружной грани крайней колонны)</t>
  </si>
  <si>
    <t xml:space="preserve">Стыки ванной сваркой без нахлёста: 1 на стержень (всего 4).</t>
  </si>
  <si>
    <t xml:space="preserve">Нахлёсты стыков к поз. «Продольные средние верх/низ 2Ø18 (сеч.4-4/5-5)» (L=20.500 м &gt; 11,7 м): 2 куска, 1 стык(а) на стержень × 2 стерж.</t>
  </si>
  <si>
    <t xml:space="preserve">Нахлёсты стыков к поз. «Боковые стержни 2Ø16 (сеч.4-4/5-5)» (L=20.500 м &gt; 11,7 м): 2 куска, 1 стык(а) на стержень × 2 стерж.</t>
  </si>
  <si>
    <t xml:space="preserve">ОС верх 2-й ряд: 1Ø20, участок 1000…3400 мм</t>
  </si>
  <si>
    <t xml:space="preserve">АС-25: выноска «ОС 1Ø20 А500С»; длина по привязкам отдельных стержней</t>
  </si>
  <si>
    <t xml:space="preserve">Координаты от оси А: 1000…3400 мм</t>
  </si>
  <si>
    <t xml:space="preserve">ОС верх 2-й ряд: 2Ø14, участок 8000…12000 мм</t>
  </si>
  <si>
    <t xml:space="preserve">АС-25: выноска «ОС 2Ø14 А500С»; длина по привязкам отдельных стержней</t>
  </si>
  <si>
    <t xml:space="preserve">Координаты от оси А: 8000…12000 мм</t>
  </si>
  <si>
    <t xml:space="preserve">ОС верх: 2Ø32, участок 1000…8500 мм</t>
  </si>
  <si>
    <t xml:space="preserve">АС-25: выноска «ОС 2Ø32 А500С»; длина по привязкам отдельных стержней</t>
  </si>
  <si>
    <t xml:space="preserve">Координаты от оси А: 1000…8500 мм</t>
  </si>
  <si>
    <t xml:space="preserve">ОС верх: 2Ø32, участок 11500…15100 мм</t>
  </si>
  <si>
    <t xml:space="preserve">Координаты от оси А: 11500…15100 мм</t>
  </si>
  <si>
    <t xml:space="preserve">ОС верх: 2Ø32, участок 17400…20000 мм + 250 до торца</t>
  </si>
  <si>
    <t xml:space="preserve">Координаты от оси А: 17400…20000 мм; конец заведён до торца крайней колонны (+250)</t>
  </si>
  <si>
    <t xml:space="preserve">ОС низ: 2Ø25, участок 1000…11500 мм</t>
  </si>
  <si>
    <t xml:space="preserve">АС-25: выноска «ОС 2Ø25 А500С»; длина по привязкам отдельных стержней</t>
  </si>
  <si>
    <t xml:space="preserve">Координаты от оси А: 1000…11500 мм</t>
  </si>
  <si>
    <t xml:space="preserve">ОС низ: 2Ø20, участок 17400…20000 мм + 250 до торца</t>
  </si>
  <si>
    <t xml:space="preserve">АС-25: выноска «ОС 2Ø20 А500С»; длина по привязкам отдельных стержней</t>
  </si>
  <si>
    <t xml:space="preserve">ОС низ 2-й ряд: 2Ø16, участок 11500…15100 мм</t>
  </si>
  <si>
    <t xml:space="preserve">АС-25: выноска «ОС 2Ø16 А500С»; длина по привязкам отдельных стержней</t>
  </si>
  <si>
    <t xml:space="preserve">Ос (бок) бок: 2Ø14, участок 1000…3400 мм</t>
  </si>
  <si>
    <t xml:space="preserve">АС-25: выноска «Ос (бок) 2Ø14 А500С» (бок); длина по привязкам отдельных стержней</t>
  </si>
  <si>
    <t xml:space="preserve">Ос (бок) бок: 2Ø14, участок 5100…14200 мм</t>
  </si>
  <si>
    <t xml:space="preserve">Координаты от оси А: 5100…14200 мм</t>
  </si>
  <si>
    <t xml:space="preserve">Ос (бок) бок: 2Ø14, участок 17400…20000 мм + 250 до торца</t>
  </si>
  <si>
    <t xml:space="preserve">Пролёты в свету [(2000, 6200), (6800, 13200), (13800, 19000)], сумма 15800 мм</t>
  </si>
  <si>
    <t xml:space="preserve">АС-25 штриховка «100×15»; АС-28 Фрагмент №1, поз.13</t>
  </si>
  <si>
    <t xml:space="preserve">Участки (мм): одинарные [(16400, 17400)], двойные [(2000, 3200), (6500, 13500), (17400, 19000)]</t>
  </si>
  <si>
    <t xml:space="preserve">АС-25 двойная штриховка; АС-28 Фрагмент №1, поз.15</t>
  </si>
  <si>
    <t xml:space="preserve">ось 3 (отм. +3.950)</t>
  </si>
  <si>
    <t xml:space="preserve">Р-3</t>
  </si>
  <si>
    <t xml:space="preserve">АС-26 рама + АС-28 сеч.4-4/5-5 поз.2; длина = 20000+2×250 (до 50 мм от наружной грани крайней колонны)</t>
  </si>
  <si>
    <t xml:space="preserve">АС-26: выноска «ОС 2Ø28 А500С»; длина по привязкам отдельных стержней</t>
  </si>
  <si>
    <t xml:space="preserve">ОС верх ств.: 2Ø25, участок 4700…8500 мм</t>
  </si>
  <si>
    <t xml:space="preserve">АС-26: выноска «ОС 2Ø25 А500С»; длина по привязкам отдельных стержней</t>
  </si>
  <si>
    <t xml:space="preserve">ОС верх: 2Ø25, участок 11500…15300 мм</t>
  </si>
  <si>
    <t xml:space="preserve">ОС верх ств.: 2Ø25, участок 11500…15300 мм</t>
  </si>
  <si>
    <t xml:space="preserve">ОС верх: 2Ø32, участок 18200…20000 мм + 250 до торца</t>
  </si>
  <si>
    <t xml:space="preserve">АС-26: выноска «ОС 2Ø32 А500С»; длина по привязкам отдельных стержней</t>
  </si>
  <si>
    <t xml:space="preserve">АС-26: выноска «ОС 2Ø16 А500С»; длина по привязкам отдельных стержней</t>
  </si>
  <si>
    <t xml:space="preserve">Координаты от оси А: 1800…4700 мм</t>
  </si>
  <si>
    <t xml:space="preserve">ОС низ: 2Ø28, участок 8500…11500 мм</t>
  </si>
  <si>
    <t xml:space="preserve">ОС низ: 2Ø16, участок 15300…20000 мм + 250 до торца</t>
  </si>
  <si>
    <t xml:space="preserve">Координаты от оси А: 15300…20000 мм; конец заведён до торца крайней колонны (+250)</t>
  </si>
  <si>
    <t xml:space="preserve">Ос (бок) бок: 4Ø12, участок 4700…8500 мм</t>
  </si>
  <si>
    <t xml:space="preserve">АС-26: выноска «Ос (бок) 4Ø12 А500С» (бок); длина по привязкам отдельных стержней</t>
  </si>
  <si>
    <t xml:space="preserve">Ос (бок) бок: 4Ø12, участок 11500…15300 мм</t>
  </si>
  <si>
    <t xml:space="preserve">Ос (бок) бок: 4Ø12, участок 18200…20000 мм + 250 до торца</t>
  </si>
  <si>
    <t xml:space="preserve">АС-26 штриховка «100×15»; АС-28 Фрагмент №1, поз.13</t>
  </si>
  <si>
    <t xml:space="preserve">Участки (мм): одинарные [(0, 1500), (5000, 6500), (8500, 9500), (10500, 11500), (13500, 15000)], двойные [(6500, 8500), (11500, 13500), (18200, 20000)]</t>
  </si>
  <si>
    <t xml:space="preserve">АС-26 двойная штриховка; АС-28 Фрагмент №1, поз.15</t>
  </si>
  <si>
    <t xml:space="preserve">ось 4 (отм. +3.950)</t>
  </si>
  <si>
    <t xml:space="preserve">Р-4</t>
  </si>
  <si>
    <t xml:space="preserve">АС-27 рама + АС-28 сеч.4-4/5-5 поз.2; длина = 20000+2×250 (до 50 мм от наружной грани крайней колонны)</t>
  </si>
  <si>
    <t xml:space="preserve">ОС верх: 2Ø32, участок 1000…3400 мм</t>
  </si>
  <si>
    <t xml:space="preserve">АС-27: выноска «ОС 2Ø32 А500С»; длина по привязкам отдельных стержней</t>
  </si>
  <si>
    <t xml:space="preserve">ОС верх: 2Ø32, участок 5100…8500 мм</t>
  </si>
  <si>
    <t xml:space="preserve">Координаты от оси А: 5100…8500 мм</t>
  </si>
  <si>
    <t xml:space="preserve">ОС верх: 2Ø28, участок 11500…15100 мм</t>
  </si>
  <si>
    <t xml:space="preserve">АС-27: выноска «ОС 2Ø28 А500С»; длина по привязкам отдельных стержней</t>
  </si>
  <si>
    <t xml:space="preserve">ОС низ: 2Ø25, участок 1000…7200 мм</t>
  </si>
  <si>
    <t xml:space="preserve">АС-27: выноска «ОС 2Ø25 А500С»; длина по привязкам отдельных стержней</t>
  </si>
  <si>
    <t xml:space="preserve">Координаты от оси А: 1000…7200 мм</t>
  </si>
  <si>
    <t xml:space="preserve">ОС низ: 2Ø20, участок 8500…11500 мм</t>
  </si>
  <si>
    <t xml:space="preserve">АС-27: выноска «ОС 2Ø20 А500С»; длина по привязкам отдельных стержней</t>
  </si>
  <si>
    <t xml:space="preserve">ОС низ: 2Ø16, участок 17400…19700 мм</t>
  </si>
  <si>
    <t xml:space="preserve">АС-27: выноска «ОС 2Ø16 А500С»; длина по привязкам отдельных стержней</t>
  </si>
  <si>
    <t xml:space="preserve">Координаты от оси А: 17400…19700 мм</t>
  </si>
  <si>
    <t xml:space="preserve">Ос (бок) бок: 4Ø12, участок 1000…3400 мм</t>
  </si>
  <si>
    <t xml:space="preserve">АС-27: выноска «Ос (бок) 4Ø12 А500С» (бок); длина по привязкам отдельных стержней</t>
  </si>
  <si>
    <t xml:space="preserve">Ос (бок) бок: 4Ø12, участок 5100…8500 мм</t>
  </si>
  <si>
    <t xml:space="preserve">Ос (бок) бок: 4Ø12, участок 11500…15100 мм</t>
  </si>
  <si>
    <t xml:space="preserve">Ос (бок) бок: 4Ø12, участок 17400…19700 мм</t>
  </si>
  <si>
    <t xml:space="preserve">АС-27 штриховка «100×15»; АС-28 Фрагмент №1, поз.13</t>
  </si>
  <si>
    <t xml:space="preserve">Участки (мм): одинарные [(6500, 9500), (10500, 13500), (16400, 17400)], двойные [(2000, 3200), (17400, 19000)]</t>
  </si>
  <si>
    <t xml:space="preserve">АС-27 двойная штриховка; АС-28 Фрагмент №1, поз.15</t>
  </si>
  <si>
    <t xml:space="preserve">2. ПЛИТА ПЕРЕКРЫТИЯ на отм. +3.950: основные сетки, доп. нижние/верхние зоны, край, фиксаторы</t>
  </si>
  <si>
    <t xml:space="preserve">Плита перекрытия</t>
  </si>
  <si>
    <t xml:space="preserve">1–5 / А–Г</t>
  </si>
  <si>
    <t xml:space="preserve">ПМ-3.950</t>
  </si>
  <si>
    <t xml:space="preserve">НX</t>
  </si>
  <si>
    <t xml:space="preserve">Нижняя осн. сетка, направление X (вдоль осей 1–5)</t>
  </si>
  <si>
    <t xml:space="preserve">АС-50/АС-51 «Осн. сетка Ø10 А500С ш.200×200»; контур — АС-47</t>
  </si>
  <si>
    <t xml:space="preserve">Плита</t>
  </si>
  <si>
    <t xml:space="preserve">П-сетка</t>
  </si>
  <si>
    <t xml:space="preserve">НX-нахл</t>
  </si>
  <si>
    <t xml:space="preserve">Нахлёсты стыков к поз. «Нижняя осн. сетка, направление X (вдоль осей 1–5)» (L=27.350 м &gt; 11,7 м): 3 куска, 2 стык(а) на стержень × 26 стерж.</t>
  </si>
  <si>
    <t xml:space="preserve">АС-58 «Деталь стыка арматуры армирования плиты»: нахлёст 400 мм для Ø10</t>
  </si>
  <si>
    <t xml:space="preserve">Чистая длина 27.350 м; кусков 3; стыков 2; Lнахл=2×0.40=0.8 м на стержень</t>
  </si>
  <si>
    <t xml:space="preserve">Нахлёсты стыков к поз. «Нижняя осн. сетка, направление X (вдоль осей 1–5)» (L=25.620 м &gt; 11,7 м): 3 куска, 2 стык(а) на стержень × 49 стерж.</t>
  </si>
  <si>
    <t xml:space="preserve">Чистая длина 25.620 м; кусков 3; стыков 2; Lнахл=2×0.40=0.8 м на стержень</t>
  </si>
  <si>
    <t xml:space="preserve">Нахлёсты стыков к поз. «Нижняя осн. сетка, направление X (вдоль осей 1–5)» (L=22.200 м &gt; 11,7 м): 2 куска, 1 стык(а) на стержень × 1 стерж.</t>
  </si>
  <si>
    <t xml:space="preserve">Чистая длина 22.200 м; кусков 2; стыков 1; Lнахл=1×0.40=0.4 м на стержень</t>
  </si>
  <si>
    <t xml:space="preserve">Нахлёсты стыков к поз. «Нижняя осн. сетка, направление X (вдоль осей 1–5)» (L=15.620 м &gt; 11,7 м): 2 куска, 1 стык(а) на стержень × 16 стерж.</t>
  </si>
  <si>
    <t xml:space="preserve">Чистая длина 15.620 м; кусков 2; стыков 1; Lнахл=1×0.40=0.4 м на стержень</t>
  </si>
  <si>
    <t xml:space="preserve">Нахлёсты стыков к поз. «Нижняя осн. сетка, направление X (вдоль осей 1–5)» (L=13.900 м &gt; 11,7 м): 2 куска, 1 стык(а) на стержень × 12 стерж.</t>
  </si>
  <si>
    <t xml:space="preserve">Чистая длина 13.900 м; кусков 2; стыков 1; Lнахл=1×0.40=0.4 м на стержень</t>
  </si>
  <si>
    <t xml:space="preserve">НY</t>
  </si>
  <si>
    <t xml:space="preserve">Нижняя осн. сетка, направление Y (вдоль осей А–Г)</t>
  </si>
  <si>
    <t xml:space="preserve">НY-нахл</t>
  </si>
  <si>
    <t xml:space="preserve">Нахлёсты стыков к поз. «Нижняя осн. сетка, направление Y (вдоль осей А–Г)» (L=22.350 м &gt; 11,7 м): 2 куска, 1 стык(а) на стержень × 40 стерж.</t>
  </si>
  <si>
    <t xml:space="preserve">Чистая длина 22.350 м; кусков 2; стыков 1; Lнахл=1×0.40=0.4 м на стержень</t>
  </si>
  <si>
    <t xml:space="preserve">Нахлёсты стыков к поз. «Нижняя осн. сетка, направление Y (вдоль осей А–Г)» (L=20.620 м &gt; 11,7 м): 2 куска, 1 стык(а) на стержень × 39 стерж.</t>
  </si>
  <si>
    <t xml:space="preserve">Чистая длина 20.620 м; кусков 2; стыков 1; Lнахл=1×0.40=0.4 м на стержень</t>
  </si>
  <si>
    <t xml:space="preserve">Нахлёсты стыков к поз. «Нижняя осн. сетка, направление Y (вдоль осей А–Г)» (L=20.480 м &gt; 11,7 м): 2 куска, 1 стык(а) на стержень × 26 стерж.</t>
  </si>
  <si>
    <t xml:space="preserve">Чистая длина 20.480 м; кусков 2; стыков 1; Lнахл=1×0.40=0.4 м на стержень</t>
  </si>
  <si>
    <t xml:space="preserve">Нахлёсты стыков к поз. «Нижняя осн. сетка, направление Y (вдоль осей А–Г)» (L=19.010 м &gt; 11,7 м): 2 куска, 1 стык(а) на стержень × 2 стерж.</t>
  </si>
  <si>
    <t xml:space="preserve">Чистая длина 19.010 м; кусков 2; стыков 1; Lнахл=1×0.40=0.4 м на стержень</t>
  </si>
  <si>
    <t xml:space="preserve">Нахлёсты стыков к поз. «Нижняя осн. сетка, направление Y (вдоль осей А–Г)» (L=17.280 м &gt; 11,7 м): 2 куска, 1 стык(а) на стержень × 5 стерж.</t>
  </si>
  <si>
    <t xml:space="preserve">Чистая длина 17.280 м; кусков 2; стыков 1; Lнахл=1×0.40=0.4 м на стержень</t>
  </si>
  <si>
    <t xml:space="preserve">Нахлёсты стыков к поз. «Нижняя осн. сетка, направление Y (вдоль осей А–Г)» (L=15.600 м &gt; 11,7 м): 2 куска, 1 стык(а) на стержень × 17 стерж.</t>
  </si>
  <si>
    <t xml:space="preserve">Чистая длина 15.600 м; кусков 2; стыков 1; Lнахл=1×0.40=0.4 м на стержень</t>
  </si>
  <si>
    <t xml:space="preserve">ВX</t>
  </si>
  <si>
    <t xml:space="preserve">Верхняя осн. сетка, направление X (вдоль осей 1–5)</t>
  </si>
  <si>
    <t xml:space="preserve">ВX-нахл</t>
  </si>
  <si>
    <t xml:space="preserve">Нахлёсты стыков к поз. «Верхняя осн. сетка, направление X (вдоль осей 1–5)» (L=27.350 м &gt; 11,7 м): 3 куска, 2 стык(а) на стержень × 26 стерж.</t>
  </si>
  <si>
    <t xml:space="preserve">Нахлёсты стыков к поз. «Верхняя осн. сетка, направление X (вдоль осей 1–5)» (L=25.620 м &gt; 11,7 м): 3 куска, 2 стык(а) на стержень × 49 стерж.</t>
  </si>
  <si>
    <t xml:space="preserve">Нахлёсты стыков к поз. «Верхняя осн. сетка, направление X (вдоль осей 1–5)» (L=22.200 м &gt; 11,7 м): 2 куска, 1 стык(а) на стержень × 1 стерж.</t>
  </si>
  <si>
    <t xml:space="preserve">Нахлёсты стыков к поз. «Верхняя осн. сетка, направление X (вдоль осей 1–5)» (L=15.620 м &gt; 11,7 м): 2 куска, 1 стык(а) на стержень × 16 стерж.</t>
  </si>
  <si>
    <t xml:space="preserve">Нахлёсты стыков к поз. «Верхняя осн. сетка, направление X (вдоль осей 1–5)» (L=13.900 м &gt; 11,7 м): 2 куска, 1 стык(а) на стержень × 12 стерж.</t>
  </si>
  <si>
    <t xml:space="preserve">ВY</t>
  </si>
  <si>
    <t xml:space="preserve">Верхняя осн. сетка, направление Y (вдоль осей А–Г)</t>
  </si>
  <si>
    <t xml:space="preserve">ВY-нахл</t>
  </si>
  <si>
    <t xml:space="preserve">Нахлёсты стыков к поз. «Верхняя осн. сетка, направление Y (вдоль осей А–Г)» (L=22.350 м &gt; 11,7 м): 2 куска, 1 стык(а) на стержень × 40 стерж.</t>
  </si>
  <si>
    <t xml:space="preserve">Нахлёсты стыков к поз. «Верхняя осн. сетка, направление Y (вдоль осей А–Г)» (L=20.620 м &gt; 11,7 м): 2 куска, 1 стык(а) на стержень × 39 стерж.</t>
  </si>
  <si>
    <t xml:space="preserve">Нахлёсты стыков к поз. «Верхняя осн. сетка, направление Y (вдоль осей А–Г)» (L=20.480 м &gt; 11,7 м): 2 куска, 1 стык(а) на стержень × 26 стерж.</t>
  </si>
  <si>
    <t xml:space="preserve">Нахлёсты стыков к поз. «Верхняя осн. сетка, направление Y (вдоль осей А–Г)» (L=19.010 м &gt; 11,7 м): 2 куска, 1 стык(а) на стержень × 2 стерж.</t>
  </si>
  <si>
    <t xml:space="preserve">Нахлёсты стыков к поз. «Верхняя осн. сетка, направление Y (вдоль осей А–Г)» (L=17.280 м &gt; 11,7 м): 2 куска, 1 стык(а) на стержень × 5 стерж.</t>
  </si>
  <si>
    <t xml:space="preserve">Нахлёсты стыков к поз. «Верхняя осн. сетка, направление Y (вдоль осей А–Г)» (L=15.600 м &gt; 11,7 м): 2 куска, 1 стык(а) на стержень × 17 стерж.</t>
  </si>
  <si>
    <t xml:space="preserve">см. описание</t>
  </si>
  <si>
    <t xml:space="preserve">дн</t>
  </si>
  <si>
    <t xml:space="preserve">Доп. нижние, зона оси 2–3 / Б–В, вдоль X (7500…12550)</t>
  </si>
  <si>
    <t xml:space="preserve">АС-50 + прим. «неуказанные доп. стержни Ø10 А500С ш.200»</t>
  </si>
  <si>
    <t xml:space="preserve">П-доп-низ</t>
  </si>
  <si>
    <t xml:space="preserve">Доп. нижние, зона оси 2–3 / Б–В, вдоль Y (8000…12500)</t>
  </si>
  <si>
    <t xml:space="preserve">Доп. нижние, зона оси 3–4 / Б–В, вдоль X (14800…18425)</t>
  </si>
  <si>
    <t xml:space="preserve">Доп. нижние, зона оси 3–4 / Б–В, вдоль Y (8000…12500)</t>
  </si>
  <si>
    <t xml:space="preserve">Доп. нижние, эркер у оси А (оси 1–2), вдоль Y (−1000…+200)</t>
  </si>
  <si>
    <t xml:space="preserve">дв</t>
  </si>
  <si>
    <t xml:space="preserve">Доп. верхние, эркер у оси 1 (Г–В), вдоль X, −1000…+200</t>
  </si>
  <si>
    <t xml:space="preserve">АС-51 (число стержней — по штриховке, шаг 200); прим. «неуказанные Ø10 ш.200»</t>
  </si>
  <si>
    <t xml:space="preserve">П-доп-верх</t>
  </si>
  <si>
    <t xml:space="preserve">Доп. верхние, ригель оси 2 (Г–В), вдоль X, 6300…7500</t>
  </si>
  <si>
    <t xml:space="preserve">Доп. верхние, эркер у оси 1 (В–Б), вдоль X, −1000…+200</t>
  </si>
  <si>
    <t xml:space="preserve">Доп. верхние, ригель оси 2 (В–Б), вдоль X, 6300…7700 — Ø12 (выноска «Ø12 А500С ш.200», Y 10260…12620)</t>
  </si>
  <si>
    <t xml:space="preserve">Доп. верхние, ригель оси 2 (В–Б), вдоль X, 6300…7700 — остальные</t>
  </si>
  <si>
    <t xml:space="preserve">Доп. верхние, ригель оси 3 (В–Б), вдоль X, 12300…14500 — Ø12 (выноска «Ø12»)</t>
  </si>
  <si>
    <t xml:space="preserve">Доп. верхние, ригель оси 3 (В–Б), вдоль X, 12300…14500 — остальные</t>
  </si>
  <si>
    <t xml:space="preserve">Доп. верхние, ригель оси 4 (В–Б), вдоль X, 19000…20200</t>
  </si>
  <si>
    <t xml:space="preserve">Доп. верхние, ригель оси 2 (Б–А), вдоль X, 5500…7500</t>
  </si>
  <si>
    <t xml:space="preserve">Доп. верхние, ригель оси 4 (Б–А), вдоль X, 19000…20200</t>
  </si>
  <si>
    <t xml:space="preserve">Доп. верхние, эркер у оси А (1–2), вдоль Y, −1000…+200</t>
  </si>
  <si>
    <t xml:space="preserve">Доп. верхние, эркер у оси А (2–4), вдоль Y, −1000…+200</t>
  </si>
  <si>
    <t xml:space="preserve">Доп. верхние, ригель оси В, вдоль Y, 12300…13700 (оси 2–3 лев. часть)</t>
  </si>
  <si>
    <t xml:space="preserve">Доп. верхние, ригель оси В, вдоль Y, 12300…14500 (оси 2–3 прав. часть)</t>
  </si>
  <si>
    <t xml:space="preserve">Доп. верхние, ригель оси В, вдоль Y, 12300…13700 (оси 3–4)</t>
  </si>
  <si>
    <t xml:space="preserve">Доп. верхние, ригель оси Б, вдоль Y, 5500…7700 (оси 2–4)</t>
  </si>
  <si>
    <t xml:space="preserve">В,Б × оси 2,3 (4 места)</t>
  </si>
  <si>
    <t xml:space="preserve">Доп. стержень в верхней зоне балки над ригелем 1Ø20 L=3000</t>
  </si>
  <si>
    <t xml:space="preserve">АС-47 выноски (4 шт.)</t>
  </si>
  <si>
    <t xml:space="preserve">край по оси Г и оси 5</t>
  </si>
  <si>
    <t xml:space="preserve">8</t>
  </si>
  <si>
    <t xml:space="preserve">Торцевой стержень края плиты (сеч.6-6) 2Ø14, по оси Г</t>
  </si>
  <si>
    <t xml:space="preserve">АС-55 сеч.6-6 поз.8; длина края по АС-47</t>
  </si>
  <si>
    <t xml:space="preserve">П-край</t>
  </si>
  <si>
    <t xml:space="preserve">8-нахл</t>
  </si>
  <si>
    <t xml:space="preserve">Нахлёсты стыков к поз. «Торцевой стержень края плиты (сеч.6-6) 2Ø14, по оси Г» (L=25.825 м &gt; 11,7 м): 3 куска, 2 стык(а) на стержень × 2 стерж.</t>
  </si>
  <si>
    <t xml:space="preserve">АС-58 «Деталь стыка арматуры армирования плиты»: нахлёст 560 мм для Ø14</t>
  </si>
  <si>
    <t xml:space="preserve">Чистая длина 25.825 м; кусков 3; стыков 2; Lнахл=2×0.56=1.12 м на стержень</t>
  </si>
  <si>
    <t xml:space="preserve">Торцевой стержень края плиты (сеч.6-6) 2Ø14, по оси 5</t>
  </si>
  <si>
    <t xml:space="preserve">АС-55 сеч.6-6 поз.8</t>
  </si>
  <si>
    <t xml:space="preserve">Нахлёсты стыков к поз. «Торцевой стержень края плиты (сеч.6-6) 2Ø14, по оси 5» (L=20.525 м &gt; 11,7 м): 2 куска, 1 стык(а) на стержень × 2 стерж.</t>
  </si>
  <si>
    <t xml:space="preserve">Чистая длина 20.525 м; кусков 2; стыков 1; Lнахл=1×0.56=0.56 м на стержень</t>
  </si>
  <si>
    <t xml:space="preserve">Пешка (П-образная) края плиты ш.400: 25825/400+1=66 + 20525/400+1=53</t>
  </si>
  <si>
    <t xml:space="preserve">АС-55 сеч.6-6 поз.14; АС-58 поз.14 L=700</t>
  </si>
  <si>
    <t xml:space="preserve">вся плита</t>
  </si>
  <si>
    <t xml:space="preserve">Ф-1</t>
  </si>
  <si>
    <t xml:space="preserve">Фиксатор верхней сетки Ø10 ш.800×800 шахм.: 542.0 м² / 0,64 = 847 шт</t>
  </si>
  <si>
    <t xml:space="preserve">800×800</t>
  </si>
  <si>
    <t xml:space="preserve">АС-55 «Фиксатор» (длина в проекте не указана)</t>
  </si>
  <si>
    <t xml:space="preserve">ДЛИНА ПРИНЯТА (уточнить)</t>
  </si>
  <si>
    <t xml:space="preserve">П-фикс</t>
  </si>
  <si>
    <t xml:space="preserve">шп</t>
  </si>
  <si>
    <t xml:space="preserve">Шпилька Ø8 ш.800 шахм. между сетками: 847 шт</t>
  </si>
  <si>
    <t xml:space="preserve">800</t>
  </si>
  <si>
    <t xml:space="preserve">АС-55 «Фрагмент армирования перекрытия» (длина в проекте не указана)</t>
  </si>
  <si>
    <t xml:space="preserve">3. БАЛКИ МОНОЛИТНОЙ ПЛИТЫ +3.950 (сеч. 1-1…5-5; ригели рам НЕ включены)</t>
  </si>
  <si>
    <t xml:space="preserve">Плита перекрытия — балки</t>
  </si>
  <si>
    <t xml:space="preserve">ось ~3250, А–Г</t>
  </si>
  <si>
    <t xml:space="preserve">Б-1 (1-1)</t>
  </si>
  <si>
    <t xml:space="preserve">Балка VB1: продольные 2Ø25 верх + 2Ø25 низ</t>
  </si>
  <si>
    <t xml:space="preserve">АС-55 сеч.1-1; АС-57 узлы «1»,«2» (до наружной грани ригеля, Аш)</t>
  </si>
  <si>
    <t xml:space="preserve">Б-основная</t>
  </si>
  <si>
    <t xml:space="preserve">ось ~9800, А–Г</t>
  </si>
  <si>
    <t xml:space="preserve">Балка VB2: продольные 2Ø25 верх + 2Ø25 низ</t>
  </si>
  <si>
    <t xml:space="preserve">ось ~17275, А–В</t>
  </si>
  <si>
    <t xml:space="preserve">Балка VB3: продольные 2Ø25 верх + 2Ø25 низ</t>
  </si>
  <si>
    <t xml:space="preserve">ось ~22000, А–Г</t>
  </si>
  <si>
    <t xml:space="preserve">Балка VB4: продольные 2Ø25 верх + 2Ø25 низ</t>
  </si>
  <si>
    <t xml:space="preserve">Y≈3250, оси 1–5</t>
  </si>
  <si>
    <t xml:space="preserve">Балка HB1: продольные 2Ø25 верх + 2Ø25 низ</t>
  </si>
  <si>
    <t xml:space="preserve">Y≈10000, оси 1–5</t>
  </si>
  <si>
    <t xml:space="preserve">Балка HB2: продольные 2Ø25 верх + 2Ø25 низ</t>
  </si>
  <si>
    <t xml:space="preserve">Y≈16750, оси 1–3</t>
  </si>
  <si>
    <t xml:space="preserve">Балка HB3a: продольные 2Ø25 верх + 2Ø25 низ</t>
  </si>
  <si>
    <t xml:space="preserve">Y≈16960, оси 3–5</t>
  </si>
  <si>
    <t xml:space="preserve">Б-5 (5-5)+Б-1</t>
  </si>
  <si>
    <t xml:space="preserve">Балка HB3b: продольные 2Ø25 верх + 2Ø25 низ</t>
  </si>
  <si>
    <t xml:space="preserve">АС-55 сеч.5-5; АС-57 узлы «1»,«2» (до наружной грани ригеля, Аш)</t>
  </si>
  <si>
    <t xml:space="preserve">X≈17550, В–балка 5-5</t>
  </si>
  <si>
    <t xml:space="preserve">Б-2 (2-2)</t>
  </si>
  <si>
    <t xml:space="preserve">Балка B2a: продольные 2Ø25 верх + 2Ø25 низ</t>
  </si>
  <si>
    <t xml:space="preserve">АС-55 сеч.2-2; АС-57 узлы «1»,«2» (до наружной грани ригеля, Аш)</t>
  </si>
  <si>
    <t xml:space="preserve">X≈18650, балка 5-5–Г</t>
  </si>
  <si>
    <t xml:space="preserve">Балка B2b: продольные 2Ø25 верх + 2Ø25 низ</t>
  </si>
  <si>
    <t xml:space="preserve">Y≈14310, 14800…17400</t>
  </si>
  <si>
    <t xml:space="preserve">Б-4 (4-4)</t>
  </si>
  <si>
    <t xml:space="preserve">Балка B4a: продольные 2Ø20 верх + 2Ø20 низ</t>
  </si>
  <si>
    <t xml:space="preserve">АС-55 сеч.4-4; АС-57 узлы «1»,«2» (до наружной грани ригеля, Аш)</t>
  </si>
  <si>
    <t xml:space="preserve">X≈14700, В–балка 5-5</t>
  </si>
  <si>
    <t xml:space="preserve">Балка B4b: продольные 2Ø20 верх + 2Ø20 низ</t>
  </si>
  <si>
    <t xml:space="preserve">Y≈12965, 13725…17125</t>
  </si>
  <si>
    <t xml:space="preserve">Балка B4c: продольные 2Ø20 верх + 2Ø20 низ</t>
  </si>
  <si>
    <t xml:space="preserve">Y≈8940, 22150…24775</t>
  </si>
  <si>
    <t xml:space="preserve">Балка B4d: продольные 2Ø20 верх + 2Ø20 низ</t>
  </si>
  <si>
    <t xml:space="preserve">Э1 (эркер у оси 1, Г–В)</t>
  </si>
  <si>
    <t xml:space="preserve">Б-3 (3-3)</t>
  </si>
  <si>
    <t xml:space="preserve">Краевая балка эркера, участок 1: 4Ø22 (2 верх + 2 низ)</t>
  </si>
  <si>
    <t xml:space="preserve">АС-55 сеч.3-3 поз.4; контур АС-47</t>
  </si>
  <si>
    <t xml:space="preserve">Краевая балка эркера, участок 2: 4Ø22 (2 верх + 2 низ)</t>
  </si>
  <si>
    <t xml:space="preserve">Краевая балка эркера, участок 3: 4Ø22 (2 верх + 2 низ)</t>
  </si>
  <si>
    <t xml:space="preserve">Э2 (эркер у оси 1, В–Б)</t>
  </si>
  <si>
    <t xml:space="preserve">Э3 (эркер у оси А, 1–2)</t>
  </si>
  <si>
    <t xml:space="preserve">Э4 (эркер у оси А, 2–4)</t>
  </si>
  <si>
    <t xml:space="preserve">Краевая балка эркера, участок 4: 4Ø22 (2 верх + 2 низ)</t>
  </si>
  <si>
    <t xml:space="preserve">углы эркеров, концы балок</t>
  </si>
  <si>
    <t xml:space="preserve">узлы «Б»,«В»,«Г»</t>
  </si>
  <si>
    <t xml:space="preserve">Угловой Г-образный стержень Ø18 L=1200 (узлы Б×11, Г×8 по 2 шт.; В×1 по 4 шт.)</t>
  </si>
  <si>
    <t xml:space="preserve">АС-56 узлы «Б»,«В»; АС-57 узел «Г»</t>
  </si>
  <si>
    <t xml:space="preserve">Б-допник</t>
  </si>
  <si>
    <t xml:space="preserve">все балки сечения 1-1</t>
  </si>
  <si>
    <t xml:space="preserve">Б (1-1)</t>
  </si>
  <si>
    <t xml:space="preserve">Хомуты балок сеч.1-1: хом.Ø8 L=1240 (поз.10); шаг 100 у опор (×10 при L&gt;6 м, ×7 при L&lt;6 м) и ×3 у пересечений, 200 в пролёте</t>
  </si>
  <si>
    <t xml:space="preserve">АС-55 сеч.1-1; АС-57 «Шаг хомутов»; АС-56/57 узел «Д»; АС-58 ведомость</t>
  </si>
  <si>
    <t xml:space="preserve">Б-хомуты</t>
  </si>
  <si>
    <t xml:space="preserve">все балки сечения 2-2</t>
  </si>
  <si>
    <t xml:space="preserve">Б (2-2)</t>
  </si>
  <si>
    <t xml:space="preserve">Хомуты балок сеч.2-2: хом.Ø8 L=1240 (поз.10); шаг 100 у опор (×10 при L&gt;6 м, ×7 при L&lt;6 м) и ×3 у пересечений, 200 в пролёте</t>
  </si>
  <si>
    <t xml:space="preserve">АС-55 сеч.2-2; АС-57 «Шаг хомутов»; АС-56/57 узел «Д»; АС-58 ведомость</t>
  </si>
  <si>
    <t xml:space="preserve">все балки сечения 5-5</t>
  </si>
  <si>
    <t xml:space="preserve">Б (5-5)</t>
  </si>
  <si>
    <t xml:space="preserve">Хомуты балок сеч.5-5: хом.Ø8 L=1440 (поз.12); шаг 100 у опор (×10 при L&gt;6 м, ×7 при L&lt;6 м) и ×3 у пересечений, 200 в пролёте</t>
  </si>
  <si>
    <t xml:space="preserve">АС-55 сеч.5-5; АС-57 «Шаг хомутов»; АС-56/57 узел «Д»; АС-58 ведомость</t>
  </si>
  <si>
    <t xml:space="preserve">все балки сечения 4-4</t>
  </si>
  <si>
    <t xml:space="preserve">Б (4-4)</t>
  </si>
  <si>
    <t xml:space="preserve">Хомуты балок сеч.4-4: хом.Ø8 L=1040 (поз.13); шаг 100 у опор (×10 при L&gt;6 м, ×7 при L&lt;6 м) и ×3 у пересечений, 200 в пролёте</t>
  </si>
  <si>
    <t xml:space="preserve">АС-55 сеч.4-4; АС-57 «Шаг хомутов»; АС-56/57 узел «Д»; АС-58 ведомость</t>
  </si>
  <si>
    <t xml:space="preserve">все балки сечения 3-3</t>
  </si>
  <si>
    <t xml:space="preserve">Б (3-3)</t>
  </si>
  <si>
    <t xml:space="preserve">Хомуты балок сеч.3-3: хом.Ø8 L=1140 (поз.11); шаг 100 у опор (×10 при L&gt;6 м, ×7 при L&lt;6 м) и ×3 у пересечений, 200 в пролёте</t>
  </si>
  <si>
    <t xml:space="preserve">АС-55 сеч.3-3; АС-57 «Шаг хомутов»; АС-56/57 узел «Д»; АС-58 ведомость</t>
  </si>
  <si>
    <t xml:space="preserve">4. СЕТКИ-ГРЕБЁНКИ С-1 в узлах колонна–ригель на отм. +3.950</t>
  </si>
  <si>
    <t xml:space="preserve">узлы колонна–ригель, отм. +3.950 (20 узлов)</t>
  </si>
  <si>
    <t xml:space="preserve">С-1: 7Ø10 (1 гребень + 6 зубьев по 570 мм); 20 узлов × 6 ярусов (шаг 90) × 2 (попарно) = 240 сеток</t>
  </si>
  <si>
    <t xml:space="preserve">АС-30 «Сетка гребенка С-1»; АС-29/30/31 узлы «2»,«5»,«6»,«7»</t>
  </si>
  <si>
    <t xml:space="preserve">5. ЛЕСТНИЦА ЛВ-1</t>
  </si>
  <si>
    <t xml:space="preserve">Лестница ЛВ-1</t>
  </si>
  <si>
    <t xml:space="preserve">ЧЕРТЕЖИ ЛВ-1 В ПРЕДОСТАВЛЕННОМ PDF ОТСУТСТВУЮТ — подсчёт не выполнен</t>
  </si>
  <si>
    <t xml:space="preserve">нет листа</t>
  </si>
  <si>
    <t xml:space="preserve">ТРЕБУЕТСЯ ЛИСТ</t>
  </si>
  <si>
    <t xml:space="preserve">ИТОГО по ведомости</t>
  </si>
  <si>
    <t xml:space="preserve">Раскрой арматуры под стандартные прутки 11,7 м (алгоритм «лучший подходящий по убыванию», отдельно по каждому Ø и классу)</t>
  </si>
  <si>
    <t xml:space="preserve">Детали: стержни ≤11,7 м — целиком; длиннее 11,7 м — делятся на прутки 11,7 + «хвост» (для Ø10–14 с нахлёстами 400/500/560 мм, для Ø≥20 — встык ванной сваркой). Раскрой не смешивается с проектной массой.</t>
  </si>
  <si>
    <t xml:space="preserve">Схема №</t>
  </si>
  <si>
    <t xml:space="preserve">Деталь 1, м</t>
  </si>
  <si>
    <t xml:space="preserve">шт</t>
  </si>
  <si>
    <t xml:space="preserve">Деталь 2, м</t>
  </si>
  <si>
    <t xml:space="preserve">Деталь 3, м</t>
  </si>
  <si>
    <t xml:space="preserve">Деталь 4, м</t>
  </si>
  <si>
    <t xml:space="preserve">Использовано из прутка, м</t>
  </si>
  <si>
    <t xml:space="preserve">Остаток, м</t>
  </si>
  <si>
    <t xml:space="preserve">Кол-во прутков, шт</t>
  </si>
  <si>
    <t xml:space="preserve">Деталей всего, шт</t>
  </si>
  <si>
    <t xml:space="preserve">Длина деталей всего, м</t>
  </si>
  <si>
    <t xml:space="preserve">Отход всего, м</t>
  </si>
  <si>
    <t xml:space="preserve">Сводка раскроя по диаметрам</t>
  </si>
  <si>
    <t xml:space="preserve">Длина по ведомости (с нахлёстами), м</t>
  </si>
  <si>
    <t xml:space="preserve">Длина деталей в раскрое, м</t>
  </si>
  <si>
    <t xml:space="preserve">Проверка (разница), м</t>
  </si>
  <si>
    <t xml:space="preserve">Длина заказа, м</t>
  </si>
  <si>
    <t xml:space="preserve">Проектная масса, кг</t>
  </si>
  <si>
    <t xml:space="preserve">Отход, кг</t>
  </si>
  <si>
    <t xml:space="preserve">ИТОГО</t>
  </si>
  <si>
    <t xml:space="preserve">Примечания к раскрою:</t>
  </si>
  <si>
    <t xml:space="preserve">1. Вертикали диафрагм и колонн Ø32/Ø28/Ø20 (L=4,0 м): из прутка 11,7 м выходит 2 детали + остаток 3,7 м — отсюда отход 18–23 % по Ø32 и Ø20. Остаток 3,7 м пригоден для вертикалей 2–5 этажей (L=3,6 м) — при заказе на несколько этажей отход ≈ 0,1 м. Альтернатива — прутки 12,0 м (3 × 4,0 м без отхода).</t>
  </si>
  <si>
    <t xml:space="preserve">2. Стыки балок Ø25 (ванная сварка) по проекту рекомендуются на 1/3 пролёта (АС-57) — при нарезке прутков 11,7 м проверить, чтобы стык не попал в зону у опоры; при необходимости сдвинуть длину «хвоста».</t>
  </si>
  <si>
    <t xml:space="preserve">3. Стыки сеток вразбежку (АС-58): не более 50 % стержней в одном сечении, смещение ≥1,5·lн.</t>
  </si>
  <si>
    <t xml:space="preserve">Проверки, чек-листы и сомнительные места</t>
  </si>
  <si>
    <t xml:space="preserve">ПРОВЕРКА НА ДВОЙНОЙ УЧЁТ</t>
  </si>
  <si>
    <t xml:space="preserve">Каждый вертикальный стержень считан один раз длиной 4,0 м «стык–стык» (выпуск +800/+500 над +3.950 входит в стержень 1 этажа, нижний выпуск — в стержень подвала). ✔</t>
  </si>
  <si>
    <t xml:space="preserve">Колонны внутри Дм</t>
  </si>
  <si>
    <t xml:space="preserve">Колонны в составе Дм (А/2, А/4, Г/2, Г/3, Г/4) учтены ТОЛЬКО в Дм; отдельно посчитаны остальные 15 колонн. ✔</t>
  </si>
  <si>
    <t xml:space="preserve">Ригели и диафрагмы</t>
  </si>
  <si>
    <t xml:space="preserve">Продольные стержни ригелей проходят через Дм и считаны в ригелях; хомуты ригелей — только в пролётах в свету между гранями колонн и Дм; горизонтали Дм в зоне ригеля (600 мм) не ставились. ✔</t>
  </si>
  <si>
    <t xml:space="preserve">Ригели и С-1</t>
  </si>
  <si>
    <t xml:space="preserve">В узле колонна–ригель хомутов ригеля и колонны нет — там С-1 (посчитаны отдельно). ✔</t>
  </si>
  <si>
    <t xml:space="preserve">Доп. зоны сеток vs основная сетка</t>
  </si>
  <si>
    <t xml:space="preserve">Доп. стержни АС-50/51 считаны отдельно от основной сетки Ø10/200 (это стержни сверх основной сетки). ✔</t>
  </si>
  <si>
    <t xml:space="preserve">Доп. нижние/верхние Ø12 и Ø10 в одной зоне</t>
  </si>
  <si>
    <t xml:space="preserve">12 стержней Ø12 (по выноске) вычтены из числа Ø10 той же зоны (30 = 12 + 18). ✔</t>
  </si>
  <si>
    <t xml:space="preserve">Балки и сетка</t>
  </si>
  <si>
    <t xml:space="preserve">Сетка плиты проходит над ригелями и балками непрерывно (по проекту); продольные стержни и хомуты балок и ригелей — отдельные строки. ✔</t>
  </si>
  <si>
    <t xml:space="preserve">С-1 и хомуты колонн</t>
  </si>
  <si>
    <t xml:space="preserve">В зоне узла (630 мм) хомутов колонн нет — там С-1; хомуты колонн Дм считаны только в пределах этажа (зоны 100×12 + 200). ✔</t>
  </si>
  <si>
    <t xml:space="preserve">Нахлёсты</t>
  </si>
  <si>
    <t xml:space="preserve">Нахлёсты стыковки прутков 11,7 м добавлены отдельными строками только для Ø10/Ø14 длиной &gt;11,7 м; в длинах основных позиций их нет. Для Ø≥20 — ванная сварка, нахлёст не добавлялся. ✔</t>
  </si>
  <si>
    <t xml:space="preserve">Вертикальные Ø18 Дм</t>
  </si>
  <si>
    <t xml:space="preserve">+8d (144 мм) к длине — один раз на стержень (один стык на этаж). ✔</t>
  </si>
  <si>
    <t xml:space="preserve">Доп. стержни «по 4Ø16 L=1600» Дм-3 у +3.950</t>
  </si>
  <si>
    <t xml:space="preserve">Отнесены к 1 этажу (устанавливаются до бетонирования перекрытия +3.950); на 2 этаже их не считать. ⚠</t>
  </si>
  <si>
    <t xml:space="preserve">Короткие стержни сетки &lt; 300 мм</t>
  </si>
  <si>
    <t xml:space="preserve">Отрезки сетки в полосах 200–300 мм между проёмами (зона балок 4-4) не включены — там работает арматура балок.</t>
  </si>
  <si>
    <t xml:space="preserve">УЧТЕНО (чек-лист)</t>
  </si>
  <si>
    <t xml:space="preserve">☑ нижняя арматура</t>
  </si>
  <si>
    <t xml:space="preserve">сетка плиты низ X и Y, доп. нижние зоны АС-50, нижние стержни балок</t>
  </si>
  <si>
    <t xml:space="preserve">☑ верхняя</t>
  </si>
  <si>
    <t xml:space="preserve">сетка верх X и Y, доп. верхние зоны АС-51 (в т.ч. Ø12), верхние стержни балок, 1Ø20 L=3000</t>
  </si>
  <si>
    <t xml:space="preserve">☑ направление X / Y</t>
  </si>
  <si>
    <t xml:space="preserve">каждая сетка — отдельными строками по X и по Y</t>
  </si>
  <si>
    <t xml:space="preserve">☑ дополнительные зоны</t>
  </si>
  <si>
    <t xml:space="preserve">16 зон верх, 5 зон низ — число стержней по штриховке (шаг 200)</t>
  </si>
  <si>
    <t xml:space="preserve">☑ проёмы</t>
  </si>
  <si>
    <t xml:space="preserve">проёмы лестницы/лифта О1…О4 вычтены из сетки; обрамление — балки 2-2, 4-4, 5-5</t>
  </si>
  <si>
    <t xml:space="preserve">☑ выпуски</t>
  </si>
  <si>
    <t xml:space="preserve">выпуски вертикалей Дм (в длине 4,0 м); выпуски для лестниц/ЛРМ (АС-55 прим.10) — не детализированы в проекте</t>
  </si>
  <si>
    <t xml:space="preserve">☑ нахлёсты</t>
  </si>
  <si>
    <t xml:space="preserve">только при длине &gt;11,7 м (Ø10: 400, Ø14: 560 мм); Ø18 Дм — 8d</t>
  </si>
  <si>
    <t xml:space="preserve">☑ анкеровка</t>
  </si>
  <si>
    <t xml:space="preserve">балки — до наружной грани ригеля (узел «1», 425 мм); горизонтали Дм — до торцов (П-стержни поз.14)</t>
  </si>
  <si>
    <t xml:space="preserve">☑ хомуты</t>
  </si>
  <si>
    <t xml:space="preserve">колонны Дм (поз.10, 11), торцевые элементы Дм (12*, 15/15*), балки (поз.10–13 АС-58) по зонам шага</t>
  </si>
  <si>
    <t xml:space="preserve">☑ шпильки</t>
  </si>
  <si>
    <t xml:space="preserve">Дм поз.13 ш.400 шахм.; плита Ø8 ш.800 шахм. (длина принята)</t>
  </si>
  <si>
    <t xml:space="preserve">☑ углы</t>
  </si>
  <si>
    <t xml:space="preserve">угловые Г-стержни Ø18 L=1200 (узлы Б, В, Г)</t>
  </si>
  <si>
    <t xml:space="preserve">☑ пересечения</t>
  </si>
  <si>
    <t xml:space="preserve">сгущение хомутов 100×3 у пересечений балок (узел «Д»)</t>
  </si>
  <si>
    <t xml:space="preserve">☑ защитный слой</t>
  </si>
  <si>
    <t xml:space="preserve">20 мм (сетки), 25 мм торцы; хомуты — по ведомости деталей</t>
  </si>
  <si>
    <t xml:space="preserve">☑ повторяющиеся элементы</t>
  </si>
  <si>
    <t xml:space="preserve">Дм-1…Дм-5 — все разные, считались индивидуально по 1 шт.; С-1 — 20 узлов</t>
  </si>
  <si>
    <t xml:space="preserve">☑ двойной учёт проверен</t>
  </si>
  <si>
    <t xml:space="preserve">см. блок выше</t>
  </si>
  <si>
    <t xml:space="preserve">☒ лестница ЛВ-1</t>
  </si>
  <si>
    <t xml:space="preserve">Не обнаружено в предоставленных чертежах</t>
  </si>
  <si>
    <t xml:space="preserve">☒ спецификация/ведомость расхода стали</t>
  </si>
  <si>
    <t xml:space="preserve">Не обнаружено в предоставленных чертежах — сравнение невозможно</t>
  </si>
  <si>
    <t xml:space="preserve">СОМНИТЕЛЬНЫЕ МЕСТА / ТРЕБУЕТ ПРОВЕРКИ</t>
  </si>
  <si>
    <t xml:space="preserve">1. Симметричные стержни Дм (АС-34…41, сечения 1-1)</t>
  </si>
  <si>
    <t xml:space="preserve">Выносками подписана только одна грань (напр. «6Ø28» на 6 из 11 стержней торцевого элемента). Симметричные стержни без выноски УЧТЕНЫ по тому же диаметру. Если проектировщик имел в виду иное — масса меньше на ≈1 621 кг (Ø28 −49 шт, Ø25 −18, Ø22 −18, Ø20 −15, Ø18 −4).</t>
  </si>
  <si>
    <t xml:space="preserve">2. ОБНАРУЖЕНО ПРОТИВОРЕЧИЕ: поз.12* Дм</t>
  </si>
  <si>
    <t xml:space="preserve">лист АС-34…41 (сечения) показывает «12* хом.Ø10 А240»; лист АС-42 (ведомость деталей) — «12,(12*) Хомут Ø8 А240 L=1560». Принято Ø10 по сечению. Требуется уточнение.</t>
  </si>
  <si>
    <t xml:space="preserve">3. ОБНАРУЖЕНО ПРОТИВОРЕЧИЕ: масса С-1</t>
  </si>
  <si>
    <t xml:space="preserve">лист АС-30 указывает «вес 4,22 кг»; по геометрии 7Ø10 × 0,57 м = 3,99 м × 0,617 = 2,46 кг. Принято по геометрии. При массе 4,22 кг итог С-1 был бы 1 013 кг вместо 591 кг.</t>
  </si>
  <si>
    <t xml:space="preserve">4. Количество С-1</t>
  </si>
  <si>
    <t xml:space="preserve">«установить попарно шаг 90» в узле высотой 630 (зона 500 мм между верхними и нижними стержнями ригеля) → 6 ярусов × 2 = 12 шт/узел; на чертеже узла условно показано 5 линий (→10 шт). Узлов на +3.950 — 20 (все колонны сетки 5×4, вкл. 5 колонн в Дм; на узлах «5» и «7» выноски С-1 нет, но изображение то же).</t>
  </si>
  <si>
    <t xml:space="preserve">5. Горизонтальные стержни Дм</t>
  </si>
  <si>
    <t xml:space="preserve">Длина в проекте не указана — принята = длина стены по наружным граням − 2×25 мм (совпадает с L доп. стержней тех же стен 1950/1250/1450). Ряды — по цепочке «200x16+100» (18 рядов), в зоне ригеля 600 мм не ставятся.</t>
  </si>
  <si>
    <t xml:space="preserve">6. Шпильки Дм поз.13 «ш.400 в шахм. порядке»</t>
  </si>
  <si>
    <t xml:space="preserve">Принято: показанные на сечении места × 9 рядов (каждый 2-й горизонтальный ряд). Шпильки внутри торцевых элементов отнесены к поз.13.</t>
  </si>
  <si>
    <t xml:space="preserve">7. Фиксаторы Ф-1 и шпильки плиты</t>
  </si>
  <si>
    <t xml:space="preserve">Длины в проекте не указаны: приняты 0,42 м (Ф-1 Ø10) и 0,22 м (шп. Ø8); количество — площадь / 0,64 м² (сетка 800×800). Уточнить у проектировщика/по ППР.</t>
  </si>
  <si>
    <t xml:space="preserve">8. Угловые Ø18 L=1200 (узлы Б, В, Г)</t>
  </si>
  <si>
    <t xml:space="preserve">Узлы обозначены на плане выборочно; принято по всем аналогичным местам: Б — 11, Г — 8 (по 2 стержня), В — 1 (4 стержня) = 42 шт.</t>
  </si>
  <si>
    <t xml:space="preserve">9. Полоса 200 мм между проёмами О2/О3 (АС-47)</t>
  </si>
  <si>
    <t xml:space="preserve">Сечение не указано — принята балка 4-4 (200×300, 2Ø20+2Ø20).</t>
  </si>
  <si>
    <t xml:space="preserve">10. Балка 4-4 под ригелем В (оси 3–4, Y≈12 965)</t>
  </si>
  <si>
    <t xml:space="preserve">Принята по плану АС-47 (сечение 4-4), длина 3400 + анкеровка.</t>
  </si>
  <si>
    <t xml:space="preserve">11. Привязка контура плиты</t>
  </si>
  <si>
    <t xml:space="preserve">Края: по оси Г — +450 (до X=20 300), далее +300; по оси 5 — +450; по осям 1 и А — по грани ригеля (225 мм). Низ проёмов О2/О4 и верх эркера Э2 — В+200 (по размеру 425 на АС-47).</t>
  </si>
  <si>
    <t xml:space="preserve">12. Лестница ЛВ-1</t>
  </si>
  <si>
    <t xml:space="preserve">Листов КЖ лестницы в PDF нет (на АС-59 лестница показана только в плане). Подсчёт не выполнен — нужен лист с ЛВ-1 и ведомостью.</t>
  </si>
  <si>
    <t xml:space="preserve">13. Стр. 1 PDF (лист АС-18)</t>
  </si>
  <si>
    <t xml:space="preserve">Относится к другому объекту (адм. здание, ул. Турусбекова–Пушкина) — не использовался.</t>
  </si>
  <si>
    <t xml:space="preserve">14. Отметка «1 этаж» для плиты</t>
  </si>
  <si>
    <t xml:space="preserve">Принята плита +3.950 (перекрытие над 1 этажом), как в вашем примере «1 этаж — на отм. +2,950». Плита -0.050 (над подвалом) имеет своё армирование (АС-43…46) и сюда НЕ включена.</t>
  </si>
  <si>
    <t xml:space="preserve">15. Отсутствующие листы</t>
  </si>
  <si>
    <t xml:space="preserve">В PDF нет АС-44, АС-49, АС-53 (вероятно сечения/спецификации перекрытий) — при наличии сверить.</t>
  </si>
  <si>
    <t xml:space="preserve">16. Сечение колонн на 1 этаже</t>
  </si>
  <si>
    <t xml:space="preserve">На рамах АС-20…23 сечение «1-1 (4Ø32+8Ø20)» подписано в подвале, «2-2 (4Ø28+8Ø20)» — со 2 этажа; на 1 этаже подписи нет. Принято 1-1 (как у Дм: «Подвал, 1 этаж»). Если на 1 этаже 2-2 — Ø32 меняется на Ø28 (−354 кг Ø32, +271 кг Ø28).</t>
  </si>
  <si>
    <t xml:space="preserve">17. Длины ОС ригелей</t>
  </si>
  <si>
    <t xml:space="preserve">Сняты с чертежа по выноскам и цепочке «Привязка отдельных стержней» с округлением до 100 мм; у торцов рам стержень доведён до наружной грани колонны (+250 мм от оси, защитный слой 50).</t>
  </si>
  <si>
    <t xml:space="preserve">18. «ств.» в выносках ОС</t>
  </si>
  <si>
    <t xml:space="preserve">Например «2Ø25 + 2Ø22 ств.» — принято как 2 дополнительных стержня второго ряда той же длины.</t>
  </si>
  <si>
    <t xml:space="preserve">19. Зоны хомутов Ø10 (штриховка «100×15»)</t>
  </si>
  <si>
    <t xml:space="preserve">Границы одинарной/двойной штриховки сняты с чертежа рам по масштабу (±100 мм). На раме В двойные хомуты по всей длине между осями 2 и 4, на раме 2 — между Б и В.</t>
  </si>
  <si>
    <t xml:space="preserve">20. Шпильки ригелей</t>
  </si>
  <si>
    <t xml:space="preserve">Поз.17 «ш.200 у опор и ш.150 в пролёте» — принято буквально; горизонтальная шпилька «шп.Ø8 ш.300» без номера — принята поз.16 (L=580).</t>
  </si>
  <si>
    <t xml:space="preserve">21. Анкерные шайбы Аш</t>
  </si>
  <si>
    <t xml:space="preserve">Посчитаны по правилу Б-Б АС-31 «Аш-… свыше Ø20»: концы 4Ø28 и ОС Ø&gt;20 у торцов рам. Аш балок плиты (узел «1» АС-57) не считались.</t>
  </si>
  <si>
    <t xml:space="preserve">22. Рама «1, 5»</t>
  </si>
  <si>
    <t xml:space="preserve">Лист АС-24 — одна рама на две оси; посчитана ×2.</t>
  </si>
  <si>
    <t xml:space="preserve">ФИНАЛЬНЫЙ АУДИТ</t>
  </si>
  <si>
    <t xml:space="preserve">Все листы по конструкциям просмотрены?</t>
  </si>
  <si>
    <t xml:space="preserve">Да: Дм — АС-19, 28, 32, 34–42; колонны и ригели — АС-19…33; плита — АС-47, 50, 51, 55–58; С-1 — АС-29–31. ЛВ-1 — листов нет.</t>
  </si>
  <si>
    <t xml:space="preserve">Стержни «4 подписано, а их 8»?</t>
  </si>
  <si>
    <t xml:space="preserve">Да — проверено по каждому сечению Дм, симметричные добавлены (п.1 сомнительных мест).</t>
  </si>
  <si>
    <t xml:space="preserve">Оба направления, верх и низ сетки?</t>
  </si>
  <si>
    <t xml:space="preserve">Да — 4 группы строк (низ X, низ Y, верх X, верх Y).</t>
  </si>
  <si>
    <t xml:space="preserve">Доп. сетки?</t>
  </si>
  <si>
    <t xml:space="preserve">Да — 21 зона по АС-50/51 + 4 доп. Ø20 по АС-47.</t>
  </si>
  <si>
    <t xml:space="preserve">Нахлёсты только где нужны?</t>
  </si>
  <si>
    <t xml:space="preserve">Да — Ø10/Ø14 &gt;11,7 м; Ø≥20 встык; Ø18 Дм — 8d.</t>
  </si>
  <si>
    <t xml:space="preserve">Повторяющиеся элементы?</t>
  </si>
  <si>
    <t xml:space="preserve">Дм-1…5 по 1 шт.; колонн 1-1 — 15 (3+5+5+2 по буквенным осям); рам — 9 (А, Б, В, Г, 1, 2, 3, 4, 5; лист «1, 5» ×2); узлов С-1 — 20.</t>
  </si>
  <si>
    <t xml:space="preserve">Перевод м → кг?</t>
  </si>
  <si>
    <t xml:space="preserve">Формулой «Общая длина × кг/м» по таблице ГОСТ 34028 (лист «Исходные»); контроль на листах «1 этаж» и «потребность» (разница с ведомостью = 0).</t>
  </si>
  <si>
    <t xml:space="preserve">СРАВНЕНИЕ СО СПЕЦИФИКАЦИЕЙ (п.28)</t>
  </si>
  <si>
    <t xml:space="preserve">Мой расчёт, кг</t>
  </si>
  <si>
    <t xml:space="preserve">Проект (ведомость расхода стали), кг</t>
  </si>
  <si>
    <t xml:space="preserve">в предоставленных листах отсутствует — сравнение не выполнено</t>
  </si>
  <si>
    <t xml:space="preserve">РАСШИФРОВКА ХОМУТОВ БАЛОК (по пролётам)</t>
  </si>
  <si>
    <t xml:space="preserve">Балка / сечение</t>
  </si>
  <si>
    <t xml:space="preserve">Чистый пролёт, мм | зона 100 у опор | пересечений | хомутов, шт</t>
  </si>
  <si>
    <t xml:space="preserve">VB1 (1-1)</t>
  </si>
  <si>
    <t xml:space="preserve">6050 | 1000 (10×100) | 1 | 42</t>
  </si>
  <si>
    <t xml:space="preserve">6550 | 1000 (10×100) | 1 | 46</t>
  </si>
  <si>
    <t xml:space="preserve">VB2 (1-1)</t>
  </si>
  <si>
    <t xml:space="preserve">VB4 (1-1)</t>
  </si>
  <si>
    <t xml:space="preserve">VB3 (1-1)</t>
  </si>
  <si>
    <t xml:space="preserve">HB1 (1-1)</t>
  </si>
  <si>
    <t xml:space="preserve">6050 | 1000 (10×100) | 1 | 43</t>
  </si>
  <si>
    <t xml:space="preserve">4550 | 700 (7×100) | 1 | 32</t>
  </si>
  <si>
    <t xml:space="preserve">HB2 (1-1)</t>
  </si>
  <si>
    <t xml:space="preserve">HB3a (1-1)</t>
  </si>
  <si>
    <t xml:space="preserve">HB3b (5-5)</t>
  </si>
  <si>
    <t xml:space="preserve">6050 | 1000 (10×100) | 3 | 44</t>
  </si>
  <si>
    <t xml:space="preserve">HB3b (1-1)</t>
  </si>
  <si>
    <t xml:space="preserve">B2a (2-2)</t>
  </si>
  <si>
    <t xml:space="preserve">3085 | 700 (7×100) | 0 | 23</t>
  </si>
  <si>
    <t xml:space="preserve">B2b (2-2)</t>
  </si>
  <si>
    <t xml:space="preserve">2665 | 700 (7×100) | 0 | 21</t>
  </si>
  <si>
    <t xml:space="preserve">B4a (4-4)</t>
  </si>
  <si>
    <t xml:space="preserve">2600 | 700 (7×100) | 0 | 20</t>
  </si>
  <si>
    <t xml:space="preserve">B4b (4-4)</t>
  </si>
  <si>
    <t xml:space="preserve">B4c (4-4)</t>
  </si>
  <si>
    <t xml:space="preserve">3400 | 700 (7×100) | 0 | 24</t>
  </si>
  <si>
    <t xml:space="preserve">B4d (4-4)</t>
  </si>
  <si>
    <t xml:space="preserve">2625 | 700 (7×100) | 0 | 21</t>
  </si>
  <si>
    <t xml:space="preserve">Э1 (3-3)</t>
  </si>
  <si>
    <t xml:space="preserve">1475 | 700 (7×100) | 0 | 16</t>
  </si>
  <si>
    <t xml:space="preserve">3700 | 700 (7×100) | 0 | 26</t>
  </si>
  <si>
    <t xml:space="preserve">Э2 (3-3)</t>
  </si>
  <si>
    <t xml:space="preserve">Э3 (3-3)</t>
  </si>
  <si>
    <t xml:space="preserve">3325 | 700 (7×100) | 0 | 24</t>
  </si>
  <si>
    <t xml:space="preserve">Э4 (3-3)</t>
  </si>
  <si>
    <t xml:space="preserve">3625 | 700 (7×100) | 0 | 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</si>
</sst>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;\-0.0;\–"/>
    <numFmt numFmtId="166" formatCode="0;\-0;\–"/>
    <numFmt numFmtId="167" formatCode="0.0%"/>
    <numFmt numFmtId="168" formatCode="0.000"/>
    <numFmt numFmtId="169" formatCode="0.0"/>
    <numFmt numFmtId="170" formatCode="0.00"/>
    <numFmt numFmtId="171" formatCode="0;\-0;&quot;&quot;"/>
    <numFmt numFmtId="172" formatCode="0"/>
    <numFmt numFmtId="173" formatCode="0.0;\-0.0;&quot;&quot;"/>
    <numFmt numFmtId="174" formatCode="0.00;\-0.00;&quot;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6CCFF"/>
        <bgColor rgb="FF93DBFF"/>
      </patternFill>
    </fill>
    <fill>
      <patternFill patternType="solid">
        <fgColor rgb="FF93DBFF"/>
        <bgColor rgb="FFBDE9FF"/>
      </patternFill>
    </fill>
    <fill>
      <patternFill patternType="solid">
        <fgColor rgb="FFBDE9FF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66CCFF"/>
          <bgColor rgb="FF000000"/>
        </patternFill>
      </fill>
    </dxf>
    <dxf>
      <fill>
        <patternFill patternType="solid">
          <fgColor rgb="FF93DB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BDE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3DBFF"/>
      <rgbColor rgb="FFFF99CC"/>
      <rgbColor rgb="FFCC99FF"/>
      <rgbColor rgb="FFFFCC99"/>
      <rgbColor rgb="FF3366FF"/>
      <rgbColor rgb="FF66CCFF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6" min="5" style="0" width="13"/>
    <col collapsed="false" customWidth="true" hidden="false" outlineLevel="0" max="9" min="7" style="0" width="12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/>
      <c r="F3" s="4"/>
      <c r="G3" s="4" t="s">
        <v>5</v>
      </c>
      <c r="H3" s="4" t="s">
        <v>6</v>
      </c>
      <c r="I3" s="4"/>
      <c r="J3" s="4"/>
    </row>
    <row r="4" customFormat="false" ht="48" hidden="false" customHeight="true" outlineLevel="0" collapsed="false">
      <c r="A4" s="4"/>
      <c r="B4" s="4"/>
      <c r="C4" s="4" t="s">
        <v>7</v>
      </c>
      <c r="D4" s="4" t="s">
        <v>8</v>
      </c>
      <c r="E4" s="4" t="s">
        <v>9</v>
      </c>
      <c r="F4" s="4" t="s">
        <v>10</v>
      </c>
      <c r="G4" s="4"/>
      <c r="H4" s="4" t="s">
        <v>11</v>
      </c>
      <c r="I4" s="4" t="s">
        <v>12</v>
      </c>
      <c r="J4" s="4" t="s">
        <v>13</v>
      </c>
    </row>
    <row r="5" customFormat="false" ht="15" hidden="false" customHeight="false" outlineLevel="0" collapsed="false">
      <c r="A5" s="5" t="s">
        <v>14</v>
      </c>
      <c r="B5" s="6" t="s">
        <v>15</v>
      </c>
      <c r="C5" s="7" t="n">
        <f aca="false">'1 этаж'!AI8</f>
        <v>2020.16</v>
      </c>
      <c r="D5" s="7" t="n">
        <f aca="false">'1 этаж'!AL8</f>
        <v>643.2947</v>
      </c>
      <c r="E5" s="7" t="n">
        <f aca="false">'1 этаж'!AO8</f>
        <v>0</v>
      </c>
      <c r="F5" s="7" t="n">
        <f aca="false">'1 этаж'!AR8</f>
        <v>0</v>
      </c>
      <c r="G5" s="8" t="n">
        <f aca="false">SUM(C5:F5)</f>
        <v>2663.4547</v>
      </c>
      <c r="H5" s="9" t="n">
        <f aca="false">'Раскрой 11,7м'!F189</f>
        <v>44</v>
      </c>
      <c r="I5" s="7" t="n">
        <f aca="false">'Раскрой 11,7м'!I189</f>
        <v>3249.9324</v>
      </c>
      <c r="J5" s="10" t="n">
        <f aca="false">'Раскрой 11,7м'!L189</f>
        <v>0.18045843045843</v>
      </c>
    </row>
    <row r="6" customFormat="false" ht="15" hidden="false" customHeight="false" outlineLevel="0" collapsed="false">
      <c r="A6" s="5" t="s">
        <v>16</v>
      </c>
      <c r="B6" s="6" t="s">
        <v>15</v>
      </c>
      <c r="C6" s="7" t="n">
        <f aca="false">'1 этаж'!AI9</f>
        <v>2010.944</v>
      </c>
      <c r="D6" s="7" t="n">
        <f aca="false">'1 этаж'!AL9</f>
        <v>4612.1194</v>
      </c>
      <c r="E6" s="7" t="n">
        <f aca="false">'1 этаж'!AO9</f>
        <v>0</v>
      </c>
      <c r="F6" s="7" t="n">
        <f aca="false">'1 этаж'!AR9</f>
        <v>0</v>
      </c>
      <c r="G6" s="8" t="n">
        <f aca="false">SUM(C6:F6)</f>
        <v>6623.0634</v>
      </c>
      <c r="H6" s="9" t="n">
        <f aca="false">'Раскрой 11,7м'!F190</f>
        <v>132</v>
      </c>
      <c r="I6" s="7" t="n">
        <f aca="false">'Раскрой 11,7м'!I190</f>
        <v>7465.6296</v>
      </c>
      <c r="J6" s="10" t="n">
        <f aca="false">'Раскрой 11,7м'!L190</f>
        <v>0.112859362859363</v>
      </c>
    </row>
    <row r="7" customFormat="false" ht="15" hidden="false" customHeight="false" outlineLevel="0" collapsed="false">
      <c r="A7" s="5" t="s">
        <v>17</v>
      </c>
      <c r="B7" s="6" t="s">
        <v>15</v>
      </c>
      <c r="C7" s="7" t="n">
        <f aca="false">'1 этаж'!AI10</f>
        <v>554.832</v>
      </c>
      <c r="D7" s="7" t="n">
        <f aca="false">'1 этаж'!AL10</f>
        <v>2915.1798</v>
      </c>
      <c r="E7" s="7" t="n">
        <f aca="false">'1 этаж'!AO10</f>
        <v>0</v>
      </c>
      <c r="F7" s="7" t="n">
        <f aca="false">'1 этаж'!AR10</f>
        <v>0</v>
      </c>
      <c r="G7" s="8" t="n">
        <f aca="false">SUM(C7:F7)</f>
        <v>3470.0118</v>
      </c>
      <c r="H7" s="9" t="n">
        <f aca="false">'Раскрой 11,7м'!F191</f>
        <v>81</v>
      </c>
      <c r="I7" s="7" t="n">
        <f aca="false">'Раскрой 11,7м'!I191</f>
        <v>3651.4881</v>
      </c>
      <c r="J7" s="10" t="n">
        <f aca="false">'Раскрой 11,7м'!L191</f>
        <v>0.0496992719214941</v>
      </c>
    </row>
    <row r="8" customFormat="false" ht="15" hidden="false" customHeight="false" outlineLevel="0" collapsed="false">
      <c r="A8" s="5" t="s">
        <v>18</v>
      </c>
      <c r="B8" s="6" t="s">
        <v>15</v>
      </c>
      <c r="C8" s="7" t="n">
        <f aca="false">'1 этаж'!AI11</f>
        <v>468.488</v>
      </c>
      <c r="D8" s="7" t="n">
        <f aca="false">'1 этаж'!AL11</f>
        <v>644.8424</v>
      </c>
      <c r="E8" s="7" t="n">
        <f aca="false">'1 этаж'!AO11</f>
        <v>0</v>
      </c>
      <c r="F8" s="7" t="n">
        <f aca="false">'1 этаж'!AR11</f>
        <v>0</v>
      </c>
      <c r="G8" s="8" t="n">
        <f aca="false">SUM(C8:F8)</f>
        <v>1113.3304</v>
      </c>
      <c r="H8" s="9" t="n">
        <f aca="false">'Раскрой 11,7м'!F192</f>
        <v>35</v>
      </c>
      <c r="I8" s="7" t="n">
        <f aca="false">'Раскрой 11,7м'!I192</f>
        <v>1221.948</v>
      </c>
      <c r="J8" s="10" t="n">
        <f aca="false">'Раскрой 11,7м'!L192</f>
        <v>0.0888888888888889</v>
      </c>
    </row>
    <row r="9" customFormat="false" ht="15" hidden="false" customHeight="false" outlineLevel="0" collapsed="false">
      <c r="A9" s="5" t="s">
        <v>19</v>
      </c>
      <c r="B9" s="6" t="s">
        <v>15</v>
      </c>
      <c r="C9" s="7" t="n">
        <f aca="false">'1 этаж'!AI12</f>
        <v>1732.8582</v>
      </c>
      <c r="D9" s="7" t="n">
        <f aca="false">'1 этаж'!AL12</f>
        <v>205.02324</v>
      </c>
      <c r="E9" s="7" t="n">
        <f aca="false">'1 этаж'!AO12</f>
        <v>0</v>
      </c>
      <c r="F9" s="7" t="n">
        <f aca="false">'1 этаж'!AR12</f>
        <v>0</v>
      </c>
      <c r="G9" s="8" t="n">
        <f aca="false">SUM(C9:F9)</f>
        <v>1937.88144</v>
      </c>
      <c r="H9" s="9" t="n">
        <f aca="false">'Раскрой 11,7м'!F193</f>
        <v>87</v>
      </c>
      <c r="I9" s="7" t="n">
        <f aca="false">'Раскрой 11,7м'!I193</f>
        <v>2510.1414</v>
      </c>
      <c r="J9" s="10" t="n">
        <f aca="false">'Раскрой 11,7м'!L193</f>
        <v>0.227979172806759</v>
      </c>
    </row>
    <row r="10" customFormat="false" ht="15" hidden="false" customHeight="false" outlineLevel="0" collapsed="false">
      <c r="A10" s="5" t="s">
        <v>20</v>
      </c>
      <c r="B10" s="6" t="s">
        <v>15</v>
      </c>
      <c r="C10" s="7" t="n">
        <f aca="false">'1 этаж'!AI13</f>
        <v>280.99872</v>
      </c>
      <c r="D10" s="7" t="n">
        <f aca="false">'1 этаж'!AL13</f>
        <v>925.361712</v>
      </c>
      <c r="E10" s="7" t="n">
        <f aca="false">'1 этаж'!AO13</f>
        <v>0</v>
      </c>
      <c r="F10" s="7" t="n">
        <f aca="false">'1 этаж'!AR13</f>
        <v>0</v>
      </c>
      <c r="G10" s="8" t="n">
        <f aca="false">SUM(C10:F10)</f>
        <v>1206.360432</v>
      </c>
      <c r="H10" s="9" t="n">
        <f aca="false">'Раскрой 11,7м'!F194</f>
        <v>53</v>
      </c>
      <c r="I10" s="7" t="n">
        <f aca="false">'Раскрой 11,7м'!I194</f>
        <v>1238.9598</v>
      </c>
      <c r="J10" s="10" t="n">
        <f aca="false">'Раскрой 11,7м'!L194</f>
        <v>0.0263118851798096</v>
      </c>
    </row>
    <row r="11" customFormat="false" ht="15" hidden="false" customHeight="false" outlineLevel="0" collapsed="false">
      <c r="A11" s="5" t="s">
        <v>21</v>
      </c>
      <c r="B11" s="6" t="s">
        <v>15</v>
      </c>
      <c r="C11" s="7" t="n">
        <f aca="false">'1 этаж'!AI14</f>
        <v>693.3732</v>
      </c>
      <c r="D11" s="7" t="n">
        <f aca="false">'1 этаж'!AL14</f>
        <v>845.220984</v>
      </c>
      <c r="E11" s="7" t="n">
        <f aca="false">'1 этаж'!AO14</f>
        <v>0</v>
      </c>
      <c r="F11" s="7" t="n">
        <f aca="false">'1 этаж'!AR14</f>
        <v>0</v>
      </c>
      <c r="G11" s="8" t="n">
        <f aca="false">SUM(C11:F11)</f>
        <v>1538.594184</v>
      </c>
      <c r="H11" s="9" t="n">
        <f aca="false">'Раскрой 11,7м'!F195</f>
        <v>85</v>
      </c>
      <c r="I11" s="7" t="n">
        <f aca="false">'Раскрой 11,7м'!I195</f>
        <v>1569.321</v>
      </c>
      <c r="J11" s="10" t="n">
        <f aca="false">'Раскрой 11,7м'!L195</f>
        <v>0.0195796882855706</v>
      </c>
    </row>
    <row r="12" customFormat="false" ht="15" hidden="false" customHeight="false" outlineLevel="0" collapsed="false">
      <c r="A12" s="5" t="s">
        <v>22</v>
      </c>
      <c r="B12" s="6" t="s">
        <v>15</v>
      </c>
      <c r="C12" s="7" t="n">
        <f aca="false">'1 этаж'!AI15</f>
        <v>73.5672</v>
      </c>
      <c r="D12" s="7" t="n">
        <f aca="false">'1 этаж'!AL15</f>
        <v>216.90848</v>
      </c>
      <c r="E12" s="7" t="n">
        <f aca="false">'1 этаж'!AO15</f>
        <v>0</v>
      </c>
      <c r="F12" s="7" t="n">
        <f aca="false">'1 этаж'!AR15</f>
        <v>0</v>
      </c>
      <c r="G12" s="8" t="n">
        <f aca="false">SUM(C12:F12)</f>
        <v>290.47568</v>
      </c>
      <c r="H12" s="9" t="n">
        <f aca="false">'Раскрой 11,7м'!F196</f>
        <v>21</v>
      </c>
      <c r="I12" s="7" t="n">
        <f aca="false">'Раскрой 11,7м'!I196</f>
        <v>296.8056</v>
      </c>
      <c r="J12" s="10" t="n">
        <f aca="false">'Раскрой 11,7м'!L196</f>
        <v>0.0213268213268214</v>
      </c>
    </row>
    <row r="13" customFormat="false" ht="15" hidden="false" customHeight="false" outlineLevel="0" collapsed="false">
      <c r="A13" s="5" t="s">
        <v>23</v>
      </c>
      <c r="B13" s="6" t="s">
        <v>15</v>
      </c>
      <c r="C13" s="7" t="n">
        <f aca="false">'1 этаж'!AI16</f>
        <v>0</v>
      </c>
      <c r="D13" s="7" t="n">
        <f aca="false">'1 этаж'!AL16</f>
        <v>215.059392</v>
      </c>
      <c r="E13" s="7" t="n">
        <f aca="false">'1 этаж'!AO16</f>
        <v>0</v>
      </c>
      <c r="F13" s="7" t="n">
        <f aca="false">'1 этаж'!AR16</f>
        <v>0</v>
      </c>
      <c r="G13" s="8" t="n">
        <f aca="false">SUM(C13:F13)</f>
        <v>215.059392</v>
      </c>
      <c r="H13" s="9" t="n">
        <f aca="false">'Раскрой 11,7м'!F197</f>
        <v>22</v>
      </c>
      <c r="I13" s="7" t="n">
        <f aca="false">'Раскрой 11,7м'!I197</f>
        <v>228.5712</v>
      </c>
      <c r="J13" s="10" t="n">
        <f aca="false">'Раскрой 11,7м'!L197</f>
        <v>0.059114219114219</v>
      </c>
    </row>
    <row r="14" customFormat="false" ht="15" hidden="false" customHeight="false" outlineLevel="0" collapsed="false">
      <c r="A14" s="5" t="s">
        <v>24</v>
      </c>
      <c r="B14" s="6" t="s">
        <v>15</v>
      </c>
      <c r="C14" s="7" t="n">
        <f aca="false">'1 этаж'!AI17</f>
        <v>7.5891</v>
      </c>
      <c r="D14" s="7" t="n">
        <f aca="false">'1 этаж'!AL17</f>
        <v>7425.63202</v>
      </c>
      <c r="E14" s="7" t="n">
        <f aca="false">'1 этаж'!AO17</f>
        <v>0</v>
      </c>
      <c r="F14" s="7" t="n">
        <f aca="false">'1 этаж'!AR17</f>
        <v>590.8392</v>
      </c>
      <c r="G14" s="8" t="n">
        <f aca="false">SUM(C14:F14)</f>
        <v>8024.06032</v>
      </c>
      <c r="H14" s="9" t="n">
        <f aca="false">'Раскрой 11,7м'!F198</f>
        <v>1121</v>
      </c>
      <c r="I14" s="7" t="n">
        <f aca="false">'Раскрой 11,7м'!I198</f>
        <v>8092.3869</v>
      </c>
      <c r="J14" s="10" t="n">
        <f aca="false">'Раскрой 11,7м'!L198</f>
        <v>0.00844331602583163</v>
      </c>
    </row>
    <row r="15" customFormat="false" ht="15" hidden="false" customHeight="false" outlineLevel="0" collapsed="false">
      <c r="A15" s="5" t="s">
        <v>25</v>
      </c>
      <c r="B15" s="6" t="s">
        <v>15</v>
      </c>
      <c r="C15" s="7" t="n">
        <f aca="false">'1 этаж'!AI18</f>
        <v>0</v>
      </c>
      <c r="D15" s="7" t="n">
        <f aca="false">'1 этаж'!AL18</f>
        <v>0</v>
      </c>
      <c r="E15" s="7" t="n">
        <f aca="false">'1 этаж'!AO18</f>
        <v>0</v>
      </c>
      <c r="F15" s="7" t="n">
        <f aca="false">'1 этаж'!AR18</f>
        <v>0</v>
      </c>
      <c r="G15" s="8" t="n">
        <f aca="false">SUM(C15:F15)</f>
        <v>0</v>
      </c>
      <c r="H15" s="9" t="n">
        <f aca="false">'Раскрой 11,7м'!F199</f>
        <v>0</v>
      </c>
      <c r="I15" s="7" t="n">
        <f aca="false">'Раскрой 11,7м'!I199</f>
        <v>0</v>
      </c>
      <c r="J15" s="10" t="n">
        <f aca="false">'Раскрой 11,7м'!L199</f>
        <v>0</v>
      </c>
    </row>
    <row r="16" customFormat="false" ht="15" hidden="false" customHeight="false" outlineLevel="0" collapsed="false">
      <c r="A16" s="5" t="s">
        <v>26</v>
      </c>
      <c r="B16" s="6" t="s">
        <v>15</v>
      </c>
      <c r="C16" s="7" t="n">
        <f aca="false">'1 этаж'!AI19</f>
        <v>0</v>
      </c>
      <c r="D16" s="7" t="n">
        <f aca="false">'1 этаж'!AL19</f>
        <v>0</v>
      </c>
      <c r="E16" s="7" t="n">
        <f aca="false">'1 этаж'!AO19</f>
        <v>0</v>
      </c>
      <c r="F16" s="7" t="n">
        <f aca="false">'1 этаж'!AR19</f>
        <v>0</v>
      </c>
      <c r="G16" s="8" t="n">
        <f aca="false">SUM(C16:F16)</f>
        <v>0</v>
      </c>
      <c r="H16" s="9" t="n">
        <f aca="false">'Раскрой 11,7м'!F200</f>
        <v>0</v>
      </c>
      <c r="I16" s="7" t="n">
        <f aca="false">'Раскрой 11,7м'!I200</f>
        <v>0</v>
      </c>
      <c r="J16" s="10" t="n">
        <f aca="false">'Раскрой 11,7м'!L200</f>
        <v>0</v>
      </c>
    </row>
    <row r="17" customFormat="false" ht="15" hidden="false" customHeight="false" outlineLevel="0" collapsed="false">
      <c r="A17" s="5" t="s">
        <v>27</v>
      </c>
      <c r="B17" s="6" t="s">
        <v>15</v>
      </c>
      <c r="C17" s="7" t="n">
        <f aca="false">'1 этаж'!AI20</f>
        <v>325.07262</v>
      </c>
      <c r="D17" s="7" t="n">
        <f aca="false">'1 этаж'!AL20</f>
        <v>1403.51458</v>
      </c>
      <c r="E17" s="7" t="n">
        <f aca="false">'1 этаж'!AO20</f>
        <v>0</v>
      </c>
      <c r="F17" s="7" t="n">
        <f aca="false">'1 этаж'!AR20</f>
        <v>0</v>
      </c>
      <c r="G17" s="8" t="n">
        <f aca="false">SUM(C17:F17)</f>
        <v>1728.5872</v>
      </c>
      <c r="H17" s="9" t="n">
        <f aca="false">'Раскрой 11,7м'!F201</f>
        <v>242</v>
      </c>
      <c r="I17" s="7" t="n">
        <f aca="false">'Раскрой 11,7м'!I201</f>
        <v>1746.9738</v>
      </c>
      <c r="J17" s="10" t="n">
        <f aca="false">'Раскрой 11,7м'!L201</f>
        <v>0.0105248287066468</v>
      </c>
    </row>
    <row r="18" customFormat="false" ht="15" hidden="false" customHeight="false" outlineLevel="0" collapsed="false">
      <c r="A18" s="5" t="s">
        <v>28</v>
      </c>
      <c r="B18" s="6" t="s">
        <v>15</v>
      </c>
      <c r="C18" s="7" t="n">
        <f aca="false">'1 этаж'!AI21</f>
        <v>1228.5606</v>
      </c>
      <c r="D18" s="7" t="n">
        <f aca="false">'1 этаж'!AL21</f>
        <v>1748.66895</v>
      </c>
      <c r="E18" s="7" t="n">
        <f aca="false">'1 этаж'!AO21</f>
        <v>0</v>
      </c>
      <c r="F18" s="7" t="n">
        <f aca="false">'1 этаж'!AR21</f>
        <v>0</v>
      </c>
      <c r="G18" s="8" t="n">
        <f aca="false">SUM(C18:F18)</f>
        <v>2977.22955</v>
      </c>
      <c r="H18" s="9" t="n">
        <f aca="false">'Раскрой 11,7м'!F202</f>
        <v>650</v>
      </c>
      <c r="I18" s="7" t="n">
        <f aca="false">'Раскрой 11,7м'!I202</f>
        <v>3003.975</v>
      </c>
      <c r="J18" s="10" t="n">
        <f aca="false">'Раскрой 11,7м'!L202</f>
        <v>0.00890335305719918</v>
      </c>
    </row>
    <row r="19" customFormat="false" ht="15" hidden="false" customHeight="false" outlineLevel="0" collapsed="false">
      <c r="A19" s="5" t="s">
        <v>29</v>
      </c>
      <c r="B19" s="6" t="s">
        <v>15</v>
      </c>
      <c r="C19" s="7" t="n">
        <f aca="false">'1 этаж'!AI22</f>
        <v>0</v>
      </c>
      <c r="D19" s="7" t="n">
        <f aca="false">'1 этаж'!AL22</f>
        <v>0</v>
      </c>
      <c r="E19" s="7" t="n">
        <f aca="false">'1 этаж'!AO22</f>
        <v>0</v>
      </c>
      <c r="F19" s="7" t="n">
        <f aca="false">'1 этаж'!AR22</f>
        <v>0</v>
      </c>
      <c r="G19" s="8" t="n">
        <f aca="false">SUM(C19:F19)</f>
        <v>0</v>
      </c>
      <c r="H19" s="9" t="n">
        <f aca="false">'Раскрой 11,7м'!F203</f>
        <v>0</v>
      </c>
      <c r="I19" s="7" t="n">
        <f aca="false">'Раскрой 11,7м'!I203</f>
        <v>0</v>
      </c>
      <c r="J19" s="10" t="n">
        <f aca="false">'Раскрой 11,7м'!L203</f>
        <v>0</v>
      </c>
    </row>
    <row r="20" customFormat="false" ht="15" hidden="false" customHeight="false" outlineLevel="0" collapsed="false">
      <c r="A20" s="11" t="s">
        <v>30</v>
      </c>
      <c r="B20" s="12" t="s">
        <v>15</v>
      </c>
      <c r="C20" s="8" t="n">
        <f aca="false">SUM(C5:C19)</f>
        <v>9396.44364</v>
      </c>
      <c r="D20" s="8" t="n">
        <f aca="false">SUM(D5:D19)</f>
        <v>21800.825658</v>
      </c>
      <c r="E20" s="8" t="n">
        <f aca="false">SUM(E5:E19)</f>
        <v>0</v>
      </c>
      <c r="F20" s="8" t="n">
        <f aca="false">SUM(F5:F19)</f>
        <v>590.8392</v>
      </c>
      <c r="G20" s="8" t="n">
        <f aca="false">SUM(G5:G19)</f>
        <v>31788.108498</v>
      </c>
      <c r="H20" s="13" t="n">
        <f aca="false">SUM(H5:H19)</f>
        <v>2573</v>
      </c>
      <c r="I20" s="8" t="n">
        <f aca="false">SUM(I5:I19)</f>
        <v>34276.1328</v>
      </c>
      <c r="J20" s="10" t="n">
        <f aca="false">'Раскрой 11,7м'!L204</f>
        <v>0.0725876608226935</v>
      </c>
    </row>
    <row r="21" customFormat="false" ht="15" hidden="false" customHeight="false" outlineLevel="0" collapsed="false">
      <c r="A21" s="11" t="s">
        <v>30</v>
      </c>
      <c r="B21" s="12" t="s">
        <v>31</v>
      </c>
      <c r="C21" s="14" t="n">
        <f aca="false">C20/1000</f>
        <v>9.39644364</v>
      </c>
      <c r="D21" s="14" t="n">
        <f aca="false">D20/1000</f>
        <v>21.800825658</v>
      </c>
      <c r="E21" s="14" t="n">
        <f aca="false">E20/1000</f>
        <v>0</v>
      </c>
      <c r="F21" s="14" t="n">
        <f aca="false">F20/1000</f>
        <v>0.5908392</v>
      </c>
      <c r="G21" s="14" t="n">
        <f aca="false">G20/1000</f>
        <v>31.788108498</v>
      </c>
      <c r="I21" s="14" t="n">
        <f aca="false">I20/1000</f>
        <v>34.2761328</v>
      </c>
    </row>
    <row r="22" customFormat="false" ht="15" hidden="false" customHeight="false" outlineLevel="0" collapsed="false">
      <c r="A22" s="15" t="s">
        <v>32</v>
      </c>
      <c r="G22" s="16" t="n">
        <f aca="false">ROUND(G20-'1 этаж'!AF23,1)</f>
        <v>0</v>
      </c>
      <c r="H22" s="17" t="s">
        <v>33</v>
      </c>
    </row>
    <row r="24" customFormat="false" ht="15" hidden="false" customHeight="false" outlineLevel="0" collapsed="false">
      <c r="A24" s="3" t="s">
        <v>34</v>
      </c>
      <c r="B24" s="3"/>
      <c r="C24" s="3"/>
      <c r="D24" s="3"/>
      <c r="E24" s="3"/>
      <c r="F24" s="3"/>
      <c r="G24" s="3"/>
    </row>
    <row r="25" customFormat="false" ht="15" hidden="false" customHeight="true" outlineLevel="0" collapsed="false">
      <c r="A25" s="4" t="s">
        <v>35</v>
      </c>
      <c r="B25" s="4" t="s">
        <v>3</v>
      </c>
      <c r="C25" s="4" t="s">
        <v>4</v>
      </c>
      <c r="D25" s="4"/>
      <c r="E25" s="4"/>
      <c r="F25" s="4"/>
      <c r="G25" s="4" t="s">
        <v>5</v>
      </c>
    </row>
    <row r="26" customFormat="false" ht="48" hidden="false" customHeight="true" outlineLevel="0" collapsed="false">
      <c r="A26" s="4"/>
      <c r="B26" s="4"/>
      <c r="C26" s="4" t="s">
        <v>7</v>
      </c>
      <c r="D26" s="4" t="s">
        <v>8</v>
      </c>
      <c r="E26" s="4" t="s">
        <v>9</v>
      </c>
      <c r="F26" s="4" t="s">
        <v>10</v>
      </c>
      <c r="G26" s="4"/>
    </row>
    <row r="27" customFormat="false" ht="15" hidden="false" customHeight="false" outlineLevel="0" collapsed="false">
      <c r="A27" s="5" t="s">
        <v>36</v>
      </c>
      <c r="B27" s="6" t="s">
        <v>37</v>
      </c>
      <c r="C27" s="18" t="n">
        <f aca="false">'1 этаж'!AI28</f>
        <v>43.9216</v>
      </c>
      <c r="D27" s="18" t="n">
        <f aca="false">'1 этаж'!AL28</f>
        <v>112.11321</v>
      </c>
      <c r="E27" s="18" t="n">
        <f aca="false">'1 этаж'!AO28</f>
        <v>0</v>
      </c>
      <c r="F27" s="18" t="n">
        <f aca="false">'1 этаж'!AR28</f>
        <v>0</v>
      </c>
      <c r="G27" s="19" t="n">
        <f aca="false">SUM(C27:F27)</f>
        <v>156.03481</v>
      </c>
    </row>
    <row r="28" customFormat="false" ht="15" hidden="false" customHeight="false" outlineLevel="0" collapsed="false">
      <c r="A28" s="11" t="s">
        <v>30</v>
      </c>
      <c r="B28" s="12" t="s">
        <v>37</v>
      </c>
      <c r="C28" s="19" t="n">
        <f aca="false">SUM(C27:C27)</f>
        <v>43.9216</v>
      </c>
      <c r="D28" s="19" t="n">
        <f aca="false">SUM(D27:D27)</f>
        <v>112.11321</v>
      </c>
      <c r="E28" s="19" t="n">
        <f aca="false">SUM(E27:E27)</f>
        <v>0</v>
      </c>
      <c r="F28" s="19" t="n">
        <f aca="false">SUM(F27:F27)</f>
        <v>0</v>
      </c>
      <c r="G28" s="19" t="n">
        <f aca="false">SUM(G27:G27)</f>
        <v>156.03481</v>
      </c>
    </row>
    <row r="30" customFormat="false" ht="15" hidden="false" customHeight="false" outlineLevel="0" collapsed="false">
      <c r="A30" s="3" t="s">
        <v>38</v>
      </c>
      <c r="B30" s="3"/>
      <c r="C30" s="3"/>
      <c r="D30" s="3"/>
      <c r="E30" s="3"/>
      <c r="F30" s="3"/>
      <c r="G30" s="3"/>
    </row>
    <row r="31" customFormat="false" ht="15" hidden="false" customHeight="true" outlineLevel="0" collapsed="false">
      <c r="A31" s="4" t="s">
        <v>39</v>
      </c>
      <c r="B31" s="4" t="s">
        <v>3</v>
      </c>
      <c r="C31" s="4" t="s">
        <v>4</v>
      </c>
      <c r="D31" s="4"/>
      <c r="E31" s="4"/>
      <c r="F31" s="4"/>
      <c r="G31" s="4" t="s">
        <v>5</v>
      </c>
    </row>
    <row r="32" customFormat="false" ht="48" hidden="false" customHeight="true" outlineLevel="0" collapsed="false">
      <c r="A32" s="4"/>
      <c r="B32" s="4"/>
      <c r="C32" s="4" t="s">
        <v>7</v>
      </c>
      <c r="D32" s="4" t="s">
        <v>8</v>
      </c>
      <c r="E32" s="4" t="s">
        <v>9</v>
      </c>
      <c r="F32" s="4" t="s">
        <v>10</v>
      </c>
      <c r="G32" s="4"/>
    </row>
    <row r="33" customFormat="false" ht="15" hidden="false" customHeight="false" outlineLevel="0" collapsed="false">
      <c r="A33" s="5" t="s">
        <v>40</v>
      </c>
      <c r="B33" s="6" t="s">
        <v>41</v>
      </c>
      <c r="C33" s="20" t="n">
        <f aca="false">'1 этаж'!AG32</f>
        <v>0</v>
      </c>
      <c r="D33" s="20" t="n">
        <f aca="false">'1 этаж'!AJ32</f>
        <v>0</v>
      </c>
      <c r="E33" s="20" t="n">
        <f aca="false">'1 этаж'!AM32</f>
        <v>0</v>
      </c>
      <c r="F33" s="20" t="n">
        <f aca="false">'1 этаж'!AP32</f>
        <v>0</v>
      </c>
      <c r="G33" s="21" t="n">
        <f aca="false">SUM(C33:F33)</f>
        <v>0</v>
      </c>
    </row>
    <row r="34" customFormat="false" ht="15" hidden="false" customHeight="false" outlineLevel="0" collapsed="false">
      <c r="A34" s="5" t="s">
        <v>42</v>
      </c>
      <c r="B34" s="6" t="s">
        <v>41</v>
      </c>
      <c r="C34" s="20" t="n">
        <f aca="false">'1 этаж'!AG33</f>
        <v>0</v>
      </c>
      <c r="D34" s="20" t="n">
        <f aca="false">'1 этаж'!AJ33</f>
        <v>0</v>
      </c>
      <c r="E34" s="20" t="n">
        <f aca="false">'1 этаж'!AM33</f>
        <v>0</v>
      </c>
      <c r="F34" s="20" t="n">
        <f aca="false">'1 этаж'!AP33</f>
        <v>0</v>
      </c>
      <c r="G34" s="21" t="n">
        <f aca="false">SUM(C34:F34)</f>
        <v>0</v>
      </c>
    </row>
    <row r="35" customFormat="false" ht="15" hidden="false" customHeight="false" outlineLevel="0" collapsed="false">
      <c r="A35" s="5" t="s">
        <v>43</v>
      </c>
      <c r="B35" s="6" t="s">
        <v>41</v>
      </c>
      <c r="C35" s="20" t="n">
        <f aca="false">'1 этаж'!AG34</f>
        <v>0</v>
      </c>
      <c r="D35" s="20" t="n">
        <f aca="false">'1 этаж'!AJ34</f>
        <v>0</v>
      </c>
      <c r="E35" s="20" t="n">
        <f aca="false">'1 этаж'!AM34</f>
        <v>0</v>
      </c>
      <c r="F35" s="20" t="n">
        <f aca="false">'1 этаж'!AP34</f>
        <v>0</v>
      </c>
      <c r="G35" s="21" t="n">
        <f aca="false">SUM(C35:F35)</f>
        <v>0</v>
      </c>
    </row>
    <row r="36" customFormat="false" ht="15" hidden="false" customHeight="false" outlineLevel="0" collapsed="false">
      <c r="A36" s="5" t="s">
        <v>44</v>
      </c>
      <c r="B36" s="6" t="s">
        <v>41</v>
      </c>
      <c r="C36" s="20" t="n">
        <f aca="false">'1 этаж'!AG35</f>
        <v>0</v>
      </c>
      <c r="D36" s="20" t="n">
        <f aca="false">'1 этаж'!AJ35</f>
        <v>0</v>
      </c>
      <c r="E36" s="20" t="n">
        <f aca="false">'1 этаж'!AM35</f>
        <v>0</v>
      </c>
      <c r="F36" s="20" t="n">
        <f aca="false">'1 этаж'!AP35</f>
        <v>0</v>
      </c>
      <c r="G36" s="21" t="n">
        <f aca="false">SUM(C36:F36)</f>
        <v>0</v>
      </c>
    </row>
    <row r="37" customFormat="false" ht="15" hidden="false" customHeight="false" outlineLevel="0" collapsed="false">
      <c r="A37" s="5" t="s">
        <v>45</v>
      </c>
      <c r="B37" s="6" t="s">
        <v>41</v>
      </c>
      <c r="C37" s="20" t="n">
        <f aca="false">'1 этаж'!AG36</f>
        <v>0</v>
      </c>
      <c r="D37" s="20" t="n">
        <f aca="false">'1 этаж'!AJ36</f>
        <v>2</v>
      </c>
      <c r="E37" s="20" t="n">
        <f aca="false">'1 этаж'!AM36</f>
        <v>0</v>
      </c>
      <c r="F37" s="20" t="n">
        <f aca="false">'1 этаж'!AP36</f>
        <v>0</v>
      </c>
      <c r="G37" s="21" t="n">
        <f aca="false">SUM(C37:F37)</f>
        <v>2</v>
      </c>
    </row>
    <row r="38" customFormat="false" ht="15" hidden="false" customHeight="false" outlineLevel="0" collapsed="false">
      <c r="A38" s="5" t="s">
        <v>46</v>
      </c>
      <c r="B38" s="6" t="s">
        <v>41</v>
      </c>
      <c r="C38" s="20" t="n">
        <f aca="false">'1 этаж'!AG37</f>
        <v>0</v>
      </c>
      <c r="D38" s="20" t="n">
        <f aca="false">'1 этаж'!AJ37</f>
        <v>16</v>
      </c>
      <c r="E38" s="20" t="n">
        <f aca="false">'1 этаж'!AM37</f>
        <v>0</v>
      </c>
      <c r="F38" s="20" t="n">
        <f aca="false">'1 этаж'!AP37</f>
        <v>0</v>
      </c>
      <c r="G38" s="21" t="n">
        <f aca="false">SUM(C38:F38)</f>
        <v>16</v>
      </c>
    </row>
    <row r="39" customFormat="false" ht="15" hidden="false" customHeight="false" outlineLevel="0" collapsed="false">
      <c r="A39" s="5" t="s">
        <v>47</v>
      </c>
      <c r="B39" s="6" t="s">
        <v>41</v>
      </c>
      <c r="C39" s="20" t="n">
        <f aca="false">'1 этаж'!AG38</f>
        <v>0</v>
      </c>
      <c r="D39" s="20" t="n">
        <f aca="false">'1 этаж'!AJ38</f>
        <v>86</v>
      </c>
      <c r="E39" s="20" t="n">
        <f aca="false">'1 этаж'!AM38</f>
        <v>0</v>
      </c>
      <c r="F39" s="20" t="n">
        <f aca="false">'1 этаж'!AP38</f>
        <v>0</v>
      </c>
      <c r="G39" s="21" t="n">
        <f aca="false">SUM(C39:F39)</f>
        <v>86</v>
      </c>
    </row>
    <row r="40" customFormat="false" ht="15" hidden="false" customHeight="false" outlineLevel="0" collapsed="false">
      <c r="A40" s="5" t="s">
        <v>48</v>
      </c>
      <c r="B40" s="6" t="s">
        <v>41</v>
      </c>
      <c r="C40" s="20" t="n">
        <f aca="false">'1 этаж'!AG39</f>
        <v>0</v>
      </c>
      <c r="D40" s="20" t="n">
        <f aca="false">'1 этаж'!AJ39</f>
        <v>6</v>
      </c>
      <c r="E40" s="20" t="n">
        <f aca="false">'1 этаж'!AM39</f>
        <v>0</v>
      </c>
      <c r="F40" s="20" t="n">
        <f aca="false">'1 этаж'!AP39</f>
        <v>0</v>
      </c>
      <c r="G40" s="21" t="n">
        <f aca="false">SUM(C40:F40)</f>
        <v>6</v>
      </c>
    </row>
    <row r="41" customFormat="false" ht="15" hidden="false" customHeight="false" outlineLevel="0" collapsed="false">
      <c r="A41" s="5" t="s">
        <v>49</v>
      </c>
      <c r="B41" s="6" t="s">
        <v>41</v>
      </c>
      <c r="C41" s="20" t="n">
        <f aca="false">'1 этаж'!AG40</f>
        <v>80</v>
      </c>
      <c r="D41" s="20" t="n">
        <f aca="false">'1 этаж'!AJ40</f>
        <v>0</v>
      </c>
      <c r="E41" s="20" t="n">
        <f aca="false">'1 этаж'!AM40</f>
        <v>0</v>
      </c>
      <c r="F41" s="20" t="n">
        <f aca="false">'1 этаж'!AP40</f>
        <v>0</v>
      </c>
      <c r="G41" s="21" t="n">
        <f aca="false">SUM(C41:F41)</f>
        <v>80</v>
      </c>
    </row>
    <row r="42" customFormat="false" ht="15" hidden="false" customHeight="false" outlineLevel="0" collapsed="false">
      <c r="A42" s="5" t="s">
        <v>50</v>
      </c>
      <c r="B42" s="6" t="s">
        <v>41</v>
      </c>
      <c r="C42" s="20" t="n">
        <f aca="false">'1 этаж'!AG41</f>
        <v>104</v>
      </c>
      <c r="D42" s="20" t="n">
        <f aca="false">'1 этаж'!AJ41</f>
        <v>52</v>
      </c>
      <c r="E42" s="20" t="n">
        <f aca="false">'1 этаж'!AM41</f>
        <v>0</v>
      </c>
      <c r="F42" s="20" t="n">
        <f aca="false">'1 этаж'!AP41</f>
        <v>0</v>
      </c>
      <c r="G42" s="21" t="n">
        <f aca="false">SUM(C42:F42)</f>
        <v>156</v>
      </c>
    </row>
    <row r="43" customFormat="false" ht="15" hidden="false" customHeight="false" outlineLevel="0" collapsed="false">
      <c r="A43" s="5" t="s">
        <v>51</v>
      </c>
      <c r="B43" s="6" t="s">
        <v>41</v>
      </c>
      <c r="C43" s="20" t="n">
        <f aca="false">'1 этаж'!AG42</f>
        <v>36</v>
      </c>
      <c r="D43" s="20" t="n">
        <f aca="false">'1 этаж'!AJ42</f>
        <v>40</v>
      </c>
      <c r="E43" s="20" t="n">
        <f aca="false">'1 этаж'!AM42</f>
        <v>0</v>
      </c>
      <c r="F43" s="20" t="n">
        <f aca="false">'1 этаж'!AP42</f>
        <v>0</v>
      </c>
      <c r="G43" s="21" t="n">
        <f aca="false">SUM(C43:F43)</f>
        <v>76</v>
      </c>
    </row>
    <row r="44" customFormat="false" ht="15" hidden="false" customHeight="false" outlineLevel="0" collapsed="false">
      <c r="A44" s="5" t="s">
        <v>52</v>
      </c>
      <c r="B44" s="6" t="s">
        <v>41</v>
      </c>
      <c r="C44" s="20" t="n">
        <f aca="false">'1 этаж'!AG43</f>
        <v>36</v>
      </c>
      <c r="D44" s="20" t="n">
        <f aca="false">'1 этаж'!AJ43</f>
        <v>0</v>
      </c>
      <c r="E44" s="20" t="n">
        <f aca="false">'1 этаж'!AM43</f>
        <v>0</v>
      </c>
      <c r="F44" s="20" t="n">
        <f aca="false">'1 этаж'!AP43</f>
        <v>0</v>
      </c>
      <c r="G44" s="21" t="n">
        <f aca="false">SUM(C44:F44)</f>
        <v>36</v>
      </c>
    </row>
    <row r="45" customFormat="false" ht="15" hidden="false" customHeight="false" outlineLevel="0" collapsed="false">
      <c r="A45" s="5" t="s">
        <v>53</v>
      </c>
      <c r="B45" s="6" t="s">
        <v>41</v>
      </c>
      <c r="C45" s="20" t="n">
        <f aca="false">'1 этаж'!AG44</f>
        <v>166</v>
      </c>
      <c r="D45" s="20" t="n">
        <f aca="false">'1 этаж'!AJ44</f>
        <v>0</v>
      </c>
      <c r="E45" s="20" t="n">
        <f aca="false">'1 этаж'!AM44</f>
        <v>0</v>
      </c>
      <c r="F45" s="20" t="n">
        <f aca="false">'1 этаж'!AP44</f>
        <v>0</v>
      </c>
      <c r="G45" s="21" t="n">
        <f aca="false">SUM(C45:F45)</f>
        <v>166</v>
      </c>
    </row>
    <row r="47" customFormat="false" ht="15" hidden="false" customHeight="false" outlineLevel="0" collapsed="false">
      <c r="A47" s="22" t="s">
        <v>54</v>
      </c>
    </row>
    <row r="48" customFormat="false" ht="15" hidden="false" customHeight="false" outlineLevel="0" collapsed="false">
      <c r="A48" s="23" t="s">
        <v>55</v>
      </c>
    </row>
    <row r="49" customFormat="false" ht="15" hidden="false" customHeight="false" outlineLevel="0" collapsed="false">
      <c r="A49" s="23" t="s">
        <v>56</v>
      </c>
    </row>
    <row r="50" customFormat="false" ht="15" hidden="false" customHeight="false" outlineLevel="0" collapsed="false">
      <c r="A50" s="23" t="s">
        <v>57</v>
      </c>
    </row>
  </sheetData>
  <mergeCells count="13">
    <mergeCell ref="A3:A4"/>
    <mergeCell ref="B3:B4"/>
    <mergeCell ref="C3:F3"/>
    <mergeCell ref="G3:G4"/>
    <mergeCell ref="H3:J3"/>
    <mergeCell ref="A25:A26"/>
    <mergeCell ref="B25:B26"/>
    <mergeCell ref="C25:F25"/>
    <mergeCell ref="G25:G26"/>
    <mergeCell ref="A31:A32"/>
    <mergeCell ref="B31:B32"/>
    <mergeCell ref="C31:F31"/>
    <mergeCell ref="G31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9" min="2" style="0" width="10"/>
    <col collapsed="false" customWidth="true" hidden="false" outlineLevel="0" max="44" min="30" style="0" width="9.51"/>
  </cols>
  <sheetData>
    <row r="1" customFormat="false" ht="17.35" hidden="false" customHeight="false" outlineLevel="0" collapsed="false">
      <c r="A1" s="24" t="s">
        <v>58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customFormat="false" ht="23.85" hidden="false" customHeight="false" outlineLevel="0" collapsed="false">
      <c r="A2" s="23" t="s">
        <v>59</v>
      </c>
      <c r="AG2" s="4" t="s">
        <v>60</v>
      </c>
      <c r="AH2" s="25" t="n">
        <f aca="false">Исходные!$B$13</f>
        <v>1</v>
      </c>
      <c r="AJ2" s="4" t="s">
        <v>61</v>
      </c>
      <c r="AK2" s="25" t="n">
        <f aca="false">Исходные!$B$14</f>
        <v>1</v>
      </c>
    </row>
    <row r="4" customFormat="false" ht="30" hidden="false" customHeight="true" outlineLevel="0" collapsed="false">
      <c r="A4" s="26"/>
      <c r="B4" s="26" t="s">
        <v>62</v>
      </c>
      <c r="C4" s="26"/>
      <c r="D4" s="26"/>
      <c r="E4" s="26"/>
      <c r="F4" s="26"/>
      <c r="G4" s="26" t="s">
        <v>63</v>
      </c>
      <c r="H4" s="26"/>
      <c r="I4" s="26"/>
      <c r="J4" s="26"/>
      <c r="K4" s="26" t="s">
        <v>64</v>
      </c>
      <c r="L4" s="26"/>
      <c r="M4" s="26"/>
      <c r="N4" s="26"/>
      <c r="O4" s="26"/>
      <c r="P4" s="26"/>
      <c r="Q4" s="26"/>
      <c r="R4" s="26"/>
      <c r="S4" s="26" t="s">
        <v>65</v>
      </c>
      <c r="T4" s="26"/>
      <c r="U4" s="26"/>
      <c r="V4" s="26" t="s">
        <v>66</v>
      </c>
      <c r="W4" s="26"/>
      <c r="X4" s="26"/>
      <c r="Y4" s="26"/>
      <c r="Z4" s="26"/>
      <c r="AA4" s="26"/>
      <c r="AB4" s="26" t="s">
        <v>67</v>
      </c>
      <c r="AC4" s="26" t="s">
        <v>68</v>
      </c>
      <c r="AD4" s="26"/>
      <c r="AE4" s="26"/>
      <c r="AF4" s="26"/>
      <c r="AG4" s="26" t="s">
        <v>7</v>
      </c>
      <c r="AH4" s="26"/>
      <c r="AI4" s="26"/>
      <c r="AJ4" s="26" t="s">
        <v>69</v>
      </c>
      <c r="AK4" s="26"/>
      <c r="AL4" s="26"/>
      <c r="AM4" s="26" t="s">
        <v>70</v>
      </c>
      <c r="AN4" s="26"/>
      <c r="AO4" s="26"/>
      <c r="AP4" s="26" t="s">
        <v>71</v>
      </c>
      <c r="AQ4" s="26"/>
      <c r="AR4" s="26"/>
    </row>
    <row r="5" customFormat="false" ht="30" hidden="false" customHeight="true" outlineLevel="0" collapsed="false">
      <c r="A5" s="4" t="s">
        <v>72</v>
      </c>
      <c r="B5" s="4" t="s">
        <v>73</v>
      </c>
      <c r="C5" s="4" t="s">
        <v>74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  <c r="I5" s="4" t="s">
        <v>80</v>
      </c>
      <c r="J5" s="4" t="s">
        <v>81</v>
      </c>
      <c r="K5" s="4" t="s">
        <v>78</v>
      </c>
      <c r="L5" s="4" t="s">
        <v>79</v>
      </c>
      <c r="M5" s="4" t="s">
        <v>80</v>
      </c>
      <c r="N5" s="4" t="s">
        <v>81</v>
      </c>
      <c r="O5" s="4" t="s">
        <v>82</v>
      </c>
      <c r="P5" s="4" t="s">
        <v>83</v>
      </c>
      <c r="Q5" s="4" t="s">
        <v>84</v>
      </c>
      <c r="R5" s="4" t="s">
        <v>85</v>
      </c>
      <c r="S5" s="4" t="s">
        <v>86</v>
      </c>
      <c r="T5" s="4" t="s">
        <v>87</v>
      </c>
      <c r="U5" s="4" t="s">
        <v>88</v>
      </c>
      <c r="V5" s="4" t="s">
        <v>86</v>
      </c>
      <c r="W5" s="4" t="s">
        <v>89</v>
      </c>
      <c r="X5" s="4" t="s">
        <v>90</v>
      </c>
      <c r="Y5" s="4" t="s">
        <v>88</v>
      </c>
      <c r="Z5" s="4"/>
      <c r="AA5" s="4" t="s">
        <v>91</v>
      </c>
      <c r="AB5" s="4" t="s">
        <v>92</v>
      </c>
      <c r="AC5" s="4" t="s">
        <v>93</v>
      </c>
      <c r="AD5" s="4" t="s">
        <v>30</v>
      </c>
      <c r="AE5" s="4" t="s">
        <v>94</v>
      </c>
      <c r="AF5" s="4" t="s">
        <v>95</v>
      </c>
      <c r="AG5" s="4" t="s">
        <v>30</v>
      </c>
      <c r="AH5" s="4" t="s">
        <v>94</v>
      </c>
      <c r="AI5" s="4" t="s">
        <v>95</v>
      </c>
      <c r="AJ5" s="4" t="s">
        <v>30</v>
      </c>
      <c r="AK5" s="4" t="s">
        <v>94</v>
      </c>
      <c r="AL5" s="4" t="s">
        <v>95</v>
      </c>
      <c r="AM5" s="4" t="s">
        <v>30</v>
      </c>
      <c r="AN5" s="4" t="s">
        <v>94</v>
      </c>
      <c r="AO5" s="4" t="s">
        <v>95</v>
      </c>
      <c r="AP5" s="4" t="s">
        <v>30</v>
      </c>
      <c r="AQ5" s="4" t="s">
        <v>94</v>
      </c>
      <c r="AR5" s="4" t="s">
        <v>95</v>
      </c>
    </row>
    <row r="6" customFormat="false" ht="30" hidden="false" customHeight="true" outlineLevel="0" collapsed="false">
      <c r="A6" s="4" t="s">
        <v>96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102</v>
      </c>
      <c r="H6" s="4" t="s">
        <v>103</v>
      </c>
      <c r="I6" s="4" t="s">
        <v>103</v>
      </c>
      <c r="J6" s="4" t="s">
        <v>104</v>
      </c>
      <c r="K6" s="4" t="s">
        <v>105</v>
      </c>
      <c r="L6" s="4" t="s">
        <v>105</v>
      </c>
      <c r="M6" s="4" t="s">
        <v>105</v>
      </c>
      <c r="N6" s="4" t="s">
        <v>105</v>
      </c>
      <c r="O6" s="4" t="s">
        <v>106</v>
      </c>
      <c r="P6" s="4" t="s">
        <v>107</v>
      </c>
      <c r="Q6" s="4" t="s">
        <v>107</v>
      </c>
      <c r="R6" s="4" t="s">
        <v>107</v>
      </c>
      <c r="S6" s="4" t="s">
        <v>108</v>
      </c>
      <c r="T6" s="4" t="s">
        <v>109</v>
      </c>
      <c r="U6" s="4" t="s">
        <v>110</v>
      </c>
      <c r="V6" s="4" t="s">
        <v>111</v>
      </c>
      <c r="W6" s="4" t="s">
        <v>112</v>
      </c>
      <c r="X6" s="4" t="s">
        <v>113</v>
      </c>
      <c r="Y6" s="4" t="s">
        <v>114</v>
      </c>
      <c r="Z6" s="4" t="s">
        <v>115</v>
      </c>
      <c r="AA6" s="4" t="s">
        <v>116</v>
      </c>
      <c r="AB6" s="4" t="s">
        <v>117</v>
      </c>
      <c r="AC6" s="4" t="s">
        <v>118</v>
      </c>
      <c r="AD6" s="4" t="s">
        <v>119</v>
      </c>
      <c r="AE6" s="4"/>
      <c r="AF6" s="4" t="s">
        <v>15</v>
      </c>
      <c r="AG6" s="4" t="s">
        <v>119</v>
      </c>
      <c r="AH6" s="4"/>
      <c r="AI6" s="4" t="s">
        <v>15</v>
      </c>
      <c r="AJ6" s="4" t="s">
        <v>119</v>
      </c>
      <c r="AK6" s="4"/>
      <c r="AL6" s="4" t="s">
        <v>15</v>
      </c>
      <c r="AM6" s="4" t="s">
        <v>119</v>
      </c>
      <c r="AN6" s="4"/>
      <c r="AO6" s="4" t="s">
        <v>15</v>
      </c>
      <c r="AP6" s="4" t="s">
        <v>119</v>
      </c>
      <c r="AQ6" s="4"/>
      <c r="AR6" s="4" t="s">
        <v>15</v>
      </c>
    </row>
    <row r="7" customFormat="false" ht="15" hidden="false" customHeight="false" outlineLevel="0" collapsed="false">
      <c r="A7" s="3" t="s">
        <v>120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customFormat="false" ht="15" hidden="false" customHeight="false" outlineLevel="0" collapsed="false">
      <c r="A8" s="5" t="s">
        <v>121</v>
      </c>
      <c r="B8" s="27" t="n">
        <f aca="false">SUMIFS(Ведомость!$N$5:$N$397,Ведомость!$H$5:$H$397,32,Ведомость!$I$5:$I$397,"А500С",Ведомость!$V$5:$V$397,"Дм-1")</f>
        <v>16</v>
      </c>
      <c r="C8" s="27" t="n">
        <f aca="false">SUMIFS(Ведомость!$N$5:$N$397,Ведомость!$H$5:$H$397,32,Ведомость!$I$5:$I$397,"А500С",Ведомость!$V$5:$V$397,"Дм-2")</f>
        <v>16</v>
      </c>
      <c r="D8" s="27" t="n">
        <f aca="false">SUMIFS(Ведомость!$N$5:$N$397,Ведомость!$H$5:$H$397,32,Ведомость!$I$5:$I$397,"А500С",Ведомость!$V$5:$V$397,"Дм-3")</f>
        <v>16</v>
      </c>
      <c r="E8" s="27" t="n">
        <f aca="false">SUMIFS(Ведомость!$N$5:$N$397,Ведомость!$H$5:$H$397,32,Ведомость!$I$5:$I$397,"А500С",Ведомость!$V$5:$V$397,"Дм-4")</f>
        <v>16</v>
      </c>
      <c r="F8" s="27" t="n">
        <f aca="false">SUMIFS(Ведомость!$N$5:$N$397,Ведомость!$H$5:$H$397,32,Ведомость!$I$5:$I$397,"А500С",Ведомость!$V$5:$V$397,"Дм-5")</f>
        <v>16</v>
      </c>
      <c r="G8" s="27" t="n">
        <f aca="false">SUMIFS(Ведомость!$N$5:$N$397,Ведомость!$H$5:$H$397,32,Ведомость!$I$5:$I$397,"А500С",Ведомость!$V$5:$V$397,"К-А")</f>
        <v>48</v>
      </c>
      <c r="H8" s="27" t="n">
        <f aca="false">SUMIFS(Ведомость!$N$5:$N$397,Ведомость!$H$5:$H$397,32,Ведомость!$I$5:$I$397,"А500С",Ведомость!$V$5:$V$397,"К-Б")</f>
        <v>80</v>
      </c>
      <c r="I8" s="27" t="n">
        <f aca="false">SUMIFS(Ведомость!$N$5:$N$397,Ведомость!$H$5:$H$397,32,Ведомость!$I$5:$I$397,"А500С",Ведомость!$V$5:$V$397,"К-В")</f>
        <v>80</v>
      </c>
      <c r="J8" s="27" t="n">
        <f aca="false">SUMIFS(Ведомость!$N$5:$N$397,Ведомость!$H$5:$H$397,32,Ведомость!$I$5:$I$397,"А500С",Ведомость!$V$5:$V$397,"К-Г")</f>
        <v>32</v>
      </c>
      <c r="K8" s="27" t="n">
        <f aca="false">SUMIFS(Ведомость!$N$5:$N$397,Ведомость!$H$5:$H$397,32,Ведомость!$I$5:$I$397,"А500С",Ведомость!$V$5:$V$397,"Р-А")</f>
        <v>6.6</v>
      </c>
      <c r="L8" s="27" t="n">
        <f aca="false">SUMIFS(Ведомость!$N$5:$N$397,Ведомость!$H$5:$H$397,32,Ведомость!$I$5:$I$397,"А500С",Ведомость!$V$5:$V$397,"Р-Б")</f>
        <v>7.4</v>
      </c>
      <c r="M8" s="27" t="n">
        <f aca="false">SUMIFS(Ведомость!$N$5:$N$397,Ведомость!$H$5:$H$397,32,Ведомость!$I$5:$I$397,"А500С",Ведомость!$V$5:$V$397,"Р-В")</f>
        <v>14.8</v>
      </c>
      <c r="N8" s="27" t="n">
        <f aca="false">SUMIFS(Ведомость!$N$5:$N$397,Ведомость!$H$5:$H$397,32,Ведомость!$I$5:$I$397,"А500С",Ведомость!$V$5:$V$397,"Р-Г")</f>
        <v>8.6</v>
      </c>
      <c r="O8" s="27" t="n">
        <f aca="false">SUMIFS(Ведомость!$N$5:$N$397,Ведомость!$H$5:$H$397,32,Ведомость!$I$5:$I$397,"А500С",Ведомость!$V$5:$V$397,"Р-1, 5")</f>
        <v>15.2</v>
      </c>
      <c r="P8" s="27" t="n">
        <f aca="false">SUMIFS(Ведомость!$N$5:$N$397,Ведомость!$H$5:$H$397,32,Ведомость!$I$5:$I$397,"А500С",Ведомость!$V$5:$V$397,"Р-2")</f>
        <v>27.9</v>
      </c>
      <c r="Q8" s="27" t="n">
        <f aca="false">SUMIFS(Ведомость!$N$5:$N$397,Ведомость!$H$5:$H$397,32,Ведомость!$I$5:$I$397,"А500С",Ведомость!$V$5:$V$397,"Р-3")</f>
        <v>4.1</v>
      </c>
      <c r="R8" s="27" t="n">
        <f aca="false">SUMIFS(Ведомость!$N$5:$N$397,Ведомость!$H$5:$H$397,32,Ведомость!$I$5:$I$397,"А500С",Ведомость!$V$5:$V$397,"Р-4")</f>
        <v>17.3</v>
      </c>
      <c r="S8" s="27" t="n">
        <f aca="false">SUMIFS(Ведомость!$N$5:$N$397,Ведомость!$H$5:$H$397,32,Ведомость!$I$5:$I$397,"А500С",Ведомость!$V$5:$V$397,"Б-основная")</f>
        <v>0</v>
      </c>
      <c r="T8" s="27" t="n">
        <f aca="false">SUMIFS(Ведомость!$N$5:$N$397,Ведомость!$H$5:$H$397,32,Ведомость!$I$5:$I$397,"А500С",Ведомость!$V$5:$V$397,"Б-хомуты")</f>
        <v>0</v>
      </c>
      <c r="U8" s="27" t="n">
        <f aca="false">SUMIFS(Ведомость!$N$5:$N$397,Ведомость!$H$5:$H$397,32,Ведомость!$I$5:$I$397,"А500С",Ведомость!$V$5:$V$397,"Б-допник")</f>
        <v>0</v>
      </c>
      <c r="V8" s="27" t="n">
        <f aca="false">SUMIFS(Ведомость!$N$5:$N$397,Ведомость!$H$5:$H$397,32,Ведомость!$I$5:$I$397,"А500С",Ведомость!$V$5:$V$397,"П-сетка")</f>
        <v>0</v>
      </c>
      <c r="W8" s="27" t="n">
        <f aca="false">SUMIFS(Ведомость!$N$5:$N$397,Ведомость!$H$5:$H$397,32,Ведомость!$I$5:$I$397,"А500С",Ведомость!$V$5:$V$397,"П-фикс")</f>
        <v>0</v>
      </c>
      <c r="X8" s="27" t="n">
        <f aca="false">SUMIFS(Ведомость!$N$5:$N$397,Ведомость!$H$5:$H$397,32,Ведомость!$I$5:$I$397,"А500С",Ведомость!$V$5:$V$397,"П-отв")</f>
        <v>0</v>
      </c>
      <c r="Y8" s="27" t="n">
        <f aca="false">SUMIFS(Ведомость!$N$5:$N$397,Ведомость!$H$5:$H$397,32,Ведомость!$I$5:$I$397,"А500С",Ведомость!$V$5:$V$397,"П-доп-низ")</f>
        <v>0</v>
      </c>
      <c r="Z8" s="27" t="n">
        <f aca="false">SUMIFS(Ведомость!$N$5:$N$397,Ведомость!$H$5:$H$397,32,Ведомость!$I$5:$I$397,"А500С",Ведомость!$V$5:$V$397,"П-доп-верх")</f>
        <v>0</v>
      </c>
      <c r="AA8" s="27" t="n">
        <f aca="false">SUMIFS(Ведомость!$N$5:$N$397,Ведомость!$H$5:$H$397,32,Ведомость!$I$5:$I$397,"А500С",Ведомость!$V$5:$V$397,"П-край")</f>
        <v>0</v>
      </c>
      <c r="AB8" s="27" t="n">
        <f aca="false">SUMIFS(Ведомость!$N$5:$N$397,Ведомость!$H$5:$H$397,32,Ведомость!$I$5:$I$397,"А500С",Ведомость!$V$5:$V$397,"ЛВ-1")</f>
        <v>0</v>
      </c>
      <c r="AC8" s="27" t="n">
        <f aca="false">SUMIFS(Ведомость!$N$5:$N$397,Ведомость!$H$5:$H$397,32,Ведомость!$I$5:$I$397,"А500С",Ведомость!$V$5:$V$397,"С-1")</f>
        <v>0</v>
      </c>
      <c r="AD8" s="28" t="n">
        <f aca="false">SUM(B8:AC8)</f>
        <v>421.9</v>
      </c>
      <c r="AE8" s="29" t="n">
        <f aca="false">IFERROR(INDEX(Исходные!$B$18:$B$29,MATCH(32,Исходные!$A$18:$A$29,0)),0)</f>
        <v>6.313</v>
      </c>
      <c r="AF8" s="28" t="n">
        <f aca="false">AD8*AE8*$AH$2</f>
        <v>2663.4547</v>
      </c>
      <c r="AG8" s="30" t="n">
        <f aca="false">SUM(B8:J8)</f>
        <v>320</v>
      </c>
      <c r="AH8" s="31" t="n">
        <f aca="false">AE8</f>
        <v>6.313</v>
      </c>
      <c r="AI8" s="32" t="n">
        <f aca="false">AG8*AH8*$AH$2</f>
        <v>2020.16</v>
      </c>
      <c r="AJ8" s="30" t="n">
        <f aca="false">SUM(K8:AA8)</f>
        <v>101.9</v>
      </c>
      <c r="AK8" s="31" t="n">
        <f aca="false">AE8</f>
        <v>6.313</v>
      </c>
      <c r="AL8" s="32" t="n">
        <f aca="false">AJ8*AK8*$AH$2</f>
        <v>643.2947</v>
      </c>
      <c r="AM8" s="30" t="n">
        <f aca="false">SUM(AB8:AB8)</f>
        <v>0</v>
      </c>
      <c r="AN8" s="31" t="n">
        <f aca="false">AE8</f>
        <v>6.313</v>
      </c>
      <c r="AO8" s="32" t="n">
        <f aca="false">AM8*AN8*$AH$2</f>
        <v>0</v>
      </c>
      <c r="AP8" s="30" t="n">
        <f aca="false">SUM(AC8:AC8)</f>
        <v>0</v>
      </c>
      <c r="AQ8" s="31" t="n">
        <f aca="false">AE8</f>
        <v>6.313</v>
      </c>
      <c r="AR8" s="32" t="n">
        <f aca="false">AP8*AQ8*$AH$2</f>
        <v>0</v>
      </c>
    </row>
    <row r="9" customFormat="false" ht="15" hidden="false" customHeight="false" outlineLevel="0" collapsed="false">
      <c r="A9" s="5" t="s">
        <v>122</v>
      </c>
      <c r="B9" s="27" t="n">
        <f aca="false">SUMIFS(Ведомость!$N$5:$N$397,Ведомость!$H$5:$H$397,28,Ведомость!$I$5:$I$397,"А500С",Ведомость!$V$5:$V$397,"Дм-1")</f>
        <v>128</v>
      </c>
      <c r="C9" s="27" t="n">
        <f aca="false">SUMIFS(Ведомость!$N$5:$N$397,Ведомость!$H$5:$H$397,28,Ведомость!$I$5:$I$397,"А500С",Ведомость!$V$5:$V$397,"Дм-2")</f>
        <v>88</v>
      </c>
      <c r="D9" s="27" t="n">
        <f aca="false">SUMIFS(Ведомость!$N$5:$N$397,Ведомость!$H$5:$H$397,28,Ведомость!$I$5:$I$397,"А500С",Ведомость!$V$5:$V$397,"Дм-3")</f>
        <v>88</v>
      </c>
      <c r="E9" s="27" t="n">
        <f aca="false">SUMIFS(Ведомость!$N$5:$N$397,Ведомость!$H$5:$H$397,28,Ведомость!$I$5:$I$397,"А500С",Ведомость!$V$5:$V$397,"Дм-4")</f>
        <v>56</v>
      </c>
      <c r="F9" s="27" t="n">
        <f aca="false">SUMIFS(Ведомость!$N$5:$N$397,Ведомость!$H$5:$H$397,28,Ведомость!$I$5:$I$397,"А500С",Ведомость!$V$5:$V$397,"Дм-5")</f>
        <v>56</v>
      </c>
      <c r="G9" s="27" t="n">
        <f aca="false">SUMIFS(Ведомость!$N$5:$N$397,Ведомость!$H$5:$H$397,28,Ведомость!$I$5:$I$397,"А500С",Ведомость!$V$5:$V$397,"К-А")</f>
        <v>0</v>
      </c>
      <c r="H9" s="27" t="n">
        <f aca="false">SUMIFS(Ведомость!$N$5:$N$397,Ведомость!$H$5:$H$397,28,Ведомость!$I$5:$I$397,"А500С",Ведомость!$V$5:$V$397,"К-Б")</f>
        <v>0</v>
      </c>
      <c r="I9" s="27" t="n">
        <f aca="false">SUMIFS(Ведомость!$N$5:$N$397,Ведомость!$H$5:$H$397,28,Ведомость!$I$5:$I$397,"А500С",Ведомость!$V$5:$V$397,"К-В")</f>
        <v>0</v>
      </c>
      <c r="J9" s="27" t="n">
        <f aca="false">SUMIFS(Ведомость!$N$5:$N$397,Ведомость!$H$5:$H$397,28,Ведомость!$I$5:$I$397,"А500С",Ведомость!$V$5:$V$397,"К-Г")</f>
        <v>0</v>
      </c>
      <c r="K9" s="27" t="n">
        <f aca="false">SUMIFS(Ведомость!$N$5:$N$397,Ведомость!$H$5:$H$397,28,Ведомость!$I$5:$I$397,"А500С",Ведомость!$V$5:$V$397,"Р-А")</f>
        <v>121.8</v>
      </c>
      <c r="L9" s="27" t="n">
        <f aca="false">SUMIFS(Ведомость!$N$5:$N$397,Ведомость!$H$5:$H$397,28,Ведомость!$I$5:$I$397,"А500С",Ведомость!$V$5:$V$397,"Р-Б")</f>
        <v>116.6</v>
      </c>
      <c r="M9" s="27" t="n">
        <f aca="false">SUMIFS(Ведомость!$N$5:$N$397,Ведомость!$H$5:$H$397,28,Ведомость!$I$5:$I$397,"А500С",Ведомость!$V$5:$V$397,"Р-В")</f>
        <v>113.3</v>
      </c>
      <c r="N9" s="27" t="n">
        <f aca="false">SUMIFS(Ведомость!$N$5:$N$397,Ведомость!$H$5:$H$397,28,Ведомость!$I$5:$I$397,"А500С",Ведомость!$V$5:$V$397,"Р-Г")</f>
        <v>144.1</v>
      </c>
      <c r="O9" s="27" t="n">
        <f aca="false">SUMIFS(Ведомость!$N$5:$N$397,Ведомость!$H$5:$H$397,28,Ведомость!$I$5:$I$397,"А500С",Ведомость!$V$5:$V$397,"Р-1, 5")</f>
        <v>187.4</v>
      </c>
      <c r="P9" s="27" t="n">
        <f aca="false">SUMIFS(Ведомость!$N$5:$N$397,Ведомость!$H$5:$H$397,28,Ведомость!$I$5:$I$397,"А500С",Ведомость!$V$5:$V$397,"Р-2")</f>
        <v>82</v>
      </c>
      <c r="Q9" s="27" t="n">
        <f aca="false">SUMIFS(Ведомость!$N$5:$N$397,Ведомость!$H$5:$H$397,28,Ведомость!$I$5:$I$397,"А500С",Ведомость!$V$5:$V$397,"Р-3")</f>
        <v>99.7</v>
      </c>
      <c r="R9" s="27" t="n">
        <f aca="false">SUMIFS(Ведомость!$N$5:$N$397,Ведомость!$H$5:$H$397,28,Ведомость!$I$5:$I$397,"А500С",Ведомость!$V$5:$V$397,"Р-4")</f>
        <v>89.2</v>
      </c>
      <c r="S9" s="27" t="n">
        <f aca="false">SUMIFS(Ведомость!$N$5:$N$397,Ведомость!$H$5:$H$397,28,Ведомость!$I$5:$I$397,"А500С",Ведомость!$V$5:$V$397,"Б-основная")</f>
        <v>0</v>
      </c>
      <c r="T9" s="27" t="n">
        <f aca="false">SUMIFS(Ведомость!$N$5:$N$397,Ведомость!$H$5:$H$397,28,Ведомость!$I$5:$I$397,"А500С",Ведомость!$V$5:$V$397,"Б-хомуты")</f>
        <v>0</v>
      </c>
      <c r="U9" s="27" t="n">
        <f aca="false">SUMIFS(Ведомость!$N$5:$N$397,Ведомость!$H$5:$H$397,28,Ведомость!$I$5:$I$397,"А500С",Ведомость!$V$5:$V$397,"Б-допник")</f>
        <v>0</v>
      </c>
      <c r="V9" s="27" t="n">
        <f aca="false">SUMIFS(Ведомость!$N$5:$N$397,Ведомость!$H$5:$H$397,28,Ведомость!$I$5:$I$397,"А500С",Ведомость!$V$5:$V$397,"П-сетка")</f>
        <v>0</v>
      </c>
      <c r="W9" s="27" t="n">
        <f aca="false">SUMIFS(Ведомость!$N$5:$N$397,Ведомость!$H$5:$H$397,28,Ведомость!$I$5:$I$397,"А500С",Ведомость!$V$5:$V$397,"П-фикс")</f>
        <v>0</v>
      </c>
      <c r="X9" s="27" t="n">
        <f aca="false">SUMIFS(Ведомость!$N$5:$N$397,Ведомость!$H$5:$H$397,28,Ведомость!$I$5:$I$397,"А500С",Ведомость!$V$5:$V$397,"П-отв")</f>
        <v>0</v>
      </c>
      <c r="Y9" s="27" t="n">
        <f aca="false">SUMIFS(Ведомость!$N$5:$N$397,Ведомость!$H$5:$H$397,28,Ведомость!$I$5:$I$397,"А500С",Ведомость!$V$5:$V$397,"П-доп-низ")</f>
        <v>0</v>
      </c>
      <c r="Z9" s="27" t="n">
        <f aca="false">SUMIFS(Ведомость!$N$5:$N$397,Ведомость!$H$5:$H$397,28,Ведомость!$I$5:$I$397,"А500С",Ведомость!$V$5:$V$397,"П-доп-верх")</f>
        <v>0</v>
      </c>
      <c r="AA9" s="27" t="n">
        <f aca="false">SUMIFS(Ведомость!$N$5:$N$397,Ведомость!$H$5:$H$397,28,Ведомость!$I$5:$I$397,"А500С",Ведомость!$V$5:$V$397,"П-край")</f>
        <v>0</v>
      </c>
      <c r="AB9" s="27" t="n">
        <f aca="false">SUMIFS(Ведомость!$N$5:$N$397,Ведомость!$H$5:$H$397,28,Ведомость!$I$5:$I$397,"А500С",Ведомость!$V$5:$V$397,"ЛВ-1")</f>
        <v>0</v>
      </c>
      <c r="AC9" s="27" t="n">
        <f aca="false">SUMIFS(Ведомость!$N$5:$N$397,Ведомость!$H$5:$H$397,28,Ведомость!$I$5:$I$397,"А500С",Ведомость!$V$5:$V$397,"С-1")</f>
        <v>0</v>
      </c>
      <c r="AD9" s="28" t="n">
        <f aca="false">SUM(B9:AC9)</f>
        <v>1370.1</v>
      </c>
      <c r="AE9" s="29" t="n">
        <f aca="false">IFERROR(INDEX(Исходные!$B$18:$B$29,MATCH(28,Исходные!$A$18:$A$29,0)),0)</f>
        <v>4.834</v>
      </c>
      <c r="AF9" s="28" t="n">
        <f aca="false">AD9*AE9*$AH$2</f>
        <v>6623.0634</v>
      </c>
      <c r="AG9" s="30" t="n">
        <f aca="false">SUM(B9:J9)</f>
        <v>416</v>
      </c>
      <c r="AH9" s="31" t="n">
        <f aca="false">AE9</f>
        <v>4.834</v>
      </c>
      <c r="AI9" s="32" t="n">
        <f aca="false">AG9*AH9*$AH$2</f>
        <v>2010.944</v>
      </c>
      <c r="AJ9" s="30" t="n">
        <f aca="false">SUM(K9:AA9)</f>
        <v>954.1</v>
      </c>
      <c r="AK9" s="31" t="n">
        <f aca="false">AE9</f>
        <v>4.834</v>
      </c>
      <c r="AL9" s="32" t="n">
        <f aca="false">AJ9*AK9*$AH$2</f>
        <v>4612.1194</v>
      </c>
      <c r="AM9" s="30" t="n">
        <f aca="false">SUM(AB9:AB9)</f>
        <v>0</v>
      </c>
      <c r="AN9" s="31" t="n">
        <f aca="false">AE9</f>
        <v>4.834</v>
      </c>
      <c r="AO9" s="32" t="n">
        <f aca="false">AM9*AN9*$AH$2</f>
        <v>0</v>
      </c>
      <c r="AP9" s="30" t="n">
        <f aca="false">SUM(AC9:AC9)</f>
        <v>0</v>
      </c>
      <c r="AQ9" s="31" t="n">
        <f aca="false">AE9</f>
        <v>4.834</v>
      </c>
      <c r="AR9" s="32" t="n">
        <f aca="false">AP9*AQ9*$AH$2</f>
        <v>0</v>
      </c>
    </row>
    <row r="10" customFormat="false" ht="15" hidden="false" customHeight="false" outlineLevel="0" collapsed="false">
      <c r="A10" s="5" t="s">
        <v>123</v>
      </c>
      <c r="B10" s="27" t="n">
        <f aca="false">SUMIFS(Ведомость!$N$5:$N$397,Ведомость!$H$5:$H$397,25,Ведомость!$I$5:$I$397,"А500С",Ведомость!$V$5:$V$397,"Дм-1")</f>
        <v>32</v>
      </c>
      <c r="C10" s="27" t="n">
        <f aca="false">SUMIFS(Ведомость!$N$5:$N$397,Ведомость!$H$5:$H$397,25,Ведомость!$I$5:$I$397,"А500С",Ведомость!$V$5:$V$397,"Дм-2")</f>
        <v>32</v>
      </c>
      <c r="D10" s="27" t="n">
        <f aca="false">SUMIFS(Ведомость!$N$5:$N$397,Ведомость!$H$5:$H$397,25,Ведомость!$I$5:$I$397,"А500С",Ведомость!$V$5:$V$397,"Дм-3")</f>
        <v>40</v>
      </c>
      <c r="E10" s="27" t="n">
        <f aca="false">SUMIFS(Ведомость!$N$5:$N$397,Ведомость!$H$5:$H$397,25,Ведомость!$I$5:$I$397,"А500С",Ведомость!$V$5:$V$397,"Дм-4")</f>
        <v>0</v>
      </c>
      <c r="F10" s="27" t="n">
        <f aca="false">SUMIFS(Ведомость!$N$5:$N$397,Ведомость!$H$5:$H$397,25,Ведомость!$I$5:$I$397,"А500С",Ведомость!$V$5:$V$397,"Дм-5")</f>
        <v>40</v>
      </c>
      <c r="G10" s="27" t="n">
        <f aca="false">SUMIFS(Ведомость!$N$5:$N$397,Ведомость!$H$5:$H$397,25,Ведомость!$I$5:$I$397,"А500С",Ведомость!$V$5:$V$397,"К-А")</f>
        <v>0</v>
      </c>
      <c r="H10" s="27" t="n">
        <f aca="false">SUMIFS(Ведомость!$N$5:$N$397,Ведомость!$H$5:$H$397,25,Ведомость!$I$5:$I$397,"А500С",Ведомость!$V$5:$V$397,"К-Б")</f>
        <v>0</v>
      </c>
      <c r="I10" s="27" t="n">
        <f aca="false">SUMIFS(Ведомость!$N$5:$N$397,Ведомость!$H$5:$H$397,25,Ведомость!$I$5:$I$397,"А500С",Ведомость!$V$5:$V$397,"К-В")</f>
        <v>0</v>
      </c>
      <c r="J10" s="27" t="n">
        <f aca="false">SUMIFS(Ведомость!$N$5:$N$397,Ведомость!$H$5:$H$397,25,Ведомость!$I$5:$I$397,"А500С",Ведомость!$V$5:$V$397,"К-Г")</f>
        <v>0</v>
      </c>
      <c r="K10" s="27" t="n">
        <f aca="false">SUMIFS(Ведомость!$N$5:$N$397,Ведомость!$H$5:$H$397,25,Ведомость!$I$5:$I$397,"А500С",Ведомость!$V$5:$V$397,"Р-А")</f>
        <v>40.4</v>
      </c>
      <c r="L10" s="27" t="n">
        <f aca="false">SUMIFS(Ведомость!$N$5:$N$397,Ведомость!$H$5:$H$397,25,Ведомость!$I$5:$I$397,"А500С",Ведомость!$V$5:$V$397,"Р-Б")</f>
        <v>8.2</v>
      </c>
      <c r="M10" s="27" t="n">
        <f aca="false">SUMIFS(Ведомость!$N$5:$N$397,Ведомость!$H$5:$H$397,25,Ведомость!$I$5:$I$397,"А500С",Ведомость!$V$5:$V$397,"Р-В")</f>
        <v>4.1</v>
      </c>
      <c r="N10" s="27" t="n">
        <f aca="false">SUMIFS(Ведомость!$N$5:$N$397,Ведомость!$H$5:$H$397,25,Ведомость!$I$5:$I$397,"А500С",Ведомость!$V$5:$V$397,"Р-Г")</f>
        <v>4.1</v>
      </c>
      <c r="O10" s="27" t="n">
        <f aca="false">SUMIFS(Ведомость!$N$5:$N$397,Ведомость!$H$5:$H$397,25,Ведомость!$I$5:$I$397,"А500С",Ведомость!$V$5:$V$397,"Р-1, 5")</f>
        <v>8.2</v>
      </c>
      <c r="P10" s="27" t="n">
        <f aca="false">SUMIFS(Ведомость!$N$5:$N$397,Ведомость!$H$5:$H$397,25,Ведомость!$I$5:$I$397,"А500С",Ведомость!$V$5:$V$397,"Р-2")</f>
        <v>21</v>
      </c>
      <c r="Q10" s="27" t="n">
        <f aca="false">SUMIFS(Ведомость!$N$5:$N$397,Ведомость!$H$5:$H$397,25,Ведомость!$I$5:$I$397,"А500С",Ведомость!$V$5:$V$397,"Р-3")</f>
        <v>22.8</v>
      </c>
      <c r="R10" s="27" t="n">
        <f aca="false">SUMIFS(Ведомость!$N$5:$N$397,Ведомость!$H$5:$H$397,25,Ведомость!$I$5:$I$397,"А500С",Ведомость!$V$5:$V$397,"Р-4")</f>
        <v>12.4</v>
      </c>
      <c r="S10" s="27" t="n">
        <f aca="false">SUMIFS(Ведомость!$N$5:$N$397,Ведомость!$H$5:$H$397,25,Ведомость!$I$5:$I$397,"А500С",Ведомость!$V$5:$V$397,"Б-основная")</f>
        <v>635.4</v>
      </c>
      <c r="T10" s="27" t="n">
        <f aca="false">SUMIFS(Ведомость!$N$5:$N$397,Ведомость!$H$5:$H$397,25,Ведомость!$I$5:$I$397,"А500С",Ведомость!$V$5:$V$397,"Б-хомуты")</f>
        <v>0</v>
      </c>
      <c r="U10" s="27" t="n">
        <f aca="false">SUMIFS(Ведомость!$N$5:$N$397,Ведомость!$H$5:$H$397,25,Ведомость!$I$5:$I$397,"А500С",Ведомость!$V$5:$V$397,"Б-допник")</f>
        <v>0</v>
      </c>
      <c r="V10" s="27" t="n">
        <f aca="false">SUMIFS(Ведомость!$N$5:$N$397,Ведомость!$H$5:$H$397,25,Ведомость!$I$5:$I$397,"А500С",Ведомость!$V$5:$V$397,"П-сетка")</f>
        <v>0</v>
      </c>
      <c r="W10" s="27" t="n">
        <f aca="false">SUMIFS(Ведомость!$N$5:$N$397,Ведомость!$H$5:$H$397,25,Ведомость!$I$5:$I$397,"А500С",Ведомость!$V$5:$V$397,"П-фикс")</f>
        <v>0</v>
      </c>
      <c r="X10" s="27" t="n">
        <f aca="false">SUMIFS(Ведомость!$N$5:$N$397,Ведомость!$H$5:$H$397,25,Ведомость!$I$5:$I$397,"А500С",Ведомость!$V$5:$V$397,"П-отв")</f>
        <v>0</v>
      </c>
      <c r="Y10" s="27" t="n">
        <f aca="false">SUMIFS(Ведомость!$N$5:$N$397,Ведомость!$H$5:$H$397,25,Ведомость!$I$5:$I$397,"А500С",Ведомость!$V$5:$V$397,"П-доп-низ")</f>
        <v>0</v>
      </c>
      <c r="Z10" s="27" t="n">
        <f aca="false">SUMIFS(Ведомость!$N$5:$N$397,Ведомость!$H$5:$H$397,25,Ведомость!$I$5:$I$397,"А500С",Ведомость!$V$5:$V$397,"П-доп-верх")</f>
        <v>0</v>
      </c>
      <c r="AA10" s="27" t="n">
        <f aca="false">SUMIFS(Ведомость!$N$5:$N$397,Ведомость!$H$5:$H$397,25,Ведомость!$I$5:$I$397,"А500С",Ведомость!$V$5:$V$397,"П-край")</f>
        <v>0</v>
      </c>
      <c r="AB10" s="27" t="n">
        <f aca="false">SUMIFS(Ведомость!$N$5:$N$397,Ведомость!$H$5:$H$397,25,Ведомость!$I$5:$I$397,"А500С",Ведомость!$V$5:$V$397,"ЛВ-1")</f>
        <v>0</v>
      </c>
      <c r="AC10" s="27" t="n">
        <f aca="false">SUMIFS(Ведомость!$N$5:$N$397,Ведомость!$H$5:$H$397,25,Ведомость!$I$5:$I$397,"А500С",Ведомость!$V$5:$V$397,"С-1")</f>
        <v>0</v>
      </c>
      <c r="AD10" s="28" t="n">
        <f aca="false">SUM(B10:AC10)</f>
        <v>900.6</v>
      </c>
      <c r="AE10" s="29" t="n">
        <f aca="false">IFERROR(INDEX(Исходные!$B$18:$B$29,MATCH(25,Исходные!$A$18:$A$29,0)),0)</f>
        <v>3.853</v>
      </c>
      <c r="AF10" s="28" t="n">
        <f aca="false">AD10*AE10*$AH$2</f>
        <v>3470.0118</v>
      </c>
      <c r="AG10" s="30" t="n">
        <f aca="false">SUM(B10:J10)</f>
        <v>144</v>
      </c>
      <c r="AH10" s="31" t="n">
        <f aca="false">AE10</f>
        <v>3.853</v>
      </c>
      <c r="AI10" s="32" t="n">
        <f aca="false">AG10*AH10*$AH$2</f>
        <v>554.832</v>
      </c>
      <c r="AJ10" s="30" t="n">
        <f aca="false">SUM(K10:AA10)</f>
        <v>756.6</v>
      </c>
      <c r="AK10" s="31" t="n">
        <f aca="false">AE10</f>
        <v>3.853</v>
      </c>
      <c r="AL10" s="32" t="n">
        <f aca="false">AJ10*AK10*$AH$2</f>
        <v>2915.1798</v>
      </c>
      <c r="AM10" s="30" t="n">
        <f aca="false">SUM(AB10:AB10)</f>
        <v>0</v>
      </c>
      <c r="AN10" s="31" t="n">
        <f aca="false">AE10</f>
        <v>3.853</v>
      </c>
      <c r="AO10" s="32" t="n">
        <f aca="false">AM10*AN10*$AH$2</f>
        <v>0</v>
      </c>
      <c r="AP10" s="30" t="n">
        <f aca="false">SUM(AC10:AC10)</f>
        <v>0</v>
      </c>
      <c r="AQ10" s="31" t="n">
        <f aca="false">AE10</f>
        <v>3.853</v>
      </c>
      <c r="AR10" s="32" t="n">
        <f aca="false">AP10*AQ10*$AH$2</f>
        <v>0</v>
      </c>
    </row>
    <row r="11" customFormat="false" ht="15" hidden="false" customHeight="false" outlineLevel="0" collapsed="false">
      <c r="A11" s="5" t="s">
        <v>124</v>
      </c>
      <c r="B11" s="27" t="n">
        <f aca="false">SUMIFS(Ведомость!$N$5:$N$397,Ведомость!$H$5:$H$397,22,Ведомость!$I$5:$I$397,"А500С",Ведомость!$V$5:$V$397,"Дм-1")</f>
        <v>0</v>
      </c>
      <c r="C11" s="27" t="n">
        <f aca="false">SUMIFS(Ведомость!$N$5:$N$397,Ведомость!$H$5:$H$397,22,Ведомость!$I$5:$I$397,"А500С",Ведомость!$V$5:$V$397,"Дм-2")</f>
        <v>64</v>
      </c>
      <c r="D11" s="27" t="n">
        <f aca="false">SUMIFS(Ведомость!$N$5:$N$397,Ведомость!$H$5:$H$397,22,Ведомость!$I$5:$I$397,"А500С",Ведомость!$V$5:$V$397,"Дм-3")</f>
        <v>69</v>
      </c>
      <c r="E11" s="27" t="n">
        <f aca="false">SUMIFS(Ведомость!$N$5:$N$397,Ведомость!$H$5:$H$397,22,Ведомость!$I$5:$I$397,"А500С",Ведомость!$V$5:$V$397,"Дм-4")</f>
        <v>0</v>
      </c>
      <c r="F11" s="27" t="n">
        <f aca="false">SUMIFS(Ведомость!$N$5:$N$397,Ведомость!$H$5:$H$397,22,Ведомость!$I$5:$I$397,"А500С",Ведомость!$V$5:$V$397,"Дм-5")</f>
        <v>24</v>
      </c>
      <c r="G11" s="27" t="n">
        <f aca="false">SUMIFS(Ведомость!$N$5:$N$397,Ведомость!$H$5:$H$397,22,Ведомость!$I$5:$I$397,"А500С",Ведомость!$V$5:$V$397,"К-А")</f>
        <v>0</v>
      </c>
      <c r="H11" s="27" t="n">
        <f aca="false">SUMIFS(Ведомость!$N$5:$N$397,Ведомость!$H$5:$H$397,22,Ведомость!$I$5:$I$397,"А500С",Ведомость!$V$5:$V$397,"К-Б")</f>
        <v>0</v>
      </c>
      <c r="I11" s="27" t="n">
        <f aca="false">SUMIFS(Ведомость!$N$5:$N$397,Ведомость!$H$5:$H$397,22,Ведомость!$I$5:$I$397,"А500С",Ведомость!$V$5:$V$397,"К-В")</f>
        <v>0</v>
      </c>
      <c r="J11" s="27" t="n">
        <f aca="false">SUMIFS(Ведомость!$N$5:$N$397,Ведомость!$H$5:$H$397,22,Ведомость!$I$5:$I$397,"А500С",Ведомость!$V$5:$V$397,"К-Г")</f>
        <v>0</v>
      </c>
      <c r="K11" s="27" t="n">
        <f aca="false">SUMIFS(Ведомость!$N$5:$N$397,Ведомость!$H$5:$H$397,22,Ведомость!$I$5:$I$397,"А500С",Ведомость!$V$5:$V$397,"Р-А")</f>
        <v>9</v>
      </c>
      <c r="L11" s="27" t="n">
        <f aca="false">SUMIFS(Ведомость!$N$5:$N$397,Ведомость!$H$5:$H$397,22,Ведомость!$I$5:$I$397,"А500С",Ведомость!$V$5:$V$397,"Р-Б")</f>
        <v>6.4</v>
      </c>
      <c r="M11" s="27" t="n">
        <f aca="false">SUMIFS(Ведомость!$N$5:$N$397,Ведомость!$H$5:$H$397,22,Ведомость!$I$5:$I$397,"А500С",Ведомость!$V$5:$V$397,"Р-В")</f>
        <v>6.4</v>
      </c>
      <c r="N11" s="27" t="n">
        <f aca="false">SUMIFS(Ведомость!$N$5:$N$397,Ведомость!$H$5:$H$397,22,Ведомость!$I$5:$I$397,"А500С",Ведомость!$V$5:$V$397,"Р-Г")</f>
        <v>35.5</v>
      </c>
      <c r="O11" s="27" t="n">
        <f aca="false">SUMIFS(Ведомость!$N$5:$N$397,Ведомость!$H$5:$H$397,22,Ведомость!$I$5:$I$397,"А500С",Ведомость!$V$5:$V$397,"Р-1, 5")</f>
        <v>0</v>
      </c>
      <c r="P11" s="27" t="n">
        <f aca="false">SUMIFS(Ведомость!$N$5:$N$397,Ведомость!$H$5:$H$397,22,Ведомость!$I$5:$I$397,"А500С",Ведомость!$V$5:$V$397,"Р-2")</f>
        <v>0</v>
      </c>
      <c r="Q11" s="27" t="n">
        <f aca="false">SUMIFS(Ведомость!$N$5:$N$397,Ведомость!$H$5:$H$397,22,Ведомость!$I$5:$I$397,"А500С",Ведомость!$V$5:$V$397,"Р-3")</f>
        <v>0</v>
      </c>
      <c r="R11" s="27" t="n">
        <f aca="false">SUMIFS(Ведомость!$N$5:$N$397,Ведомость!$H$5:$H$397,22,Ведомость!$I$5:$I$397,"А500С",Ведомость!$V$5:$V$397,"Р-4")</f>
        <v>0</v>
      </c>
      <c r="S11" s="27" t="n">
        <f aca="false">SUMIFS(Ведомость!$N$5:$N$397,Ведомость!$H$5:$H$397,22,Ведомость!$I$5:$I$397,"А500С",Ведомость!$V$5:$V$397,"Б-основная")</f>
        <v>158.8</v>
      </c>
      <c r="T11" s="27" t="n">
        <f aca="false">SUMIFS(Ведомость!$N$5:$N$397,Ведомость!$H$5:$H$397,22,Ведомость!$I$5:$I$397,"А500С",Ведомость!$V$5:$V$397,"Б-хомуты")</f>
        <v>0</v>
      </c>
      <c r="U11" s="27" t="n">
        <f aca="false">SUMIFS(Ведомость!$N$5:$N$397,Ведомость!$H$5:$H$397,22,Ведомость!$I$5:$I$397,"А500С",Ведомость!$V$5:$V$397,"Б-допник")</f>
        <v>0</v>
      </c>
      <c r="V11" s="27" t="n">
        <f aca="false">SUMIFS(Ведомость!$N$5:$N$397,Ведомость!$H$5:$H$397,22,Ведомость!$I$5:$I$397,"А500С",Ведомость!$V$5:$V$397,"П-сетка")</f>
        <v>0</v>
      </c>
      <c r="W11" s="27" t="n">
        <f aca="false">SUMIFS(Ведомость!$N$5:$N$397,Ведомость!$H$5:$H$397,22,Ведомость!$I$5:$I$397,"А500С",Ведомость!$V$5:$V$397,"П-фикс")</f>
        <v>0</v>
      </c>
      <c r="X11" s="27" t="n">
        <f aca="false">SUMIFS(Ведомость!$N$5:$N$397,Ведомость!$H$5:$H$397,22,Ведомость!$I$5:$I$397,"А500С",Ведомость!$V$5:$V$397,"П-отв")</f>
        <v>0</v>
      </c>
      <c r="Y11" s="27" t="n">
        <f aca="false">SUMIFS(Ведомость!$N$5:$N$397,Ведомость!$H$5:$H$397,22,Ведомость!$I$5:$I$397,"А500С",Ведомость!$V$5:$V$397,"П-доп-низ")</f>
        <v>0</v>
      </c>
      <c r="Z11" s="27" t="n">
        <f aca="false">SUMIFS(Ведомость!$N$5:$N$397,Ведомость!$H$5:$H$397,22,Ведомость!$I$5:$I$397,"А500С",Ведомость!$V$5:$V$397,"П-доп-верх")</f>
        <v>0</v>
      </c>
      <c r="AA11" s="27" t="n">
        <f aca="false">SUMIFS(Ведомость!$N$5:$N$397,Ведомость!$H$5:$H$397,22,Ведомость!$I$5:$I$397,"А500С",Ведомость!$V$5:$V$397,"П-край")</f>
        <v>0</v>
      </c>
      <c r="AB11" s="27" t="n">
        <f aca="false">SUMIFS(Ведомость!$N$5:$N$397,Ведомость!$H$5:$H$397,22,Ведомость!$I$5:$I$397,"А500С",Ведомость!$V$5:$V$397,"ЛВ-1")</f>
        <v>0</v>
      </c>
      <c r="AC11" s="27" t="n">
        <f aca="false">SUMIFS(Ведомость!$N$5:$N$397,Ведомость!$H$5:$H$397,22,Ведомость!$I$5:$I$397,"А500С",Ведомость!$V$5:$V$397,"С-1")</f>
        <v>0</v>
      </c>
      <c r="AD11" s="28" t="n">
        <f aca="false">SUM(B11:AC11)</f>
        <v>373.1</v>
      </c>
      <c r="AE11" s="29" t="n">
        <f aca="false">IFERROR(INDEX(Исходные!$B$18:$B$29,MATCH(22,Исходные!$A$18:$A$29,0)),0)</f>
        <v>2.984</v>
      </c>
      <c r="AF11" s="28" t="n">
        <f aca="false">AD11*AE11*$AH$2</f>
        <v>1113.3304</v>
      </c>
      <c r="AG11" s="30" t="n">
        <f aca="false">SUM(B11:J11)</f>
        <v>157</v>
      </c>
      <c r="AH11" s="31" t="n">
        <f aca="false">AE11</f>
        <v>2.984</v>
      </c>
      <c r="AI11" s="32" t="n">
        <f aca="false">AG11*AH11*$AH$2</f>
        <v>468.488</v>
      </c>
      <c r="AJ11" s="30" t="n">
        <f aca="false">SUM(K11:AA11)</f>
        <v>216.1</v>
      </c>
      <c r="AK11" s="31" t="n">
        <f aca="false">AE11</f>
        <v>2.984</v>
      </c>
      <c r="AL11" s="32" t="n">
        <f aca="false">AJ11*AK11*$AH$2</f>
        <v>644.8424</v>
      </c>
      <c r="AM11" s="30" t="n">
        <f aca="false">SUM(AB11:AB11)</f>
        <v>0</v>
      </c>
      <c r="AN11" s="31" t="n">
        <f aca="false">AE11</f>
        <v>2.984</v>
      </c>
      <c r="AO11" s="32" t="n">
        <f aca="false">AM11*AN11*$AH$2</f>
        <v>0</v>
      </c>
      <c r="AP11" s="30" t="n">
        <f aca="false">SUM(AC11:AC11)</f>
        <v>0</v>
      </c>
      <c r="AQ11" s="31" t="n">
        <f aca="false">AE11</f>
        <v>2.984</v>
      </c>
      <c r="AR11" s="32" t="n">
        <f aca="false">AP11*AQ11*$AH$2</f>
        <v>0</v>
      </c>
    </row>
    <row r="12" customFormat="false" ht="15" hidden="false" customHeight="false" outlineLevel="0" collapsed="false">
      <c r="A12" s="5" t="s">
        <v>125</v>
      </c>
      <c r="B12" s="27" t="n">
        <f aca="false">SUMIFS(Ведомость!$N$5:$N$397,Ведомость!$H$5:$H$397,20,Ведомость!$I$5:$I$397,"А500С",Ведомость!$V$5:$V$397,"Дм-1")</f>
        <v>90.7</v>
      </c>
      <c r="C12" s="27" t="n">
        <f aca="false">SUMIFS(Ведомость!$N$5:$N$397,Ведомость!$H$5:$H$397,20,Ведомость!$I$5:$I$397,"А500С",Ведомость!$V$5:$V$397,"Дм-2")</f>
        <v>28</v>
      </c>
      <c r="D12" s="27" t="n">
        <f aca="false">SUMIFS(Ведомость!$N$5:$N$397,Ведомость!$H$5:$H$397,20,Ведомость!$I$5:$I$397,"А500С",Ведомость!$V$5:$V$397,"Дм-3")</f>
        <v>32</v>
      </c>
      <c r="E12" s="27" t="n">
        <f aca="false">SUMIFS(Ведомость!$N$5:$N$397,Ведомость!$H$5:$H$397,20,Ведомость!$I$5:$I$397,"А500С",Ведомость!$V$5:$V$397,"Дм-4")</f>
        <v>40</v>
      </c>
      <c r="F12" s="27" t="n">
        <f aca="false">SUMIFS(Ведомость!$N$5:$N$397,Ведомость!$H$5:$H$397,20,Ведомость!$I$5:$I$397,"А500С",Ведомость!$V$5:$V$397,"Дм-5")</f>
        <v>32</v>
      </c>
      <c r="G12" s="27" t="n">
        <f aca="false">SUMIFS(Ведомость!$N$5:$N$397,Ведомость!$H$5:$H$397,20,Ведомость!$I$5:$I$397,"А500С",Ведомость!$V$5:$V$397,"К-А")</f>
        <v>96</v>
      </c>
      <c r="H12" s="27" t="n">
        <f aca="false">SUMIFS(Ведомость!$N$5:$N$397,Ведомость!$H$5:$H$397,20,Ведомость!$I$5:$I$397,"А500С",Ведомость!$V$5:$V$397,"К-Б")</f>
        <v>160</v>
      </c>
      <c r="I12" s="27" t="n">
        <f aca="false">SUMIFS(Ведомость!$N$5:$N$397,Ведомость!$H$5:$H$397,20,Ведомость!$I$5:$I$397,"А500С",Ведомость!$V$5:$V$397,"К-В")</f>
        <v>160</v>
      </c>
      <c r="J12" s="27" t="n">
        <f aca="false">SUMIFS(Ведомость!$N$5:$N$397,Ведомость!$H$5:$H$397,20,Ведомость!$I$5:$I$397,"А500С",Ведомость!$V$5:$V$397,"К-Г")</f>
        <v>64</v>
      </c>
      <c r="K12" s="27" t="n">
        <f aca="false">SUMIFS(Ведомость!$N$5:$N$397,Ведомость!$H$5:$H$397,20,Ведомость!$I$5:$I$397,"А500С",Ведомость!$V$5:$V$397,"Р-А")</f>
        <v>0</v>
      </c>
      <c r="L12" s="27" t="n">
        <f aca="false">SUMIFS(Ведомость!$N$5:$N$397,Ведомость!$H$5:$H$397,20,Ведомость!$I$5:$I$397,"А500С",Ведомость!$V$5:$V$397,"Р-Б")</f>
        <v>0</v>
      </c>
      <c r="M12" s="27" t="n">
        <f aca="false">SUMIFS(Ведомость!$N$5:$N$397,Ведомость!$H$5:$H$397,20,Ведомость!$I$5:$I$397,"А500С",Ведомость!$V$5:$V$397,"Р-В")</f>
        <v>0</v>
      </c>
      <c r="N12" s="27" t="n">
        <f aca="false">SUMIFS(Ведомость!$N$5:$N$397,Ведомость!$H$5:$H$397,20,Ведомость!$I$5:$I$397,"А500С",Ведомость!$V$5:$V$397,"Р-Г")</f>
        <v>0</v>
      </c>
      <c r="O12" s="27" t="n">
        <f aca="false">SUMIFS(Ведомость!$N$5:$N$397,Ведомость!$H$5:$H$397,20,Ведомость!$I$5:$I$397,"А500С",Ведомость!$V$5:$V$397,"Р-1, 5")</f>
        <v>0</v>
      </c>
      <c r="P12" s="27" t="n">
        <f aca="false">SUMIFS(Ведомость!$N$5:$N$397,Ведомость!$H$5:$H$397,20,Ведомость!$I$5:$I$397,"А500С",Ведомость!$V$5:$V$397,"Р-2")</f>
        <v>8.1</v>
      </c>
      <c r="Q12" s="27" t="n">
        <f aca="false">SUMIFS(Ведомость!$N$5:$N$397,Ведомость!$H$5:$H$397,20,Ведомость!$I$5:$I$397,"А500С",Ведомость!$V$5:$V$397,"Р-3")</f>
        <v>0</v>
      </c>
      <c r="R12" s="27" t="n">
        <f aca="false">SUMIFS(Ведомость!$N$5:$N$397,Ведомость!$H$5:$H$397,20,Ведомость!$I$5:$I$397,"А500С",Ведомость!$V$5:$V$397,"Р-4")</f>
        <v>6</v>
      </c>
      <c r="S12" s="27" t="n">
        <f aca="false">SUMIFS(Ведомость!$N$5:$N$397,Ведомость!$H$5:$H$397,20,Ведомость!$I$5:$I$397,"А500С",Ведомость!$V$5:$V$397,"Б-основная")</f>
        <v>57.04</v>
      </c>
      <c r="T12" s="27" t="n">
        <f aca="false">SUMIFS(Ведомость!$N$5:$N$397,Ведомость!$H$5:$H$397,20,Ведомость!$I$5:$I$397,"А500С",Ведомость!$V$5:$V$397,"Б-хомуты")</f>
        <v>0</v>
      </c>
      <c r="U12" s="27" t="n">
        <f aca="false">SUMIFS(Ведомость!$N$5:$N$397,Ведомость!$H$5:$H$397,20,Ведомость!$I$5:$I$397,"А500С",Ведомость!$V$5:$V$397,"Б-допник")</f>
        <v>0</v>
      </c>
      <c r="V12" s="27" t="n">
        <f aca="false">SUMIFS(Ведомость!$N$5:$N$397,Ведомость!$H$5:$H$397,20,Ведомость!$I$5:$I$397,"А500С",Ведомость!$V$5:$V$397,"П-сетка")</f>
        <v>0</v>
      </c>
      <c r="W12" s="27" t="n">
        <f aca="false">SUMIFS(Ведомость!$N$5:$N$397,Ведомость!$H$5:$H$397,20,Ведомость!$I$5:$I$397,"А500С",Ведомость!$V$5:$V$397,"П-фикс")</f>
        <v>0</v>
      </c>
      <c r="X12" s="27" t="n">
        <f aca="false">SUMIFS(Ведомость!$N$5:$N$397,Ведомость!$H$5:$H$397,20,Ведомость!$I$5:$I$397,"А500С",Ведомость!$V$5:$V$397,"П-отв")</f>
        <v>0</v>
      </c>
      <c r="Y12" s="27" t="n">
        <f aca="false">SUMIFS(Ведомость!$N$5:$N$397,Ведомость!$H$5:$H$397,20,Ведомость!$I$5:$I$397,"А500С",Ведомость!$V$5:$V$397,"П-доп-низ")</f>
        <v>0</v>
      </c>
      <c r="Z12" s="27" t="n">
        <f aca="false">SUMIFS(Ведомость!$N$5:$N$397,Ведомость!$H$5:$H$397,20,Ведомость!$I$5:$I$397,"А500С",Ведомость!$V$5:$V$397,"П-доп-верх")</f>
        <v>12</v>
      </c>
      <c r="AA12" s="27" t="n">
        <f aca="false">SUMIFS(Ведомость!$N$5:$N$397,Ведомость!$H$5:$H$397,20,Ведомость!$I$5:$I$397,"А500С",Ведомость!$V$5:$V$397,"П-край")</f>
        <v>0</v>
      </c>
      <c r="AB12" s="27" t="n">
        <f aca="false">SUMIFS(Ведомость!$N$5:$N$397,Ведомость!$H$5:$H$397,20,Ведомость!$I$5:$I$397,"А500С",Ведомость!$V$5:$V$397,"ЛВ-1")</f>
        <v>0</v>
      </c>
      <c r="AC12" s="27" t="n">
        <f aca="false">SUMIFS(Ведомость!$N$5:$N$397,Ведомость!$H$5:$H$397,20,Ведомость!$I$5:$I$397,"А500С",Ведомость!$V$5:$V$397,"С-1")</f>
        <v>0</v>
      </c>
      <c r="AD12" s="28" t="n">
        <f aca="false">SUM(B12:AC12)</f>
        <v>785.84</v>
      </c>
      <c r="AE12" s="29" t="n">
        <f aca="false">IFERROR(INDEX(Исходные!$B$18:$B$29,MATCH(20,Исходные!$A$18:$A$29,0)),0)</f>
        <v>2.466</v>
      </c>
      <c r="AF12" s="28" t="n">
        <f aca="false">AD12*AE12*$AH$2</f>
        <v>1937.88144</v>
      </c>
      <c r="AG12" s="30" t="n">
        <f aca="false">SUM(B12:J12)</f>
        <v>702.7</v>
      </c>
      <c r="AH12" s="31" t="n">
        <f aca="false">AE12</f>
        <v>2.466</v>
      </c>
      <c r="AI12" s="32" t="n">
        <f aca="false">AG12*AH12*$AH$2</f>
        <v>1732.8582</v>
      </c>
      <c r="AJ12" s="30" t="n">
        <f aca="false">SUM(K12:AA12)</f>
        <v>83.14</v>
      </c>
      <c r="AK12" s="31" t="n">
        <f aca="false">AE12</f>
        <v>2.466</v>
      </c>
      <c r="AL12" s="32" t="n">
        <f aca="false">AJ12*AK12*$AH$2</f>
        <v>205.02324</v>
      </c>
      <c r="AM12" s="30" t="n">
        <f aca="false">SUM(AB12:AB12)</f>
        <v>0</v>
      </c>
      <c r="AN12" s="31" t="n">
        <f aca="false">AE12</f>
        <v>2.466</v>
      </c>
      <c r="AO12" s="32" t="n">
        <f aca="false">AM12*AN12*$AH$2</f>
        <v>0</v>
      </c>
      <c r="AP12" s="30" t="n">
        <f aca="false">SUM(AC12:AC12)</f>
        <v>0</v>
      </c>
      <c r="AQ12" s="31" t="n">
        <f aca="false">AE12</f>
        <v>2.466</v>
      </c>
      <c r="AR12" s="32" t="n">
        <f aca="false">AP12*AQ12*$AH$2</f>
        <v>0</v>
      </c>
    </row>
    <row r="13" customFormat="false" ht="15" hidden="false" customHeight="false" outlineLevel="0" collapsed="false">
      <c r="A13" s="5" t="s">
        <v>126</v>
      </c>
      <c r="B13" s="27" t="n">
        <f aca="false">SUMIFS(Ведомость!$N$5:$N$397,Ведомость!$H$5:$H$397,18,Ведомость!$I$5:$I$397,"А500С",Ведомость!$V$5:$V$397,"Дм-1")</f>
        <v>107.496</v>
      </c>
      <c r="C13" s="27" t="n">
        <f aca="false">SUMIFS(Ведомость!$N$5:$N$397,Ведомость!$H$5:$H$397,18,Ведомость!$I$5:$I$397,"А500С",Ведомость!$V$5:$V$397,"Дм-2")</f>
        <v>0</v>
      </c>
      <c r="D13" s="27" t="n">
        <f aca="false">SUMIFS(Ведомость!$N$5:$N$397,Ведомость!$H$5:$H$397,18,Ведомость!$I$5:$I$397,"А500С",Ведомость!$V$5:$V$397,"Дм-3")</f>
        <v>18.644</v>
      </c>
      <c r="E13" s="27" t="n">
        <f aca="false">SUMIFS(Ведомость!$N$5:$N$397,Ведомость!$H$5:$H$397,18,Ведомость!$I$5:$I$397,"А500С",Ведомость!$V$5:$V$397,"Дм-4")</f>
        <v>14.5</v>
      </c>
      <c r="F13" s="27" t="n">
        <f aca="false">SUMIFS(Ведомость!$N$5:$N$397,Ведомость!$H$5:$H$397,18,Ведомость!$I$5:$I$397,"А500С",Ведомость!$V$5:$V$397,"Дм-5")</f>
        <v>0</v>
      </c>
      <c r="G13" s="27" t="n">
        <f aca="false">SUMIFS(Ведомость!$N$5:$N$397,Ведомость!$H$5:$H$397,18,Ведомость!$I$5:$I$397,"А500С",Ведомость!$V$5:$V$397,"К-А")</f>
        <v>0</v>
      </c>
      <c r="H13" s="27" t="n">
        <f aca="false">SUMIFS(Ведомость!$N$5:$N$397,Ведомость!$H$5:$H$397,18,Ведомость!$I$5:$I$397,"А500С",Ведомость!$V$5:$V$397,"К-Б")</f>
        <v>0</v>
      </c>
      <c r="I13" s="27" t="n">
        <f aca="false">SUMIFS(Ведомость!$N$5:$N$397,Ведомость!$H$5:$H$397,18,Ведомость!$I$5:$I$397,"А500С",Ведомость!$V$5:$V$397,"К-В")</f>
        <v>0</v>
      </c>
      <c r="J13" s="27" t="n">
        <f aca="false">SUMIFS(Ведомость!$N$5:$N$397,Ведомость!$H$5:$H$397,18,Ведомость!$I$5:$I$397,"А500С",Ведомость!$V$5:$V$397,"К-Г")</f>
        <v>0</v>
      </c>
      <c r="K13" s="27" t="n">
        <f aca="false">SUMIFS(Ведомость!$N$5:$N$397,Ведомость!$H$5:$H$397,18,Ведомость!$I$5:$I$397,"А500С",Ведомость!$V$5:$V$397,"Р-А")</f>
        <v>51.576</v>
      </c>
      <c r="L13" s="27" t="n">
        <f aca="false">SUMIFS(Ведомость!$N$5:$N$397,Ведомость!$H$5:$H$397,18,Ведомость!$I$5:$I$397,"А500С",Ведомость!$V$5:$V$397,"Р-Б")</f>
        <v>51.576</v>
      </c>
      <c r="M13" s="27" t="n">
        <f aca="false">SUMIFS(Ведомость!$N$5:$N$397,Ведомость!$H$5:$H$397,18,Ведомость!$I$5:$I$397,"А500С",Ведомость!$V$5:$V$397,"Р-В")</f>
        <v>51.576</v>
      </c>
      <c r="N13" s="27" t="n">
        <f aca="false">SUMIFS(Ведомость!$N$5:$N$397,Ведомость!$H$5:$H$397,18,Ведомость!$I$5:$I$397,"А500С",Ведомость!$V$5:$V$397,"Р-Г")</f>
        <v>51.576</v>
      </c>
      <c r="O13" s="27" t="n">
        <f aca="false">SUMIFS(Ведомость!$N$5:$N$397,Ведомость!$H$5:$H$397,18,Ведомость!$I$5:$I$397,"А500С",Ведомость!$V$5:$V$397,"Р-1, 5")</f>
        <v>82.576</v>
      </c>
      <c r="P13" s="27" t="n">
        <f aca="false">SUMIFS(Ведомость!$N$5:$N$397,Ведомость!$H$5:$H$397,18,Ведомость!$I$5:$I$397,"А500С",Ведомость!$V$5:$V$397,"Р-2")</f>
        <v>41.288</v>
      </c>
      <c r="Q13" s="27" t="n">
        <f aca="false">SUMIFS(Ведомость!$N$5:$N$397,Ведомость!$H$5:$H$397,18,Ведомость!$I$5:$I$397,"А500С",Ведомость!$V$5:$V$397,"Р-3")</f>
        <v>41.288</v>
      </c>
      <c r="R13" s="27" t="n">
        <f aca="false">SUMIFS(Ведомость!$N$5:$N$397,Ведомость!$H$5:$H$397,18,Ведомость!$I$5:$I$397,"А500С",Ведомость!$V$5:$V$397,"Р-4")</f>
        <v>41.288</v>
      </c>
      <c r="S13" s="27" t="n">
        <f aca="false">SUMIFS(Ведомость!$N$5:$N$397,Ведомость!$H$5:$H$397,18,Ведомость!$I$5:$I$397,"А500С",Ведомость!$V$5:$V$397,"Б-основная")</f>
        <v>0</v>
      </c>
      <c r="T13" s="27" t="n">
        <f aca="false">SUMIFS(Ведомость!$N$5:$N$397,Ведомость!$H$5:$H$397,18,Ведомость!$I$5:$I$397,"А500С",Ведомость!$V$5:$V$397,"Б-хомуты")</f>
        <v>0</v>
      </c>
      <c r="U13" s="27" t="n">
        <f aca="false">SUMIFS(Ведомость!$N$5:$N$397,Ведомость!$H$5:$H$397,18,Ведомость!$I$5:$I$397,"А500С",Ведомость!$V$5:$V$397,"Б-допник")</f>
        <v>50.4</v>
      </c>
      <c r="V13" s="27" t="n">
        <f aca="false">SUMIFS(Ведомость!$N$5:$N$397,Ведомость!$H$5:$H$397,18,Ведомость!$I$5:$I$397,"А500С",Ведомость!$V$5:$V$397,"П-сетка")</f>
        <v>0</v>
      </c>
      <c r="W13" s="27" t="n">
        <f aca="false">SUMIFS(Ведомость!$N$5:$N$397,Ведомость!$H$5:$H$397,18,Ведомость!$I$5:$I$397,"А500С",Ведомость!$V$5:$V$397,"П-фикс")</f>
        <v>0</v>
      </c>
      <c r="X13" s="27" t="n">
        <f aca="false">SUMIFS(Ведомость!$N$5:$N$397,Ведомость!$H$5:$H$397,18,Ведомость!$I$5:$I$397,"А500С",Ведомость!$V$5:$V$397,"П-отв")</f>
        <v>0</v>
      </c>
      <c r="Y13" s="27" t="n">
        <f aca="false">SUMIFS(Ведомость!$N$5:$N$397,Ведомость!$H$5:$H$397,18,Ведомость!$I$5:$I$397,"А500С",Ведомость!$V$5:$V$397,"П-доп-низ")</f>
        <v>0</v>
      </c>
      <c r="Z13" s="27" t="n">
        <f aca="false">SUMIFS(Ведомость!$N$5:$N$397,Ведомость!$H$5:$H$397,18,Ведомость!$I$5:$I$397,"А500С",Ведомость!$V$5:$V$397,"П-доп-верх")</f>
        <v>0</v>
      </c>
      <c r="AA13" s="27" t="n">
        <f aca="false">SUMIFS(Ведомость!$N$5:$N$397,Ведомость!$H$5:$H$397,18,Ведомость!$I$5:$I$397,"А500С",Ведомость!$V$5:$V$397,"П-край")</f>
        <v>0</v>
      </c>
      <c r="AB13" s="27" t="n">
        <f aca="false">SUMIFS(Ведомость!$N$5:$N$397,Ведомость!$H$5:$H$397,18,Ведомость!$I$5:$I$397,"А500С",Ведомость!$V$5:$V$397,"ЛВ-1")</f>
        <v>0</v>
      </c>
      <c r="AC13" s="27" t="n">
        <f aca="false">SUMIFS(Ведомость!$N$5:$N$397,Ведомость!$H$5:$H$397,18,Ведомость!$I$5:$I$397,"А500С",Ведомость!$V$5:$V$397,"С-1")</f>
        <v>0</v>
      </c>
      <c r="AD13" s="28" t="n">
        <f aca="false">SUM(B13:AC13)</f>
        <v>603.784</v>
      </c>
      <c r="AE13" s="29" t="n">
        <f aca="false">IFERROR(INDEX(Исходные!$B$18:$B$29,MATCH(18,Исходные!$A$18:$A$29,0)),0)</f>
        <v>1.998</v>
      </c>
      <c r="AF13" s="28" t="n">
        <f aca="false">AD13*AE13*$AH$2</f>
        <v>1206.360432</v>
      </c>
      <c r="AG13" s="30" t="n">
        <f aca="false">SUM(B13:J13)</f>
        <v>140.64</v>
      </c>
      <c r="AH13" s="31" t="n">
        <f aca="false">AE13</f>
        <v>1.998</v>
      </c>
      <c r="AI13" s="32" t="n">
        <f aca="false">AG13*AH13*$AH$2</f>
        <v>280.99872</v>
      </c>
      <c r="AJ13" s="30" t="n">
        <f aca="false">SUM(K13:AA13)</f>
        <v>463.144</v>
      </c>
      <c r="AK13" s="31" t="n">
        <f aca="false">AE13</f>
        <v>1.998</v>
      </c>
      <c r="AL13" s="32" t="n">
        <f aca="false">AJ13*AK13*$AH$2</f>
        <v>925.361712</v>
      </c>
      <c r="AM13" s="30" t="n">
        <f aca="false">SUM(AB13:AB13)</f>
        <v>0</v>
      </c>
      <c r="AN13" s="31" t="n">
        <f aca="false">AE13</f>
        <v>1.998</v>
      </c>
      <c r="AO13" s="32" t="n">
        <f aca="false">AM13*AN13*$AH$2</f>
        <v>0</v>
      </c>
      <c r="AP13" s="30" t="n">
        <f aca="false">SUM(AC13:AC13)</f>
        <v>0</v>
      </c>
      <c r="AQ13" s="31" t="n">
        <f aca="false">AE13</f>
        <v>1.998</v>
      </c>
      <c r="AR13" s="32" t="n">
        <f aca="false">AP13*AQ13*$AH$2</f>
        <v>0</v>
      </c>
    </row>
    <row r="14" customFormat="false" ht="15" hidden="false" customHeight="false" outlineLevel="0" collapsed="false">
      <c r="A14" s="5" t="s">
        <v>127</v>
      </c>
      <c r="B14" s="27" t="n">
        <f aca="false">SUMIFS(Ведомость!$N$5:$N$397,Ведомость!$H$5:$H$397,16,Ведомость!$I$5:$I$397,"А500С",Ведомость!$V$5:$V$397,"Дм-1")</f>
        <v>81</v>
      </c>
      <c r="C14" s="27" t="n">
        <f aca="false">SUMIFS(Ведомость!$N$5:$N$397,Ведомость!$H$5:$H$397,16,Ведомость!$I$5:$I$397,"А500С",Ведомость!$V$5:$V$397,"Дм-2")</f>
        <v>126</v>
      </c>
      <c r="D14" s="27" t="n">
        <f aca="false">SUMIFS(Ведомость!$N$5:$N$397,Ведомость!$H$5:$H$397,16,Ведомость!$I$5:$I$397,"А500С",Ведомость!$V$5:$V$397,"Дм-3")</f>
        <v>83</v>
      </c>
      <c r="E14" s="27" t="n">
        <f aca="false">SUMIFS(Ведомость!$N$5:$N$397,Ведомость!$H$5:$H$397,16,Ведомость!$I$5:$I$397,"А500С",Ведомость!$V$5:$V$397,"Дм-4")</f>
        <v>52.2</v>
      </c>
      <c r="F14" s="27" t="n">
        <f aca="false">SUMIFS(Ведомость!$N$5:$N$397,Ведомость!$H$5:$H$397,16,Ведомость!$I$5:$I$397,"А500С",Ведомость!$V$5:$V$397,"Дм-5")</f>
        <v>97.2</v>
      </c>
      <c r="G14" s="27" t="n">
        <f aca="false">SUMIFS(Ведомость!$N$5:$N$397,Ведомость!$H$5:$H$397,16,Ведомость!$I$5:$I$397,"А500С",Ведомость!$V$5:$V$397,"К-А")</f>
        <v>0</v>
      </c>
      <c r="H14" s="27" t="n">
        <f aca="false">SUMIFS(Ведомость!$N$5:$N$397,Ведомость!$H$5:$H$397,16,Ведомость!$I$5:$I$397,"А500С",Ведомость!$V$5:$V$397,"К-Б")</f>
        <v>0</v>
      </c>
      <c r="I14" s="27" t="n">
        <f aca="false">SUMIFS(Ведомость!$N$5:$N$397,Ведомость!$H$5:$H$397,16,Ведомость!$I$5:$I$397,"А500С",Ведомость!$V$5:$V$397,"К-В")</f>
        <v>0</v>
      </c>
      <c r="J14" s="27" t="n">
        <f aca="false">SUMIFS(Ведомость!$N$5:$N$397,Ведомость!$H$5:$H$397,16,Ведомость!$I$5:$I$397,"А500С",Ведомость!$V$5:$V$397,"К-Г")</f>
        <v>0</v>
      </c>
      <c r="K14" s="27" t="n">
        <f aca="false">SUMIFS(Ведомость!$N$5:$N$397,Ведомость!$H$5:$H$397,16,Ведомость!$I$5:$I$397,"А500С",Ведомость!$V$5:$V$397,"Р-А")</f>
        <v>77.012</v>
      </c>
      <c r="L14" s="27" t="n">
        <f aca="false">SUMIFS(Ведомость!$N$5:$N$397,Ведомость!$H$5:$H$397,16,Ведомость!$I$5:$I$397,"А500С",Ведомость!$V$5:$V$397,"Р-Б")</f>
        <v>63.112</v>
      </c>
      <c r="M14" s="27" t="n">
        <f aca="false">SUMIFS(Ведомость!$N$5:$N$397,Ведомость!$H$5:$H$397,16,Ведомость!$I$5:$I$397,"А500С",Ведомость!$V$5:$V$397,"Р-В")</f>
        <v>63.112</v>
      </c>
      <c r="N14" s="27" t="n">
        <f aca="false">SUMIFS(Ведомость!$N$5:$N$397,Ведомость!$H$5:$H$397,16,Ведомость!$I$5:$I$397,"А500С",Ведомость!$V$5:$V$397,"Р-Г")</f>
        <v>55.212</v>
      </c>
      <c r="O14" s="27" t="n">
        <f aca="false">SUMIFS(Ведомость!$N$5:$N$397,Ведомость!$H$5:$H$397,16,Ведомость!$I$5:$I$397,"А500С",Ведомость!$V$5:$V$397,"Р-1, 5")</f>
        <v>125.912</v>
      </c>
      <c r="P14" s="27" t="n">
        <f aca="false">SUMIFS(Ведомость!$N$5:$N$397,Ведомость!$H$5:$H$397,16,Ведомость!$I$5:$I$397,"А500С",Ведомость!$V$5:$V$397,"Р-2")</f>
        <v>48.456</v>
      </c>
      <c r="Q14" s="27" t="n">
        <f aca="false">SUMIFS(Ведомость!$N$5:$N$397,Ведомость!$H$5:$H$397,16,Ведомость!$I$5:$I$397,"А500С",Ведомость!$V$5:$V$397,"Р-3")</f>
        <v>56.956</v>
      </c>
      <c r="R14" s="27" t="n">
        <f aca="false">SUMIFS(Ведомость!$N$5:$N$397,Ведомость!$H$5:$H$397,16,Ведомость!$I$5:$I$397,"А500С",Ведомость!$V$5:$V$397,"Р-4")</f>
        <v>45.856</v>
      </c>
      <c r="S14" s="27" t="n">
        <f aca="false">SUMIFS(Ведомость!$N$5:$N$397,Ведомость!$H$5:$H$397,16,Ведомость!$I$5:$I$397,"А500С",Ведомость!$V$5:$V$397,"Б-основная")</f>
        <v>0</v>
      </c>
      <c r="T14" s="27" t="n">
        <f aca="false">SUMIFS(Ведомость!$N$5:$N$397,Ведомость!$H$5:$H$397,16,Ведомость!$I$5:$I$397,"А500С",Ведомость!$V$5:$V$397,"Б-хомуты")</f>
        <v>0</v>
      </c>
      <c r="U14" s="27" t="n">
        <f aca="false">SUMIFS(Ведомость!$N$5:$N$397,Ведомость!$H$5:$H$397,16,Ведомость!$I$5:$I$397,"А500С",Ведомость!$V$5:$V$397,"Б-допник")</f>
        <v>0</v>
      </c>
      <c r="V14" s="27" t="n">
        <f aca="false">SUMIFS(Ведомость!$N$5:$N$397,Ведомость!$H$5:$H$397,16,Ведомость!$I$5:$I$397,"А500С",Ведомость!$V$5:$V$397,"П-сетка")</f>
        <v>0</v>
      </c>
      <c r="W14" s="27" t="n">
        <f aca="false">SUMIFS(Ведомость!$N$5:$N$397,Ведомость!$H$5:$H$397,16,Ведомость!$I$5:$I$397,"А500С",Ведомость!$V$5:$V$397,"П-фикс")</f>
        <v>0</v>
      </c>
      <c r="X14" s="27" t="n">
        <f aca="false">SUMIFS(Ведомость!$N$5:$N$397,Ведомость!$H$5:$H$397,16,Ведомость!$I$5:$I$397,"А500С",Ведомость!$V$5:$V$397,"П-отв")</f>
        <v>0</v>
      </c>
      <c r="Y14" s="27" t="n">
        <f aca="false">SUMIFS(Ведомость!$N$5:$N$397,Ведомость!$H$5:$H$397,16,Ведомость!$I$5:$I$397,"А500С",Ведомость!$V$5:$V$397,"П-доп-низ")</f>
        <v>0</v>
      </c>
      <c r="Z14" s="27" t="n">
        <f aca="false">SUMIFS(Ведомость!$N$5:$N$397,Ведомость!$H$5:$H$397,16,Ведомость!$I$5:$I$397,"А500С",Ведомость!$V$5:$V$397,"П-доп-верх")</f>
        <v>0</v>
      </c>
      <c r="AA14" s="27" t="n">
        <f aca="false">SUMIFS(Ведомость!$N$5:$N$397,Ведомость!$H$5:$H$397,16,Ведомость!$I$5:$I$397,"А500С",Ведомость!$V$5:$V$397,"П-край")</f>
        <v>0</v>
      </c>
      <c r="AB14" s="27" t="n">
        <f aca="false">SUMIFS(Ведомость!$N$5:$N$397,Ведомость!$H$5:$H$397,16,Ведомость!$I$5:$I$397,"А500С",Ведомость!$V$5:$V$397,"ЛВ-1")</f>
        <v>0</v>
      </c>
      <c r="AC14" s="27" t="n">
        <f aca="false">SUMIFS(Ведомость!$N$5:$N$397,Ведомость!$H$5:$H$397,16,Ведомость!$I$5:$I$397,"А500С",Ведомость!$V$5:$V$397,"С-1")</f>
        <v>0</v>
      </c>
      <c r="AD14" s="28" t="n">
        <f aca="false">SUM(B14:AC14)</f>
        <v>975.028</v>
      </c>
      <c r="AE14" s="29" t="n">
        <f aca="false">IFERROR(INDEX(Исходные!$B$18:$B$29,MATCH(16,Исходные!$A$18:$A$29,0)),0)</f>
        <v>1.578</v>
      </c>
      <c r="AF14" s="28" t="n">
        <f aca="false">AD14*AE14*$AH$2</f>
        <v>1538.594184</v>
      </c>
      <c r="AG14" s="30" t="n">
        <f aca="false">SUM(B14:J14)</f>
        <v>439.4</v>
      </c>
      <c r="AH14" s="31" t="n">
        <f aca="false">AE14</f>
        <v>1.578</v>
      </c>
      <c r="AI14" s="32" t="n">
        <f aca="false">AG14*AH14*$AH$2</f>
        <v>693.3732</v>
      </c>
      <c r="AJ14" s="30" t="n">
        <f aca="false">SUM(K14:AA14)</f>
        <v>535.628</v>
      </c>
      <c r="AK14" s="31" t="n">
        <f aca="false">AE14</f>
        <v>1.578</v>
      </c>
      <c r="AL14" s="32" t="n">
        <f aca="false">AJ14*AK14*$AH$2</f>
        <v>845.220984</v>
      </c>
      <c r="AM14" s="30" t="n">
        <f aca="false">SUM(AB14:AB14)</f>
        <v>0</v>
      </c>
      <c r="AN14" s="31" t="n">
        <f aca="false">AE14</f>
        <v>1.578</v>
      </c>
      <c r="AO14" s="32" t="n">
        <f aca="false">AM14*AN14*$AH$2</f>
        <v>0</v>
      </c>
      <c r="AP14" s="30" t="n">
        <f aca="false">SUM(AC14:AC14)</f>
        <v>0</v>
      </c>
      <c r="AQ14" s="31" t="n">
        <f aca="false">AE14</f>
        <v>1.578</v>
      </c>
      <c r="AR14" s="32" t="n">
        <f aca="false">AP14*AQ14*$AH$2</f>
        <v>0</v>
      </c>
    </row>
    <row r="15" customFormat="false" ht="15" hidden="false" customHeight="false" outlineLevel="0" collapsed="false">
      <c r="A15" s="5" t="s">
        <v>128</v>
      </c>
      <c r="B15" s="27" t="n">
        <f aca="false">SUMIFS(Ведомость!$N$5:$N$397,Ведомость!$H$5:$H$397,14,Ведомость!$I$5:$I$397,"А500С",Ведомость!$V$5:$V$397,"Дм-1")</f>
        <v>0</v>
      </c>
      <c r="C15" s="27" t="n">
        <f aca="false">SUMIFS(Ведомость!$N$5:$N$397,Ведомость!$H$5:$H$397,14,Ведомость!$I$5:$I$397,"А500С",Ведомость!$V$5:$V$397,"Дм-2")</f>
        <v>0</v>
      </c>
      <c r="D15" s="27" t="n">
        <f aca="false">SUMIFS(Ведомость!$N$5:$N$397,Ведомость!$H$5:$H$397,14,Ведомость!$I$5:$I$397,"А500С",Ведомость!$V$5:$V$397,"Дм-3")</f>
        <v>52.2</v>
      </c>
      <c r="E15" s="27" t="n">
        <f aca="false">SUMIFS(Ведомость!$N$5:$N$397,Ведомость!$H$5:$H$397,14,Ведомость!$I$5:$I$397,"А500С",Ведомость!$V$5:$V$397,"Дм-4")</f>
        <v>0</v>
      </c>
      <c r="F15" s="27" t="n">
        <f aca="false">SUMIFS(Ведомость!$N$5:$N$397,Ведомость!$H$5:$H$397,14,Ведомость!$I$5:$I$397,"А500С",Ведомость!$V$5:$V$397,"Дм-5")</f>
        <v>8.7</v>
      </c>
      <c r="G15" s="27" t="n">
        <f aca="false">SUMIFS(Ведомость!$N$5:$N$397,Ведомость!$H$5:$H$397,14,Ведомость!$I$5:$I$397,"А500С",Ведомость!$V$5:$V$397,"К-А")</f>
        <v>0</v>
      </c>
      <c r="H15" s="27" t="n">
        <f aca="false">SUMIFS(Ведомость!$N$5:$N$397,Ведомость!$H$5:$H$397,14,Ведомость!$I$5:$I$397,"А500С",Ведомость!$V$5:$V$397,"К-Б")</f>
        <v>0</v>
      </c>
      <c r="I15" s="27" t="n">
        <f aca="false">SUMIFS(Ведомость!$N$5:$N$397,Ведомость!$H$5:$H$397,14,Ведомость!$I$5:$I$397,"А500С",Ведомость!$V$5:$V$397,"К-В")</f>
        <v>0</v>
      </c>
      <c r="J15" s="27" t="n">
        <f aca="false">SUMIFS(Ведомость!$N$5:$N$397,Ведомость!$H$5:$H$397,14,Ведомость!$I$5:$I$397,"А500С",Ведомость!$V$5:$V$397,"К-Г")</f>
        <v>0</v>
      </c>
      <c r="K15" s="27" t="n">
        <f aca="false">SUMIFS(Ведомость!$N$5:$N$397,Ведомость!$H$5:$H$397,14,Ведомость!$I$5:$I$397,"А500С",Ведомость!$V$5:$V$397,"Р-А")</f>
        <v>0</v>
      </c>
      <c r="L15" s="27" t="n">
        <f aca="false">SUMIFS(Ведомость!$N$5:$N$397,Ведомость!$H$5:$H$397,14,Ведомость!$I$5:$I$397,"А500С",Ведомость!$V$5:$V$397,"Р-Б")</f>
        <v>14.8</v>
      </c>
      <c r="M15" s="27" t="n">
        <f aca="false">SUMIFS(Ведомость!$N$5:$N$397,Ведомость!$H$5:$H$397,14,Ведомость!$I$5:$I$397,"А500С",Ведомость!$V$5:$V$397,"Р-В")</f>
        <v>32</v>
      </c>
      <c r="N15" s="27" t="n">
        <f aca="false">SUMIFS(Ведомость!$N$5:$N$397,Ведомость!$H$5:$H$397,14,Ведомость!$I$5:$I$397,"А500С",Ведомость!$V$5:$V$397,"Р-Г")</f>
        <v>0</v>
      </c>
      <c r="O15" s="27" t="n">
        <f aca="false">SUMIFS(Ведомость!$N$5:$N$397,Ведомость!$H$5:$H$397,14,Ведомость!$I$5:$I$397,"А500С",Ведомость!$V$5:$V$397,"Р-1, 5")</f>
        <v>0</v>
      </c>
      <c r="P15" s="27" t="n">
        <f aca="false">SUMIFS(Ведомость!$N$5:$N$397,Ведомость!$H$5:$H$397,14,Ведомость!$I$5:$I$397,"А500С",Ведомость!$V$5:$V$397,"Р-2")</f>
        <v>36.7</v>
      </c>
      <c r="Q15" s="27" t="n">
        <f aca="false">SUMIFS(Ведомость!$N$5:$N$397,Ведомость!$H$5:$H$397,14,Ведомость!$I$5:$I$397,"А500С",Ведомость!$V$5:$V$397,"Р-3")</f>
        <v>0</v>
      </c>
      <c r="R15" s="27" t="n">
        <f aca="false">SUMIFS(Ведомость!$N$5:$N$397,Ведомость!$H$5:$H$397,14,Ведомость!$I$5:$I$397,"А500С",Ведомость!$V$5:$V$397,"Р-4")</f>
        <v>0</v>
      </c>
      <c r="S15" s="27" t="n">
        <f aca="false">SUMIFS(Ведомость!$N$5:$N$397,Ведомость!$H$5:$H$397,14,Ведомость!$I$5:$I$397,"А500С",Ведомость!$V$5:$V$397,"Б-основная")</f>
        <v>0</v>
      </c>
      <c r="T15" s="27" t="n">
        <f aca="false">SUMIFS(Ведомость!$N$5:$N$397,Ведомость!$H$5:$H$397,14,Ведомость!$I$5:$I$397,"А500С",Ведомость!$V$5:$V$397,"Б-хомуты")</f>
        <v>0</v>
      </c>
      <c r="U15" s="27" t="n">
        <f aca="false">SUMIFS(Ведомость!$N$5:$N$397,Ведомость!$H$5:$H$397,14,Ведомость!$I$5:$I$397,"А500С",Ведомость!$V$5:$V$397,"Б-допник")</f>
        <v>0</v>
      </c>
      <c r="V15" s="27" t="n">
        <f aca="false">SUMIFS(Ведомость!$N$5:$N$397,Ведомость!$H$5:$H$397,14,Ведомость!$I$5:$I$397,"А500С",Ведомость!$V$5:$V$397,"П-сетка")</f>
        <v>0</v>
      </c>
      <c r="W15" s="27" t="n">
        <f aca="false">SUMIFS(Ведомость!$N$5:$N$397,Ведомость!$H$5:$H$397,14,Ведомость!$I$5:$I$397,"А500С",Ведомость!$V$5:$V$397,"П-фикс")</f>
        <v>0</v>
      </c>
      <c r="X15" s="27" t="n">
        <f aca="false">SUMIFS(Ведомость!$N$5:$N$397,Ведомость!$H$5:$H$397,14,Ведомость!$I$5:$I$397,"А500С",Ведомость!$V$5:$V$397,"П-отв")</f>
        <v>0</v>
      </c>
      <c r="Y15" s="27" t="n">
        <f aca="false">SUMIFS(Ведомость!$N$5:$N$397,Ведомость!$H$5:$H$397,14,Ведомость!$I$5:$I$397,"А500С",Ведомость!$V$5:$V$397,"П-доп-низ")</f>
        <v>0</v>
      </c>
      <c r="Z15" s="27" t="n">
        <f aca="false">SUMIFS(Ведомость!$N$5:$N$397,Ведомость!$H$5:$H$397,14,Ведомость!$I$5:$I$397,"А500С",Ведомость!$V$5:$V$397,"П-доп-верх")</f>
        <v>0</v>
      </c>
      <c r="AA15" s="27" t="n">
        <f aca="false">SUMIFS(Ведомость!$N$5:$N$397,Ведомость!$H$5:$H$397,14,Ведомость!$I$5:$I$397,"А500С",Ведомость!$V$5:$V$397,"П-край")</f>
        <v>96.06</v>
      </c>
      <c r="AB15" s="27" t="n">
        <f aca="false">SUMIFS(Ведомость!$N$5:$N$397,Ведомость!$H$5:$H$397,14,Ведомость!$I$5:$I$397,"А500С",Ведомость!$V$5:$V$397,"ЛВ-1")</f>
        <v>0</v>
      </c>
      <c r="AC15" s="27" t="n">
        <f aca="false">SUMIFS(Ведомость!$N$5:$N$397,Ведомость!$H$5:$H$397,14,Ведомость!$I$5:$I$397,"А500С",Ведомость!$V$5:$V$397,"С-1")</f>
        <v>0</v>
      </c>
      <c r="AD15" s="28" t="n">
        <f aca="false">SUM(B15:AC15)</f>
        <v>240.46</v>
      </c>
      <c r="AE15" s="29" t="n">
        <f aca="false">IFERROR(INDEX(Исходные!$B$18:$B$29,MATCH(14,Исходные!$A$18:$A$29,0)),0)</f>
        <v>1.208</v>
      </c>
      <c r="AF15" s="28" t="n">
        <f aca="false">AD15*AE15*$AH$2</f>
        <v>290.47568</v>
      </c>
      <c r="AG15" s="30" t="n">
        <f aca="false">SUM(B15:J15)</f>
        <v>60.9</v>
      </c>
      <c r="AH15" s="31" t="n">
        <f aca="false">AE15</f>
        <v>1.208</v>
      </c>
      <c r="AI15" s="32" t="n">
        <f aca="false">AG15*AH15*$AH$2</f>
        <v>73.5672</v>
      </c>
      <c r="AJ15" s="30" t="n">
        <f aca="false">SUM(K15:AA15)</f>
        <v>179.56</v>
      </c>
      <c r="AK15" s="31" t="n">
        <f aca="false">AE15</f>
        <v>1.208</v>
      </c>
      <c r="AL15" s="32" t="n">
        <f aca="false">AJ15*AK15*$AH$2</f>
        <v>216.90848</v>
      </c>
      <c r="AM15" s="30" t="n">
        <f aca="false">SUM(AB15:AB15)</f>
        <v>0</v>
      </c>
      <c r="AN15" s="31" t="n">
        <f aca="false">AE15</f>
        <v>1.208</v>
      </c>
      <c r="AO15" s="32" t="n">
        <f aca="false">AM15*AN15*$AH$2</f>
        <v>0</v>
      </c>
      <c r="AP15" s="30" t="n">
        <f aca="false">SUM(AC15:AC15)</f>
        <v>0</v>
      </c>
      <c r="AQ15" s="31" t="n">
        <f aca="false">AE15</f>
        <v>1.208</v>
      </c>
      <c r="AR15" s="32" t="n">
        <f aca="false">AP15*AQ15*$AH$2</f>
        <v>0</v>
      </c>
    </row>
    <row r="16" customFormat="false" ht="15" hidden="false" customHeight="false" outlineLevel="0" collapsed="false">
      <c r="A16" s="5" t="s">
        <v>129</v>
      </c>
      <c r="B16" s="27" t="n">
        <f aca="false">SUMIFS(Ведомость!$N$5:$N$397,Ведомость!$H$5:$H$397,12,Ведомость!$I$5:$I$397,"А500С",Ведомость!$V$5:$V$397,"Дм-1")</f>
        <v>0</v>
      </c>
      <c r="C16" s="27" t="n">
        <f aca="false">SUMIFS(Ведомость!$N$5:$N$397,Ведомость!$H$5:$H$397,12,Ведомость!$I$5:$I$397,"А500С",Ведомость!$V$5:$V$397,"Дм-2")</f>
        <v>0</v>
      </c>
      <c r="D16" s="27" t="n">
        <f aca="false">SUMIFS(Ведомость!$N$5:$N$397,Ведомость!$H$5:$H$397,12,Ведомость!$I$5:$I$397,"А500С",Ведомость!$V$5:$V$397,"Дм-3")</f>
        <v>0</v>
      </c>
      <c r="E16" s="27" t="n">
        <f aca="false">SUMIFS(Ведомость!$N$5:$N$397,Ведомость!$H$5:$H$397,12,Ведомость!$I$5:$I$397,"А500С",Ведомость!$V$5:$V$397,"Дм-4")</f>
        <v>0</v>
      </c>
      <c r="F16" s="27" t="n">
        <f aca="false">SUMIFS(Ведомость!$N$5:$N$397,Ведомость!$H$5:$H$397,12,Ведомость!$I$5:$I$397,"А500С",Ведомость!$V$5:$V$397,"Дм-5")</f>
        <v>0</v>
      </c>
      <c r="G16" s="27" t="n">
        <f aca="false">SUMIFS(Ведомость!$N$5:$N$397,Ведомость!$H$5:$H$397,12,Ведомость!$I$5:$I$397,"А500С",Ведомость!$V$5:$V$397,"К-А")</f>
        <v>0</v>
      </c>
      <c r="H16" s="27" t="n">
        <f aca="false">SUMIFS(Ведомость!$N$5:$N$397,Ведомость!$H$5:$H$397,12,Ведомость!$I$5:$I$397,"А500С",Ведомость!$V$5:$V$397,"К-Б")</f>
        <v>0</v>
      </c>
      <c r="I16" s="27" t="n">
        <f aca="false">SUMIFS(Ведомость!$N$5:$N$397,Ведомость!$H$5:$H$397,12,Ведомость!$I$5:$I$397,"А500С",Ведомость!$V$5:$V$397,"К-В")</f>
        <v>0</v>
      </c>
      <c r="J16" s="27" t="n">
        <f aca="false">SUMIFS(Ведомость!$N$5:$N$397,Ведомость!$H$5:$H$397,12,Ведомость!$I$5:$I$397,"А500С",Ведомость!$V$5:$V$397,"К-Г")</f>
        <v>0</v>
      </c>
      <c r="K16" s="27" t="n">
        <f aca="false">SUMIFS(Ведомость!$N$5:$N$397,Ведомость!$H$5:$H$397,12,Ведомость!$I$5:$I$397,"А500С",Ведомость!$V$5:$V$397,"Р-А")</f>
        <v>0</v>
      </c>
      <c r="L16" s="27" t="n">
        <f aca="false">SUMIFS(Ведомость!$N$5:$N$397,Ведомость!$H$5:$H$397,12,Ведомость!$I$5:$I$397,"А500С",Ведомость!$V$5:$V$397,"Р-Б")</f>
        <v>28.4</v>
      </c>
      <c r="M16" s="27" t="n">
        <f aca="false">SUMIFS(Ведомость!$N$5:$N$397,Ведомость!$H$5:$H$397,12,Ведомость!$I$5:$I$397,"А500С",Ведомость!$V$5:$V$397,"Р-В")</f>
        <v>68.784</v>
      </c>
      <c r="N16" s="27" t="n">
        <f aca="false">SUMIFS(Ведомость!$N$5:$N$397,Ведомость!$H$5:$H$397,12,Ведомость!$I$5:$I$397,"А500С",Ведомость!$V$5:$V$397,"Р-Г")</f>
        <v>0</v>
      </c>
      <c r="O16" s="27" t="n">
        <f aca="false">SUMIFS(Ведомость!$N$5:$N$397,Ведомость!$H$5:$H$397,12,Ведомость!$I$5:$I$397,"А500С",Ведомость!$V$5:$V$397,"Р-1, 5")</f>
        <v>16.4</v>
      </c>
      <c r="P16" s="27" t="n">
        <f aca="false">SUMIFS(Ведомость!$N$5:$N$397,Ведомость!$H$5:$H$397,12,Ведомость!$I$5:$I$397,"А500С",Ведомость!$V$5:$V$397,"Р-2")</f>
        <v>0</v>
      </c>
      <c r="Q16" s="27" t="n">
        <f aca="false">SUMIFS(Ведомость!$N$5:$N$397,Ведомость!$H$5:$H$397,12,Ведомость!$I$5:$I$397,"А500С",Ведомость!$V$5:$V$397,"Р-3")</f>
        <v>38.6</v>
      </c>
      <c r="R16" s="27" t="n">
        <f aca="false">SUMIFS(Ведомость!$N$5:$N$397,Ведомость!$H$5:$H$397,12,Ведомость!$I$5:$I$397,"А500С",Ведомость!$V$5:$V$397,"Р-4")</f>
        <v>46.8</v>
      </c>
      <c r="S16" s="27" t="n">
        <f aca="false">SUMIFS(Ведомость!$N$5:$N$397,Ведомость!$H$5:$H$397,12,Ведомость!$I$5:$I$397,"А500С",Ведомость!$V$5:$V$397,"Б-основная")</f>
        <v>0</v>
      </c>
      <c r="T16" s="27" t="n">
        <f aca="false">SUMIFS(Ведомость!$N$5:$N$397,Ведомость!$H$5:$H$397,12,Ведомость!$I$5:$I$397,"А500С",Ведомость!$V$5:$V$397,"Б-хомуты")</f>
        <v>0</v>
      </c>
      <c r="U16" s="27" t="n">
        <f aca="false">SUMIFS(Ведомость!$N$5:$N$397,Ведомость!$H$5:$H$397,12,Ведомость!$I$5:$I$397,"А500С",Ведомость!$V$5:$V$397,"Б-допник")</f>
        <v>0</v>
      </c>
      <c r="V16" s="27" t="n">
        <f aca="false">SUMIFS(Ведомость!$N$5:$N$397,Ведомость!$H$5:$H$397,12,Ведомость!$I$5:$I$397,"А500С",Ведомость!$V$5:$V$397,"П-сетка")</f>
        <v>0</v>
      </c>
      <c r="W16" s="27" t="n">
        <f aca="false">SUMIFS(Ведомость!$N$5:$N$397,Ведомость!$H$5:$H$397,12,Ведомость!$I$5:$I$397,"А500С",Ведомость!$V$5:$V$397,"П-фикс")</f>
        <v>0</v>
      </c>
      <c r="X16" s="27" t="n">
        <f aca="false">SUMIFS(Ведомость!$N$5:$N$397,Ведомость!$H$5:$H$397,12,Ведомость!$I$5:$I$397,"А500С",Ведомость!$V$5:$V$397,"П-отв")</f>
        <v>0</v>
      </c>
      <c r="Y16" s="27" t="n">
        <f aca="false">SUMIFS(Ведомость!$N$5:$N$397,Ведомость!$H$5:$H$397,12,Ведомость!$I$5:$I$397,"А500С",Ведомость!$V$5:$V$397,"П-доп-низ")</f>
        <v>0</v>
      </c>
      <c r="Z16" s="27" t="n">
        <f aca="false">SUMIFS(Ведомость!$N$5:$N$397,Ведомость!$H$5:$H$397,12,Ведомость!$I$5:$I$397,"А500С",Ведомость!$V$5:$V$397,"П-доп-верх")</f>
        <v>43.2</v>
      </c>
      <c r="AA16" s="27" t="n">
        <f aca="false">SUMIFS(Ведомость!$N$5:$N$397,Ведомость!$H$5:$H$397,12,Ведомость!$I$5:$I$397,"А500С",Ведомость!$V$5:$V$397,"П-край")</f>
        <v>0</v>
      </c>
      <c r="AB16" s="27" t="n">
        <f aca="false">SUMIFS(Ведомость!$N$5:$N$397,Ведомость!$H$5:$H$397,12,Ведомость!$I$5:$I$397,"А500С",Ведомость!$V$5:$V$397,"ЛВ-1")</f>
        <v>0</v>
      </c>
      <c r="AC16" s="27" t="n">
        <f aca="false">SUMIFS(Ведомость!$N$5:$N$397,Ведомость!$H$5:$H$397,12,Ведомость!$I$5:$I$397,"А500С",Ведомость!$V$5:$V$397,"С-1")</f>
        <v>0</v>
      </c>
      <c r="AD16" s="28" t="n">
        <f aca="false">SUM(B16:AC16)</f>
        <v>242.184</v>
      </c>
      <c r="AE16" s="29" t="n">
        <f aca="false">IFERROR(INDEX(Исходные!$B$18:$B$29,MATCH(12,Исходные!$A$18:$A$29,0)),0)</f>
        <v>0.888</v>
      </c>
      <c r="AF16" s="28" t="n">
        <f aca="false">AD16*AE16*$AH$2</f>
        <v>215.059392</v>
      </c>
      <c r="AG16" s="30" t="n">
        <f aca="false">SUM(B16:J16)</f>
        <v>0</v>
      </c>
      <c r="AH16" s="31" t="n">
        <f aca="false">AE16</f>
        <v>0.888</v>
      </c>
      <c r="AI16" s="32" t="n">
        <f aca="false">AG16*AH16*$AH$2</f>
        <v>0</v>
      </c>
      <c r="AJ16" s="30" t="n">
        <f aca="false">SUM(K16:AA16)</f>
        <v>242.184</v>
      </c>
      <c r="AK16" s="31" t="n">
        <f aca="false">AE16</f>
        <v>0.888</v>
      </c>
      <c r="AL16" s="32" t="n">
        <f aca="false">AJ16*AK16*$AH$2</f>
        <v>215.059392</v>
      </c>
      <c r="AM16" s="30" t="n">
        <f aca="false">SUM(AB16:AB16)</f>
        <v>0</v>
      </c>
      <c r="AN16" s="31" t="n">
        <f aca="false">AE16</f>
        <v>0.888</v>
      </c>
      <c r="AO16" s="32" t="n">
        <f aca="false">AM16*AN16*$AH$2</f>
        <v>0</v>
      </c>
      <c r="AP16" s="30" t="n">
        <f aca="false">SUM(AC16:AC16)</f>
        <v>0</v>
      </c>
      <c r="AQ16" s="31" t="n">
        <f aca="false">AE16</f>
        <v>0.888</v>
      </c>
      <c r="AR16" s="32" t="n">
        <f aca="false">AP16*AQ16*$AH$2</f>
        <v>0</v>
      </c>
    </row>
    <row r="17" customFormat="false" ht="15" hidden="false" customHeight="false" outlineLevel="0" collapsed="false">
      <c r="A17" s="5" t="s">
        <v>130</v>
      </c>
      <c r="B17" s="27" t="n">
        <f aca="false">SUMIFS(Ведомость!$N$5:$N$397,Ведомость!$H$5:$H$397,10,Ведомость!$I$5:$I$397,"А500С",Ведомость!$V$5:$V$397,"Дм-1")</f>
        <v>4.8</v>
      </c>
      <c r="C17" s="27" t="n">
        <f aca="false">SUMIFS(Ведомость!$N$5:$N$397,Ведомость!$H$5:$H$397,10,Ведомость!$I$5:$I$397,"А500С",Ведомость!$V$5:$V$397,"Дм-2")</f>
        <v>0</v>
      </c>
      <c r="D17" s="27" t="n">
        <f aca="false">SUMIFS(Ведомость!$N$5:$N$397,Ведомость!$H$5:$H$397,10,Ведомость!$I$5:$I$397,"А500С",Ведомость!$V$5:$V$397,"Дм-3")</f>
        <v>0</v>
      </c>
      <c r="E17" s="27" t="n">
        <f aca="false">SUMIFS(Ведомость!$N$5:$N$397,Ведомость!$H$5:$H$397,10,Ведомость!$I$5:$I$397,"А500С",Ведомость!$V$5:$V$397,"Дм-4")</f>
        <v>0</v>
      </c>
      <c r="F17" s="27" t="n">
        <f aca="false">SUMIFS(Ведомость!$N$5:$N$397,Ведомость!$H$5:$H$397,10,Ведомость!$I$5:$I$397,"А500С",Ведомость!$V$5:$V$397,"Дм-5")</f>
        <v>7.5</v>
      </c>
      <c r="G17" s="27" t="n">
        <f aca="false">SUMIFS(Ведомость!$N$5:$N$397,Ведомость!$H$5:$H$397,10,Ведомость!$I$5:$I$397,"А500С",Ведомость!$V$5:$V$397,"К-А")</f>
        <v>0</v>
      </c>
      <c r="H17" s="27" t="n">
        <f aca="false">SUMIFS(Ведомость!$N$5:$N$397,Ведомость!$H$5:$H$397,10,Ведомость!$I$5:$I$397,"А500С",Ведомость!$V$5:$V$397,"К-Б")</f>
        <v>0</v>
      </c>
      <c r="I17" s="27" t="n">
        <f aca="false">SUMIFS(Ведомость!$N$5:$N$397,Ведомость!$H$5:$H$397,10,Ведомость!$I$5:$I$397,"А500С",Ведомость!$V$5:$V$397,"К-В")</f>
        <v>0</v>
      </c>
      <c r="J17" s="27" t="n">
        <f aca="false">SUMIFS(Ведомость!$N$5:$N$397,Ведомость!$H$5:$H$397,10,Ведомость!$I$5:$I$397,"А500С",Ведомость!$V$5:$V$397,"К-Г")</f>
        <v>0</v>
      </c>
      <c r="K17" s="27" t="n">
        <f aca="false">SUMIFS(Ведомость!$N$5:$N$397,Ведомость!$H$5:$H$397,10,Ведомость!$I$5:$I$397,"А500С",Ведомость!$V$5:$V$397,"Р-А")</f>
        <v>0</v>
      </c>
      <c r="L17" s="27" t="n">
        <f aca="false">SUMIFS(Ведомость!$N$5:$N$397,Ведомость!$H$5:$H$397,10,Ведомость!$I$5:$I$397,"А500С",Ведомость!$V$5:$V$397,"Р-Б")</f>
        <v>0</v>
      </c>
      <c r="M17" s="27" t="n">
        <f aca="false">SUMIFS(Ведомость!$N$5:$N$397,Ведомость!$H$5:$H$397,10,Ведомость!$I$5:$I$397,"А500С",Ведомость!$V$5:$V$397,"Р-В")</f>
        <v>0</v>
      </c>
      <c r="N17" s="27" t="n">
        <f aca="false">SUMIFS(Ведомость!$N$5:$N$397,Ведомость!$H$5:$H$397,10,Ведомость!$I$5:$I$397,"А500С",Ведомость!$V$5:$V$397,"Р-Г")</f>
        <v>0</v>
      </c>
      <c r="O17" s="27" t="n">
        <f aca="false">SUMIFS(Ведомость!$N$5:$N$397,Ведомость!$H$5:$H$397,10,Ведомость!$I$5:$I$397,"А500С",Ведомость!$V$5:$V$397,"Р-1, 5")</f>
        <v>0</v>
      </c>
      <c r="P17" s="27" t="n">
        <f aca="false">SUMIFS(Ведомость!$N$5:$N$397,Ведомость!$H$5:$H$397,10,Ведомость!$I$5:$I$397,"А500С",Ведомость!$V$5:$V$397,"Р-2")</f>
        <v>0</v>
      </c>
      <c r="Q17" s="27" t="n">
        <f aca="false">SUMIFS(Ведомость!$N$5:$N$397,Ведомость!$H$5:$H$397,10,Ведомость!$I$5:$I$397,"А500С",Ведомость!$V$5:$V$397,"Р-3")</f>
        <v>0</v>
      </c>
      <c r="R17" s="27" t="n">
        <f aca="false">SUMIFS(Ведомость!$N$5:$N$397,Ведомость!$H$5:$H$397,10,Ведомость!$I$5:$I$397,"А500С",Ведомость!$V$5:$V$397,"Р-4")</f>
        <v>0</v>
      </c>
      <c r="S17" s="27" t="n">
        <f aca="false">SUMIFS(Ведомость!$N$5:$N$397,Ведомость!$H$5:$H$397,10,Ведомость!$I$5:$I$397,"А500С",Ведомость!$V$5:$V$397,"Б-основная")</f>
        <v>0</v>
      </c>
      <c r="T17" s="27" t="n">
        <f aca="false">SUMIFS(Ведомость!$N$5:$N$397,Ведомость!$H$5:$H$397,10,Ведомость!$I$5:$I$397,"А500С",Ведомость!$V$5:$V$397,"Б-хомуты")</f>
        <v>0</v>
      </c>
      <c r="U17" s="27" t="n">
        <f aca="false">SUMIFS(Ведомость!$N$5:$N$397,Ведомость!$H$5:$H$397,10,Ведомость!$I$5:$I$397,"А500С",Ведомость!$V$5:$V$397,"Б-допник")</f>
        <v>0</v>
      </c>
      <c r="V17" s="27" t="n">
        <f aca="false">SUMIFS(Ведомость!$N$5:$N$397,Ведомость!$H$5:$H$397,10,Ведомость!$I$5:$I$397,"А500С",Ведомость!$V$5:$V$397,"П-сетка")</f>
        <v>11113.06</v>
      </c>
      <c r="W17" s="27" t="n">
        <f aca="false">SUMIFS(Ведомость!$N$5:$N$397,Ведомость!$H$5:$H$397,10,Ведомость!$I$5:$I$397,"А500С",Ведомость!$V$5:$V$397,"П-фикс")</f>
        <v>0</v>
      </c>
      <c r="X17" s="27" t="n">
        <f aca="false">SUMIFS(Ведомость!$N$5:$N$397,Ведомость!$H$5:$H$397,10,Ведомость!$I$5:$I$397,"А500С",Ведомость!$V$5:$V$397,"П-отв")</f>
        <v>0</v>
      </c>
      <c r="Y17" s="27" t="n">
        <f aca="false">SUMIFS(Ведомость!$N$5:$N$397,Ведомость!$H$5:$H$397,10,Ведомость!$I$5:$I$397,"А500С",Ведомость!$V$5:$V$397,"П-доп-низ")</f>
        <v>393</v>
      </c>
      <c r="Z17" s="27" t="n">
        <f aca="false">SUMIFS(Ведомость!$N$5:$N$397,Ведомость!$H$5:$H$397,10,Ведомость!$I$5:$I$397,"А500С",Ведомость!$V$5:$V$397,"П-доп-верх")</f>
        <v>529</v>
      </c>
      <c r="AA17" s="27" t="n">
        <f aca="false">SUMIFS(Ведомость!$N$5:$N$397,Ведомость!$H$5:$H$397,10,Ведомость!$I$5:$I$397,"А500С",Ведомость!$V$5:$V$397,"П-край")</f>
        <v>0</v>
      </c>
      <c r="AB17" s="27" t="n">
        <f aca="false">SUMIFS(Ведомость!$N$5:$N$397,Ведомость!$H$5:$H$397,10,Ведомость!$I$5:$I$397,"А500С",Ведомость!$V$5:$V$397,"ЛВ-1")</f>
        <v>0</v>
      </c>
      <c r="AC17" s="27" t="n">
        <f aca="false">SUMIFS(Ведомость!$N$5:$N$397,Ведомость!$H$5:$H$397,10,Ведомость!$I$5:$I$397,"А500С",Ведомость!$V$5:$V$397,"С-1")</f>
        <v>957.6</v>
      </c>
      <c r="AD17" s="28" t="n">
        <f aca="false">SUM(B17:AC17)</f>
        <v>13004.96</v>
      </c>
      <c r="AE17" s="29" t="n">
        <f aca="false">IFERROR(INDEX(Исходные!$B$18:$B$29,MATCH(10,Исходные!$A$18:$A$29,0)),0)</f>
        <v>0.617</v>
      </c>
      <c r="AF17" s="28" t="n">
        <f aca="false">AD17*AE17*$AH$2</f>
        <v>8024.06032</v>
      </c>
      <c r="AG17" s="30" t="n">
        <f aca="false">SUM(B17:J17)</f>
        <v>12.3</v>
      </c>
      <c r="AH17" s="31" t="n">
        <f aca="false">AE17</f>
        <v>0.617</v>
      </c>
      <c r="AI17" s="32" t="n">
        <f aca="false">AG17*AH17*$AH$2</f>
        <v>7.5891</v>
      </c>
      <c r="AJ17" s="30" t="n">
        <f aca="false">SUM(K17:AA17)</f>
        <v>12035.06</v>
      </c>
      <c r="AK17" s="31" t="n">
        <f aca="false">AE17</f>
        <v>0.617</v>
      </c>
      <c r="AL17" s="32" t="n">
        <f aca="false">AJ17*AK17*$AH$2</f>
        <v>7425.63202</v>
      </c>
      <c r="AM17" s="30" t="n">
        <f aca="false">SUM(AB17:AB17)</f>
        <v>0</v>
      </c>
      <c r="AN17" s="31" t="n">
        <f aca="false">AE17</f>
        <v>0.617</v>
      </c>
      <c r="AO17" s="32" t="n">
        <f aca="false">AM17*AN17*$AH$2</f>
        <v>0</v>
      </c>
      <c r="AP17" s="30" t="n">
        <f aca="false">SUM(AC17:AC17)</f>
        <v>957.6</v>
      </c>
      <c r="AQ17" s="31" t="n">
        <f aca="false">AE17</f>
        <v>0.617</v>
      </c>
      <c r="AR17" s="32" t="n">
        <f aca="false">AP17*AQ17*$AH$2</f>
        <v>590.8392</v>
      </c>
    </row>
    <row r="18" customFormat="false" ht="15" hidden="false" customHeight="false" outlineLevel="0" collapsed="false">
      <c r="A18" s="5" t="s">
        <v>131</v>
      </c>
      <c r="B18" s="27" t="n">
        <f aca="false">SUMIFS(Ведомость!$N$5:$N$397,Ведомость!$H$5:$H$397,8,Ведомость!$I$5:$I$397,"А500С",Ведомость!$V$5:$V$397,"Дм-1")</f>
        <v>0</v>
      </c>
      <c r="C18" s="27" t="n">
        <f aca="false">SUMIFS(Ведомость!$N$5:$N$397,Ведомость!$H$5:$H$397,8,Ведомость!$I$5:$I$397,"А500С",Ведомость!$V$5:$V$397,"Дм-2")</f>
        <v>0</v>
      </c>
      <c r="D18" s="27" t="n">
        <f aca="false">SUMIFS(Ведомость!$N$5:$N$397,Ведомость!$H$5:$H$397,8,Ведомость!$I$5:$I$397,"А500С",Ведомость!$V$5:$V$397,"Дм-3")</f>
        <v>0</v>
      </c>
      <c r="E18" s="27" t="n">
        <f aca="false">SUMIFS(Ведомость!$N$5:$N$397,Ведомость!$H$5:$H$397,8,Ведомость!$I$5:$I$397,"А500С",Ведомость!$V$5:$V$397,"Дм-4")</f>
        <v>0</v>
      </c>
      <c r="F18" s="27" t="n">
        <f aca="false">SUMIFS(Ведомость!$N$5:$N$397,Ведомость!$H$5:$H$397,8,Ведомость!$I$5:$I$397,"А500С",Ведомость!$V$5:$V$397,"Дм-5")</f>
        <v>0</v>
      </c>
      <c r="G18" s="27" t="n">
        <f aca="false">SUMIFS(Ведомость!$N$5:$N$397,Ведомость!$H$5:$H$397,8,Ведомость!$I$5:$I$397,"А500С",Ведомость!$V$5:$V$397,"К-А")</f>
        <v>0</v>
      </c>
      <c r="H18" s="27" t="n">
        <f aca="false">SUMIFS(Ведомость!$N$5:$N$397,Ведомость!$H$5:$H$397,8,Ведомость!$I$5:$I$397,"А500С",Ведомость!$V$5:$V$397,"К-Б")</f>
        <v>0</v>
      </c>
      <c r="I18" s="27" t="n">
        <f aca="false">SUMIFS(Ведомость!$N$5:$N$397,Ведомость!$H$5:$H$397,8,Ведомость!$I$5:$I$397,"А500С",Ведомость!$V$5:$V$397,"К-В")</f>
        <v>0</v>
      </c>
      <c r="J18" s="27" t="n">
        <f aca="false">SUMIFS(Ведомость!$N$5:$N$397,Ведомость!$H$5:$H$397,8,Ведомость!$I$5:$I$397,"А500С",Ведомость!$V$5:$V$397,"К-Г")</f>
        <v>0</v>
      </c>
      <c r="K18" s="27" t="n">
        <f aca="false">SUMIFS(Ведомость!$N$5:$N$397,Ведомость!$H$5:$H$397,8,Ведомость!$I$5:$I$397,"А500С",Ведомость!$V$5:$V$397,"Р-А")</f>
        <v>0</v>
      </c>
      <c r="L18" s="27" t="n">
        <f aca="false">SUMIFS(Ведомость!$N$5:$N$397,Ведомость!$H$5:$H$397,8,Ведомость!$I$5:$I$397,"А500С",Ведомость!$V$5:$V$397,"Р-Б")</f>
        <v>0</v>
      </c>
      <c r="M18" s="27" t="n">
        <f aca="false">SUMIFS(Ведомость!$N$5:$N$397,Ведомость!$H$5:$H$397,8,Ведомость!$I$5:$I$397,"А500С",Ведомость!$V$5:$V$397,"Р-В")</f>
        <v>0</v>
      </c>
      <c r="N18" s="27" t="n">
        <f aca="false">SUMIFS(Ведомость!$N$5:$N$397,Ведомость!$H$5:$H$397,8,Ведомость!$I$5:$I$397,"А500С",Ведомость!$V$5:$V$397,"Р-Г")</f>
        <v>0</v>
      </c>
      <c r="O18" s="27" t="n">
        <f aca="false">SUMIFS(Ведомость!$N$5:$N$397,Ведомость!$H$5:$H$397,8,Ведомость!$I$5:$I$397,"А500С",Ведомость!$V$5:$V$397,"Р-1, 5")</f>
        <v>0</v>
      </c>
      <c r="P18" s="27" t="n">
        <f aca="false">SUMIFS(Ведомость!$N$5:$N$397,Ведомость!$H$5:$H$397,8,Ведомость!$I$5:$I$397,"А500С",Ведомость!$V$5:$V$397,"Р-2")</f>
        <v>0</v>
      </c>
      <c r="Q18" s="27" t="n">
        <f aca="false">SUMIFS(Ведомость!$N$5:$N$397,Ведомость!$H$5:$H$397,8,Ведомость!$I$5:$I$397,"А500С",Ведомость!$V$5:$V$397,"Р-3")</f>
        <v>0</v>
      </c>
      <c r="R18" s="27" t="n">
        <f aca="false">SUMIFS(Ведомость!$N$5:$N$397,Ведомость!$H$5:$H$397,8,Ведомость!$I$5:$I$397,"А500С",Ведомость!$V$5:$V$397,"Р-4")</f>
        <v>0</v>
      </c>
      <c r="S18" s="27" t="n">
        <f aca="false">SUMIFS(Ведомость!$N$5:$N$397,Ведомость!$H$5:$H$397,8,Ведомость!$I$5:$I$397,"А500С",Ведомость!$V$5:$V$397,"Б-основная")</f>
        <v>0</v>
      </c>
      <c r="T18" s="27" t="n">
        <f aca="false">SUMIFS(Ведомость!$N$5:$N$397,Ведомость!$H$5:$H$397,8,Ведомость!$I$5:$I$397,"А500С",Ведомость!$V$5:$V$397,"Б-хомуты")</f>
        <v>0</v>
      </c>
      <c r="U18" s="27" t="n">
        <f aca="false">SUMIFS(Ведомость!$N$5:$N$397,Ведомость!$H$5:$H$397,8,Ведомость!$I$5:$I$397,"А500С",Ведомость!$V$5:$V$397,"Б-допник")</f>
        <v>0</v>
      </c>
      <c r="V18" s="27" t="n">
        <f aca="false">SUMIFS(Ведомость!$N$5:$N$397,Ведомость!$H$5:$H$397,8,Ведомость!$I$5:$I$397,"А500С",Ведомость!$V$5:$V$397,"П-сетка")</f>
        <v>0</v>
      </c>
      <c r="W18" s="27" t="n">
        <f aca="false">SUMIFS(Ведомость!$N$5:$N$397,Ведомость!$H$5:$H$397,8,Ведомость!$I$5:$I$397,"А500С",Ведомость!$V$5:$V$397,"П-фикс")</f>
        <v>0</v>
      </c>
      <c r="X18" s="27" t="n">
        <f aca="false">SUMIFS(Ведомость!$N$5:$N$397,Ведомость!$H$5:$H$397,8,Ведомость!$I$5:$I$397,"А500С",Ведомость!$V$5:$V$397,"П-отв")</f>
        <v>0</v>
      </c>
      <c r="Y18" s="27" t="n">
        <f aca="false">SUMIFS(Ведомость!$N$5:$N$397,Ведомость!$H$5:$H$397,8,Ведомость!$I$5:$I$397,"А500С",Ведомость!$V$5:$V$397,"П-доп-низ")</f>
        <v>0</v>
      </c>
      <c r="Z18" s="27" t="n">
        <f aca="false">SUMIFS(Ведомость!$N$5:$N$397,Ведомость!$H$5:$H$397,8,Ведомость!$I$5:$I$397,"А500С",Ведомость!$V$5:$V$397,"П-доп-верх")</f>
        <v>0</v>
      </c>
      <c r="AA18" s="27" t="n">
        <f aca="false">SUMIFS(Ведомость!$N$5:$N$397,Ведомость!$H$5:$H$397,8,Ведомость!$I$5:$I$397,"А500С",Ведомость!$V$5:$V$397,"П-край")</f>
        <v>0</v>
      </c>
      <c r="AB18" s="27" t="n">
        <f aca="false">SUMIFS(Ведомость!$N$5:$N$397,Ведомость!$H$5:$H$397,8,Ведомость!$I$5:$I$397,"А500С",Ведомость!$V$5:$V$397,"ЛВ-1")</f>
        <v>0</v>
      </c>
      <c r="AC18" s="27" t="n">
        <f aca="false">SUMIFS(Ведомость!$N$5:$N$397,Ведомость!$H$5:$H$397,8,Ведомость!$I$5:$I$397,"А500С",Ведомость!$V$5:$V$397,"С-1")</f>
        <v>0</v>
      </c>
      <c r="AD18" s="28" t="n">
        <f aca="false">SUM(B18:AC18)</f>
        <v>0</v>
      </c>
      <c r="AE18" s="29" t="n">
        <f aca="false">IFERROR(INDEX(Исходные!$B$18:$B$29,MATCH(8,Исходные!$A$18:$A$29,0)),0)</f>
        <v>0.395</v>
      </c>
      <c r="AF18" s="28" t="n">
        <f aca="false">AD18*AE18*$AH$2</f>
        <v>0</v>
      </c>
      <c r="AG18" s="30" t="n">
        <f aca="false">SUM(B18:J18)</f>
        <v>0</v>
      </c>
      <c r="AH18" s="31" t="n">
        <f aca="false">AE18</f>
        <v>0.395</v>
      </c>
      <c r="AI18" s="32" t="n">
        <f aca="false">AG18*AH18*$AH$2</f>
        <v>0</v>
      </c>
      <c r="AJ18" s="30" t="n">
        <f aca="false">SUM(K18:AA18)</f>
        <v>0</v>
      </c>
      <c r="AK18" s="31" t="n">
        <f aca="false">AE18</f>
        <v>0.395</v>
      </c>
      <c r="AL18" s="32" t="n">
        <f aca="false">AJ18*AK18*$AH$2</f>
        <v>0</v>
      </c>
      <c r="AM18" s="30" t="n">
        <f aca="false">SUM(AB18:AB18)</f>
        <v>0</v>
      </c>
      <c r="AN18" s="31" t="n">
        <f aca="false">AE18</f>
        <v>0.395</v>
      </c>
      <c r="AO18" s="32" t="n">
        <f aca="false">AM18*AN18*$AH$2</f>
        <v>0</v>
      </c>
      <c r="AP18" s="30" t="n">
        <f aca="false">SUM(AC18:AC18)</f>
        <v>0</v>
      </c>
      <c r="AQ18" s="31" t="n">
        <f aca="false">AE18</f>
        <v>0.395</v>
      </c>
      <c r="AR18" s="32" t="n">
        <f aca="false">AP18*AQ18*$AH$2</f>
        <v>0</v>
      </c>
    </row>
    <row r="19" customFormat="false" ht="15" hidden="false" customHeight="false" outlineLevel="0" collapsed="false">
      <c r="A19" s="5" t="s">
        <v>132</v>
      </c>
      <c r="B19" s="27" t="n">
        <f aca="false">SUMIFS(Ведомость!$N$5:$N$397,Ведомость!$H$5:$H$397,12,Ведомость!$I$5:$I$397,"А240",Ведомость!$V$5:$V$397,"Дм-1")</f>
        <v>0</v>
      </c>
      <c r="C19" s="27" t="n">
        <f aca="false">SUMIFS(Ведомость!$N$5:$N$397,Ведомость!$H$5:$H$397,12,Ведомость!$I$5:$I$397,"А240",Ведомость!$V$5:$V$397,"Дм-2")</f>
        <v>0</v>
      </c>
      <c r="D19" s="27" t="n">
        <f aca="false">SUMIFS(Ведомость!$N$5:$N$397,Ведомость!$H$5:$H$397,12,Ведомость!$I$5:$I$397,"А240",Ведомость!$V$5:$V$397,"Дм-3")</f>
        <v>0</v>
      </c>
      <c r="E19" s="27" t="n">
        <f aca="false">SUMIFS(Ведомость!$N$5:$N$397,Ведомость!$H$5:$H$397,12,Ведомость!$I$5:$I$397,"А240",Ведомость!$V$5:$V$397,"Дм-4")</f>
        <v>0</v>
      </c>
      <c r="F19" s="27" t="n">
        <f aca="false">SUMIFS(Ведомость!$N$5:$N$397,Ведомость!$H$5:$H$397,12,Ведомость!$I$5:$I$397,"А240",Ведомость!$V$5:$V$397,"Дм-5")</f>
        <v>0</v>
      </c>
      <c r="G19" s="27" t="n">
        <f aca="false">SUMIFS(Ведомость!$N$5:$N$397,Ведомость!$H$5:$H$397,12,Ведомость!$I$5:$I$397,"А240",Ведомость!$V$5:$V$397,"К-А")</f>
        <v>0</v>
      </c>
      <c r="H19" s="27" t="n">
        <f aca="false">SUMIFS(Ведомость!$N$5:$N$397,Ведомость!$H$5:$H$397,12,Ведомость!$I$5:$I$397,"А240",Ведомость!$V$5:$V$397,"К-Б")</f>
        <v>0</v>
      </c>
      <c r="I19" s="27" t="n">
        <f aca="false">SUMIFS(Ведомость!$N$5:$N$397,Ведомость!$H$5:$H$397,12,Ведомость!$I$5:$I$397,"А240",Ведомость!$V$5:$V$397,"К-В")</f>
        <v>0</v>
      </c>
      <c r="J19" s="27" t="n">
        <f aca="false">SUMIFS(Ведомость!$N$5:$N$397,Ведомость!$H$5:$H$397,12,Ведомость!$I$5:$I$397,"А240",Ведомость!$V$5:$V$397,"К-Г")</f>
        <v>0</v>
      </c>
      <c r="K19" s="27" t="n">
        <f aca="false">SUMIFS(Ведомость!$N$5:$N$397,Ведомость!$H$5:$H$397,12,Ведомость!$I$5:$I$397,"А240",Ведомость!$V$5:$V$397,"Р-А")</f>
        <v>0</v>
      </c>
      <c r="L19" s="27" t="n">
        <f aca="false">SUMIFS(Ведомость!$N$5:$N$397,Ведомость!$H$5:$H$397,12,Ведомость!$I$5:$I$397,"А240",Ведомость!$V$5:$V$397,"Р-Б")</f>
        <v>0</v>
      </c>
      <c r="M19" s="27" t="n">
        <f aca="false">SUMIFS(Ведомость!$N$5:$N$397,Ведомость!$H$5:$H$397,12,Ведомость!$I$5:$I$397,"А240",Ведомость!$V$5:$V$397,"Р-В")</f>
        <v>0</v>
      </c>
      <c r="N19" s="27" t="n">
        <f aca="false">SUMIFS(Ведомость!$N$5:$N$397,Ведомость!$H$5:$H$397,12,Ведомость!$I$5:$I$397,"А240",Ведомость!$V$5:$V$397,"Р-Г")</f>
        <v>0</v>
      </c>
      <c r="O19" s="27" t="n">
        <f aca="false">SUMIFS(Ведомость!$N$5:$N$397,Ведомость!$H$5:$H$397,12,Ведомость!$I$5:$I$397,"А240",Ведомость!$V$5:$V$397,"Р-1, 5")</f>
        <v>0</v>
      </c>
      <c r="P19" s="27" t="n">
        <f aca="false">SUMIFS(Ведомость!$N$5:$N$397,Ведомость!$H$5:$H$397,12,Ведомость!$I$5:$I$397,"А240",Ведомость!$V$5:$V$397,"Р-2")</f>
        <v>0</v>
      </c>
      <c r="Q19" s="27" t="n">
        <f aca="false">SUMIFS(Ведомость!$N$5:$N$397,Ведомость!$H$5:$H$397,12,Ведомость!$I$5:$I$397,"А240",Ведомость!$V$5:$V$397,"Р-3")</f>
        <v>0</v>
      </c>
      <c r="R19" s="27" t="n">
        <f aca="false">SUMIFS(Ведомость!$N$5:$N$397,Ведомость!$H$5:$H$397,12,Ведомость!$I$5:$I$397,"А240",Ведомость!$V$5:$V$397,"Р-4")</f>
        <v>0</v>
      </c>
      <c r="S19" s="27" t="n">
        <f aca="false">SUMIFS(Ведомость!$N$5:$N$397,Ведомость!$H$5:$H$397,12,Ведомость!$I$5:$I$397,"А240",Ведомость!$V$5:$V$397,"Б-основная")</f>
        <v>0</v>
      </c>
      <c r="T19" s="27" t="n">
        <f aca="false">SUMIFS(Ведомость!$N$5:$N$397,Ведомость!$H$5:$H$397,12,Ведомость!$I$5:$I$397,"А240",Ведомость!$V$5:$V$397,"Б-хомуты")</f>
        <v>0</v>
      </c>
      <c r="U19" s="27" t="n">
        <f aca="false">SUMIFS(Ведомость!$N$5:$N$397,Ведомость!$H$5:$H$397,12,Ведомость!$I$5:$I$397,"А240",Ведомость!$V$5:$V$397,"Б-допник")</f>
        <v>0</v>
      </c>
      <c r="V19" s="27" t="n">
        <f aca="false">SUMIFS(Ведомость!$N$5:$N$397,Ведомость!$H$5:$H$397,12,Ведомость!$I$5:$I$397,"А240",Ведомость!$V$5:$V$397,"П-сетка")</f>
        <v>0</v>
      </c>
      <c r="W19" s="27" t="n">
        <f aca="false">SUMIFS(Ведомость!$N$5:$N$397,Ведомость!$H$5:$H$397,12,Ведомость!$I$5:$I$397,"А240",Ведомость!$V$5:$V$397,"П-фикс")</f>
        <v>0</v>
      </c>
      <c r="X19" s="27" t="n">
        <f aca="false">SUMIFS(Ведомость!$N$5:$N$397,Ведомость!$H$5:$H$397,12,Ведомость!$I$5:$I$397,"А240",Ведомость!$V$5:$V$397,"П-отв")</f>
        <v>0</v>
      </c>
      <c r="Y19" s="27" t="n">
        <f aca="false">SUMIFS(Ведомость!$N$5:$N$397,Ведомость!$H$5:$H$397,12,Ведомость!$I$5:$I$397,"А240",Ведомость!$V$5:$V$397,"П-доп-низ")</f>
        <v>0</v>
      </c>
      <c r="Z19" s="27" t="n">
        <f aca="false">SUMIFS(Ведомость!$N$5:$N$397,Ведомость!$H$5:$H$397,12,Ведомость!$I$5:$I$397,"А240",Ведомость!$V$5:$V$397,"П-доп-верх")</f>
        <v>0</v>
      </c>
      <c r="AA19" s="27" t="n">
        <f aca="false">SUMIFS(Ведомость!$N$5:$N$397,Ведомость!$H$5:$H$397,12,Ведомость!$I$5:$I$397,"А240",Ведомость!$V$5:$V$397,"П-край")</f>
        <v>0</v>
      </c>
      <c r="AB19" s="27" t="n">
        <f aca="false">SUMIFS(Ведомость!$N$5:$N$397,Ведомость!$H$5:$H$397,12,Ведомость!$I$5:$I$397,"А240",Ведомость!$V$5:$V$397,"ЛВ-1")</f>
        <v>0</v>
      </c>
      <c r="AC19" s="27" t="n">
        <f aca="false">SUMIFS(Ведомость!$N$5:$N$397,Ведомость!$H$5:$H$397,12,Ведомость!$I$5:$I$397,"А240",Ведомость!$V$5:$V$397,"С-1")</f>
        <v>0</v>
      </c>
      <c r="AD19" s="28" t="n">
        <f aca="false">SUM(B19:AC19)</f>
        <v>0</v>
      </c>
      <c r="AE19" s="29" t="n">
        <f aca="false">IFERROR(INDEX(Исходные!$B$18:$B$29,MATCH(12,Исходные!$A$18:$A$29,0)),0)</f>
        <v>0.888</v>
      </c>
      <c r="AF19" s="28" t="n">
        <f aca="false">AD19*AE19*$AH$2</f>
        <v>0</v>
      </c>
      <c r="AG19" s="30" t="n">
        <f aca="false">SUM(B19:J19)</f>
        <v>0</v>
      </c>
      <c r="AH19" s="31" t="n">
        <f aca="false">AE19</f>
        <v>0.888</v>
      </c>
      <c r="AI19" s="32" t="n">
        <f aca="false">AG19*AH19*$AH$2</f>
        <v>0</v>
      </c>
      <c r="AJ19" s="30" t="n">
        <f aca="false">SUM(K19:AA19)</f>
        <v>0</v>
      </c>
      <c r="AK19" s="31" t="n">
        <f aca="false">AE19</f>
        <v>0.888</v>
      </c>
      <c r="AL19" s="32" t="n">
        <f aca="false">AJ19*AK19*$AH$2</f>
        <v>0</v>
      </c>
      <c r="AM19" s="30" t="n">
        <f aca="false">SUM(AB19:AB19)</f>
        <v>0</v>
      </c>
      <c r="AN19" s="31" t="n">
        <f aca="false">AE19</f>
        <v>0.888</v>
      </c>
      <c r="AO19" s="32" t="n">
        <f aca="false">AM19*AN19*$AH$2</f>
        <v>0</v>
      </c>
      <c r="AP19" s="30" t="n">
        <f aca="false">SUM(AC19:AC19)</f>
        <v>0</v>
      </c>
      <c r="AQ19" s="31" t="n">
        <f aca="false">AE19</f>
        <v>0.888</v>
      </c>
      <c r="AR19" s="32" t="n">
        <f aca="false">AP19*AQ19*$AH$2</f>
        <v>0</v>
      </c>
    </row>
    <row r="20" customFormat="false" ht="15" hidden="false" customHeight="false" outlineLevel="0" collapsed="false">
      <c r="A20" s="5" t="s">
        <v>133</v>
      </c>
      <c r="B20" s="27" t="n">
        <f aca="false">SUMIFS(Ведомость!$N$5:$N$397,Ведомость!$H$5:$H$397,10,Ведомость!$I$5:$I$397,"А240",Ведомость!$V$5:$V$397,"Дм-1")</f>
        <v>159.66</v>
      </c>
      <c r="C20" s="27" t="n">
        <f aca="false">SUMIFS(Ведомость!$N$5:$N$397,Ведомость!$H$5:$H$397,10,Ведомость!$I$5:$I$397,"А240",Ведомость!$V$5:$V$397,"Дм-2")</f>
        <v>107.64</v>
      </c>
      <c r="D20" s="27" t="n">
        <f aca="false">SUMIFS(Ведомость!$N$5:$N$397,Ведомость!$H$5:$H$397,10,Ведомость!$I$5:$I$397,"А240",Ведомость!$V$5:$V$397,"Дм-3")</f>
        <v>127.98</v>
      </c>
      <c r="E20" s="27" t="n">
        <f aca="false">SUMIFS(Ведомость!$N$5:$N$397,Ведомость!$H$5:$H$397,10,Ведомость!$I$5:$I$397,"А240",Ведомость!$V$5:$V$397,"Дм-4")</f>
        <v>55.62</v>
      </c>
      <c r="F20" s="27" t="n">
        <f aca="false">SUMIFS(Ведомость!$N$5:$N$397,Ведомость!$H$5:$H$397,10,Ведомость!$I$5:$I$397,"А240",Ведомость!$V$5:$V$397,"Дм-5")</f>
        <v>75.96</v>
      </c>
      <c r="G20" s="27" t="n">
        <f aca="false">SUMIFS(Ведомость!$N$5:$N$397,Ведомость!$H$5:$H$397,10,Ведомость!$I$5:$I$397,"А240",Ведомость!$V$5:$V$397,"К-А")</f>
        <v>0</v>
      </c>
      <c r="H20" s="27" t="n">
        <f aca="false">SUMIFS(Ведомость!$N$5:$N$397,Ведомость!$H$5:$H$397,10,Ведомость!$I$5:$I$397,"А240",Ведомость!$V$5:$V$397,"К-Б")</f>
        <v>0</v>
      </c>
      <c r="I20" s="27" t="n">
        <f aca="false">SUMIFS(Ведомость!$N$5:$N$397,Ведомость!$H$5:$H$397,10,Ведомость!$I$5:$I$397,"А240",Ведомость!$V$5:$V$397,"К-В")</f>
        <v>0</v>
      </c>
      <c r="J20" s="27" t="n">
        <f aca="false">SUMIFS(Ведомость!$N$5:$N$397,Ведомость!$H$5:$H$397,10,Ведомость!$I$5:$I$397,"А240",Ведомость!$V$5:$V$397,"К-Г")</f>
        <v>0</v>
      </c>
      <c r="K20" s="27" t="n">
        <f aca="false">SUMIFS(Ведомость!$N$5:$N$397,Ведомость!$H$5:$H$397,10,Ведомость!$I$5:$I$397,"А240",Ведомость!$V$5:$V$397,"Р-А")</f>
        <v>84.9</v>
      </c>
      <c r="L20" s="27" t="n">
        <f aca="false">SUMIFS(Ведомость!$N$5:$N$397,Ведомость!$H$5:$H$397,10,Ведомость!$I$5:$I$397,"А240",Ведомость!$V$5:$V$397,"Р-Б")</f>
        <v>226.1</v>
      </c>
      <c r="M20" s="27" t="n">
        <f aca="false">SUMIFS(Ведомость!$N$5:$N$397,Ведомость!$H$5:$H$397,10,Ведомость!$I$5:$I$397,"А240",Ведомость!$V$5:$V$397,"Р-В")</f>
        <v>439.44</v>
      </c>
      <c r="N20" s="27" t="n">
        <f aca="false">SUMIFS(Ведомость!$N$5:$N$397,Ведомость!$H$5:$H$397,10,Ведомость!$I$5:$I$397,"А240",Ведомость!$V$5:$V$397,"Р-Г")</f>
        <v>92.7</v>
      </c>
      <c r="O20" s="27" t="n">
        <f aca="false">SUMIFS(Ведомость!$N$5:$N$397,Ведомость!$H$5:$H$397,10,Ведомость!$I$5:$I$397,"А240",Ведомость!$V$5:$V$397,"Р-1, 5")</f>
        <v>148.32</v>
      </c>
      <c r="P20" s="27" t="n">
        <f aca="false">SUMIFS(Ведомость!$N$5:$N$397,Ведомость!$H$5:$H$397,10,Ведомость!$I$5:$I$397,"А240",Ведомость!$V$5:$V$397,"Р-2")</f>
        <v>327.12</v>
      </c>
      <c r="Q20" s="27" t="n">
        <f aca="false">SUMIFS(Ведомость!$N$5:$N$397,Ведомость!$H$5:$H$397,10,Ведомость!$I$5:$I$397,"А240",Ведомость!$V$5:$V$397,"Р-3")</f>
        <v>298.36</v>
      </c>
      <c r="R20" s="27" t="n">
        <f aca="false">SUMIFS(Ведомость!$N$5:$N$397,Ведомость!$H$5:$H$397,10,Ведомость!$I$5:$I$397,"А240",Ведомость!$V$5:$V$397,"Р-4")</f>
        <v>218.76</v>
      </c>
      <c r="S20" s="27" t="n">
        <f aca="false">SUMIFS(Ведомость!$N$5:$N$397,Ведомость!$H$5:$H$397,10,Ведомость!$I$5:$I$397,"А240",Ведомость!$V$5:$V$397,"Б-основная")</f>
        <v>0</v>
      </c>
      <c r="T20" s="27" t="n">
        <f aca="false">SUMIFS(Ведомость!$N$5:$N$397,Ведомость!$H$5:$H$397,10,Ведомость!$I$5:$I$397,"А240",Ведомость!$V$5:$V$397,"Б-хомуты")</f>
        <v>0</v>
      </c>
      <c r="U20" s="27" t="n">
        <f aca="false">SUMIFS(Ведомость!$N$5:$N$397,Ведомость!$H$5:$H$397,10,Ведомость!$I$5:$I$397,"А240",Ведомость!$V$5:$V$397,"Б-допник")</f>
        <v>0</v>
      </c>
      <c r="V20" s="27" t="n">
        <f aca="false">SUMIFS(Ведомость!$N$5:$N$397,Ведомость!$H$5:$H$397,10,Ведомость!$I$5:$I$397,"А240",Ведомость!$V$5:$V$397,"П-сетка")</f>
        <v>0</v>
      </c>
      <c r="W20" s="27" t="n">
        <f aca="false">SUMIFS(Ведомость!$N$5:$N$397,Ведомость!$H$5:$H$397,10,Ведомость!$I$5:$I$397,"А240",Ведомость!$V$5:$V$397,"П-фикс")</f>
        <v>355.74</v>
      </c>
      <c r="X20" s="27" t="n">
        <f aca="false">SUMIFS(Ведомость!$N$5:$N$397,Ведомость!$H$5:$H$397,10,Ведомость!$I$5:$I$397,"А240",Ведомость!$V$5:$V$397,"П-отв")</f>
        <v>0</v>
      </c>
      <c r="Y20" s="27" t="n">
        <f aca="false">SUMIFS(Ведомость!$N$5:$N$397,Ведомость!$H$5:$H$397,10,Ведомость!$I$5:$I$397,"А240",Ведомость!$V$5:$V$397,"П-доп-низ")</f>
        <v>0</v>
      </c>
      <c r="Z20" s="27" t="n">
        <f aca="false">SUMIFS(Ведомость!$N$5:$N$397,Ведомость!$H$5:$H$397,10,Ведомость!$I$5:$I$397,"А240",Ведомость!$V$5:$V$397,"П-доп-верх")</f>
        <v>0</v>
      </c>
      <c r="AA20" s="27" t="n">
        <f aca="false">SUMIFS(Ведомость!$N$5:$N$397,Ведомость!$H$5:$H$397,10,Ведомость!$I$5:$I$397,"А240",Ведомость!$V$5:$V$397,"П-край")</f>
        <v>83.3</v>
      </c>
      <c r="AB20" s="27" t="n">
        <f aca="false">SUMIFS(Ведомость!$N$5:$N$397,Ведомость!$H$5:$H$397,10,Ведомость!$I$5:$I$397,"А240",Ведомость!$V$5:$V$397,"ЛВ-1")</f>
        <v>0</v>
      </c>
      <c r="AC20" s="27" t="n">
        <f aca="false">SUMIFS(Ведомость!$N$5:$N$397,Ведомость!$H$5:$H$397,10,Ведомость!$I$5:$I$397,"А240",Ведомость!$V$5:$V$397,"С-1")</f>
        <v>0</v>
      </c>
      <c r="AD20" s="28" t="n">
        <f aca="false">SUM(B20:AC20)</f>
        <v>2801.6</v>
      </c>
      <c r="AE20" s="29" t="n">
        <f aca="false">IFERROR(INDEX(Исходные!$B$18:$B$29,MATCH(10,Исходные!$A$18:$A$29,0)),0)</f>
        <v>0.617</v>
      </c>
      <c r="AF20" s="28" t="n">
        <f aca="false">AD20*AE20*$AH$2</f>
        <v>1728.5872</v>
      </c>
      <c r="AG20" s="30" t="n">
        <f aca="false">SUM(B20:J20)</f>
        <v>526.86</v>
      </c>
      <c r="AH20" s="31" t="n">
        <f aca="false">AE20</f>
        <v>0.617</v>
      </c>
      <c r="AI20" s="32" t="n">
        <f aca="false">AG20*AH20*$AH$2</f>
        <v>325.07262</v>
      </c>
      <c r="AJ20" s="30" t="n">
        <f aca="false">SUM(K20:AA20)</f>
        <v>2274.74</v>
      </c>
      <c r="AK20" s="31" t="n">
        <f aca="false">AE20</f>
        <v>0.617</v>
      </c>
      <c r="AL20" s="32" t="n">
        <f aca="false">AJ20*AK20*$AH$2</f>
        <v>1403.51458</v>
      </c>
      <c r="AM20" s="30" t="n">
        <f aca="false">SUM(AB20:AB20)</f>
        <v>0</v>
      </c>
      <c r="AN20" s="31" t="n">
        <f aca="false">AE20</f>
        <v>0.617</v>
      </c>
      <c r="AO20" s="32" t="n">
        <f aca="false">AM20*AN20*$AH$2</f>
        <v>0</v>
      </c>
      <c r="AP20" s="30" t="n">
        <f aca="false">SUM(AC20:AC20)</f>
        <v>0</v>
      </c>
      <c r="AQ20" s="31" t="n">
        <f aca="false">AE20</f>
        <v>0.617</v>
      </c>
      <c r="AR20" s="32" t="n">
        <f aca="false">AP20*AQ20*$AH$2</f>
        <v>0</v>
      </c>
    </row>
    <row r="21" customFormat="false" ht="15" hidden="false" customHeight="false" outlineLevel="0" collapsed="false">
      <c r="A21" s="5" t="s">
        <v>134</v>
      </c>
      <c r="B21" s="27" t="n">
        <f aca="false">SUMIFS(Ведомость!$N$5:$N$397,Ведомость!$H$5:$H$397,8,Ведомость!$I$5:$I$397,"А240",Ведомость!$V$5:$V$397,"Дм-1")</f>
        <v>191.46</v>
      </c>
      <c r="C21" s="27" t="n">
        <f aca="false">SUMIFS(Ведомость!$N$5:$N$397,Ведомость!$H$5:$H$397,8,Ведомость!$I$5:$I$397,"А240",Ведомость!$V$5:$V$397,"Дм-2")</f>
        <v>177.15</v>
      </c>
      <c r="D21" s="27" t="n">
        <f aca="false">SUMIFS(Ведомость!$N$5:$N$397,Ведомость!$H$5:$H$397,8,Ведомость!$I$5:$I$397,"А240",Ведомость!$V$5:$V$397,"Дм-3")</f>
        <v>218.37</v>
      </c>
      <c r="E21" s="27" t="n">
        <f aca="false">SUMIFS(Ведомость!$N$5:$N$397,Ведомость!$H$5:$H$397,8,Ведомость!$I$5:$I$397,"А240",Ведомость!$V$5:$V$397,"Дм-4")</f>
        <v>162.84</v>
      </c>
      <c r="F21" s="27" t="n">
        <f aca="false">SUMIFS(Ведомость!$N$5:$N$397,Ведомость!$H$5:$H$397,8,Ведомость!$I$5:$I$397,"А240",Ведомость!$V$5:$V$397,"Дм-5")</f>
        <v>204.06</v>
      </c>
      <c r="G21" s="27" t="n">
        <f aca="false">SUMIFS(Ведомость!$N$5:$N$397,Ведомость!$H$5:$H$397,8,Ведомость!$I$5:$I$397,"А240",Ведомость!$V$5:$V$397,"К-А")</f>
        <v>431.28</v>
      </c>
      <c r="H21" s="27" t="n">
        <f aca="false">SUMIFS(Ведомость!$N$5:$N$397,Ведомость!$H$5:$H$397,8,Ведомость!$I$5:$I$397,"А240",Ведомость!$V$5:$V$397,"К-Б")</f>
        <v>718.8</v>
      </c>
      <c r="I21" s="27" t="n">
        <f aca="false">SUMIFS(Ведомость!$N$5:$N$397,Ведомость!$H$5:$H$397,8,Ведомость!$I$5:$I$397,"А240",Ведомость!$V$5:$V$397,"К-В")</f>
        <v>718.8</v>
      </c>
      <c r="J21" s="27" t="n">
        <f aca="false">SUMIFS(Ведомость!$N$5:$N$397,Ведомость!$H$5:$H$397,8,Ведомость!$I$5:$I$397,"А240",Ведомость!$V$5:$V$397,"К-Г")</f>
        <v>287.52</v>
      </c>
      <c r="K21" s="27" t="n">
        <f aca="false">SUMIFS(Ведомость!$N$5:$N$397,Ведомость!$H$5:$H$397,8,Ведомость!$I$5:$I$397,"А240",Ведомость!$V$5:$V$397,"Р-А")</f>
        <v>395.39</v>
      </c>
      <c r="L21" s="27" t="n">
        <f aca="false">SUMIFS(Ведомость!$N$5:$N$397,Ведомость!$H$5:$H$397,8,Ведомость!$I$5:$I$397,"А240",Ведомость!$V$5:$V$397,"Р-Б")</f>
        <v>333.35</v>
      </c>
      <c r="M21" s="27" t="n">
        <f aca="false">SUMIFS(Ведомость!$N$5:$N$397,Ведомость!$H$5:$H$397,8,Ведомость!$I$5:$I$397,"А240",Ведомость!$V$5:$V$397,"Р-В")</f>
        <v>245.84</v>
      </c>
      <c r="N21" s="27" t="n">
        <f aca="false">SUMIFS(Ведомость!$N$5:$N$397,Ведомость!$H$5:$H$397,8,Ведомость!$I$5:$I$397,"А240",Ведомость!$V$5:$V$397,"Р-Г")</f>
        <v>375.86</v>
      </c>
      <c r="O21" s="27" t="n">
        <f aca="false">SUMIFS(Ведомость!$N$5:$N$397,Ведомость!$H$5:$H$397,8,Ведомость!$I$5:$I$397,"А240",Ведомость!$V$5:$V$397,"Р-1, 5")</f>
        <v>681.86</v>
      </c>
      <c r="P21" s="27" t="n">
        <f aca="false">SUMIFS(Ведомость!$N$5:$N$397,Ведомость!$H$5:$H$397,8,Ведомость!$I$5:$I$397,"А240",Ведомость!$V$5:$V$397,"Р-2")</f>
        <v>154.39</v>
      </c>
      <c r="Q21" s="27" t="n">
        <f aca="false">SUMIFS(Ведомость!$N$5:$N$397,Ведомость!$H$5:$H$397,8,Ведомость!$I$5:$I$397,"А240",Ведомость!$V$5:$V$397,"Р-3")</f>
        <v>197.83</v>
      </c>
      <c r="R21" s="27" t="n">
        <f aca="false">SUMIFS(Ведомость!$N$5:$N$397,Ведомость!$H$5:$H$397,8,Ведомость!$I$5:$I$397,"А240",Ведомость!$V$5:$V$397,"Р-4")</f>
        <v>189.63</v>
      </c>
      <c r="S21" s="27" t="n">
        <f aca="false">SUMIFS(Ведомость!$N$5:$N$397,Ведомость!$H$5:$H$397,8,Ведомость!$I$5:$I$397,"А240",Ведомость!$V$5:$V$397,"Б-основная")</f>
        <v>0</v>
      </c>
      <c r="T21" s="27" t="n">
        <f aca="false">SUMIFS(Ведомость!$N$5:$N$397,Ведомость!$H$5:$H$397,8,Ведомость!$I$5:$I$397,"А240",Ведомость!$V$5:$V$397,"Б-хомуты")</f>
        <v>1666.52</v>
      </c>
      <c r="U21" s="27" t="n">
        <f aca="false">SUMIFS(Ведомость!$N$5:$N$397,Ведомость!$H$5:$H$397,8,Ведомость!$I$5:$I$397,"А240",Ведомость!$V$5:$V$397,"Б-допник")</f>
        <v>0</v>
      </c>
      <c r="V21" s="27" t="n">
        <f aca="false">SUMIFS(Ведомость!$N$5:$N$397,Ведомость!$H$5:$H$397,8,Ведомость!$I$5:$I$397,"А240",Ведомость!$V$5:$V$397,"П-сетка")</f>
        <v>0</v>
      </c>
      <c r="W21" s="27" t="n">
        <f aca="false">SUMIFS(Ведомость!$N$5:$N$397,Ведомость!$H$5:$H$397,8,Ведомость!$I$5:$I$397,"А240",Ведомость!$V$5:$V$397,"П-фикс")</f>
        <v>186.34</v>
      </c>
      <c r="X21" s="27" t="n">
        <f aca="false">SUMIFS(Ведомость!$N$5:$N$397,Ведомость!$H$5:$H$397,8,Ведомость!$I$5:$I$397,"А240",Ведомость!$V$5:$V$397,"П-отв")</f>
        <v>0</v>
      </c>
      <c r="Y21" s="27" t="n">
        <f aca="false">SUMIFS(Ведомость!$N$5:$N$397,Ведомость!$H$5:$H$397,8,Ведомость!$I$5:$I$397,"А240",Ведомость!$V$5:$V$397,"П-доп-низ")</f>
        <v>0</v>
      </c>
      <c r="Z21" s="27" t="n">
        <f aca="false">SUMIFS(Ведомость!$N$5:$N$397,Ведомость!$H$5:$H$397,8,Ведомость!$I$5:$I$397,"А240",Ведомость!$V$5:$V$397,"П-доп-верх")</f>
        <v>0</v>
      </c>
      <c r="AA21" s="27" t="n">
        <f aca="false">SUMIFS(Ведомость!$N$5:$N$397,Ведомость!$H$5:$H$397,8,Ведомость!$I$5:$I$397,"А240",Ведомость!$V$5:$V$397,"П-край")</f>
        <v>0</v>
      </c>
      <c r="AB21" s="27" t="n">
        <f aca="false">SUMIFS(Ведомость!$N$5:$N$397,Ведомость!$H$5:$H$397,8,Ведомость!$I$5:$I$397,"А240",Ведомость!$V$5:$V$397,"ЛВ-1")</f>
        <v>0</v>
      </c>
      <c r="AC21" s="27" t="n">
        <f aca="false">SUMIFS(Ведомость!$N$5:$N$397,Ведомость!$H$5:$H$397,8,Ведомость!$I$5:$I$397,"А240",Ведомость!$V$5:$V$397,"С-1")</f>
        <v>0</v>
      </c>
      <c r="AD21" s="28" t="n">
        <f aca="false">SUM(B21:AC21)</f>
        <v>7537.29</v>
      </c>
      <c r="AE21" s="29" t="n">
        <f aca="false">IFERROR(INDEX(Исходные!$B$18:$B$29,MATCH(8,Исходные!$A$18:$A$29,0)),0)</f>
        <v>0.395</v>
      </c>
      <c r="AF21" s="28" t="n">
        <f aca="false">AD21*AE21*$AH$2</f>
        <v>2977.22955</v>
      </c>
      <c r="AG21" s="30" t="n">
        <f aca="false">SUM(B21:J21)</f>
        <v>3110.28</v>
      </c>
      <c r="AH21" s="31" t="n">
        <f aca="false">AE21</f>
        <v>0.395</v>
      </c>
      <c r="AI21" s="32" t="n">
        <f aca="false">AG21*AH21*$AH$2</f>
        <v>1228.5606</v>
      </c>
      <c r="AJ21" s="30" t="n">
        <f aca="false">SUM(K21:AA21)</f>
        <v>4427.01</v>
      </c>
      <c r="AK21" s="31" t="n">
        <f aca="false">AE21</f>
        <v>0.395</v>
      </c>
      <c r="AL21" s="32" t="n">
        <f aca="false">AJ21*AK21*$AH$2</f>
        <v>1748.66895</v>
      </c>
      <c r="AM21" s="30" t="n">
        <f aca="false">SUM(AB21:AB21)</f>
        <v>0</v>
      </c>
      <c r="AN21" s="31" t="n">
        <f aca="false">AE21</f>
        <v>0.395</v>
      </c>
      <c r="AO21" s="32" t="n">
        <f aca="false">AM21*AN21*$AH$2</f>
        <v>0</v>
      </c>
      <c r="AP21" s="30" t="n">
        <f aca="false">SUM(AC21:AC21)</f>
        <v>0</v>
      </c>
      <c r="AQ21" s="31" t="n">
        <f aca="false">AE21</f>
        <v>0.395</v>
      </c>
      <c r="AR21" s="32" t="n">
        <f aca="false">AP21*AQ21*$AH$2</f>
        <v>0</v>
      </c>
    </row>
    <row r="22" customFormat="false" ht="15" hidden="false" customHeight="false" outlineLevel="0" collapsed="false">
      <c r="A22" s="5" t="s">
        <v>135</v>
      </c>
      <c r="B22" s="27" t="n">
        <f aca="false">SUMIFS(Ведомость!$N$5:$N$397,Ведомость!$H$5:$H$397,6,Ведомость!$I$5:$I$397,"А240",Ведомость!$V$5:$V$397,"Дм-1")</f>
        <v>0</v>
      </c>
      <c r="C22" s="27" t="n">
        <f aca="false">SUMIFS(Ведомость!$N$5:$N$397,Ведомость!$H$5:$H$397,6,Ведомость!$I$5:$I$397,"А240",Ведомость!$V$5:$V$397,"Дм-2")</f>
        <v>0</v>
      </c>
      <c r="D22" s="27" t="n">
        <f aca="false">SUMIFS(Ведомость!$N$5:$N$397,Ведомость!$H$5:$H$397,6,Ведомость!$I$5:$I$397,"А240",Ведомость!$V$5:$V$397,"Дм-3")</f>
        <v>0</v>
      </c>
      <c r="E22" s="27" t="n">
        <f aca="false">SUMIFS(Ведомость!$N$5:$N$397,Ведомость!$H$5:$H$397,6,Ведомость!$I$5:$I$397,"А240",Ведомость!$V$5:$V$397,"Дм-4")</f>
        <v>0</v>
      </c>
      <c r="F22" s="27" t="n">
        <f aca="false">SUMIFS(Ведомость!$N$5:$N$397,Ведомость!$H$5:$H$397,6,Ведомость!$I$5:$I$397,"А240",Ведомость!$V$5:$V$397,"Дм-5")</f>
        <v>0</v>
      </c>
      <c r="G22" s="27" t="n">
        <f aca="false">SUMIFS(Ведомость!$N$5:$N$397,Ведомость!$H$5:$H$397,6,Ведомость!$I$5:$I$397,"А240",Ведомость!$V$5:$V$397,"К-А")</f>
        <v>0</v>
      </c>
      <c r="H22" s="27" t="n">
        <f aca="false">SUMIFS(Ведомость!$N$5:$N$397,Ведомость!$H$5:$H$397,6,Ведомость!$I$5:$I$397,"А240",Ведомость!$V$5:$V$397,"К-Б")</f>
        <v>0</v>
      </c>
      <c r="I22" s="27" t="n">
        <f aca="false">SUMIFS(Ведомость!$N$5:$N$397,Ведомость!$H$5:$H$397,6,Ведомость!$I$5:$I$397,"А240",Ведомость!$V$5:$V$397,"К-В")</f>
        <v>0</v>
      </c>
      <c r="J22" s="27" t="n">
        <f aca="false">SUMIFS(Ведомость!$N$5:$N$397,Ведомость!$H$5:$H$397,6,Ведомость!$I$5:$I$397,"А240",Ведомость!$V$5:$V$397,"К-Г")</f>
        <v>0</v>
      </c>
      <c r="K22" s="27" t="n">
        <f aca="false">SUMIFS(Ведомость!$N$5:$N$397,Ведомость!$H$5:$H$397,6,Ведомость!$I$5:$I$397,"А240",Ведомость!$V$5:$V$397,"Р-А")</f>
        <v>0</v>
      </c>
      <c r="L22" s="27" t="n">
        <f aca="false">SUMIFS(Ведомость!$N$5:$N$397,Ведомость!$H$5:$H$397,6,Ведомость!$I$5:$I$397,"А240",Ведомость!$V$5:$V$397,"Р-Б")</f>
        <v>0</v>
      </c>
      <c r="M22" s="27" t="n">
        <f aca="false">SUMIFS(Ведомость!$N$5:$N$397,Ведомость!$H$5:$H$397,6,Ведомость!$I$5:$I$397,"А240",Ведомость!$V$5:$V$397,"Р-В")</f>
        <v>0</v>
      </c>
      <c r="N22" s="27" t="n">
        <f aca="false">SUMIFS(Ведомость!$N$5:$N$397,Ведомость!$H$5:$H$397,6,Ведомость!$I$5:$I$397,"А240",Ведомость!$V$5:$V$397,"Р-Г")</f>
        <v>0</v>
      </c>
      <c r="O22" s="27" t="n">
        <f aca="false">SUMIFS(Ведомость!$N$5:$N$397,Ведомость!$H$5:$H$397,6,Ведомость!$I$5:$I$397,"А240",Ведомость!$V$5:$V$397,"Р-1, 5")</f>
        <v>0</v>
      </c>
      <c r="P22" s="27" t="n">
        <f aca="false">SUMIFS(Ведомость!$N$5:$N$397,Ведомость!$H$5:$H$397,6,Ведомость!$I$5:$I$397,"А240",Ведомость!$V$5:$V$397,"Р-2")</f>
        <v>0</v>
      </c>
      <c r="Q22" s="27" t="n">
        <f aca="false">SUMIFS(Ведомость!$N$5:$N$397,Ведомость!$H$5:$H$397,6,Ведомость!$I$5:$I$397,"А240",Ведомость!$V$5:$V$397,"Р-3")</f>
        <v>0</v>
      </c>
      <c r="R22" s="27" t="n">
        <f aca="false">SUMIFS(Ведомость!$N$5:$N$397,Ведомость!$H$5:$H$397,6,Ведомость!$I$5:$I$397,"А240",Ведомость!$V$5:$V$397,"Р-4")</f>
        <v>0</v>
      </c>
      <c r="S22" s="27" t="n">
        <f aca="false">SUMIFS(Ведомость!$N$5:$N$397,Ведомость!$H$5:$H$397,6,Ведомость!$I$5:$I$397,"А240",Ведомость!$V$5:$V$397,"Б-основная")</f>
        <v>0</v>
      </c>
      <c r="T22" s="27" t="n">
        <f aca="false">SUMIFS(Ведомость!$N$5:$N$397,Ведомость!$H$5:$H$397,6,Ведомость!$I$5:$I$397,"А240",Ведомость!$V$5:$V$397,"Б-хомуты")</f>
        <v>0</v>
      </c>
      <c r="U22" s="27" t="n">
        <f aca="false">SUMIFS(Ведомость!$N$5:$N$397,Ведомость!$H$5:$H$397,6,Ведомость!$I$5:$I$397,"А240",Ведомость!$V$5:$V$397,"Б-допник")</f>
        <v>0</v>
      </c>
      <c r="V22" s="27" t="n">
        <f aca="false">SUMIFS(Ведомость!$N$5:$N$397,Ведомость!$H$5:$H$397,6,Ведомость!$I$5:$I$397,"А240",Ведомость!$V$5:$V$397,"П-сетка")</f>
        <v>0</v>
      </c>
      <c r="W22" s="27" t="n">
        <f aca="false">SUMIFS(Ведомость!$N$5:$N$397,Ведомость!$H$5:$H$397,6,Ведомость!$I$5:$I$397,"А240",Ведомость!$V$5:$V$397,"П-фикс")</f>
        <v>0</v>
      </c>
      <c r="X22" s="27" t="n">
        <f aca="false">SUMIFS(Ведомость!$N$5:$N$397,Ведомость!$H$5:$H$397,6,Ведомость!$I$5:$I$397,"А240",Ведомость!$V$5:$V$397,"П-отв")</f>
        <v>0</v>
      </c>
      <c r="Y22" s="27" t="n">
        <f aca="false">SUMIFS(Ведомость!$N$5:$N$397,Ведомость!$H$5:$H$397,6,Ведомость!$I$5:$I$397,"А240",Ведомость!$V$5:$V$397,"П-доп-низ")</f>
        <v>0</v>
      </c>
      <c r="Z22" s="27" t="n">
        <f aca="false">SUMIFS(Ведомость!$N$5:$N$397,Ведомость!$H$5:$H$397,6,Ведомость!$I$5:$I$397,"А240",Ведомость!$V$5:$V$397,"П-доп-верх")</f>
        <v>0</v>
      </c>
      <c r="AA22" s="27" t="n">
        <f aca="false">SUMIFS(Ведомость!$N$5:$N$397,Ведомость!$H$5:$H$397,6,Ведомость!$I$5:$I$397,"А240",Ведомость!$V$5:$V$397,"П-край")</f>
        <v>0</v>
      </c>
      <c r="AB22" s="27" t="n">
        <f aca="false">SUMIFS(Ведомость!$N$5:$N$397,Ведомость!$H$5:$H$397,6,Ведомость!$I$5:$I$397,"А240",Ведомость!$V$5:$V$397,"ЛВ-1")</f>
        <v>0</v>
      </c>
      <c r="AC22" s="27" t="n">
        <f aca="false">SUMIFS(Ведомость!$N$5:$N$397,Ведомость!$H$5:$H$397,6,Ведомость!$I$5:$I$397,"А240",Ведомость!$V$5:$V$397,"С-1")</f>
        <v>0</v>
      </c>
      <c r="AD22" s="28" t="n">
        <f aca="false">SUM(B22:AC22)</f>
        <v>0</v>
      </c>
      <c r="AE22" s="29" t="n">
        <f aca="false">IFERROR(INDEX(Исходные!$B$18:$B$29,MATCH(6,Исходные!$A$18:$A$29,0)),0)</f>
        <v>0.222</v>
      </c>
      <c r="AF22" s="28" t="n">
        <f aca="false">AD22*AE22*$AH$2</f>
        <v>0</v>
      </c>
      <c r="AG22" s="30" t="n">
        <f aca="false">SUM(B22:J22)</f>
        <v>0</v>
      </c>
      <c r="AH22" s="31" t="n">
        <f aca="false">AE22</f>
        <v>0.222</v>
      </c>
      <c r="AI22" s="32" t="n">
        <f aca="false">AG22*AH22*$AH$2</f>
        <v>0</v>
      </c>
      <c r="AJ22" s="30" t="n">
        <f aca="false">SUM(K22:AA22)</f>
        <v>0</v>
      </c>
      <c r="AK22" s="31" t="n">
        <f aca="false">AE22</f>
        <v>0.222</v>
      </c>
      <c r="AL22" s="32" t="n">
        <f aca="false">AJ22*AK22*$AH$2</f>
        <v>0</v>
      </c>
      <c r="AM22" s="30" t="n">
        <f aca="false">SUM(AB22:AB22)</f>
        <v>0</v>
      </c>
      <c r="AN22" s="31" t="n">
        <f aca="false">AE22</f>
        <v>0.222</v>
      </c>
      <c r="AO22" s="32" t="n">
        <f aca="false">AM22*AN22*$AH$2</f>
        <v>0</v>
      </c>
      <c r="AP22" s="30" t="n">
        <f aca="false">SUM(AC22:AC22)</f>
        <v>0</v>
      </c>
      <c r="AQ22" s="31" t="n">
        <f aca="false">AE22</f>
        <v>0.222</v>
      </c>
      <c r="AR22" s="32" t="n">
        <f aca="false">AP22*AQ22*$AH$2</f>
        <v>0</v>
      </c>
    </row>
    <row r="23" customFormat="false" ht="23.85" hidden="false" customHeight="false" outlineLevel="0" collapsed="false">
      <c r="A23" s="3" t="s">
        <v>136</v>
      </c>
      <c r="B23" s="33" t="n">
        <f aca="false">SUMPRODUCT(B8:B22,$AE$8:$AE$22)*$AH$2</f>
        <v>1586.415728</v>
      </c>
      <c r="C23" s="33" t="n">
        <f aca="false">SUMPRODUCT(C8:C22,$AE$8:$AE$22)*$AH$2</f>
        <v>1244.93613</v>
      </c>
      <c r="D23" s="33" t="n">
        <f aca="false">SUMPRODUCT(D8:D22,$AE$8:$AE$22)*$AH$2</f>
        <v>1361.830122</v>
      </c>
      <c r="E23" s="33" t="n">
        <f aca="false">SUMPRODUCT(E8:E22,$AE$8:$AE$22)*$AH$2</f>
        <v>680.33394</v>
      </c>
      <c r="F23" s="33" t="n">
        <f aca="false">SUMPRODUCT(F8:F22,$AE$8:$AE$22)*$AH$2</f>
        <v>972.34972</v>
      </c>
      <c r="G23" s="33" t="n">
        <f aca="false">SUMPRODUCT(G8:G22,$AE$8:$AE$22)*$AH$2</f>
        <v>710.1156</v>
      </c>
      <c r="H23" s="33" t="n">
        <f aca="false">SUMPRODUCT(H8:H22,$AE$8:$AE$22)*$AH$2</f>
        <v>1183.526</v>
      </c>
      <c r="I23" s="33" t="n">
        <f aca="false">SUMPRODUCT(I8:I22,$AE$8:$AE$22)*$AH$2</f>
        <v>1183.526</v>
      </c>
      <c r="J23" s="33" t="n">
        <f aca="false">SUMPRODUCT(J8:J22,$AE$8:$AE$22)*$AH$2</f>
        <v>473.4104</v>
      </c>
      <c r="K23" s="33" t="n">
        <f aca="false">SUMPRODUCT(K8:K22,$AE$8:$AE$22)*$AH$2</f>
        <v>1246.100334</v>
      </c>
      <c r="L23" s="33" t="n">
        <f aca="false">SUMPRODUCT(L8:L22,$AE$8:$AE$22)*$AH$2</f>
        <v>1177.966934</v>
      </c>
      <c r="M23" s="33" t="n">
        <f aca="false">SUMPRODUCT(M8:M22,$AE$8:$AE$22)*$AH$2</f>
        <v>1346.636556</v>
      </c>
      <c r="N23" s="33" t="n">
        <f aca="false">SUMPRODUCT(N8:N22,$AE$8:$AE$22)*$AH$2</f>
        <v>1268.434484</v>
      </c>
      <c r="O23" s="33" t="n">
        <f aca="false">SUMPRODUCT(O8:O22,$AE$8:$AE$22)*$AH$2</f>
        <v>1772.531124</v>
      </c>
      <c r="P23" s="33" t="n">
        <f aca="false">SUMPRODUCT(P8:P22,$AE$8:$AE$22)*$AH$2</f>
        <v>1139.515982</v>
      </c>
      <c r="Q23" s="33" t="n">
        <f aca="false">SUMPRODUCT(Q8:Q22,$AE$8:$AE$22)*$AH$2</f>
        <v>1064.559262</v>
      </c>
      <c r="R23" s="33" t="n">
        <f aca="false">SUMPRODUCT(R8:R22,$AE$8:$AE$22)*$AH$2</f>
        <v>1009.272262</v>
      </c>
      <c r="S23" s="33" t="n">
        <f aca="false">SUMPRODUCT(S8:S22,$AE$8:$AE$22)*$AH$2</f>
        <v>3062.71604</v>
      </c>
      <c r="T23" s="33" t="n">
        <f aca="false">SUMPRODUCT(T8:T22,$AE$8:$AE$22)*$AH$2</f>
        <v>658.2754</v>
      </c>
      <c r="U23" s="33" t="n">
        <f aca="false">SUMPRODUCT(U8:U22,$AE$8:$AE$22)*$AH$2</f>
        <v>100.6992</v>
      </c>
      <c r="V23" s="33" t="n">
        <f aca="false">SUMPRODUCT(V8:V22,$AE$8:$AE$22)*$AH$2</f>
        <v>6856.75802</v>
      </c>
      <c r="W23" s="33" t="n">
        <f aca="false">SUMPRODUCT(W8:W22,$AE$8:$AE$22)*$AH$2</f>
        <v>293.09588</v>
      </c>
      <c r="X23" s="33" t="n">
        <f aca="false">SUMPRODUCT(X8:X22,$AE$8:$AE$22)*$AH$2</f>
        <v>0</v>
      </c>
      <c r="Y23" s="33" t="n">
        <f aca="false">SUMPRODUCT(Y8:Y22,$AE$8:$AE$22)*$AH$2</f>
        <v>242.481</v>
      </c>
      <c r="Z23" s="33" t="n">
        <f aca="false">SUMPRODUCT(Z8:Z22,$AE$8:$AE$22)*$AH$2</f>
        <v>394.3466</v>
      </c>
      <c r="AA23" s="33" t="n">
        <f aca="false">SUMPRODUCT(AA8:AA22,$AE$8:$AE$22)*$AH$2</f>
        <v>167.43658</v>
      </c>
      <c r="AB23" s="33" t="n">
        <f aca="false">SUMPRODUCT(AB8:AB22,$AE$8:$AE$22)*$AH$2</f>
        <v>0</v>
      </c>
      <c r="AC23" s="33" t="n">
        <f aca="false">SUMPRODUCT(AC8:AC22,$AE$8:$AE$22)*$AH$2</f>
        <v>590.8392</v>
      </c>
      <c r="AD23" s="3"/>
      <c r="AE23" s="4" t="s">
        <v>137</v>
      </c>
      <c r="AF23" s="33" t="n">
        <f aca="false">SUM(AF8:AF22)</f>
        <v>31788.108498</v>
      </c>
      <c r="AG23" s="3"/>
      <c r="AH23" s="4" t="s">
        <v>137</v>
      </c>
      <c r="AI23" s="33" t="n">
        <f aca="false">SUM(AI8:AI22)</f>
        <v>9396.44364</v>
      </c>
      <c r="AJ23" s="3"/>
      <c r="AK23" s="4" t="s">
        <v>137</v>
      </c>
      <c r="AL23" s="33" t="n">
        <f aca="false">SUM(AL8:AL22)</f>
        <v>21800.825658</v>
      </c>
      <c r="AM23" s="3"/>
      <c r="AN23" s="4" t="s">
        <v>137</v>
      </c>
      <c r="AO23" s="33" t="n">
        <f aca="false">SUM(AO8:AO22)</f>
        <v>0</v>
      </c>
      <c r="AP23" s="3"/>
      <c r="AQ23" s="4" t="s">
        <v>137</v>
      </c>
      <c r="AR23" s="33" t="n">
        <f aca="false">SUM(AR8:AR22)</f>
        <v>590.8392</v>
      </c>
    </row>
    <row r="24" customFormat="false" ht="15" hidden="false" customHeight="false" outlineLevel="0" collapsed="false">
      <c r="AE24" s="4" t="s">
        <v>138</v>
      </c>
      <c r="AF24" s="34" t="n">
        <f aca="false">AF23/1000</f>
        <v>31.788108498</v>
      </c>
      <c r="AH24" s="4" t="s">
        <v>138</v>
      </c>
      <c r="AI24" s="34" t="n">
        <f aca="false">AI23/1000</f>
        <v>9.39644364</v>
      </c>
      <c r="AK24" s="4" t="s">
        <v>138</v>
      </c>
      <c r="AL24" s="34" t="n">
        <f aca="false">AL23/1000</f>
        <v>21.800825658</v>
      </c>
      <c r="AN24" s="4" t="s">
        <v>138</v>
      </c>
      <c r="AO24" s="34" t="n">
        <f aca="false">AO23/1000</f>
        <v>0</v>
      </c>
      <c r="AQ24" s="4" t="s">
        <v>138</v>
      </c>
      <c r="AR24" s="34" t="n">
        <f aca="false">AR23/1000</f>
        <v>0.5908392</v>
      </c>
    </row>
    <row r="25" customFormat="false" ht="23.85" hidden="false" customHeight="false" outlineLevel="0" collapsed="false">
      <c r="A25" s="15" t="s">
        <v>139</v>
      </c>
      <c r="AF25" s="16" t="n">
        <f aca="false">ROUND(AF23-Ведомость!P398*$AH$2,1)</f>
        <v>0</v>
      </c>
      <c r="AG25" s="23" t="s">
        <v>33</v>
      </c>
    </row>
    <row r="27" customFormat="false" ht="15" hidden="false" customHeight="false" outlineLevel="0" collapsed="false">
      <c r="A27" s="3" t="s">
        <v>140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customFormat="false" ht="15" hidden="false" customHeight="false" outlineLevel="0" collapsed="false">
      <c r="A28" s="5" t="s">
        <v>141</v>
      </c>
      <c r="B28" s="35" t="n">
        <f aca="false">(0.6*0.6+2*0.7*0.4+1.7*0.4)*(4-0.12)</f>
        <v>6.208</v>
      </c>
      <c r="C28" s="35" t="n">
        <f aca="false">(0.6*0.6+0.7*0.4+1.7*0.4)*(4-0.12)</f>
        <v>5.1216</v>
      </c>
      <c r="D28" s="35" t="n">
        <f aca="false">(0.6*0.6+2*0.7*0.4+0.9*0.4)*(4-0.12)</f>
        <v>4.9664</v>
      </c>
      <c r="E28" s="35" t="n">
        <f aca="false">(0.6*0.6+0.9*0.4)*(4-0.12)</f>
        <v>2.7936</v>
      </c>
      <c r="F28" s="35" t="n">
        <f aca="false">(0.6*0.6+0.7*0.4+0.9*0.4)*(4-0.12)</f>
        <v>3.88</v>
      </c>
      <c r="G28" s="35" t="n">
        <f aca="false">3*0.6*0.6*(4-0.12)</f>
        <v>4.1904</v>
      </c>
      <c r="H28" s="35" t="n">
        <f aca="false">5*0.6*0.6*(4-0.12)</f>
        <v>6.984</v>
      </c>
      <c r="I28" s="35" t="n">
        <f aca="false">5*0.6*0.6*(4-0.12)</f>
        <v>6.984</v>
      </c>
      <c r="J28" s="35" t="n">
        <f aca="false">2*0.6*0.6*(4-0.12)</f>
        <v>2.7936</v>
      </c>
      <c r="K28" s="35" t="n">
        <f aca="false">1*0.45*(0.6-0.12)*20.5</f>
        <v>4.428</v>
      </c>
      <c r="L28" s="35" t="n">
        <f aca="false">1*0.45*(0.6-0.12)*22.6</f>
        <v>4.8816</v>
      </c>
      <c r="M28" s="35" t="n">
        <f aca="false">1*0.45*(0.6-0.12)*22.6</f>
        <v>4.8816</v>
      </c>
      <c r="N28" s="35" t="n">
        <f aca="false">1*0.45*(0.6-0.12)*19.8</f>
        <v>4.2768</v>
      </c>
      <c r="O28" s="35" t="n">
        <f aca="false">2*0.45*(0.6-0.12)*18.2</f>
        <v>7.8624</v>
      </c>
      <c r="P28" s="35" t="n">
        <f aca="false">1*0.45*(0.6-0.12)*15.8</f>
        <v>3.4128</v>
      </c>
      <c r="Q28" s="35" t="n">
        <f aca="false">1*0.45*(0.6-0.12)*18.2</f>
        <v>3.9312</v>
      </c>
      <c r="R28" s="35" t="n">
        <f aca="false">1*0.45*(0.6-0.12)*15.8</f>
        <v>3.4128</v>
      </c>
      <c r="S28" s="35" t="n">
        <f aca="false">137.85*0.3*(0.3-0.12)+6.05*0.3*(0.4-0.12)+11.71*0.2*(0.3-0.12)+35.75*0.25*(0.3-0.12)</f>
        <v>9.98241</v>
      </c>
      <c r="T28" s="35"/>
      <c r="U28" s="35"/>
      <c r="V28" s="35" t="n">
        <f aca="false">542.03*0.12</f>
        <v>65.0436</v>
      </c>
      <c r="W28" s="35"/>
      <c r="X28" s="35"/>
      <c r="Y28" s="35"/>
      <c r="Z28" s="35"/>
      <c r="AA28" s="35"/>
      <c r="AB28" s="35"/>
      <c r="AC28" s="35"/>
      <c r="AD28" s="36" t="n">
        <f aca="false">SUM(B28:AC28)</f>
        <v>156.03481</v>
      </c>
      <c r="AE28" s="15"/>
      <c r="AF28" s="36" t="n">
        <f aca="false">AD28*$AK$2</f>
        <v>156.03481</v>
      </c>
      <c r="AG28" s="37" t="n">
        <f aca="false">SUM(B28:J28)</f>
        <v>43.9216</v>
      </c>
      <c r="AH28" s="5"/>
      <c r="AI28" s="19" t="n">
        <f aca="false">AG28*$AK$2</f>
        <v>43.9216</v>
      </c>
      <c r="AJ28" s="37" t="n">
        <f aca="false">SUM(K28:AA28)</f>
        <v>112.11321</v>
      </c>
      <c r="AK28" s="5"/>
      <c r="AL28" s="19" t="n">
        <f aca="false">AJ28*$AK$2</f>
        <v>112.11321</v>
      </c>
      <c r="AM28" s="37" t="n">
        <f aca="false">SUM(AB28:AB28)</f>
        <v>0</v>
      </c>
      <c r="AN28" s="5"/>
      <c r="AO28" s="19" t="n">
        <f aca="false">AM28*$AK$2</f>
        <v>0</v>
      </c>
      <c r="AP28" s="37" t="n">
        <f aca="false">SUM(AC28:AC28)</f>
        <v>0</v>
      </c>
      <c r="AQ28" s="5"/>
      <c r="AR28" s="19" t="n">
        <f aca="false">AP28*$AK$2</f>
        <v>0</v>
      </c>
    </row>
    <row r="29" customFormat="false" ht="15" hidden="false" customHeight="false" outlineLevel="0" collapsed="false">
      <c r="A29" s="15" t="s">
        <v>142</v>
      </c>
      <c r="AF29" s="38" t="n">
        <f aca="false">IF(AF28&gt;0,AF23/AF28,0)</f>
        <v>203.72446698272</v>
      </c>
      <c r="AI29" s="39" t="n">
        <f aca="false">IF(AI28&gt;0,AI23/AI28,0)</f>
        <v>213.936733634476</v>
      </c>
      <c r="AL29" s="39" t="n">
        <f aca="false">IF(AL28&gt;0,AL23/AL28,0)</f>
        <v>194.453674620502</v>
      </c>
      <c r="AO29" s="39" t="n">
        <f aca="false">IF(AO28&gt;0,AO23/AO28,0)</f>
        <v>0</v>
      </c>
      <c r="AR29" s="39" t="n">
        <f aca="false">IF(AR28&gt;0,AR23/AR28,0)</f>
        <v>0</v>
      </c>
    </row>
    <row r="31" customFormat="false" ht="15" hidden="false" customHeight="false" outlineLevel="0" collapsed="false">
      <c r="A31" s="3" t="s">
        <v>143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customFormat="false" ht="15" hidden="false" customHeight="false" outlineLevel="0" collapsed="false">
      <c r="A32" s="5" t="s">
        <v>144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1" t="n">
        <f aca="false">SUM(B32:AC32)</f>
        <v>0</v>
      </c>
      <c r="AG32" s="42" t="n">
        <f aca="false">SUM(B32:J32)</f>
        <v>0</v>
      </c>
      <c r="AJ32" s="42" t="n">
        <f aca="false">SUM(K32:AA32)</f>
        <v>0</v>
      </c>
      <c r="AM32" s="42" t="n">
        <f aca="false">SUM(AB32:AB32)</f>
        <v>0</v>
      </c>
      <c r="AP32" s="42" t="n">
        <f aca="false">SUM(AC32:AC32)</f>
        <v>0</v>
      </c>
    </row>
    <row r="33" customFormat="false" ht="15" hidden="false" customHeight="false" outlineLevel="0" collapsed="false">
      <c r="A33" s="5" t="s">
        <v>145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1" t="n">
        <f aca="false">SUM(B33:AC33)</f>
        <v>0</v>
      </c>
      <c r="AG33" s="42" t="n">
        <f aca="false">SUM(B33:J33)</f>
        <v>0</v>
      </c>
      <c r="AJ33" s="42" t="n">
        <f aca="false">SUM(K33:AA33)</f>
        <v>0</v>
      </c>
      <c r="AM33" s="42" t="n">
        <f aca="false">SUM(AB33:AB33)</f>
        <v>0</v>
      </c>
      <c r="AP33" s="42" t="n">
        <f aca="false">SUM(AC33:AC33)</f>
        <v>0</v>
      </c>
    </row>
    <row r="34" customFormat="false" ht="15" hidden="false" customHeight="false" outlineLevel="0" collapsed="false">
      <c r="A34" s="5" t="s">
        <v>146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1" t="n">
        <f aca="false">SUM(B34:AC34)</f>
        <v>0</v>
      </c>
      <c r="AG34" s="42" t="n">
        <f aca="false">SUM(B34:J34)</f>
        <v>0</v>
      </c>
      <c r="AJ34" s="42" t="n">
        <f aca="false">SUM(K34:AA34)</f>
        <v>0</v>
      </c>
      <c r="AM34" s="42" t="n">
        <f aca="false">SUM(AB34:AB34)</f>
        <v>0</v>
      </c>
      <c r="AP34" s="42" t="n">
        <f aca="false">SUM(AC34:AC34)</f>
        <v>0</v>
      </c>
    </row>
    <row r="35" customFormat="false" ht="15" hidden="false" customHeight="false" outlineLevel="0" collapsed="false">
      <c r="A35" s="5" t="s">
        <v>147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 t="n">
        <f aca="false">SUM(B35:AC35)</f>
        <v>0</v>
      </c>
      <c r="AG35" s="42" t="n">
        <f aca="false">SUM(B35:J35)</f>
        <v>0</v>
      </c>
      <c r="AJ35" s="42" t="n">
        <f aca="false">SUM(K35:AA35)</f>
        <v>0</v>
      </c>
      <c r="AM35" s="42" t="n">
        <f aca="false">SUM(AB35:AB35)</f>
        <v>0</v>
      </c>
      <c r="AP35" s="42" t="n">
        <f aca="false">SUM(AC35:AC35)</f>
        <v>0</v>
      </c>
    </row>
    <row r="36" customFormat="false" ht="15" hidden="false" customHeight="false" outlineLevel="0" collapsed="false">
      <c r="A36" s="5" t="s">
        <v>148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 t="n">
        <v>2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1" t="n">
        <f aca="false">SUM(B36:AC36)</f>
        <v>2</v>
      </c>
      <c r="AG36" s="42" t="n">
        <f aca="false">SUM(B36:J36)</f>
        <v>0</v>
      </c>
      <c r="AJ36" s="42" t="n">
        <f aca="false">SUM(K36:AA36)</f>
        <v>2</v>
      </c>
      <c r="AM36" s="42" t="n">
        <f aca="false">SUM(AB36:AB36)</f>
        <v>0</v>
      </c>
      <c r="AP36" s="42" t="n">
        <f aca="false">SUM(AC36:AC36)</f>
        <v>0</v>
      </c>
    </row>
    <row r="37" customFormat="false" ht="15" hidden="false" customHeight="false" outlineLevel="0" collapsed="false">
      <c r="A37" s="5" t="s">
        <v>149</v>
      </c>
      <c r="B37" s="40"/>
      <c r="C37" s="40"/>
      <c r="D37" s="40"/>
      <c r="E37" s="40"/>
      <c r="F37" s="40"/>
      <c r="G37" s="40"/>
      <c r="H37" s="40"/>
      <c r="I37" s="40"/>
      <c r="J37" s="40"/>
      <c r="K37" s="40" t="n">
        <v>4</v>
      </c>
      <c r="L37" s="40" t="n">
        <v>4</v>
      </c>
      <c r="M37" s="40" t="n">
        <v>2</v>
      </c>
      <c r="N37" s="40" t="n">
        <v>2</v>
      </c>
      <c r="O37" s="40" t="n">
        <v>4</v>
      </c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1" t="n">
        <f aca="false">SUM(B37:AC37)</f>
        <v>16</v>
      </c>
      <c r="AG37" s="42" t="n">
        <f aca="false">SUM(B37:J37)</f>
        <v>0</v>
      </c>
      <c r="AJ37" s="42" t="n">
        <f aca="false">SUM(K37:AA37)</f>
        <v>16</v>
      </c>
      <c r="AM37" s="42" t="n">
        <f aca="false">SUM(AB37:AB37)</f>
        <v>0</v>
      </c>
      <c r="AP37" s="42" t="n">
        <f aca="false">SUM(AC37:AC37)</f>
        <v>0</v>
      </c>
    </row>
    <row r="38" customFormat="false" ht="15" hidden="false" customHeight="false" outlineLevel="0" collapsed="false">
      <c r="A38" s="5" t="s">
        <v>150</v>
      </c>
      <c r="B38" s="40"/>
      <c r="C38" s="40"/>
      <c r="D38" s="40"/>
      <c r="E38" s="40"/>
      <c r="F38" s="40"/>
      <c r="G38" s="40"/>
      <c r="H38" s="40"/>
      <c r="I38" s="40"/>
      <c r="J38" s="40"/>
      <c r="K38" s="40" t="n">
        <v>12</v>
      </c>
      <c r="L38" s="40" t="n">
        <v>8</v>
      </c>
      <c r="M38" s="40" t="n">
        <v>10</v>
      </c>
      <c r="N38" s="40" t="n">
        <v>10</v>
      </c>
      <c r="O38" s="40" t="n">
        <v>20</v>
      </c>
      <c r="P38" s="40" t="n">
        <v>8</v>
      </c>
      <c r="Q38" s="40" t="n">
        <v>10</v>
      </c>
      <c r="R38" s="40" t="n">
        <v>8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1" t="n">
        <f aca="false">SUM(B38:AC38)</f>
        <v>86</v>
      </c>
      <c r="AG38" s="42" t="n">
        <f aca="false">SUM(B38:J38)</f>
        <v>0</v>
      </c>
      <c r="AJ38" s="42" t="n">
        <f aca="false">SUM(K38:AA38)</f>
        <v>86</v>
      </c>
      <c r="AM38" s="42" t="n">
        <f aca="false">SUM(AB38:AB38)</f>
        <v>0</v>
      </c>
      <c r="AP38" s="42" t="n">
        <f aca="false">SUM(AC38:AC38)</f>
        <v>0</v>
      </c>
    </row>
    <row r="39" customFormat="false" ht="15" hidden="false" customHeight="false" outlineLevel="0" collapsed="false">
      <c r="A39" s="5" t="s">
        <v>151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 t="n">
        <v>2</v>
      </c>
      <c r="Q39" s="40" t="n">
        <v>2</v>
      </c>
      <c r="R39" s="40" t="n">
        <v>2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1" t="n">
        <f aca="false">SUM(B39:AC39)</f>
        <v>6</v>
      </c>
      <c r="AG39" s="42" t="n">
        <f aca="false">SUM(B39:J39)</f>
        <v>0</v>
      </c>
      <c r="AJ39" s="42" t="n">
        <f aca="false">SUM(K39:AA39)</f>
        <v>6</v>
      </c>
      <c r="AM39" s="42" t="n">
        <f aca="false">SUM(AB39:AB39)</f>
        <v>0</v>
      </c>
      <c r="AP39" s="42" t="n">
        <f aca="false">SUM(AC39:AC39)</f>
        <v>0</v>
      </c>
    </row>
    <row r="40" customFormat="false" ht="15" hidden="false" customHeight="false" outlineLevel="0" collapsed="false">
      <c r="A40" s="5" t="s">
        <v>152</v>
      </c>
      <c r="B40" s="40" t="n">
        <v>4</v>
      </c>
      <c r="C40" s="40" t="n">
        <v>4</v>
      </c>
      <c r="D40" s="40" t="n">
        <v>4</v>
      </c>
      <c r="E40" s="40" t="n">
        <v>4</v>
      </c>
      <c r="F40" s="40" t="n">
        <v>4</v>
      </c>
      <c r="G40" s="40" t="n">
        <v>12</v>
      </c>
      <c r="H40" s="40" t="n">
        <v>20</v>
      </c>
      <c r="I40" s="40" t="n">
        <v>20</v>
      </c>
      <c r="J40" s="40" t="n">
        <v>8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 t="n">
        <f aca="false">SUM(B40:AC40)</f>
        <v>80</v>
      </c>
      <c r="AG40" s="42" t="n">
        <f aca="false">SUM(B40:J40)</f>
        <v>80</v>
      </c>
      <c r="AJ40" s="42" t="n">
        <f aca="false">SUM(K40:AA40)</f>
        <v>0</v>
      </c>
      <c r="AM40" s="42" t="n">
        <f aca="false">SUM(AB40:AB40)</f>
        <v>0</v>
      </c>
      <c r="AP40" s="42" t="n">
        <f aca="false">SUM(AC40:AC40)</f>
        <v>0</v>
      </c>
    </row>
    <row r="41" customFormat="false" ht="15" hidden="false" customHeight="false" outlineLevel="0" collapsed="false">
      <c r="A41" s="5" t="s">
        <v>153</v>
      </c>
      <c r="B41" s="40" t="n">
        <v>32</v>
      </c>
      <c r="C41" s="40" t="n">
        <v>22</v>
      </c>
      <c r="D41" s="40" t="n">
        <v>22</v>
      </c>
      <c r="E41" s="40" t="n">
        <v>14</v>
      </c>
      <c r="F41" s="40" t="n">
        <v>14</v>
      </c>
      <c r="G41" s="40"/>
      <c r="H41" s="40"/>
      <c r="I41" s="40"/>
      <c r="J41" s="40"/>
      <c r="K41" s="40" t="n">
        <v>8</v>
      </c>
      <c r="L41" s="40" t="n">
        <v>8</v>
      </c>
      <c r="M41" s="40" t="n">
        <v>8</v>
      </c>
      <c r="N41" s="40" t="n">
        <v>8</v>
      </c>
      <c r="O41" s="40" t="n">
        <v>8</v>
      </c>
      <c r="P41" s="40" t="n">
        <v>4</v>
      </c>
      <c r="Q41" s="40" t="n">
        <v>4</v>
      </c>
      <c r="R41" s="40" t="n">
        <v>4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 t="n">
        <f aca="false">SUM(B41:AC41)</f>
        <v>156</v>
      </c>
      <c r="AG41" s="42" t="n">
        <f aca="false">SUM(B41:J41)</f>
        <v>104</v>
      </c>
      <c r="AJ41" s="42" t="n">
        <f aca="false">SUM(K41:AA41)</f>
        <v>52</v>
      </c>
      <c r="AM41" s="42" t="n">
        <f aca="false">SUM(AB41:AB41)</f>
        <v>0</v>
      </c>
      <c r="AP41" s="42" t="n">
        <f aca="false">SUM(AC41:AC41)</f>
        <v>0</v>
      </c>
    </row>
    <row r="42" customFormat="false" ht="15" hidden="false" customHeight="false" outlineLevel="0" collapsed="false">
      <c r="A42" s="5" t="s">
        <v>154</v>
      </c>
      <c r="B42" s="40" t="n">
        <v>8</v>
      </c>
      <c r="C42" s="40" t="n">
        <v>8</v>
      </c>
      <c r="D42" s="40" t="n">
        <v>10</v>
      </c>
      <c r="E42" s="40"/>
      <c r="F42" s="40" t="n">
        <v>10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 t="n">
        <v>40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 t="n">
        <f aca="false">SUM(B42:AC42)</f>
        <v>76</v>
      </c>
      <c r="AG42" s="42" t="n">
        <f aca="false">SUM(B42:J42)</f>
        <v>36</v>
      </c>
      <c r="AJ42" s="42" t="n">
        <f aca="false">SUM(K42:AA42)</f>
        <v>40</v>
      </c>
      <c r="AM42" s="42" t="n">
        <f aca="false">SUM(AB42:AB42)</f>
        <v>0</v>
      </c>
      <c r="AP42" s="42" t="n">
        <f aca="false">SUM(AC42:AC42)</f>
        <v>0</v>
      </c>
    </row>
    <row r="43" customFormat="false" ht="15" hidden="false" customHeight="false" outlineLevel="0" collapsed="false">
      <c r="A43" s="5" t="s">
        <v>155</v>
      </c>
      <c r="B43" s="40"/>
      <c r="C43" s="40" t="n">
        <v>16</v>
      </c>
      <c r="D43" s="40" t="n">
        <v>14</v>
      </c>
      <c r="E43" s="40"/>
      <c r="F43" s="40" t="n">
        <v>6</v>
      </c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 t="n">
        <f aca="false">SUM(B43:AC43)</f>
        <v>36</v>
      </c>
      <c r="AG43" s="42" t="n">
        <f aca="false">SUM(B43:J43)</f>
        <v>36</v>
      </c>
      <c r="AJ43" s="42" t="n">
        <f aca="false">SUM(K43:AA43)</f>
        <v>0</v>
      </c>
      <c r="AM43" s="42" t="n">
        <f aca="false">SUM(AB43:AB43)</f>
        <v>0</v>
      </c>
      <c r="AP43" s="42" t="n">
        <f aca="false">SUM(AC43:AC43)</f>
        <v>0</v>
      </c>
    </row>
    <row r="44" customFormat="false" ht="15" hidden="false" customHeight="false" outlineLevel="0" collapsed="false">
      <c r="A44" s="5" t="s">
        <v>156</v>
      </c>
      <c r="B44" s="40" t="n">
        <v>16</v>
      </c>
      <c r="C44" s="40" t="n">
        <v>4</v>
      </c>
      <c r="D44" s="40" t="n">
        <v>8</v>
      </c>
      <c r="E44" s="40" t="n">
        <v>10</v>
      </c>
      <c r="F44" s="40" t="n">
        <v>8</v>
      </c>
      <c r="G44" s="40" t="n">
        <v>24</v>
      </c>
      <c r="H44" s="40" t="n">
        <v>40</v>
      </c>
      <c r="I44" s="40" t="n">
        <v>40</v>
      </c>
      <c r="J44" s="40" t="n">
        <v>16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1" t="n">
        <f aca="false">SUM(B44:AC44)</f>
        <v>166</v>
      </c>
      <c r="AG44" s="42" t="n">
        <f aca="false">SUM(B44:J44)</f>
        <v>166</v>
      </c>
      <c r="AJ44" s="42" t="n">
        <f aca="false">SUM(K44:AA44)</f>
        <v>0</v>
      </c>
      <c r="AM44" s="42" t="n">
        <f aca="false">SUM(AB44:AB44)</f>
        <v>0</v>
      </c>
      <c r="AP44" s="42" t="n">
        <f aca="false">SUM(AC44:AC44)</f>
        <v>0</v>
      </c>
    </row>
    <row r="45" customFormat="false" ht="15" hidden="false" customHeight="false" outlineLevel="0" collapsed="false">
      <c r="A45" s="23" t="s">
        <v>157</v>
      </c>
    </row>
    <row r="46" customFormat="false" ht="15" hidden="false" customHeight="false" outlineLevel="0" collapsed="false">
      <c r="A46" s="23" t="s">
        <v>158</v>
      </c>
    </row>
  </sheetData>
  <mergeCells count="11">
    <mergeCell ref="A1:AF1"/>
    <mergeCell ref="B4:F4"/>
    <mergeCell ref="G4:J4"/>
    <mergeCell ref="K4:R4"/>
    <mergeCell ref="S4:U4"/>
    <mergeCell ref="V4:AA4"/>
    <mergeCell ref="AG4:AI4"/>
    <mergeCell ref="AJ4:AL4"/>
    <mergeCell ref="AM4:AO4"/>
    <mergeCell ref="AP4:AR4"/>
    <mergeCell ref="Y5:Z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43" t="s">
        <v>159</v>
      </c>
    </row>
    <row r="3" customFormat="false" ht="15" hidden="false" customHeight="true" outlineLevel="0" collapsed="false">
      <c r="A3" s="3" t="s">
        <v>160</v>
      </c>
      <c r="B3" s="15" t="s">
        <v>161</v>
      </c>
      <c r="C3" s="15"/>
      <c r="D3" s="15"/>
      <c r="E3" s="15"/>
      <c r="F3" s="15"/>
    </row>
    <row r="4" customFormat="false" ht="15" hidden="false" customHeight="true" outlineLevel="0" collapsed="false">
      <c r="A4" s="3" t="s">
        <v>162</v>
      </c>
      <c r="B4" s="15" t="s">
        <v>163</v>
      </c>
      <c r="C4" s="15"/>
      <c r="D4" s="15"/>
      <c r="E4" s="15"/>
      <c r="F4" s="15"/>
    </row>
    <row r="5" customFormat="false" ht="15" hidden="false" customHeight="true" outlineLevel="0" collapsed="false">
      <c r="A5" s="3" t="s">
        <v>164</v>
      </c>
      <c r="B5" s="15" t="s">
        <v>165</v>
      </c>
      <c r="C5" s="15"/>
      <c r="D5" s="15"/>
      <c r="E5" s="15"/>
      <c r="F5" s="15"/>
    </row>
    <row r="6" customFormat="false" ht="23.85" hidden="false" customHeight="true" outlineLevel="0" collapsed="false">
      <c r="A6" s="3" t="s">
        <v>166</v>
      </c>
      <c r="B6" s="15" t="s">
        <v>167</v>
      </c>
      <c r="C6" s="15"/>
      <c r="D6" s="15"/>
      <c r="E6" s="15"/>
      <c r="F6" s="15"/>
    </row>
    <row r="7" customFormat="false" ht="15" hidden="false" customHeight="true" outlineLevel="0" collapsed="false">
      <c r="A7" s="3" t="s">
        <v>168</v>
      </c>
      <c r="B7" s="15" t="s">
        <v>169</v>
      </c>
      <c r="C7" s="15"/>
      <c r="D7" s="15"/>
      <c r="E7" s="15"/>
      <c r="F7" s="15"/>
    </row>
    <row r="8" customFormat="false" ht="15" hidden="false" customHeight="true" outlineLevel="0" collapsed="false">
      <c r="A8" s="3" t="s">
        <v>34</v>
      </c>
      <c r="B8" s="15" t="s">
        <v>170</v>
      </c>
      <c r="C8" s="15"/>
      <c r="D8" s="15"/>
      <c r="E8" s="15"/>
      <c r="F8" s="15"/>
    </row>
    <row r="9" customFormat="false" ht="15" hidden="false" customHeight="true" outlineLevel="0" collapsed="false">
      <c r="A9" s="3" t="s">
        <v>1</v>
      </c>
      <c r="B9" s="15" t="s">
        <v>171</v>
      </c>
      <c r="C9" s="15"/>
      <c r="D9" s="15"/>
      <c r="E9" s="15"/>
      <c r="F9" s="15"/>
    </row>
    <row r="11" customFormat="false" ht="15" hidden="false" customHeight="false" outlineLevel="0" collapsed="false">
      <c r="A11" s="22" t="s">
        <v>172</v>
      </c>
    </row>
    <row r="12" customFormat="false" ht="15" hidden="false" customHeight="false" outlineLevel="0" collapsed="false">
      <c r="A12" s="3" t="s">
        <v>173</v>
      </c>
      <c r="B12" s="44" t="n">
        <v>11.7</v>
      </c>
    </row>
    <row r="13" customFormat="false" ht="15" hidden="false" customHeight="false" outlineLevel="0" collapsed="false">
      <c r="A13" s="3" t="s">
        <v>60</v>
      </c>
      <c r="B13" s="44" t="n">
        <v>1</v>
      </c>
      <c r="C13" s="17" t="s">
        <v>174</v>
      </c>
    </row>
    <row r="14" customFormat="false" ht="15" hidden="false" customHeight="false" outlineLevel="0" collapsed="false">
      <c r="A14" s="3" t="s">
        <v>61</v>
      </c>
      <c r="B14" s="44" t="n">
        <v>1</v>
      </c>
      <c r="C14" s="17" t="s">
        <v>175</v>
      </c>
    </row>
    <row r="16" customFormat="false" ht="15" hidden="false" customHeight="false" outlineLevel="0" collapsed="false">
      <c r="A16" s="22" t="s">
        <v>176</v>
      </c>
    </row>
    <row r="17" customFormat="false" ht="15" hidden="false" customHeight="false" outlineLevel="0" collapsed="false">
      <c r="A17" s="4" t="s">
        <v>177</v>
      </c>
      <c r="B17" s="4" t="s">
        <v>178</v>
      </c>
    </row>
    <row r="18" customFormat="false" ht="15" hidden="false" customHeight="false" outlineLevel="0" collapsed="false">
      <c r="A18" s="38" t="n">
        <v>6</v>
      </c>
      <c r="B18" s="45" t="n">
        <v>0.222</v>
      </c>
    </row>
    <row r="19" customFormat="false" ht="15" hidden="false" customHeight="false" outlineLevel="0" collapsed="false">
      <c r="A19" s="38" t="n">
        <v>8</v>
      </c>
      <c r="B19" s="45" t="n">
        <v>0.395</v>
      </c>
    </row>
    <row r="20" customFormat="false" ht="15" hidden="false" customHeight="false" outlineLevel="0" collapsed="false">
      <c r="A20" s="38" t="n">
        <v>10</v>
      </c>
      <c r="B20" s="45" t="n">
        <v>0.617</v>
      </c>
    </row>
    <row r="21" customFormat="false" ht="15" hidden="false" customHeight="false" outlineLevel="0" collapsed="false">
      <c r="A21" s="38" t="n">
        <v>12</v>
      </c>
      <c r="B21" s="45" t="n">
        <v>0.888</v>
      </c>
    </row>
    <row r="22" customFormat="false" ht="15" hidden="false" customHeight="false" outlineLevel="0" collapsed="false">
      <c r="A22" s="38" t="n">
        <v>14</v>
      </c>
      <c r="B22" s="45" t="n">
        <v>1.208</v>
      </c>
    </row>
    <row r="23" customFormat="false" ht="15" hidden="false" customHeight="false" outlineLevel="0" collapsed="false">
      <c r="A23" s="38" t="n">
        <v>16</v>
      </c>
      <c r="B23" s="45" t="n">
        <v>1.578</v>
      </c>
    </row>
    <row r="24" customFormat="false" ht="15" hidden="false" customHeight="false" outlineLevel="0" collapsed="false">
      <c r="A24" s="38" t="n">
        <v>18</v>
      </c>
      <c r="B24" s="45" t="n">
        <v>1.998</v>
      </c>
    </row>
    <row r="25" customFormat="false" ht="15" hidden="false" customHeight="false" outlineLevel="0" collapsed="false">
      <c r="A25" s="38" t="n">
        <v>20</v>
      </c>
      <c r="B25" s="45" t="n">
        <v>2.466</v>
      </c>
    </row>
    <row r="26" customFormat="false" ht="15" hidden="false" customHeight="false" outlineLevel="0" collapsed="false">
      <c r="A26" s="38" t="n">
        <v>22</v>
      </c>
      <c r="B26" s="45" t="n">
        <v>2.984</v>
      </c>
    </row>
    <row r="27" customFormat="false" ht="15" hidden="false" customHeight="false" outlineLevel="0" collapsed="false">
      <c r="A27" s="38" t="n">
        <v>25</v>
      </c>
      <c r="B27" s="45" t="n">
        <v>3.853</v>
      </c>
    </row>
    <row r="28" customFormat="false" ht="15" hidden="false" customHeight="false" outlineLevel="0" collapsed="false">
      <c r="A28" s="38" t="n">
        <v>28</v>
      </c>
      <c r="B28" s="45" t="n">
        <v>4.834</v>
      </c>
    </row>
    <row r="29" customFormat="false" ht="15" hidden="false" customHeight="false" outlineLevel="0" collapsed="false">
      <c r="A29" s="38" t="n">
        <v>32</v>
      </c>
      <c r="B29" s="45" t="n">
        <v>6.313</v>
      </c>
    </row>
    <row r="31" customFormat="false" ht="15" hidden="false" customHeight="false" outlineLevel="0" collapsed="false">
      <c r="A31" s="46" t="s">
        <v>179</v>
      </c>
    </row>
    <row r="32" customFormat="false" ht="15" hidden="false" customHeight="true" outlineLevel="0" collapsed="false">
      <c r="A32" s="3" t="s">
        <v>180</v>
      </c>
      <c r="B32" s="15" t="s">
        <v>181</v>
      </c>
      <c r="C32" s="15"/>
      <c r="D32" s="15"/>
      <c r="E32" s="15"/>
      <c r="F32" s="15"/>
    </row>
    <row r="33" customFormat="false" ht="15" hidden="false" customHeight="true" outlineLevel="0" collapsed="false">
      <c r="A33" s="3" t="s">
        <v>182</v>
      </c>
      <c r="B33" s="15" t="s">
        <v>183</v>
      </c>
      <c r="C33" s="15"/>
      <c r="D33" s="15"/>
      <c r="E33" s="15"/>
      <c r="F33" s="15"/>
    </row>
    <row r="34" customFormat="false" ht="15" hidden="false" customHeight="true" outlineLevel="0" collapsed="false">
      <c r="A34" s="3" t="s">
        <v>184</v>
      </c>
      <c r="B34" s="15" t="s">
        <v>185</v>
      </c>
      <c r="C34" s="15"/>
      <c r="D34" s="15"/>
      <c r="E34" s="15"/>
      <c r="F34" s="15"/>
    </row>
    <row r="35" customFormat="false" ht="15" hidden="false" customHeight="true" outlineLevel="0" collapsed="false">
      <c r="A35" s="3" t="s">
        <v>186</v>
      </c>
      <c r="B35" s="15" t="s">
        <v>187</v>
      </c>
      <c r="C35" s="15"/>
      <c r="D35" s="15"/>
      <c r="E35" s="15"/>
      <c r="F35" s="15"/>
    </row>
    <row r="36" customFormat="false" ht="15" hidden="false" customHeight="true" outlineLevel="0" collapsed="false">
      <c r="A36" s="3" t="s">
        <v>188</v>
      </c>
      <c r="B36" s="15" t="s">
        <v>189</v>
      </c>
      <c r="C36" s="15"/>
      <c r="D36" s="15"/>
      <c r="E36" s="15"/>
      <c r="F36" s="15"/>
    </row>
    <row r="38" customFormat="false" ht="15" hidden="false" customHeight="false" outlineLevel="0" collapsed="false">
      <c r="A38" s="22" t="s">
        <v>190</v>
      </c>
    </row>
    <row r="39" customFormat="false" ht="15" hidden="false" customHeight="false" outlineLevel="0" collapsed="false">
      <c r="A39" s="4" t="s">
        <v>191</v>
      </c>
      <c r="B39" s="4" t="s">
        <v>192</v>
      </c>
      <c r="C39" s="4" t="s">
        <v>193</v>
      </c>
      <c r="D39" s="4" t="s">
        <v>194</v>
      </c>
    </row>
    <row r="40" customFormat="false" ht="23.85" hidden="false" customHeight="false" outlineLevel="0" collapsed="false">
      <c r="A40" s="47" t="n">
        <v>2</v>
      </c>
      <c r="B40" s="47" t="s">
        <v>195</v>
      </c>
      <c r="C40" s="15" t="s">
        <v>196</v>
      </c>
      <c r="D40" s="15" t="s">
        <v>197</v>
      </c>
    </row>
    <row r="41" customFormat="false" ht="23.85" hidden="false" customHeight="false" outlineLevel="0" collapsed="false">
      <c r="A41" s="47" t="s">
        <v>198</v>
      </c>
      <c r="B41" s="47" t="s">
        <v>199</v>
      </c>
      <c r="C41" s="15" t="s">
        <v>200</v>
      </c>
      <c r="D41" s="15" t="s">
        <v>201</v>
      </c>
    </row>
    <row r="42" customFormat="false" ht="23.85" hidden="false" customHeight="false" outlineLevel="0" collapsed="false">
      <c r="A42" s="47" t="n">
        <v>11</v>
      </c>
      <c r="B42" s="47" t="s">
        <v>202</v>
      </c>
      <c r="C42" s="15" t="s">
        <v>203</v>
      </c>
      <c r="D42" s="15" t="s">
        <v>204</v>
      </c>
    </row>
    <row r="43" customFormat="false" ht="15" hidden="false" customHeight="false" outlineLevel="0" collapsed="false">
      <c r="A43" s="47" t="n">
        <v>12</v>
      </c>
      <c r="B43" s="47" t="s">
        <v>205</v>
      </c>
      <c r="C43" s="15" t="s">
        <v>206</v>
      </c>
      <c r="D43" s="15" t="s">
        <v>207</v>
      </c>
    </row>
    <row r="44" customFormat="false" ht="15" hidden="false" customHeight="false" outlineLevel="0" collapsed="false">
      <c r="A44" s="47" t="n">
        <v>13</v>
      </c>
      <c r="B44" s="47" t="s">
        <v>208</v>
      </c>
      <c r="C44" s="15" t="s">
        <v>209</v>
      </c>
      <c r="D44" s="15" t="s">
        <v>210</v>
      </c>
    </row>
    <row r="45" customFormat="false" ht="15" hidden="false" customHeight="false" outlineLevel="0" collapsed="false">
      <c r="A45" s="47" t="n">
        <v>14</v>
      </c>
      <c r="B45" s="47" t="s">
        <v>211</v>
      </c>
      <c r="C45" s="15" t="s">
        <v>212</v>
      </c>
      <c r="D45" s="15" t="s">
        <v>213</v>
      </c>
    </row>
    <row r="46" customFormat="false" ht="23.85" hidden="false" customHeight="false" outlineLevel="0" collapsed="false">
      <c r="A46" s="47" t="n">
        <v>15</v>
      </c>
      <c r="B46" s="47" t="s">
        <v>214</v>
      </c>
      <c r="C46" s="15" t="s">
        <v>215</v>
      </c>
      <c r="D46" s="15" t="s">
        <v>216</v>
      </c>
    </row>
    <row r="47" customFormat="false" ht="15" hidden="false" customHeight="false" outlineLevel="0" collapsed="false">
      <c r="A47" s="47" t="n">
        <v>16</v>
      </c>
      <c r="B47" s="47" t="s">
        <v>217</v>
      </c>
      <c r="C47" s="15" t="s">
        <v>218</v>
      </c>
      <c r="D47" s="15" t="s">
        <v>219</v>
      </c>
    </row>
    <row r="48" customFormat="false" ht="23.85" hidden="false" customHeight="false" outlineLevel="0" collapsed="false">
      <c r="A48" s="47" t="s">
        <v>220</v>
      </c>
      <c r="B48" s="47" t="s">
        <v>221</v>
      </c>
      <c r="C48" s="15" t="s">
        <v>222</v>
      </c>
      <c r="D48" s="15" t="s">
        <v>223</v>
      </c>
    </row>
    <row r="49" customFormat="false" ht="15" hidden="false" customHeight="false" outlineLevel="0" collapsed="false">
      <c r="A49" s="47" t="n">
        <v>29</v>
      </c>
      <c r="B49" s="47" t="s">
        <v>224</v>
      </c>
      <c r="C49" s="15" t="s">
        <v>225</v>
      </c>
      <c r="D49" s="15" t="s">
        <v>226</v>
      </c>
    </row>
    <row r="50" customFormat="false" ht="15" hidden="false" customHeight="false" outlineLevel="0" collapsed="false">
      <c r="A50" s="47" t="n">
        <v>31</v>
      </c>
      <c r="B50" s="47" t="s">
        <v>227</v>
      </c>
      <c r="C50" s="15" t="s">
        <v>228</v>
      </c>
      <c r="D50" s="15" t="s">
        <v>229</v>
      </c>
    </row>
    <row r="51" customFormat="false" ht="15" hidden="false" customHeight="false" outlineLevel="0" collapsed="false">
      <c r="A51" s="47" t="n">
        <v>32</v>
      </c>
      <c r="B51" s="47" t="s">
        <v>230</v>
      </c>
      <c r="C51" s="15" t="s">
        <v>231</v>
      </c>
      <c r="D51" s="15" t="s">
        <v>232</v>
      </c>
    </row>
    <row r="52" customFormat="false" ht="23.85" hidden="false" customHeight="false" outlineLevel="0" collapsed="false">
      <c r="A52" s="47" t="n">
        <v>35</v>
      </c>
      <c r="B52" s="47" t="s">
        <v>233</v>
      </c>
      <c r="C52" s="15" t="s">
        <v>234</v>
      </c>
      <c r="D52" s="15" t="s">
        <v>235</v>
      </c>
    </row>
    <row r="53" customFormat="false" ht="15" hidden="false" customHeight="false" outlineLevel="0" collapsed="false">
      <c r="A53" s="47" t="n">
        <v>36</v>
      </c>
      <c r="B53" s="47" t="s">
        <v>236</v>
      </c>
      <c r="C53" s="15" t="s">
        <v>237</v>
      </c>
      <c r="D53" s="15" t="s">
        <v>238</v>
      </c>
    </row>
    <row r="54" customFormat="false" ht="23.85" hidden="false" customHeight="false" outlineLevel="0" collapsed="false">
      <c r="A54" s="47" t="n">
        <v>37</v>
      </c>
      <c r="B54" s="47" t="s">
        <v>239</v>
      </c>
      <c r="C54" s="15" t="s">
        <v>240</v>
      </c>
      <c r="D54" s="15" t="s">
        <v>241</v>
      </c>
    </row>
    <row r="55" customFormat="false" ht="23.85" hidden="false" customHeight="false" outlineLevel="0" collapsed="false">
      <c r="A55" s="47" t="n">
        <v>38</v>
      </c>
      <c r="B55" s="47" t="s">
        <v>242</v>
      </c>
      <c r="C55" s="15" t="s">
        <v>243</v>
      </c>
      <c r="D55" s="15" t="s">
        <v>244</v>
      </c>
    </row>
    <row r="56" customFormat="false" ht="15" hidden="false" customHeight="false" outlineLevel="0" collapsed="false">
      <c r="A56" s="47" t="s">
        <v>245</v>
      </c>
      <c r="B56" s="47" t="s">
        <v>246</v>
      </c>
      <c r="C56" s="15" t="s">
        <v>247</v>
      </c>
      <c r="D56" s="15" t="s">
        <v>248</v>
      </c>
    </row>
    <row r="57" customFormat="false" ht="15" hidden="false" customHeight="false" outlineLevel="0" collapsed="false">
      <c r="A57" s="47" t="n">
        <v>39</v>
      </c>
      <c r="B57" s="47" t="s">
        <v>249</v>
      </c>
      <c r="C57" s="15" t="s">
        <v>250</v>
      </c>
      <c r="D57" s="15" t="s">
        <v>251</v>
      </c>
    </row>
    <row r="58" customFormat="false" ht="23.85" hidden="false" customHeight="false" outlineLevel="0" collapsed="false">
      <c r="A58" s="47" t="n">
        <v>1</v>
      </c>
      <c r="B58" s="47" t="s">
        <v>252</v>
      </c>
      <c r="C58" s="15" t="s">
        <v>253</v>
      </c>
      <c r="D58" s="15" t="s">
        <v>254</v>
      </c>
    </row>
  </sheetData>
  <mergeCells count="12">
    <mergeCell ref="B3:F3"/>
    <mergeCell ref="B4:F4"/>
    <mergeCell ref="B5:F5"/>
    <mergeCell ref="B6:F6"/>
    <mergeCell ref="B7:F7"/>
    <mergeCell ref="B8:F8"/>
    <mergeCell ref="B9:F9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9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52"/>
    <col collapsed="false" customWidth="true" hidden="false" outlineLevel="0" max="8" min="8" style="0" width="5"/>
    <col collapsed="false" customWidth="true" hidden="false" outlineLevel="0" max="10" min="9" style="0" width="8"/>
    <col collapsed="false" customWidth="true" hidden="false" outlineLevel="0" max="13" min="11" style="0" width="9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40"/>
    <col collapsed="false" customWidth="true" hidden="false" outlineLevel="0" max="18" min="18" style="0" width="16"/>
    <col collapsed="false" customWidth="true" hidden="false" outlineLevel="0" max="19" min="19" style="0" width="48"/>
    <col collapsed="false" customWidth="true" hidden="false" outlineLevel="0" max="21" min="20" style="0" width="10"/>
    <col collapsed="false" customWidth="true" hidden="false" outlineLevel="0" max="22" min="22" style="0" width="13"/>
  </cols>
  <sheetData>
    <row r="1" customFormat="false" ht="17.35" hidden="false" customHeight="false" outlineLevel="0" collapsed="false">
      <c r="A1" s="43" t="s">
        <v>255</v>
      </c>
    </row>
    <row r="2" customFormat="false" ht="15" hidden="false" customHeight="false" outlineLevel="0" collapsed="false">
      <c r="A2" s="23" t="s">
        <v>256</v>
      </c>
    </row>
    <row r="4" customFormat="false" ht="45" hidden="false" customHeight="true" outlineLevel="0" collapsed="false">
      <c r="A4" s="4" t="s">
        <v>257</v>
      </c>
      <c r="B4" s="4" t="s">
        <v>164</v>
      </c>
      <c r="C4" s="4" t="s">
        <v>258</v>
      </c>
      <c r="D4" s="4" t="s">
        <v>259</v>
      </c>
      <c r="E4" s="4" t="s">
        <v>260</v>
      </c>
      <c r="F4" s="4" t="s">
        <v>261</v>
      </c>
      <c r="G4" s="4" t="s">
        <v>262</v>
      </c>
      <c r="H4" s="4" t="s">
        <v>263</v>
      </c>
      <c r="I4" s="4" t="s">
        <v>264</v>
      </c>
      <c r="J4" s="4" t="s">
        <v>265</v>
      </c>
      <c r="K4" s="4" t="s">
        <v>266</v>
      </c>
      <c r="L4" s="4" t="s">
        <v>267</v>
      </c>
      <c r="M4" s="4" t="s">
        <v>268</v>
      </c>
      <c r="N4" s="4" t="s">
        <v>269</v>
      </c>
      <c r="O4" s="4" t="s">
        <v>178</v>
      </c>
      <c r="P4" s="4" t="s">
        <v>270</v>
      </c>
      <c r="Q4" s="4" t="s">
        <v>271</v>
      </c>
      <c r="R4" s="4" t="s">
        <v>272</v>
      </c>
      <c r="S4" s="4" t="s">
        <v>273</v>
      </c>
      <c r="T4" s="4" t="s">
        <v>274</v>
      </c>
      <c r="U4" s="4" t="s">
        <v>275</v>
      </c>
      <c r="V4" s="4" t="s">
        <v>276</v>
      </c>
    </row>
    <row r="5" customFormat="false" ht="15" hidden="false" customHeight="true" outlineLevel="0" collapsed="false">
      <c r="A5" s="2" t="s">
        <v>277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23.85" hidden="false" customHeight="false" outlineLevel="0" collapsed="false">
      <c r="A6" s="47" t="n">
        <v>1</v>
      </c>
      <c r="B6" s="15" t="s">
        <v>278</v>
      </c>
      <c r="C6" s="15" t="s">
        <v>62</v>
      </c>
      <c r="D6" s="15" t="s">
        <v>279</v>
      </c>
      <c r="E6" s="15" t="s">
        <v>97</v>
      </c>
      <c r="F6" s="47" t="s">
        <v>280</v>
      </c>
      <c r="G6" s="15" t="s">
        <v>281</v>
      </c>
      <c r="H6" s="40" t="n">
        <v>32</v>
      </c>
      <c r="I6" s="47" t="s">
        <v>282</v>
      </c>
      <c r="J6" s="47" t="s">
        <v>113</v>
      </c>
      <c r="K6" s="40" t="n">
        <v>1</v>
      </c>
      <c r="L6" s="40" t="n">
        <v>4</v>
      </c>
      <c r="M6" s="45" t="n">
        <v>4</v>
      </c>
      <c r="N6" s="48" t="n">
        <f aca="false">K6*L6*M6</f>
        <v>16</v>
      </c>
      <c r="O6" s="29" t="n">
        <f aca="false">IFERROR(INDEX(Исходные!$B$18:$B$29,MATCH(H6,Исходные!$A$18:$A$29,0)),0)</f>
        <v>6.313</v>
      </c>
      <c r="P6" s="49" t="n">
        <f aca="false">N6*O6</f>
        <v>101.008</v>
      </c>
      <c r="Q6" s="15" t="s">
        <v>283</v>
      </c>
      <c r="R6" s="50" t="s">
        <v>284</v>
      </c>
      <c r="S6" s="15" t="s">
        <v>285</v>
      </c>
      <c r="T6" s="15" t="s">
        <v>62</v>
      </c>
      <c r="U6" s="38" t="n">
        <v>0</v>
      </c>
      <c r="V6" s="47" t="s">
        <v>97</v>
      </c>
    </row>
    <row r="7" customFormat="false" ht="23.85" hidden="false" customHeight="false" outlineLevel="0" collapsed="false">
      <c r="A7" s="47" t="n">
        <v>2</v>
      </c>
      <c r="B7" s="15" t="s">
        <v>278</v>
      </c>
      <c r="C7" s="15" t="s">
        <v>62</v>
      </c>
      <c r="D7" s="15" t="s">
        <v>279</v>
      </c>
      <c r="E7" s="15" t="s">
        <v>97</v>
      </c>
      <c r="F7" s="47" t="s">
        <v>286</v>
      </c>
      <c r="G7" s="15" t="s">
        <v>287</v>
      </c>
      <c r="H7" s="40" t="n">
        <v>20</v>
      </c>
      <c r="I7" s="47" t="s">
        <v>282</v>
      </c>
      <c r="J7" s="47" t="s">
        <v>113</v>
      </c>
      <c r="K7" s="40" t="n">
        <v>1</v>
      </c>
      <c r="L7" s="40" t="n">
        <v>8</v>
      </c>
      <c r="M7" s="45" t="n">
        <v>4</v>
      </c>
      <c r="N7" s="48" t="n">
        <f aca="false">K7*L7*M7</f>
        <v>32</v>
      </c>
      <c r="O7" s="29" t="n">
        <f aca="false">IFERROR(INDEX(Исходные!$B$18:$B$29,MATCH(H7,Исходные!$A$18:$A$29,0)),0)</f>
        <v>2.466</v>
      </c>
      <c r="P7" s="49" t="n">
        <f aca="false">N7*O7</f>
        <v>78.912</v>
      </c>
      <c r="Q7" s="15" t="s">
        <v>283</v>
      </c>
      <c r="R7" s="50" t="s">
        <v>284</v>
      </c>
      <c r="S7" s="15" t="s">
        <v>288</v>
      </c>
      <c r="T7" s="15" t="s">
        <v>62</v>
      </c>
      <c r="U7" s="38" t="n">
        <v>0</v>
      </c>
      <c r="V7" s="47" t="s">
        <v>97</v>
      </c>
    </row>
    <row r="8" customFormat="false" ht="35.05" hidden="false" customHeight="false" outlineLevel="0" collapsed="false">
      <c r="A8" s="47" t="n">
        <v>3</v>
      </c>
      <c r="B8" s="15" t="s">
        <v>278</v>
      </c>
      <c r="C8" s="15" t="s">
        <v>62</v>
      </c>
      <c r="D8" s="15" t="s">
        <v>279</v>
      </c>
      <c r="E8" s="15" t="s">
        <v>97</v>
      </c>
      <c r="F8" s="47" t="s">
        <v>289</v>
      </c>
      <c r="G8" s="15" t="s">
        <v>290</v>
      </c>
      <c r="H8" s="40" t="n">
        <v>28</v>
      </c>
      <c r="I8" s="47" t="s">
        <v>282</v>
      </c>
      <c r="J8" s="47" t="s">
        <v>113</v>
      </c>
      <c r="K8" s="40" t="n">
        <v>1</v>
      </c>
      <c r="L8" s="40" t="n">
        <v>22</v>
      </c>
      <c r="M8" s="45" t="n">
        <v>4</v>
      </c>
      <c r="N8" s="48" t="n">
        <f aca="false">K8*L8*M8</f>
        <v>88</v>
      </c>
      <c r="O8" s="29" t="n">
        <f aca="false">IFERROR(INDEX(Исходные!$B$18:$B$29,MATCH(H8,Исходные!$A$18:$A$29,0)),0)</f>
        <v>4.834</v>
      </c>
      <c r="P8" s="49" t="n">
        <f aca="false">N8*O8</f>
        <v>425.392</v>
      </c>
      <c r="Q8" s="15" t="s">
        <v>283</v>
      </c>
      <c r="R8" s="50" t="s">
        <v>284</v>
      </c>
      <c r="S8" s="15" t="s">
        <v>291</v>
      </c>
      <c r="T8" s="15" t="s">
        <v>62</v>
      </c>
      <c r="U8" s="38" t="n">
        <v>0</v>
      </c>
      <c r="V8" s="47" t="s">
        <v>97</v>
      </c>
    </row>
    <row r="9" customFormat="false" ht="23.85" hidden="false" customHeight="false" outlineLevel="0" collapsed="false">
      <c r="A9" s="47" t="n">
        <v>4</v>
      </c>
      <c r="B9" s="15" t="s">
        <v>278</v>
      </c>
      <c r="C9" s="15" t="s">
        <v>62</v>
      </c>
      <c r="D9" s="15" t="s">
        <v>279</v>
      </c>
      <c r="E9" s="15" t="s">
        <v>97</v>
      </c>
      <c r="F9" s="47" t="s">
        <v>292</v>
      </c>
      <c r="G9" s="15" t="s">
        <v>293</v>
      </c>
      <c r="H9" s="40" t="n">
        <v>25</v>
      </c>
      <c r="I9" s="47" t="s">
        <v>282</v>
      </c>
      <c r="J9" s="47" t="s">
        <v>113</v>
      </c>
      <c r="K9" s="40" t="n">
        <v>1</v>
      </c>
      <c r="L9" s="40" t="n">
        <v>8</v>
      </c>
      <c r="M9" s="45" t="n">
        <v>4</v>
      </c>
      <c r="N9" s="48" t="n">
        <f aca="false">K9*L9*M9</f>
        <v>32</v>
      </c>
      <c r="O9" s="29" t="n">
        <f aca="false">IFERROR(INDEX(Исходные!$B$18:$B$29,MATCH(H9,Исходные!$A$18:$A$29,0)),0)</f>
        <v>3.853</v>
      </c>
      <c r="P9" s="49" t="n">
        <f aca="false">N9*O9</f>
        <v>123.296</v>
      </c>
      <c r="Q9" s="15" t="s">
        <v>283</v>
      </c>
      <c r="R9" s="50" t="s">
        <v>284</v>
      </c>
      <c r="S9" s="15" t="s">
        <v>294</v>
      </c>
      <c r="T9" s="15" t="s">
        <v>62</v>
      </c>
      <c r="U9" s="38" t="n">
        <v>0</v>
      </c>
      <c r="V9" s="47" t="s">
        <v>97</v>
      </c>
    </row>
    <row r="10" customFormat="false" ht="23.85" hidden="false" customHeight="false" outlineLevel="0" collapsed="false">
      <c r="A10" s="47" t="n">
        <v>5</v>
      </c>
      <c r="B10" s="15" t="s">
        <v>278</v>
      </c>
      <c r="C10" s="15" t="s">
        <v>62</v>
      </c>
      <c r="D10" s="15" t="s">
        <v>279</v>
      </c>
      <c r="E10" s="15" t="s">
        <v>97</v>
      </c>
      <c r="F10" s="47" t="s">
        <v>289</v>
      </c>
      <c r="G10" s="15" t="s">
        <v>295</v>
      </c>
      <c r="H10" s="40" t="n">
        <v>28</v>
      </c>
      <c r="I10" s="47" t="s">
        <v>282</v>
      </c>
      <c r="J10" s="47" t="s">
        <v>113</v>
      </c>
      <c r="K10" s="40" t="n">
        <v>1</v>
      </c>
      <c r="L10" s="40" t="n">
        <v>10</v>
      </c>
      <c r="M10" s="45" t="n">
        <v>4</v>
      </c>
      <c r="N10" s="48" t="n">
        <f aca="false">K10*L10*M10</f>
        <v>40</v>
      </c>
      <c r="O10" s="29" t="n">
        <f aca="false">IFERROR(INDEX(Исходные!$B$18:$B$29,MATCH(H10,Исходные!$A$18:$A$29,0)),0)</f>
        <v>4.834</v>
      </c>
      <c r="P10" s="49" t="n">
        <f aca="false">N10*O10</f>
        <v>193.36</v>
      </c>
      <c r="Q10" s="15" t="s">
        <v>283</v>
      </c>
      <c r="R10" s="50" t="s">
        <v>284</v>
      </c>
      <c r="S10" s="15" t="s">
        <v>296</v>
      </c>
      <c r="T10" s="15" t="s">
        <v>62</v>
      </c>
      <c r="U10" s="38" t="n">
        <v>0</v>
      </c>
      <c r="V10" s="47" t="s">
        <v>97</v>
      </c>
    </row>
    <row r="11" customFormat="false" ht="23.85" hidden="false" customHeight="false" outlineLevel="0" collapsed="false">
      <c r="A11" s="47" t="n">
        <v>6</v>
      </c>
      <c r="B11" s="15" t="s">
        <v>278</v>
      </c>
      <c r="C11" s="15" t="s">
        <v>62</v>
      </c>
      <c r="D11" s="15" t="s">
        <v>279</v>
      </c>
      <c r="E11" s="15" t="s">
        <v>97</v>
      </c>
      <c r="F11" s="47" t="s">
        <v>286</v>
      </c>
      <c r="G11" s="15" t="s">
        <v>297</v>
      </c>
      <c r="H11" s="40" t="n">
        <v>20</v>
      </c>
      <c r="I11" s="47" t="s">
        <v>282</v>
      </c>
      <c r="J11" s="47" t="s">
        <v>113</v>
      </c>
      <c r="K11" s="40" t="n">
        <v>1</v>
      </c>
      <c r="L11" s="40" t="n">
        <v>8</v>
      </c>
      <c r="M11" s="45" t="n">
        <v>4</v>
      </c>
      <c r="N11" s="48" t="n">
        <f aca="false">K11*L11*M11</f>
        <v>32</v>
      </c>
      <c r="O11" s="29" t="n">
        <f aca="false">IFERROR(INDEX(Исходные!$B$18:$B$29,MATCH(H11,Исходные!$A$18:$A$29,0)),0)</f>
        <v>2.466</v>
      </c>
      <c r="P11" s="49" t="n">
        <f aca="false">N11*O11</f>
        <v>78.912</v>
      </c>
      <c r="Q11" s="15" t="s">
        <v>283</v>
      </c>
      <c r="R11" s="50" t="s">
        <v>284</v>
      </c>
      <c r="S11" s="15" t="s">
        <v>298</v>
      </c>
      <c r="T11" s="15" t="s">
        <v>62</v>
      </c>
      <c r="U11" s="38" t="n">
        <v>0</v>
      </c>
      <c r="V11" s="47" t="s">
        <v>97</v>
      </c>
    </row>
    <row r="12" customFormat="false" ht="23.85" hidden="false" customHeight="false" outlineLevel="0" collapsed="false">
      <c r="A12" s="47" t="n">
        <v>7</v>
      </c>
      <c r="B12" s="15" t="s">
        <v>278</v>
      </c>
      <c r="C12" s="15" t="s">
        <v>62</v>
      </c>
      <c r="D12" s="15" t="s">
        <v>279</v>
      </c>
      <c r="E12" s="15" t="s">
        <v>97</v>
      </c>
      <c r="F12" s="47" t="s">
        <v>299</v>
      </c>
      <c r="G12" s="15" t="s">
        <v>300</v>
      </c>
      <c r="H12" s="40" t="n">
        <v>18</v>
      </c>
      <c r="I12" s="47" t="s">
        <v>282</v>
      </c>
      <c r="J12" s="47" t="s">
        <v>113</v>
      </c>
      <c r="K12" s="40" t="n">
        <v>1</v>
      </c>
      <c r="L12" s="40" t="n">
        <v>9</v>
      </c>
      <c r="M12" s="45" t="n">
        <v>4.144</v>
      </c>
      <c r="N12" s="48" t="n">
        <f aca="false">K12*L12*M12</f>
        <v>37.296</v>
      </c>
      <c r="O12" s="29" t="n">
        <f aca="false">IFERROR(INDEX(Исходные!$B$18:$B$29,MATCH(H12,Исходные!$A$18:$A$29,0)),0)</f>
        <v>1.998</v>
      </c>
      <c r="P12" s="49" t="n">
        <f aca="false">N12*O12</f>
        <v>74.517408</v>
      </c>
      <c r="Q12" s="15" t="s">
        <v>283</v>
      </c>
      <c r="R12" s="50" t="s">
        <v>284</v>
      </c>
      <c r="S12" s="15" t="s">
        <v>301</v>
      </c>
      <c r="T12" s="15" t="s">
        <v>62</v>
      </c>
      <c r="U12" s="38" t="n">
        <v>0</v>
      </c>
      <c r="V12" s="47" t="s">
        <v>97</v>
      </c>
    </row>
    <row r="13" customFormat="false" ht="23.85" hidden="false" customHeight="false" outlineLevel="0" collapsed="false">
      <c r="A13" s="47" t="n">
        <v>8</v>
      </c>
      <c r="B13" s="15" t="s">
        <v>278</v>
      </c>
      <c r="C13" s="15" t="s">
        <v>62</v>
      </c>
      <c r="D13" s="15" t="s">
        <v>279</v>
      </c>
      <c r="E13" s="15" t="s">
        <v>97</v>
      </c>
      <c r="F13" s="47" t="s">
        <v>302</v>
      </c>
      <c r="G13" s="15" t="s">
        <v>303</v>
      </c>
      <c r="H13" s="40" t="n">
        <v>18</v>
      </c>
      <c r="I13" s="47" t="s">
        <v>282</v>
      </c>
      <c r="J13" s="47" t="n">
        <v>200</v>
      </c>
      <c r="K13" s="40" t="n">
        <v>1</v>
      </c>
      <c r="L13" s="40" t="n">
        <v>36</v>
      </c>
      <c r="M13" s="45" t="n">
        <v>1.95</v>
      </c>
      <c r="N13" s="48" t="n">
        <f aca="false">K13*L13*M13</f>
        <v>70.2</v>
      </c>
      <c r="O13" s="29" t="n">
        <f aca="false">IFERROR(INDEX(Исходные!$B$18:$B$29,MATCH(H13,Исходные!$A$18:$A$29,0)),0)</f>
        <v>1.998</v>
      </c>
      <c r="P13" s="49" t="n">
        <f aca="false">N13*O13</f>
        <v>140.2596</v>
      </c>
      <c r="Q13" s="15" t="s">
        <v>304</v>
      </c>
      <c r="R13" s="51" t="s">
        <v>305</v>
      </c>
      <c r="S13" s="15" t="s">
        <v>306</v>
      </c>
      <c r="T13" s="15" t="s">
        <v>62</v>
      </c>
      <c r="U13" s="38" t="n">
        <v>1</v>
      </c>
      <c r="V13" s="47" t="s">
        <v>97</v>
      </c>
    </row>
    <row r="14" customFormat="false" ht="23.85" hidden="false" customHeight="false" outlineLevel="0" collapsed="false">
      <c r="A14" s="47" t="n">
        <v>9</v>
      </c>
      <c r="B14" s="15" t="s">
        <v>278</v>
      </c>
      <c r="C14" s="15" t="s">
        <v>62</v>
      </c>
      <c r="D14" s="15" t="s">
        <v>279</v>
      </c>
      <c r="E14" s="15" t="s">
        <v>97</v>
      </c>
      <c r="F14" s="47" t="s">
        <v>302</v>
      </c>
      <c r="G14" s="15" t="s">
        <v>307</v>
      </c>
      <c r="H14" s="40" t="n">
        <v>16</v>
      </c>
      <c r="I14" s="47" t="s">
        <v>282</v>
      </c>
      <c r="J14" s="47" t="n">
        <v>200</v>
      </c>
      <c r="K14" s="40" t="n">
        <v>1</v>
      </c>
      <c r="L14" s="40" t="n">
        <v>36</v>
      </c>
      <c r="M14" s="45" t="n">
        <v>2.25</v>
      </c>
      <c r="N14" s="48" t="n">
        <f aca="false">K14*L14*M14</f>
        <v>81</v>
      </c>
      <c r="O14" s="29" t="n">
        <f aca="false">IFERROR(INDEX(Исходные!$B$18:$B$29,MATCH(H14,Исходные!$A$18:$A$29,0)),0)</f>
        <v>1.578</v>
      </c>
      <c r="P14" s="49" t="n">
        <f aca="false">N14*O14</f>
        <v>127.818</v>
      </c>
      <c r="Q14" s="15" t="s">
        <v>304</v>
      </c>
      <c r="R14" s="51" t="s">
        <v>305</v>
      </c>
      <c r="S14" s="15" t="s">
        <v>308</v>
      </c>
      <c r="T14" s="15" t="s">
        <v>62</v>
      </c>
      <c r="U14" s="38" t="n">
        <v>1</v>
      </c>
      <c r="V14" s="47" t="s">
        <v>97</v>
      </c>
    </row>
    <row r="15" customFormat="false" ht="23.85" hidden="false" customHeight="false" outlineLevel="0" collapsed="false">
      <c r="A15" s="47" t="n">
        <v>10</v>
      </c>
      <c r="B15" s="15" t="s">
        <v>278</v>
      </c>
      <c r="C15" s="15" t="s">
        <v>62</v>
      </c>
      <c r="D15" s="15" t="s">
        <v>279</v>
      </c>
      <c r="E15" s="15" t="s">
        <v>97</v>
      </c>
      <c r="F15" s="47" t="s">
        <v>309</v>
      </c>
      <c r="G15" s="15" t="s">
        <v>310</v>
      </c>
      <c r="H15" s="40" t="n">
        <v>20</v>
      </c>
      <c r="I15" s="47" t="s">
        <v>282</v>
      </c>
      <c r="J15" s="47" t="n">
        <v>200</v>
      </c>
      <c r="K15" s="40" t="n">
        <v>1</v>
      </c>
      <c r="L15" s="40" t="n">
        <v>10</v>
      </c>
      <c r="M15" s="45" t="n">
        <v>1.95</v>
      </c>
      <c r="N15" s="48" t="n">
        <f aca="false">K15*L15*M15</f>
        <v>19.5</v>
      </c>
      <c r="O15" s="29" t="n">
        <f aca="false">IFERROR(INDEX(Исходные!$B$18:$B$29,MATCH(H15,Исходные!$A$18:$A$29,0)),0)</f>
        <v>2.466</v>
      </c>
      <c r="P15" s="49" t="n">
        <f aca="false">N15*O15</f>
        <v>48.087</v>
      </c>
      <c r="Q15" s="15" t="s">
        <v>311</v>
      </c>
      <c r="R15" s="50" t="s">
        <v>284</v>
      </c>
      <c r="S15" s="15"/>
      <c r="T15" s="15" t="s">
        <v>62</v>
      </c>
      <c r="U15" s="38" t="n">
        <v>0</v>
      </c>
      <c r="V15" s="47" t="s">
        <v>97</v>
      </c>
    </row>
    <row r="16" customFormat="false" ht="23.85" hidden="false" customHeight="false" outlineLevel="0" collapsed="false">
      <c r="A16" s="47" t="n">
        <v>11</v>
      </c>
      <c r="B16" s="15" t="s">
        <v>278</v>
      </c>
      <c r="C16" s="15" t="s">
        <v>62</v>
      </c>
      <c r="D16" s="15" t="s">
        <v>279</v>
      </c>
      <c r="E16" s="15" t="s">
        <v>97</v>
      </c>
      <c r="F16" s="47" t="s">
        <v>309</v>
      </c>
      <c r="G16" s="15" t="s">
        <v>312</v>
      </c>
      <c r="H16" s="40" t="n">
        <v>20</v>
      </c>
      <c r="I16" s="47" t="s">
        <v>282</v>
      </c>
      <c r="J16" s="47" t="n">
        <v>200</v>
      </c>
      <c r="K16" s="40" t="n">
        <v>1</v>
      </c>
      <c r="L16" s="40" t="n">
        <v>6</v>
      </c>
      <c r="M16" s="45" t="n">
        <v>1.2</v>
      </c>
      <c r="N16" s="48" t="n">
        <f aca="false">K16*L16*M16</f>
        <v>7.2</v>
      </c>
      <c r="O16" s="29" t="n">
        <f aca="false">IFERROR(INDEX(Исходные!$B$18:$B$29,MATCH(H16,Исходные!$A$18:$A$29,0)),0)</f>
        <v>2.466</v>
      </c>
      <c r="P16" s="49" t="n">
        <f aca="false">N16*O16</f>
        <v>17.7552</v>
      </c>
      <c r="Q16" s="15" t="s">
        <v>311</v>
      </c>
      <c r="R16" s="50" t="s">
        <v>284</v>
      </c>
      <c r="S16" s="15"/>
      <c r="T16" s="15" t="s">
        <v>62</v>
      </c>
      <c r="U16" s="38" t="n">
        <v>0</v>
      </c>
      <c r="V16" s="47" t="s">
        <v>97</v>
      </c>
    </row>
    <row r="17" customFormat="false" ht="23.85" hidden="false" customHeight="false" outlineLevel="0" collapsed="false">
      <c r="A17" s="47" t="n">
        <v>12</v>
      </c>
      <c r="B17" s="15" t="s">
        <v>278</v>
      </c>
      <c r="C17" s="15" t="s">
        <v>62</v>
      </c>
      <c r="D17" s="15" t="s">
        <v>279</v>
      </c>
      <c r="E17" s="15" t="s">
        <v>97</v>
      </c>
      <c r="F17" s="47" t="s">
        <v>309</v>
      </c>
      <c r="G17" s="15" t="s">
        <v>313</v>
      </c>
      <c r="H17" s="40" t="n">
        <v>10</v>
      </c>
      <c r="I17" s="47" t="s">
        <v>282</v>
      </c>
      <c r="J17" s="47" t="n">
        <v>200</v>
      </c>
      <c r="K17" s="40" t="n">
        <v>1</v>
      </c>
      <c r="L17" s="40" t="n">
        <v>4</v>
      </c>
      <c r="M17" s="45" t="n">
        <v>1.2</v>
      </c>
      <c r="N17" s="48" t="n">
        <f aca="false">K17*L17*M17</f>
        <v>4.8</v>
      </c>
      <c r="O17" s="29" t="n">
        <f aca="false">IFERROR(INDEX(Исходные!$B$18:$B$29,MATCH(H17,Исходные!$A$18:$A$29,0)),0)</f>
        <v>0.617</v>
      </c>
      <c r="P17" s="49" t="n">
        <f aca="false">N17*O17</f>
        <v>2.9616</v>
      </c>
      <c r="Q17" s="15" t="s">
        <v>311</v>
      </c>
      <c r="R17" s="50" t="s">
        <v>284</v>
      </c>
      <c r="S17" s="15"/>
      <c r="T17" s="15" t="s">
        <v>62</v>
      </c>
      <c r="U17" s="38" t="n">
        <v>0</v>
      </c>
      <c r="V17" s="47" t="s">
        <v>97</v>
      </c>
    </row>
    <row r="18" customFormat="false" ht="23.85" hidden="false" customHeight="false" outlineLevel="0" collapsed="false">
      <c r="A18" s="47" t="n">
        <v>13</v>
      </c>
      <c r="B18" s="15" t="s">
        <v>278</v>
      </c>
      <c r="C18" s="15" t="s">
        <v>62</v>
      </c>
      <c r="D18" s="15" t="s">
        <v>279</v>
      </c>
      <c r="E18" s="15" t="s">
        <v>97</v>
      </c>
      <c r="F18" s="47" t="s">
        <v>314</v>
      </c>
      <c r="G18" s="15" t="s">
        <v>315</v>
      </c>
      <c r="H18" s="40" t="n">
        <v>10</v>
      </c>
      <c r="I18" s="47" t="s">
        <v>316</v>
      </c>
      <c r="J18" s="47" t="s">
        <v>317</v>
      </c>
      <c r="K18" s="40" t="n">
        <v>1</v>
      </c>
      <c r="L18" s="40" t="n">
        <v>54</v>
      </c>
      <c r="M18" s="45" t="n">
        <v>1.33</v>
      </c>
      <c r="N18" s="48" t="n">
        <f aca="false">K18*L18*M18</f>
        <v>71.82</v>
      </c>
      <c r="O18" s="29" t="n">
        <f aca="false">IFERROR(INDEX(Исходные!$B$18:$B$29,MATCH(H18,Исходные!$A$18:$A$29,0)),0)</f>
        <v>0.617</v>
      </c>
      <c r="P18" s="49" t="n">
        <f aca="false">N18*O18</f>
        <v>44.31294</v>
      </c>
      <c r="Q18" s="15" t="s">
        <v>318</v>
      </c>
      <c r="R18" s="50" t="s">
        <v>284</v>
      </c>
      <c r="S18" s="15"/>
      <c r="T18" s="15" t="s">
        <v>62</v>
      </c>
      <c r="U18" s="38" t="n">
        <v>0</v>
      </c>
      <c r="V18" s="47" t="s">
        <v>97</v>
      </c>
    </row>
    <row r="19" customFormat="false" ht="23.85" hidden="false" customHeight="false" outlineLevel="0" collapsed="false">
      <c r="A19" s="47" t="n">
        <v>14</v>
      </c>
      <c r="B19" s="15" t="s">
        <v>278</v>
      </c>
      <c r="C19" s="15" t="s">
        <v>62</v>
      </c>
      <c r="D19" s="15" t="s">
        <v>279</v>
      </c>
      <c r="E19" s="15" t="s">
        <v>97</v>
      </c>
      <c r="F19" s="47" t="s">
        <v>319</v>
      </c>
      <c r="G19" s="15" t="s">
        <v>320</v>
      </c>
      <c r="H19" s="40" t="n">
        <v>10</v>
      </c>
      <c r="I19" s="47" t="s">
        <v>316</v>
      </c>
      <c r="J19" s="47" t="s">
        <v>317</v>
      </c>
      <c r="K19" s="40" t="n">
        <v>1</v>
      </c>
      <c r="L19" s="40" t="n">
        <v>36</v>
      </c>
      <c r="M19" s="45" t="n">
        <v>1.56</v>
      </c>
      <c r="N19" s="48" t="n">
        <f aca="false">K19*L19*M19</f>
        <v>56.16</v>
      </c>
      <c r="O19" s="29" t="n">
        <f aca="false">IFERROR(INDEX(Исходные!$B$18:$B$29,MATCH(H19,Исходные!$A$18:$A$29,0)),0)</f>
        <v>0.617</v>
      </c>
      <c r="P19" s="49" t="n">
        <f aca="false">N19*O19</f>
        <v>34.65072</v>
      </c>
      <c r="Q19" s="15" t="s">
        <v>321</v>
      </c>
      <c r="R19" s="50" t="s">
        <v>284</v>
      </c>
      <c r="S19" s="15"/>
      <c r="T19" s="15" t="s">
        <v>62</v>
      </c>
      <c r="U19" s="38" t="n">
        <v>0</v>
      </c>
      <c r="V19" s="47" t="s">
        <v>97</v>
      </c>
    </row>
    <row r="20" customFormat="false" ht="23.85" hidden="false" customHeight="false" outlineLevel="0" collapsed="false">
      <c r="A20" s="47" t="n">
        <v>15</v>
      </c>
      <c r="B20" s="15" t="s">
        <v>278</v>
      </c>
      <c r="C20" s="15" t="s">
        <v>62</v>
      </c>
      <c r="D20" s="15" t="s">
        <v>279</v>
      </c>
      <c r="E20" s="15" t="s">
        <v>97</v>
      </c>
      <c r="F20" s="47" t="s">
        <v>322</v>
      </c>
      <c r="G20" s="15" t="s">
        <v>323</v>
      </c>
      <c r="H20" s="40" t="n">
        <v>10</v>
      </c>
      <c r="I20" s="47" t="s">
        <v>316</v>
      </c>
      <c r="J20" s="47" t="s">
        <v>317</v>
      </c>
      <c r="K20" s="40" t="n">
        <v>1</v>
      </c>
      <c r="L20" s="40" t="n">
        <v>18</v>
      </c>
      <c r="M20" s="45" t="n">
        <v>1.76</v>
      </c>
      <c r="N20" s="48" t="n">
        <f aca="false">K20*L20*M20</f>
        <v>31.68</v>
      </c>
      <c r="O20" s="29" t="n">
        <f aca="false">IFERROR(INDEX(Исходные!$B$18:$B$29,MATCH(H20,Исходные!$A$18:$A$29,0)),0)</f>
        <v>0.617</v>
      </c>
      <c r="P20" s="49" t="n">
        <f aca="false">N20*O20</f>
        <v>19.54656</v>
      </c>
      <c r="Q20" s="15" t="s">
        <v>324</v>
      </c>
      <c r="R20" s="50" t="s">
        <v>284</v>
      </c>
      <c r="S20" s="15"/>
      <c r="T20" s="15" t="s">
        <v>62</v>
      </c>
      <c r="U20" s="38" t="n">
        <v>0</v>
      </c>
      <c r="V20" s="47" t="s">
        <v>97</v>
      </c>
    </row>
    <row r="21" customFormat="false" ht="23.85" hidden="false" customHeight="false" outlineLevel="0" collapsed="false">
      <c r="A21" s="47" t="n">
        <v>16</v>
      </c>
      <c r="B21" s="15" t="s">
        <v>278</v>
      </c>
      <c r="C21" s="15" t="s">
        <v>62</v>
      </c>
      <c r="D21" s="15" t="s">
        <v>279</v>
      </c>
      <c r="E21" s="15" t="s">
        <v>97</v>
      </c>
      <c r="F21" s="47" t="s">
        <v>325</v>
      </c>
      <c r="G21" s="15" t="s">
        <v>326</v>
      </c>
      <c r="H21" s="40" t="n">
        <v>8</v>
      </c>
      <c r="I21" s="47" t="s">
        <v>316</v>
      </c>
      <c r="J21" s="47" t="s">
        <v>317</v>
      </c>
      <c r="K21" s="40" t="n">
        <v>1</v>
      </c>
      <c r="L21" s="40" t="n">
        <v>30</v>
      </c>
      <c r="M21" s="45" t="n">
        <v>2.44</v>
      </c>
      <c r="N21" s="48" t="n">
        <f aca="false">K21*L21*M21</f>
        <v>73.2</v>
      </c>
      <c r="O21" s="29" t="n">
        <f aca="false">IFERROR(INDEX(Исходные!$B$18:$B$29,MATCH(H21,Исходные!$A$18:$A$29,0)),0)</f>
        <v>0.395</v>
      </c>
      <c r="P21" s="49" t="n">
        <f aca="false">N21*O21</f>
        <v>28.914</v>
      </c>
      <c r="Q21" s="15" t="s">
        <v>327</v>
      </c>
      <c r="R21" s="50" t="s">
        <v>284</v>
      </c>
      <c r="S21" s="15"/>
      <c r="T21" s="15" t="s">
        <v>62</v>
      </c>
      <c r="U21" s="38" t="n">
        <v>0</v>
      </c>
      <c r="V21" s="47" t="s">
        <v>97</v>
      </c>
    </row>
    <row r="22" customFormat="false" ht="23.85" hidden="false" customHeight="false" outlineLevel="0" collapsed="false">
      <c r="A22" s="47" t="n">
        <v>17</v>
      </c>
      <c r="B22" s="15" t="s">
        <v>278</v>
      </c>
      <c r="C22" s="15" t="s">
        <v>62</v>
      </c>
      <c r="D22" s="15" t="s">
        <v>279</v>
      </c>
      <c r="E22" s="15" t="s">
        <v>97</v>
      </c>
      <c r="F22" s="47" t="s">
        <v>328</v>
      </c>
      <c r="G22" s="15" t="s">
        <v>329</v>
      </c>
      <c r="H22" s="40" t="n">
        <v>8</v>
      </c>
      <c r="I22" s="47" t="s">
        <v>316</v>
      </c>
      <c r="J22" s="47" t="s">
        <v>317</v>
      </c>
      <c r="K22" s="40" t="n">
        <v>1</v>
      </c>
      <c r="L22" s="40" t="n">
        <v>36</v>
      </c>
      <c r="M22" s="45" t="n">
        <v>1.96</v>
      </c>
      <c r="N22" s="48" t="n">
        <f aca="false">K22*L22*M22</f>
        <v>70.56</v>
      </c>
      <c r="O22" s="29" t="n">
        <f aca="false">IFERROR(INDEX(Исходные!$B$18:$B$29,MATCH(H22,Исходные!$A$18:$A$29,0)),0)</f>
        <v>0.395</v>
      </c>
      <c r="P22" s="49" t="n">
        <f aca="false">N22*O22</f>
        <v>27.8712</v>
      </c>
      <c r="Q22" s="15" t="s">
        <v>330</v>
      </c>
      <c r="R22" s="50" t="s">
        <v>284</v>
      </c>
      <c r="S22" s="15"/>
      <c r="T22" s="15" t="s">
        <v>62</v>
      </c>
      <c r="U22" s="38" t="n">
        <v>0</v>
      </c>
      <c r="V22" s="47" t="s">
        <v>97</v>
      </c>
    </row>
    <row r="23" customFormat="false" ht="23.85" hidden="false" customHeight="false" outlineLevel="0" collapsed="false">
      <c r="A23" s="47" t="n">
        <v>18</v>
      </c>
      <c r="B23" s="15" t="s">
        <v>278</v>
      </c>
      <c r="C23" s="15" t="s">
        <v>62</v>
      </c>
      <c r="D23" s="15" t="s">
        <v>279</v>
      </c>
      <c r="E23" s="15" t="s">
        <v>97</v>
      </c>
      <c r="F23" s="47" t="s">
        <v>331</v>
      </c>
      <c r="G23" s="15" t="s">
        <v>332</v>
      </c>
      <c r="H23" s="40" t="n">
        <v>8</v>
      </c>
      <c r="I23" s="47" t="s">
        <v>316</v>
      </c>
      <c r="J23" s="47" t="s">
        <v>317</v>
      </c>
      <c r="K23" s="40" t="n">
        <v>1</v>
      </c>
      <c r="L23" s="40" t="n">
        <v>90</v>
      </c>
      <c r="M23" s="45" t="n">
        <v>0.53</v>
      </c>
      <c r="N23" s="48" t="n">
        <f aca="false">K23*L23*M23</f>
        <v>47.7</v>
      </c>
      <c r="O23" s="29" t="n">
        <f aca="false">IFERROR(INDEX(Исходные!$B$18:$B$29,MATCH(H23,Исходные!$A$18:$A$29,0)),0)</f>
        <v>0.395</v>
      </c>
      <c r="P23" s="49" t="n">
        <f aca="false">N23*O23</f>
        <v>18.8415</v>
      </c>
      <c r="Q23" s="15" t="s">
        <v>333</v>
      </c>
      <c r="R23" s="50" t="s">
        <v>284</v>
      </c>
      <c r="S23" s="15"/>
      <c r="T23" s="15" t="s">
        <v>62</v>
      </c>
      <c r="U23" s="38" t="n">
        <v>0</v>
      </c>
      <c r="V23" s="47" t="s">
        <v>97</v>
      </c>
    </row>
    <row r="24" customFormat="false" ht="23.85" hidden="false" customHeight="false" outlineLevel="0" collapsed="false">
      <c r="A24" s="47" t="n">
        <v>19</v>
      </c>
      <c r="B24" s="15" t="s">
        <v>278</v>
      </c>
      <c r="C24" s="15" t="s">
        <v>62</v>
      </c>
      <c r="D24" s="15" t="s">
        <v>334</v>
      </c>
      <c r="E24" s="15" t="s">
        <v>98</v>
      </c>
      <c r="F24" s="47" t="s">
        <v>280</v>
      </c>
      <c r="G24" s="15" t="s">
        <v>281</v>
      </c>
      <c r="H24" s="40" t="n">
        <v>32</v>
      </c>
      <c r="I24" s="47" t="s">
        <v>282</v>
      </c>
      <c r="J24" s="47" t="s">
        <v>113</v>
      </c>
      <c r="K24" s="40" t="n">
        <v>1</v>
      </c>
      <c r="L24" s="40" t="n">
        <v>4</v>
      </c>
      <c r="M24" s="45" t="n">
        <v>4</v>
      </c>
      <c r="N24" s="48" t="n">
        <f aca="false">K24*L24*M24</f>
        <v>16</v>
      </c>
      <c r="O24" s="29" t="n">
        <f aca="false">IFERROR(INDEX(Исходные!$B$18:$B$29,MATCH(H24,Исходные!$A$18:$A$29,0)),0)</f>
        <v>6.313</v>
      </c>
      <c r="P24" s="49" t="n">
        <f aca="false">N24*O24</f>
        <v>101.008</v>
      </c>
      <c r="Q24" s="15" t="s">
        <v>335</v>
      </c>
      <c r="R24" s="50" t="s">
        <v>284</v>
      </c>
      <c r="S24" s="15" t="s">
        <v>285</v>
      </c>
      <c r="T24" s="15" t="s">
        <v>62</v>
      </c>
      <c r="U24" s="38" t="n">
        <v>0</v>
      </c>
      <c r="V24" s="47" t="s">
        <v>98</v>
      </c>
    </row>
    <row r="25" customFormat="false" ht="23.85" hidden="false" customHeight="false" outlineLevel="0" collapsed="false">
      <c r="A25" s="47" t="n">
        <v>20</v>
      </c>
      <c r="B25" s="15" t="s">
        <v>278</v>
      </c>
      <c r="C25" s="15" t="s">
        <v>62</v>
      </c>
      <c r="D25" s="15" t="s">
        <v>334</v>
      </c>
      <c r="E25" s="15" t="s">
        <v>98</v>
      </c>
      <c r="F25" s="47" t="s">
        <v>292</v>
      </c>
      <c r="G25" s="15" t="s">
        <v>336</v>
      </c>
      <c r="H25" s="40" t="n">
        <v>25</v>
      </c>
      <c r="I25" s="47" t="s">
        <v>282</v>
      </c>
      <c r="J25" s="47" t="s">
        <v>113</v>
      </c>
      <c r="K25" s="40" t="n">
        <v>1</v>
      </c>
      <c r="L25" s="40" t="n">
        <v>4</v>
      </c>
      <c r="M25" s="45" t="n">
        <v>4</v>
      </c>
      <c r="N25" s="48" t="n">
        <f aca="false">K25*L25*M25</f>
        <v>16</v>
      </c>
      <c r="O25" s="29" t="n">
        <f aca="false">IFERROR(INDEX(Исходные!$B$18:$B$29,MATCH(H25,Исходные!$A$18:$A$29,0)),0)</f>
        <v>3.853</v>
      </c>
      <c r="P25" s="49" t="n">
        <f aca="false">N25*O25</f>
        <v>61.648</v>
      </c>
      <c r="Q25" s="15" t="s">
        <v>335</v>
      </c>
      <c r="R25" s="50" t="s">
        <v>284</v>
      </c>
      <c r="S25" s="15" t="s">
        <v>337</v>
      </c>
      <c r="T25" s="15" t="s">
        <v>62</v>
      </c>
      <c r="U25" s="38" t="n">
        <v>0</v>
      </c>
      <c r="V25" s="47" t="s">
        <v>98</v>
      </c>
    </row>
    <row r="26" customFormat="false" ht="23.85" hidden="false" customHeight="false" outlineLevel="0" collapsed="false">
      <c r="A26" s="47" t="n">
        <v>21</v>
      </c>
      <c r="B26" s="15" t="s">
        <v>278</v>
      </c>
      <c r="C26" s="15" t="s">
        <v>62</v>
      </c>
      <c r="D26" s="15" t="s">
        <v>334</v>
      </c>
      <c r="E26" s="15" t="s">
        <v>98</v>
      </c>
      <c r="F26" s="47" t="s">
        <v>286</v>
      </c>
      <c r="G26" s="15" t="s">
        <v>338</v>
      </c>
      <c r="H26" s="40" t="n">
        <v>20</v>
      </c>
      <c r="I26" s="47" t="s">
        <v>282</v>
      </c>
      <c r="J26" s="47" t="s">
        <v>113</v>
      </c>
      <c r="K26" s="40" t="n">
        <v>1</v>
      </c>
      <c r="L26" s="40" t="n">
        <v>4</v>
      </c>
      <c r="M26" s="45" t="n">
        <v>4</v>
      </c>
      <c r="N26" s="48" t="n">
        <f aca="false">K26*L26*M26</f>
        <v>16</v>
      </c>
      <c r="O26" s="29" t="n">
        <f aca="false">IFERROR(INDEX(Исходные!$B$18:$B$29,MATCH(H26,Исходные!$A$18:$A$29,0)),0)</f>
        <v>2.466</v>
      </c>
      <c r="P26" s="49" t="n">
        <f aca="false">N26*O26</f>
        <v>39.456</v>
      </c>
      <c r="Q26" s="15" t="s">
        <v>335</v>
      </c>
      <c r="R26" s="50" t="s">
        <v>284</v>
      </c>
      <c r="S26" s="15" t="s">
        <v>339</v>
      </c>
      <c r="T26" s="15" t="s">
        <v>62</v>
      </c>
      <c r="U26" s="38" t="n">
        <v>0</v>
      </c>
      <c r="V26" s="47" t="s">
        <v>98</v>
      </c>
    </row>
    <row r="27" customFormat="false" ht="23.85" hidden="false" customHeight="false" outlineLevel="0" collapsed="false">
      <c r="A27" s="47" t="n">
        <v>22</v>
      </c>
      <c r="B27" s="15" t="s">
        <v>278</v>
      </c>
      <c r="C27" s="15" t="s">
        <v>62</v>
      </c>
      <c r="D27" s="15" t="s">
        <v>334</v>
      </c>
      <c r="E27" s="15" t="s">
        <v>98</v>
      </c>
      <c r="F27" s="47" t="s">
        <v>289</v>
      </c>
      <c r="G27" s="15" t="s">
        <v>340</v>
      </c>
      <c r="H27" s="40" t="n">
        <v>28</v>
      </c>
      <c r="I27" s="47" t="s">
        <v>282</v>
      </c>
      <c r="J27" s="47" t="s">
        <v>113</v>
      </c>
      <c r="K27" s="40" t="n">
        <v>1</v>
      </c>
      <c r="L27" s="40" t="n">
        <v>11</v>
      </c>
      <c r="M27" s="45" t="n">
        <v>4</v>
      </c>
      <c r="N27" s="48" t="n">
        <f aca="false">K27*L27*M27</f>
        <v>44</v>
      </c>
      <c r="O27" s="29" t="n">
        <f aca="false">IFERROR(INDEX(Исходные!$B$18:$B$29,MATCH(H27,Исходные!$A$18:$A$29,0)),0)</f>
        <v>4.834</v>
      </c>
      <c r="P27" s="49" t="n">
        <f aca="false">N27*O27</f>
        <v>212.696</v>
      </c>
      <c r="Q27" s="15" t="s">
        <v>335</v>
      </c>
      <c r="R27" s="50" t="s">
        <v>284</v>
      </c>
      <c r="S27" s="15" t="s">
        <v>341</v>
      </c>
      <c r="T27" s="15" t="s">
        <v>62</v>
      </c>
      <c r="U27" s="38" t="n">
        <v>0</v>
      </c>
      <c r="V27" s="47" t="s">
        <v>98</v>
      </c>
    </row>
    <row r="28" customFormat="false" ht="23.85" hidden="false" customHeight="false" outlineLevel="0" collapsed="false">
      <c r="A28" s="47" t="n">
        <v>23</v>
      </c>
      <c r="B28" s="15" t="s">
        <v>278</v>
      </c>
      <c r="C28" s="15" t="s">
        <v>62</v>
      </c>
      <c r="D28" s="15" t="s">
        <v>334</v>
      </c>
      <c r="E28" s="15" t="s">
        <v>98</v>
      </c>
      <c r="F28" s="47" t="s">
        <v>292</v>
      </c>
      <c r="G28" s="15" t="s">
        <v>342</v>
      </c>
      <c r="H28" s="40" t="n">
        <v>25</v>
      </c>
      <c r="I28" s="47" t="s">
        <v>282</v>
      </c>
      <c r="J28" s="47" t="s">
        <v>113</v>
      </c>
      <c r="K28" s="40" t="n">
        <v>1</v>
      </c>
      <c r="L28" s="40" t="n">
        <v>4</v>
      </c>
      <c r="M28" s="45" t="n">
        <v>4</v>
      </c>
      <c r="N28" s="48" t="n">
        <f aca="false">K28*L28*M28</f>
        <v>16</v>
      </c>
      <c r="O28" s="29" t="n">
        <f aca="false">IFERROR(INDEX(Исходные!$B$18:$B$29,MATCH(H28,Исходные!$A$18:$A$29,0)),0)</f>
        <v>3.853</v>
      </c>
      <c r="P28" s="49" t="n">
        <f aca="false">N28*O28</f>
        <v>61.648</v>
      </c>
      <c r="Q28" s="15" t="s">
        <v>335</v>
      </c>
      <c r="R28" s="50" t="s">
        <v>284</v>
      </c>
      <c r="S28" s="15" t="s">
        <v>343</v>
      </c>
      <c r="T28" s="15" t="s">
        <v>62</v>
      </c>
      <c r="U28" s="38" t="n">
        <v>0</v>
      </c>
      <c r="V28" s="47" t="s">
        <v>98</v>
      </c>
    </row>
    <row r="29" customFormat="false" ht="23.85" hidden="false" customHeight="false" outlineLevel="0" collapsed="false">
      <c r="A29" s="47" t="n">
        <v>24</v>
      </c>
      <c r="B29" s="15" t="s">
        <v>278</v>
      </c>
      <c r="C29" s="15" t="s">
        <v>62</v>
      </c>
      <c r="D29" s="15" t="s">
        <v>334</v>
      </c>
      <c r="E29" s="15" t="s">
        <v>98</v>
      </c>
      <c r="F29" s="47" t="s">
        <v>289</v>
      </c>
      <c r="G29" s="15" t="s">
        <v>344</v>
      </c>
      <c r="H29" s="40" t="n">
        <v>28</v>
      </c>
      <c r="I29" s="47" t="s">
        <v>282</v>
      </c>
      <c r="J29" s="47" t="s">
        <v>113</v>
      </c>
      <c r="K29" s="40" t="n">
        <v>1</v>
      </c>
      <c r="L29" s="40" t="n">
        <v>11</v>
      </c>
      <c r="M29" s="45" t="n">
        <v>4</v>
      </c>
      <c r="N29" s="48" t="n">
        <f aca="false">K29*L29*M29</f>
        <v>44</v>
      </c>
      <c r="O29" s="29" t="n">
        <f aca="false">IFERROR(INDEX(Исходные!$B$18:$B$29,MATCH(H29,Исходные!$A$18:$A$29,0)),0)</f>
        <v>4.834</v>
      </c>
      <c r="P29" s="49" t="n">
        <f aca="false">N29*O29</f>
        <v>212.696</v>
      </c>
      <c r="Q29" s="15" t="s">
        <v>335</v>
      </c>
      <c r="R29" s="50" t="s">
        <v>284</v>
      </c>
      <c r="S29" s="15" t="s">
        <v>341</v>
      </c>
      <c r="T29" s="15" t="s">
        <v>62</v>
      </c>
      <c r="U29" s="38" t="n">
        <v>0</v>
      </c>
      <c r="V29" s="47" t="s">
        <v>98</v>
      </c>
    </row>
    <row r="30" customFormat="false" ht="23.85" hidden="false" customHeight="false" outlineLevel="0" collapsed="false">
      <c r="A30" s="47" t="n">
        <v>25</v>
      </c>
      <c r="B30" s="15" t="s">
        <v>278</v>
      </c>
      <c r="C30" s="15" t="s">
        <v>62</v>
      </c>
      <c r="D30" s="15" t="s">
        <v>334</v>
      </c>
      <c r="E30" s="15" t="s">
        <v>98</v>
      </c>
      <c r="F30" s="47" t="s">
        <v>345</v>
      </c>
      <c r="G30" s="15" t="s">
        <v>297</v>
      </c>
      <c r="H30" s="40" t="n">
        <v>22</v>
      </c>
      <c r="I30" s="47" t="s">
        <v>282</v>
      </c>
      <c r="J30" s="47" t="s">
        <v>113</v>
      </c>
      <c r="K30" s="40" t="n">
        <v>1</v>
      </c>
      <c r="L30" s="40" t="n">
        <v>16</v>
      </c>
      <c r="M30" s="45" t="n">
        <v>4</v>
      </c>
      <c r="N30" s="48" t="n">
        <f aca="false">K30*L30*M30</f>
        <v>64</v>
      </c>
      <c r="O30" s="29" t="n">
        <f aca="false">IFERROR(INDEX(Исходные!$B$18:$B$29,MATCH(H30,Исходные!$A$18:$A$29,0)),0)</f>
        <v>2.984</v>
      </c>
      <c r="P30" s="49" t="n">
        <f aca="false">N30*O30</f>
        <v>190.976</v>
      </c>
      <c r="Q30" s="15" t="s">
        <v>335</v>
      </c>
      <c r="R30" s="50" t="s">
        <v>284</v>
      </c>
      <c r="S30" s="15" t="s">
        <v>346</v>
      </c>
      <c r="T30" s="15" t="s">
        <v>62</v>
      </c>
      <c r="U30" s="38" t="n">
        <v>0</v>
      </c>
      <c r="V30" s="47" t="s">
        <v>98</v>
      </c>
    </row>
    <row r="31" customFormat="false" ht="23.85" hidden="false" customHeight="false" outlineLevel="0" collapsed="false">
      <c r="A31" s="47" t="n">
        <v>26</v>
      </c>
      <c r="B31" s="15" t="s">
        <v>278</v>
      </c>
      <c r="C31" s="15" t="s">
        <v>62</v>
      </c>
      <c r="D31" s="15" t="s">
        <v>334</v>
      </c>
      <c r="E31" s="15" t="s">
        <v>98</v>
      </c>
      <c r="F31" s="47" t="s">
        <v>302</v>
      </c>
      <c r="G31" s="15" t="s">
        <v>347</v>
      </c>
      <c r="H31" s="40" t="n">
        <v>16</v>
      </c>
      <c r="I31" s="47" t="s">
        <v>282</v>
      </c>
      <c r="J31" s="47" t="n">
        <v>200</v>
      </c>
      <c r="K31" s="40" t="n">
        <v>1</v>
      </c>
      <c r="L31" s="40" t="n">
        <v>36</v>
      </c>
      <c r="M31" s="45" t="n">
        <v>1.25</v>
      </c>
      <c r="N31" s="48" t="n">
        <f aca="false">K31*L31*M31</f>
        <v>45</v>
      </c>
      <c r="O31" s="29" t="n">
        <f aca="false">IFERROR(INDEX(Исходные!$B$18:$B$29,MATCH(H31,Исходные!$A$18:$A$29,0)),0)</f>
        <v>1.578</v>
      </c>
      <c r="P31" s="49" t="n">
        <f aca="false">N31*O31</f>
        <v>71.01</v>
      </c>
      <c r="Q31" s="15" t="s">
        <v>348</v>
      </c>
      <c r="R31" s="51" t="s">
        <v>305</v>
      </c>
      <c r="S31" s="15" t="s">
        <v>349</v>
      </c>
      <c r="T31" s="15" t="s">
        <v>62</v>
      </c>
      <c r="U31" s="38" t="n">
        <v>1</v>
      </c>
      <c r="V31" s="47" t="s">
        <v>98</v>
      </c>
    </row>
    <row r="32" customFormat="false" ht="23.85" hidden="false" customHeight="false" outlineLevel="0" collapsed="false">
      <c r="A32" s="47" t="n">
        <v>27</v>
      </c>
      <c r="B32" s="15" t="s">
        <v>278</v>
      </c>
      <c r="C32" s="15" t="s">
        <v>62</v>
      </c>
      <c r="D32" s="15" t="s">
        <v>334</v>
      </c>
      <c r="E32" s="15" t="s">
        <v>98</v>
      </c>
      <c r="F32" s="47" t="s">
        <v>302</v>
      </c>
      <c r="G32" s="15" t="s">
        <v>350</v>
      </c>
      <c r="H32" s="40" t="n">
        <v>16</v>
      </c>
      <c r="I32" s="47" t="s">
        <v>282</v>
      </c>
      <c r="J32" s="47" t="n">
        <v>200</v>
      </c>
      <c r="K32" s="40" t="n">
        <v>1</v>
      </c>
      <c r="L32" s="40" t="n">
        <v>36</v>
      </c>
      <c r="M32" s="45" t="n">
        <v>2.25</v>
      </c>
      <c r="N32" s="48" t="n">
        <f aca="false">K32*L32*M32</f>
        <v>81</v>
      </c>
      <c r="O32" s="29" t="n">
        <f aca="false">IFERROR(INDEX(Исходные!$B$18:$B$29,MATCH(H32,Исходные!$A$18:$A$29,0)),0)</f>
        <v>1.578</v>
      </c>
      <c r="P32" s="49" t="n">
        <f aca="false">N32*O32</f>
        <v>127.818</v>
      </c>
      <c r="Q32" s="15" t="s">
        <v>348</v>
      </c>
      <c r="R32" s="51" t="s">
        <v>305</v>
      </c>
      <c r="S32" s="15"/>
      <c r="T32" s="15" t="s">
        <v>62</v>
      </c>
      <c r="U32" s="38" t="n">
        <v>1</v>
      </c>
      <c r="V32" s="47" t="s">
        <v>98</v>
      </c>
    </row>
    <row r="33" customFormat="false" ht="23.85" hidden="false" customHeight="false" outlineLevel="0" collapsed="false">
      <c r="A33" s="47" t="n">
        <v>28</v>
      </c>
      <c r="B33" s="15" t="s">
        <v>278</v>
      </c>
      <c r="C33" s="15" t="s">
        <v>62</v>
      </c>
      <c r="D33" s="15" t="s">
        <v>334</v>
      </c>
      <c r="E33" s="15" t="s">
        <v>98</v>
      </c>
      <c r="F33" s="47" t="s">
        <v>309</v>
      </c>
      <c r="G33" s="15" t="s">
        <v>351</v>
      </c>
      <c r="H33" s="40" t="n">
        <v>20</v>
      </c>
      <c r="I33" s="47" t="s">
        <v>282</v>
      </c>
      <c r="J33" s="47" t="n">
        <v>200</v>
      </c>
      <c r="K33" s="40" t="n">
        <v>1</v>
      </c>
      <c r="L33" s="40" t="n">
        <v>10</v>
      </c>
      <c r="M33" s="45" t="n">
        <v>1.2</v>
      </c>
      <c r="N33" s="48" t="n">
        <f aca="false">K33*L33*M33</f>
        <v>12</v>
      </c>
      <c r="O33" s="29" t="n">
        <f aca="false">IFERROR(INDEX(Исходные!$B$18:$B$29,MATCH(H33,Исходные!$A$18:$A$29,0)),0)</f>
        <v>2.466</v>
      </c>
      <c r="P33" s="49" t="n">
        <f aca="false">N33*O33</f>
        <v>29.592</v>
      </c>
      <c r="Q33" s="15" t="s">
        <v>352</v>
      </c>
      <c r="R33" s="50" t="s">
        <v>284</v>
      </c>
      <c r="S33" s="15"/>
      <c r="T33" s="15" t="s">
        <v>62</v>
      </c>
      <c r="U33" s="38" t="n">
        <v>0</v>
      </c>
      <c r="V33" s="47" t="s">
        <v>98</v>
      </c>
    </row>
    <row r="34" customFormat="false" ht="23.85" hidden="false" customHeight="false" outlineLevel="0" collapsed="false">
      <c r="A34" s="47" t="n">
        <v>29</v>
      </c>
      <c r="B34" s="15" t="s">
        <v>278</v>
      </c>
      <c r="C34" s="15" t="s">
        <v>62</v>
      </c>
      <c r="D34" s="15" t="s">
        <v>334</v>
      </c>
      <c r="E34" s="15" t="s">
        <v>98</v>
      </c>
      <c r="F34" s="47" t="s">
        <v>314</v>
      </c>
      <c r="G34" s="15" t="s">
        <v>353</v>
      </c>
      <c r="H34" s="40" t="n">
        <v>10</v>
      </c>
      <c r="I34" s="47" t="s">
        <v>316</v>
      </c>
      <c r="J34" s="47" t="s">
        <v>317</v>
      </c>
      <c r="K34" s="40" t="n">
        <v>1</v>
      </c>
      <c r="L34" s="40" t="n">
        <v>36</v>
      </c>
      <c r="M34" s="45" t="n">
        <v>1.33</v>
      </c>
      <c r="N34" s="48" t="n">
        <f aca="false">K34*L34*M34</f>
        <v>47.88</v>
      </c>
      <c r="O34" s="29" t="n">
        <f aca="false">IFERROR(INDEX(Исходные!$B$18:$B$29,MATCH(H34,Исходные!$A$18:$A$29,0)),0)</f>
        <v>0.617</v>
      </c>
      <c r="P34" s="49" t="n">
        <f aca="false">N34*O34</f>
        <v>29.54196</v>
      </c>
      <c r="Q34" s="15" t="s">
        <v>318</v>
      </c>
      <c r="R34" s="50" t="s">
        <v>284</v>
      </c>
      <c r="S34" s="15"/>
      <c r="T34" s="15" t="s">
        <v>62</v>
      </c>
      <c r="U34" s="38" t="n">
        <v>0</v>
      </c>
      <c r="V34" s="47" t="s">
        <v>98</v>
      </c>
    </row>
    <row r="35" customFormat="false" ht="23.85" hidden="false" customHeight="false" outlineLevel="0" collapsed="false">
      <c r="A35" s="47" t="n">
        <v>30</v>
      </c>
      <c r="B35" s="15" t="s">
        <v>278</v>
      </c>
      <c r="C35" s="15" t="s">
        <v>62</v>
      </c>
      <c r="D35" s="15" t="s">
        <v>334</v>
      </c>
      <c r="E35" s="15" t="s">
        <v>98</v>
      </c>
      <c r="F35" s="47" t="s">
        <v>319</v>
      </c>
      <c r="G35" s="15" t="s">
        <v>354</v>
      </c>
      <c r="H35" s="40" t="n">
        <v>10</v>
      </c>
      <c r="I35" s="47" t="s">
        <v>316</v>
      </c>
      <c r="J35" s="47" t="s">
        <v>317</v>
      </c>
      <c r="K35" s="40" t="n">
        <v>1</v>
      </c>
      <c r="L35" s="40" t="n">
        <v>18</v>
      </c>
      <c r="M35" s="45" t="n">
        <v>1.56</v>
      </c>
      <c r="N35" s="48" t="n">
        <f aca="false">K35*L35*M35</f>
        <v>28.08</v>
      </c>
      <c r="O35" s="29" t="n">
        <f aca="false">IFERROR(INDEX(Исходные!$B$18:$B$29,MATCH(H35,Исходные!$A$18:$A$29,0)),0)</f>
        <v>0.617</v>
      </c>
      <c r="P35" s="49" t="n">
        <f aca="false">N35*O35</f>
        <v>17.32536</v>
      </c>
      <c r="Q35" s="15" t="s">
        <v>321</v>
      </c>
      <c r="R35" s="50" t="s">
        <v>284</v>
      </c>
      <c r="S35" s="15"/>
      <c r="T35" s="15" t="s">
        <v>62</v>
      </c>
      <c r="U35" s="38" t="n">
        <v>0</v>
      </c>
      <c r="V35" s="47" t="s">
        <v>98</v>
      </c>
    </row>
    <row r="36" customFormat="false" ht="23.85" hidden="false" customHeight="false" outlineLevel="0" collapsed="false">
      <c r="A36" s="47" t="n">
        <v>31</v>
      </c>
      <c r="B36" s="15" t="s">
        <v>278</v>
      </c>
      <c r="C36" s="15" t="s">
        <v>62</v>
      </c>
      <c r="D36" s="15" t="s">
        <v>334</v>
      </c>
      <c r="E36" s="15" t="s">
        <v>98</v>
      </c>
      <c r="F36" s="47" t="s">
        <v>322</v>
      </c>
      <c r="G36" s="15" t="s">
        <v>323</v>
      </c>
      <c r="H36" s="40" t="n">
        <v>10</v>
      </c>
      <c r="I36" s="47" t="s">
        <v>316</v>
      </c>
      <c r="J36" s="47" t="s">
        <v>317</v>
      </c>
      <c r="K36" s="40" t="n">
        <v>1</v>
      </c>
      <c r="L36" s="40" t="n">
        <v>18</v>
      </c>
      <c r="M36" s="45" t="n">
        <v>1.76</v>
      </c>
      <c r="N36" s="48" t="n">
        <f aca="false">K36*L36*M36</f>
        <v>31.68</v>
      </c>
      <c r="O36" s="29" t="n">
        <f aca="false">IFERROR(INDEX(Исходные!$B$18:$B$29,MATCH(H36,Исходные!$A$18:$A$29,0)),0)</f>
        <v>0.617</v>
      </c>
      <c r="P36" s="49" t="n">
        <f aca="false">N36*O36</f>
        <v>19.54656</v>
      </c>
      <c r="Q36" s="15" t="s">
        <v>324</v>
      </c>
      <c r="R36" s="50" t="s">
        <v>284</v>
      </c>
      <c r="S36" s="15"/>
      <c r="T36" s="15" t="s">
        <v>62</v>
      </c>
      <c r="U36" s="38" t="n">
        <v>0</v>
      </c>
      <c r="V36" s="47" t="s">
        <v>98</v>
      </c>
    </row>
    <row r="37" customFormat="false" ht="23.85" hidden="false" customHeight="false" outlineLevel="0" collapsed="false">
      <c r="A37" s="47" t="n">
        <v>32</v>
      </c>
      <c r="B37" s="15" t="s">
        <v>278</v>
      </c>
      <c r="C37" s="15" t="s">
        <v>62</v>
      </c>
      <c r="D37" s="15" t="s">
        <v>334</v>
      </c>
      <c r="E37" s="15" t="s">
        <v>98</v>
      </c>
      <c r="F37" s="47" t="s">
        <v>325</v>
      </c>
      <c r="G37" s="15" t="s">
        <v>326</v>
      </c>
      <c r="H37" s="40" t="n">
        <v>8</v>
      </c>
      <c r="I37" s="47" t="s">
        <v>316</v>
      </c>
      <c r="J37" s="47" t="s">
        <v>317</v>
      </c>
      <c r="K37" s="40" t="n">
        <v>1</v>
      </c>
      <c r="L37" s="40" t="n">
        <v>30</v>
      </c>
      <c r="M37" s="45" t="n">
        <v>2.44</v>
      </c>
      <c r="N37" s="48" t="n">
        <f aca="false">K37*L37*M37</f>
        <v>73.2</v>
      </c>
      <c r="O37" s="29" t="n">
        <f aca="false">IFERROR(INDEX(Исходные!$B$18:$B$29,MATCH(H37,Исходные!$A$18:$A$29,0)),0)</f>
        <v>0.395</v>
      </c>
      <c r="P37" s="49" t="n">
        <f aca="false">N37*O37</f>
        <v>28.914</v>
      </c>
      <c r="Q37" s="15" t="s">
        <v>327</v>
      </c>
      <c r="R37" s="50" t="s">
        <v>284</v>
      </c>
      <c r="S37" s="15"/>
      <c r="T37" s="15" t="s">
        <v>62</v>
      </c>
      <c r="U37" s="38" t="n">
        <v>0</v>
      </c>
      <c r="V37" s="47" t="s">
        <v>98</v>
      </c>
    </row>
    <row r="38" customFormat="false" ht="23.85" hidden="false" customHeight="false" outlineLevel="0" collapsed="false">
      <c r="A38" s="47" t="n">
        <v>33</v>
      </c>
      <c r="B38" s="15" t="s">
        <v>278</v>
      </c>
      <c r="C38" s="15" t="s">
        <v>62</v>
      </c>
      <c r="D38" s="15" t="s">
        <v>334</v>
      </c>
      <c r="E38" s="15" t="s">
        <v>98</v>
      </c>
      <c r="F38" s="47" t="s">
        <v>328</v>
      </c>
      <c r="G38" s="15" t="s">
        <v>329</v>
      </c>
      <c r="H38" s="40" t="n">
        <v>8</v>
      </c>
      <c r="I38" s="47" t="s">
        <v>316</v>
      </c>
      <c r="J38" s="47" t="s">
        <v>317</v>
      </c>
      <c r="K38" s="40" t="n">
        <v>1</v>
      </c>
      <c r="L38" s="40" t="n">
        <v>36</v>
      </c>
      <c r="M38" s="45" t="n">
        <v>1.96</v>
      </c>
      <c r="N38" s="48" t="n">
        <f aca="false">K38*L38*M38</f>
        <v>70.56</v>
      </c>
      <c r="O38" s="29" t="n">
        <f aca="false">IFERROR(INDEX(Исходные!$B$18:$B$29,MATCH(H38,Исходные!$A$18:$A$29,0)),0)</f>
        <v>0.395</v>
      </c>
      <c r="P38" s="49" t="n">
        <f aca="false">N38*O38</f>
        <v>27.8712</v>
      </c>
      <c r="Q38" s="15" t="s">
        <v>330</v>
      </c>
      <c r="R38" s="50" t="s">
        <v>284</v>
      </c>
      <c r="S38" s="15"/>
      <c r="T38" s="15" t="s">
        <v>62</v>
      </c>
      <c r="U38" s="38" t="n">
        <v>0</v>
      </c>
      <c r="V38" s="47" t="s">
        <v>98</v>
      </c>
    </row>
    <row r="39" customFormat="false" ht="23.85" hidden="false" customHeight="false" outlineLevel="0" collapsed="false">
      <c r="A39" s="47" t="n">
        <v>34</v>
      </c>
      <c r="B39" s="15" t="s">
        <v>278</v>
      </c>
      <c r="C39" s="15" t="s">
        <v>62</v>
      </c>
      <c r="D39" s="15" t="s">
        <v>334</v>
      </c>
      <c r="E39" s="15" t="s">
        <v>98</v>
      </c>
      <c r="F39" s="47" t="s">
        <v>331</v>
      </c>
      <c r="G39" s="15" t="s">
        <v>355</v>
      </c>
      <c r="H39" s="40" t="n">
        <v>8</v>
      </c>
      <c r="I39" s="47" t="s">
        <v>316</v>
      </c>
      <c r="J39" s="47" t="s">
        <v>317</v>
      </c>
      <c r="K39" s="40" t="n">
        <v>1</v>
      </c>
      <c r="L39" s="40" t="n">
        <v>63</v>
      </c>
      <c r="M39" s="45" t="n">
        <v>0.53</v>
      </c>
      <c r="N39" s="48" t="n">
        <f aca="false">K39*L39*M39</f>
        <v>33.39</v>
      </c>
      <c r="O39" s="29" t="n">
        <f aca="false">IFERROR(INDEX(Исходные!$B$18:$B$29,MATCH(H39,Исходные!$A$18:$A$29,0)),0)</f>
        <v>0.395</v>
      </c>
      <c r="P39" s="49" t="n">
        <f aca="false">N39*O39</f>
        <v>13.18905</v>
      </c>
      <c r="Q39" s="15" t="s">
        <v>333</v>
      </c>
      <c r="R39" s="50" t="s">
        <v>284</v>
      </c>
      <c r="S39" s="15"/>
      <c r="T39" s="15" t="s">
        <v>62</v>
      </c>
      <c r="U39" s="38" t="n">
        <v>0</v>
      </c>
      <c r="V39" s="47" t="s">
        <v>98</v>
      </c>
    </row>
    <row r="40" customFormat="false" ht="23.85" hidden="false" customHeight="false" outlineLevel="0" collapsed="false">
      <c r="A40" s="47" t="n">
        <v>35</v>
      </c>
      <c r="B40" s="15" t="s">
        <v>278</v>
      </c>
      <c r="C40" s="15" t="s">
        <v>62</v>
      </c>
      <c r="D40" s="15" t="s">
        <v>356</v>
      </c>
      <c r="E40" s="15" t="s">
        <v>99</v>
      </c>
      <c r="F40" s="47" t="s">
        <v>280</v>
      </c>
      <c r="G40" s="15" t="s">
        <v>281</v>
      </c>
      <c r="H40" s="40" t="n">
        <v>32</v>
      </c>
      <c r="I40" s="47" t="s">
        <v>282</v>
      </c>
      <c r="J40" s="47" t="s">
        <v>113</v>
      </c>
      <c r="K40" s="40" t="n">
        <v>1</v>
      </c>
      <c r="L40" s="40" t="n">
        <v>4</v>
      </c>
      <c r="M40" s="45" t="n">
        <v>4</v>
      </c>
      <c r="N40" s="48" t="n">
        <f aca="false">K40*L40*M40</f>
        <v>16</v>
      </c>
      <c r="O40" s="29" t="n">
        <f aca="false">IFERROR(INDEX(Исходные!$B$18:$B$29,MATCH(H40,Исходные!$A$18:$A$29,0)),0)</f>
        <v>6.313</v>
      </c>
      <c r="P40" s="49" t="n">
        <f aca="false">N40*O40</f>
        <v>101.008</v>
      </c>
      <c r="Q40" s="15" t="s">
        <v>357</v>
      </c>
      <c r="R40" s="50" t="s">
        <v>284</v>
      </c>
      <c r="S40" s="15" t="s">
        <v>358</v>
      </c>
      <c r="T40" s="15" t="s">
        <v>62</v>
      </c>
      <c r="U40" s="38" t="n">
        <v>0</v>
      </c>
      <c r="V40" s="47" t="s">
        <v>99</v>
      </c>
    </row>
    <row r="41" customFormat="false" ht="23.85" hidden="false" customHeight="false" outlineLevel="0" collapsed="false">
      <c r="A41" s="47" t="n">
        <v>36</v>
      </c>
      <c r="B41" s="15" t="s">
        <v>278</v>
      </c>
      <c r="C41" s="15" t="s">
        <v>62</v>
      </c>
      <c r="D41" s="15" t="s">
        <v>356</v>
      </c>
      <c r="E41" s="15" t="s">
        <v>99</v>
      </c>
      <c r="F41" s="47" t="s">
        <v>286</v>
      </c>
      <c r="G41" s="15" t="s">
        <v>287</v>
      </c>
      <c r="H41" s="40" t="n">
        <v>20</v>
      </c>
      <c r="I41" s="47" t="s">
        <v>282</v>
      </c>
      <c r="J41" s="47" t="s">
        <v>113</v>
      </c>
      <c r="K41" s="40" t="n">
        <v>1</v>
      </c>
      <c r="L41" s="40" t="n">
        <v>8</v>
      </c>
      <c r="M41" s="45" t="n">
        <v>4</v>
      </c>
      <c r="N41" s="48" t="n">
        <f aca="false">K41*L41*M41</f>
        <v>32</v>
      </c>
      <c r="O41" s="29" t="n">
        <f aca="false">IFERROR(INDEX(Исходные!$B$18:$B$29,MATCH(H41,Исходные!$A$18:$A$29,0)),0)</f>
        <v>2.466</v>
      </c>
      <c r="P41" s="49" t="n">
        <f aca="false">N41*O41</f>
        <v>78.912</v>
      </c>
      <c r="Q41" s="15" t="s">
        <v>357</v>
      </c>
      <c r="R41" s="50" t="s">
        <v>284</v>
      </c>
      <c r="S41" s="15" t="s">
        <v>288</v>
      </c>
      <c r="T41" s="15" t="s">
        <v>62</v>
      </c>
      <c r="U41" s="38" t="n">
        <v>0</v>
      </c>
      <c r="V41" s="47" t="s">
        <v>99</v>
      </c>
    </row>
    <row r="42" customFormat="false" ht="23.85" hidden="false" customHeight="false" outlineLevel="0" collapsed="false">
      <c r="A42" s="47" t="n">
        <v>37</v>
      </c>
      <c r="B42" s="15" t="s">
        <v>278</v>
      </c>
      <c r="C42" s="15" t="s">
        <v>62</v>
      </c>
      <c r="D42" s="15" t="s">
        <v>356</v>
      </c>
      <c r="E42" s="15" t="s">
        <v>99</v>
      </c>
      <c r="F42" s="47" t="s">
        <v>289</v>
      </c>
      <c r="G42" s="15" t="s">
        <v>290</v>
      </c>
      <c r="H42" s="40" t="n">
        <v>28</v>
      </c>
      <c r="I42" s="47" t="s">
        <v>282</v>
      </c>
      <c r="J42" s="47" t="s">
        <v>113</v>
      </c>
      <c r="K42" s="40" t="n">
        <v>1</v>
      </c>
      <c r="L42" s="40" t="n">
        <v>22</v>
      </c>
      <c r="M42" s="45" t="n">
        <v>4</v>
      </c>
      <c r="N42" s="48" t="n">
        <f aca="false">K42*L42*M42</f>
        <v>88</v>
      </c>
      <c r="O42" s="29" t="n">
        <f aca="false">IFERROR(INDEX(Исходные!$B$18:$B$29,MATCH(H42,Исходные!$A$18:$A$29,0)),0)</f>
        <v>4.834</v>
      </c>
      <c r="P42" s="49" t="n">
        <f aca="false">N42*O42</f>
        <v>425.392</v>
      </c>
      <c r="Q42" s="15" t="s">
        <v>357</v>
      </c>
      <c r="R42" s="50" t="s">
        <v>284</v>
      </c>
      <c r="S42" s="15" t="s">
        <v>359</v>
      </c>
      <c r="T42" s="15" t="s">
        <v>62</v>
      </c>
      <c r="U42" s="38" t="n">
        <v>0</v>
      </c>
      <c r="V42" s="47" t="s">
        <v>99</v>
      </c>
    </row>
    <row r="43" customFormat="false" ht="23.85" hidden="false" customHeight="false" outlineLevel="0" collapsed="false">
      <c r="A43" s="47" t="n">
        <v>38</v>
      </c>
      <c r="B43" s="15" t="s">
        <v>278</v>
      </c>
      <c r="C43" s="15" t="s">
        <v>62</v>
      </c>
      <c r="D43" s="15" t="s">
        <v>356</v>
      </c>
      <c r="E43" s="15" t="s">
        <v>99</v>
      </c>
      <c r="F43" s="47" t="s">
        <v>345</v>
      </c>
      <c r="G43" s="15" t="s">
        <v>293</v>
      </c>
      <c r="H43" s="40" t="n">
        <v>22</v>
      </c>
      <c r="I43" s="47" t="s">
        <v>282</v>
      </c>
      <c r="J43" s="47" t="s">
        <v>113</v>
      </c>
      <c r="K43" s="40" t="n">
        <v>1</v>
      </c>
      <c r="L43" s="40" t="n">
        <v>8</v>
      </c>
      <c r="M43" s="45" t="n">
        <v>4</v>
      </c>
      <c r="N43" s="48" t="n">
        <f aca="false">K43*L43*M43</f>
        <v>32</v>
      </c>
      <c r="O43" s="29" t="n">
        <f aca="false">IFERROR(INDEX(Исходные!$B$18:$B$29,MATCH(H43,Исходные!$A$18:$A$29,0)),0)</f>
        <v>2.984</v>
      </c>
      <c r="P43" s="49" t="n">
        <f aca="false">N43*O43</f>
        <v>95.488</v>
      </c>
      <c r="Q43" s="15" t="s">
        <v>357</v>
      </c>
      <c r="R43" s="50" t="s">
        <v>284</v>
      </c>
      <c r="S43" s="15" t="s">
        <v>360</v>
      </c>
      <c r="T43" s="15" t="s">
        <v>62</v>
      </c>
      <c r="U43" s="38" t="n">
        <v>0</v>
      </c>
      <c r="V43" s="47" t="s">
        <v>99</v>
      </c>
    </row>
    <row r="44" customFormat="false" ht="23.85" hidden="false" customHeight="false" outlineLevel="0" collapsed="false">
      <c r="A44" s="47" t="n">
        <v>39</v>
      </c>
      <c r="B44" s="15" t="s">
        <v>278</v>
      </c>
      <c r="C44" s="15" t="s">
        <v>62</v>
      </c>
      <c r="D44" s="15" t="s">
        <v>356</v>
      </c>
      <c r="E44" s="15" t="s">
        <v>99</v>
      </c>
      <c r="F44" s="47" t="s">
        <v>345</v>
      </c>
      <c r="G44" s="15" t="s">
        <v>297</v>
      </c>
      <c r="H44" s="40" t="n">
        <v>22</v>
      </c>
      <c r="I44" s="47" t="s">
        <v>282</v>
      </c>
      <c r="J44" s="47" t="s">
        <v>113</v>
      </c>
      <c r="K44" s="40" t="n">
        <v>1</v>
      </c>
      <c r="L44" s="40" t="n">
        <v>6</v>
      </c>
      <c r="M44" s="45" t="n">
        <v>4</v>
      </c>
      <c r="N44" s="48" t="n">
        <f aca="false">K44*L44*M44</f>
        <v>24</v>
      </c>
      <c r="O44" s="29" t="n">
        <f aca="false">IFERROR(INDEX(Исходные!$B$18:$B$29,MATCH(H44,Исходные!$A$18:$A$29,0)),0)</f>
        <v>2.984</v>
      </c>
      <c r="P44" s="49" t="n">
        <f aca="false">N44*O44</f>
        <v>71.616</v>
      </c>
      <c r="Q44" s="15" t="s">
        <v>357</v>
      </c>
      <c r="R44" s="50" t="s">
        <v>284</v>
      </c>
      <c r="S44" s="15" t="s">
        <v>361</v>
      </c>
      <c r="T44" s="15" t="s">
        <v>62</v>
      </c>
      <c r="U44" s="38" t="n">
        <v>0</v>
      </c>
      <c r="V44" s="47" t="s">
        <v>99</v>
      </c>
    </row>
    <row r="45" customFormat="false" ht="23.85" hidden="false" customHeight="false" outlineLevel="0" collapsed="false">
      <c r="A45" s="47" t="n">
        <v>40</v>
      </c>
      <c r="B45" s="15" t="s">
        <v>278</v>
      </c>
      <c r="C45" s="15" t="s">
        <v>62</v>
      </c>
      <c r="D45" s="15" t="s">
        <v>356</v>
      </c>
      <c r="E45" s="15" t="s">
        <v>99</v>
      </c>
      <c r="F45" s="47" t="s">
        <v>292</v>
      </c>
      <c r="G45" s="15" t="s">
        <v>344</v>
      </c>
      <c r="H45" s="40" t="n">
        <v>25</v>
      </c>
      <c r="I45" s="47" t="s">
        <v>282</v>
      </c>
      <c r="J45" s="47" t="s">
        <v>113</v>
      </c>
      <c r="K45" s="40" t="n">
        <v>1</v>
      </c>
      <c r="L45" s="40" t="n">
        <v>10</v>
      </c>
      <c r="M45" s="45" t="n">
        <v>4</v>
      </c>
      <c r="N45" s="48" t="n">
        <f aca="false">K45*L45*M45</f>
        <v>40</v>
      </c>
      <c r="O45" s="29" t="n">
        <f aca="false">IFERROR(INDEX(Исходные!$B$18:$B$29,MATCH(H45,Исходные!$A$18:$A$29,0)),0)</f>
        <v>3.853</v>
      </c>
      <c r="P45" s="49" t="n">
        <f aca="false">N45*O45</f>
        <v>154.12</v>
      </c>
      <c r="Q45" s="15" t="s">
        <v>357</v>
      </c>
      <c r="R45" s="50" t="s">
        <v>284</v>
      </c>
      <c r="S45" s="15" t="s">
        <v>362</v>
      </c>
      <c r="T45" s="15" t="s">
        <v>62</v>
      </c>
      <c r="U45" s="38" t="n">
        <v>0</v>
      </c>
      <c r="V45" s="47" t="s">
        <v>99</v>
      </c>
    </row>
    <row r="46" customFormat="false" ht="23.85" hidden="false" customHeight="false" outlineLevel="0" collapsed="false">
      <c r="A46" s="47" t="n">
        <v>41</v>
      </c>
      <c r="B46" s="15" t="s">
        <v>278</v>
      </c>
      <c r="C46" s="15" t="s">
        <v>62</v>
      </c>
      <c r="D46" s="15" t="s">
        <v>356</v>
      </c>
      <c r="E46" s="15" t="s">
        <v>99</v>
      </c>
      <c r="F46" s="47" t="s">
        <v>299</v>
      </c>
      <c r="G46" s="15" t="s">
        <v>363</v>
      </c>
      <c r="H46" s="40" t="n">
        <v>18</v>
      </c>
      <c r="I46" s="47" t="s">
        <v>282</v>
      </c>
      <c r="J46" s="47" t="s">
        <v>113</v>
      </c>
      <c r="K46" s="40" t="n">
        <v>1</v>
      </c>
      <c r="L46" s="40" t="n">
        <v>1</v>
      </c>
      <c r="M46" s="45" t="n">
        <v>4.144</v>
      </c>
      <c r="N46" s="48" t="n">
        <f aca="false">K46*L46*M46</f>
        <v>4.144</v>
      </c>
      <c r="O46" s="29" t="n">
        <f aca="false">IFERROR(INDEX(Исходные!$B$18:$B$29,MATCH(H46,Исходные!$A$18:$A$29,0)),0)</f>
        <v>1.998</v>
      </c>
      <c r="P46" s="49" t="n">
        <f aca="false">N46*O46</f>
        <v>8.279712</v>
      </c>
      <c r="Q46" s="15" t="s">
        <v>357</v>
      </c>
      <c r="R46" s="50" t="s">
        <v>284</v>
      </c>
      <c r="S46" s="15" t="s">
        <v>364</v>
      </c>
      <c r="T46" s="15" t="s">
        <v>62</v>
      </c>
      <c r="U46" s="38" t="n">
        <v>0</v>
      </c>
      <c r="V46" s="47" t="s">
        <v>99</v>
      </c>
    </row>
    <row r="47" customFormat="false" ht="23.85" hidden="false" customHeight="false" outlineLevel="0" collapsed="false">
      <c r="A47" s="47" t="n">
        <v>42</v>
      </c>
      <c r="B47" s="15" t="s">
        <v>278</v>
      </c>
      <c r="C47" s="15" t="s">
        <v>62</v>
      </c>
      <c r="D47" s="15" t="s">
        <v>356</v>
      </c>
      <c r="E47" s="15" t="s">
        <v>99</v>
      </c>
      <c r="F47" s="47" t="s">
        <v>302</v>
      </c>
      <c r="G47" s="15" t="s">
        <v>365</v>
      </c>
      <c r="H47" s="40" t="n">
        <v>16</v>
      </c>
      <c r="I47" s="47" t="s">
        <v>282</v>
      </c>
      <c r="J47" s="47" t="n">
        <v>200</v>
      </c>
      <c r="K47" s="40" t="n">
        <v>1</v>
      </c>
      <c r="L47" s="40" t="n">
        <v>36</v>
      </c>
      <c r="M47" s="45" t="n">
        <v>1.95</v>
      </c>
      <c r="N47" s="48" t="n">
        <f aca="false">K47*L47*M47</f>
        <v>70.2</v>
      </c>
      <c r="O47" s="29" t="n">
        <f aca="false">IFERROR(INDEX(Исходные!$B$18:$B$29,MATCH(H47,Исходные!$A$18:$A$29,0)),0)</f>
        <v>1.578</v>
      </c>
      <c r="P47" s="49" t="n">
        <f aca="false">N47*O47</f>
        <v>110.7756</v>
      </c>
      <c r="Q47" s="15" t="s">
        <v>366</v>
      </c>
      <c r="R47" s="51" t="s">
        <v>305</v>
      </c>
      <c r="S47" s="15"/>
      <c r="T47" s="15" t="s">
        <v>62</v>
      </c>
      <c r="U47" s="38" t="n">
        <v>1</v>
      </c>
      <c r="V47" s="47" t="s">
        <v>99</v>
      </c>
    </row>
    <row r="48" customFormat="false" ht="23.85" hidden="false" customHeight="false" outlineLevel="0" collapsed="false">
      <c r="A48" s="47" t="n">
        <v>43</v>
      </c>
      <c r="B48" s="15" t="s">
        <v>278</v>
      </c>
      <c r="C48" s="15" t="s">
        <v>62</v>
      </c>
      <c r="D48" s="15" t="s">
        <v>356</v>
      </c>
      <c r="E48" s="15" t="s">
        <v>99</v>
      </c>
      <c r="F48" s="47" t="s">
        <v>302</v>
      </c>
      <c r="G48" s="15" t="s">
        <v>367</v>
      </c>
      <c r="H48" s="40" t="n">
        <v>14</v>
      </c>
      <c r="I48" s="47" t="s">
        <v>282</v>
      </c>
      <c r="J48" s="47" t="n">
        <v>200</v>
      </c>
      <c r="K48" s="40" t="n">
        <v>1</v>
      </c>
      <c r="L48" s="40" t="n">
        <v>36</v>
      </c>
      <c r="M48" s="45" t="n">
        <v>1.45</v>
      </c>
      <c r="N48" s="48" t="n">
        <f aca="false">K48*L48*M48</f>
        <v>52.2</v>
      </c>
      <c r="O48" s="29" t="n">
        <f aca="false">IFERROR(INDEX(Исходные!$B$18:$B$29,MATCH(H48,Исходные!$A$18:$A$29,0)),0)</f>
        <v>1.208</v>
      </c>
      <c r="P48" s="49" t="n">
        <f aca="false">N48*O48</f>
        <v>63.0576</v>
      </c>
      <c r="Q48" s="15" t="s">
        <v>366</v>
      </c>
      <c r="R48" s="51" t="s">
        <v>305</v>
      </c>
      <c r="S48" s="15" t="s">
        <v>368</v>
      </c>
      <c r="T48" s="15" t="s">
        <v>62</v>
      </c>
      <c r="U48" s="38" t="n">
        <v>1</v>
      </c>
      <c r="V48" s="47" t="s">
        <v>99</v>
      </c>
    </row>
    <row r="49" customFormat="false" ht="23.85" hidden="false" customHeight="false" outlineLevel="0" collapsed="false">
      <c r="A49" s="47" t="n">
        <v>44</v>
      </c>
      <c r="B49" s="15" t="s">
        <v>278</v>
      </c>
      <c r="C49" s="15" t="s">
        <v>62</v>
      </c>
      <c r="D49" s="15" t="s">
        <v>356</v>
      </c>
      <c r="E49" s="15" t="s">
        <v>99</v>
      </c>
      <c r="F49" s="47" t="s">
        <v>309</v>
      </c>
      <c r="G49" s="15" t="s">
        <v>369</v>
      </c>
      <c r="H49" s="40" t="n">
        <v>22</v>
      </c>
      <c r="I49" s="47" t="s">
        <v>282</v>
      </c>
      <c r="J49" s="47" t="n">
        <v>200</v>
      </c>
      <c r="K49" s="40" t="n">
        <v>1</v>
      </c>
      <c r="L49" s="40" t="n">
        <v>10</v>
      </c>
      <c r="M49" s="45" t="n">
        <v>1.3</v>
      </c>
      <c r="N49" s="48" t="n">
        <f aca="false">K49*L49*M49</f>
        <v>13</v>
      </c>
      <c r="O49" s="29" t="n">
        <f aca="false">IFERROR(INDEX(Исходные!$B$18:$B$29,MATCH(H49,Исходные!$A$18:$A$29,0)),0)</f>
        <v>2.984</v>
      </c>
      <c r="P49" s="49" t="n">
        <f aca="false">N49*O49</f>
        <v>38.792</v>
      </c>
      <c r="Q49" s="15" t="s">
        <v>370</v>
      </c>
      <c r="R49" s="50" t="s">
        <v>284</v>
      </c>
      <c r="S49" s="15"/>
      <c r="T49" s="15" t="s">
        <v>62</v>
      </c>
      <c r="U49" s="38" t="n">
        <v>0</v>
      </c>
      <c r="V49" s="47" t="s">
        <v>99</v>
      </c>
    </row>
    <row r="50" customFormat="false" ht="23.85" hidden="false" customHeight="false" outlineLevel="0" collapsed="false">
      <c r="A50" s="47" t="n">
        <v>45</v>
      </c>
      <c r="B50" s="15" t="s">
        <v>278</v>
      </c>
      <c r="C50" s="15" t="s">
        <v>62</v>
      </c>
      <c r="D50" s="15" t="s">
        <v>356</v>
      </c>
      <c r="E50" s="15" t="s">
        <v>99</v>
      </c>
      <c r="F50" s="47" t="s">
        <v>309</v>
      </c>
      <c r="G50" s="15" t="s">
        <v>371</v>
      </c>
      <c r="H50" s="40" t="n">
        <v>18</v>
      </c>
      <c r="I50" s="47" t="s">
        <v>282</v>
      </c>
      <c r="J50" s="47" t="n">
        <v>200</v>
      </c>
      <c r="K50" s="40" t="n">
        <v>1</v>
      </c>
      <c r="L50" s="40" t="n">
        <v>10</v>
      </c>
      <c r="M50" s="45" t="n">
        <v>1.45</v>
      </c>
      <c r="N50" s="48" t="n">
        <f aca="false">K50*L50*M50</f>
        <v>14.5</v>
      </c>
      <c r="O50" s="29" t="n">
        <f aca="false">IFERROR(INDEX(Исходные!$B$18:$B$29,MATCH(H50,Исходные!$A$18:$A$29,0)),0)</f>
        <v>1.998</v>
      </c>
      <c r="P50" s="49" t="n">
        <f aca="false">N50*O50</f>
        <v>28.971</v>
      </c>
      <c r="Q50" s="15" t="s">
        <v>370</v>
      </c>
      <c r="R50" s="50" t="s">
        <v>284</v>
      </c>
      <c r="S50" s="15"/>
      <c r="T50" s="15" t="s">
        <v>62</v>
      </c>
      <c r="U50" s="38" t="n">
        <v>0</v>
      </c>
      <c r="V50" s="47" t="s">
        <v>99</v>
      </c>
    </row>
    <row r="51" customFormat="false" ht="23.85" hidden="false" customHeight="false" outlineLevel="0" collapsed="false">
      <c r="A51" s="47" t="n">
        <v>46</v>
      </c>
      <c r="B51" s="15" t="s">
        <v>278</v>
      </c>
      <c r="C51" s="15" t="s">
        <v>62</v>
      </c>
      <c r="D51" s="15" t="s">
        <v>356</v>
      </c>
      <c r="E51" s="15" t="s">
        <v>99</v>
      </c>
      <c r="F51" s="47" t="s">
        <v>309</v>
      </c>
      <c r="G51" s="15" t="s">
        <v>372</v>
      </c>
      <c r="H51" s="40" t="n">
        <v>16</v>
      </c>
      <c r="I51" s="47" t="s">
        <v>282</v>
      </c>
      <c r="J51" s="47" t="n">
        <v>200</v>
      </c>
      <c r="K51" s="40" t="n">
        <v>1</v>
      </c>
      <c r="L51" s="40" t="n">
        <v>8</v>
      </c>
      <c r="M51" s="45" t="n">
        <v>1.6</v>
      </c>
      <c r="N51" s="48" t="n">
        <f aca="false">K51*L51*M51</f>
        <v>12.8</v>
      </c>
      <c r="O51" s="29" t="n">
        <f aca="false">IFERROR(INDEX(Исходные!$B$18:$B$29,MATCH(H51,Исходные!$A$18:$A$29,0)),0)</f>
        <v>1.578</v>
      </c>
      <c r="P51" s="49" t="n">
        <f aca="false">N51*O51</f>
        <v>20.1984</v>
      </c>
      <c r="Q51" s="15" t="s">
        <v>370</v>
      </c>
      <c r="R51" s="50" t="s">
        <v>284</v>
      </c>
      <c r="S51" s="15"/>
      <c r="T51" s="15" t="s">
        <v>62</v>
      </c>
      <c r="U51" s="38" t="n">
        <v>0</v>
      </c>
      <c r="V51" s="47" t="s">
        <v>99</v>
      </c>
    </row>
    <row r="52" customFormat="false" ht="23.85" hidden="false" customHeight="false" outlineLevel="0" collapsed="false">
      <c r="A52" s="47" t="n">
        <v>47</v>
      </c>
      <c r="B52" s="15" t="s">
        <v>278</v>
      </c>
      <c r="C52" s="15" t="s">
        <v>62</v>
      </c>
      <c r="D52" s="15" t="s">
        <v>356</v>
      </c>
      <c r="E52" s="15" t="s">
        <v>99</v>
      </c>
      <c r="F52" s="47" t="s">
        <v>314</v>
      </c>
      <c r="G52" s="15" t="s">
        <v>315</v>
      </c>
      <c r="H52" s="40" t="n">
        <v>10</v>
      </c>
      <c r="I52" s="47" t="s">
        <v>316</v>
      </c>
      <c r="J52" s="47" t="s">
        <v>317</v>
      </c>
      <c r="K52" s="40" t="n">
        <v>1</v>
      </c>
      <c r="L52" s="40" t="n">
        <v>54</v>
      </c>
      <c r="M52" s="45" t="n">
        <v>1.33</v>
      </c>
      <c r="N52" s="48" t="n">
        <f aca="false">K52*L52*M52</f>
        <v>71.82</v>
      </c>
      <c r="O52" s="29" t="n">
        <f aca="false">IFERROR(INDEX(Исходные!$B$18:$B$29,MATCH(H52,Исходные!$A$18:$A$29,0)),0)</f>
        <v>0.617</v>
      </c>
      <c r="P52" s="49" t="n">
        <f aca="false">N52*O52</f>
        <v>44.31294</v>
      </c>
      <c r="Q52" s="15" t="s">
        <v>318</v>
      </c>
      <c r="R52" s="50" t="s">
        <v>284</v>
      </c>
      <c r="S52" s="15"/>
      <c r="T52" s="15" t="s">
        <v>62</v>
      </c>
      <c r="U52" s="38" t="n">
        <v>0</v>
      </c>
      <c r="V52" s="47" t="s">
        <v>99</v>
      </c>
    </row>
    <row r="53" customFormat="false" ht="23.85" hidden="false" customHeight="false" outlineLevel="0" collapsed="false">
      <c r="A53" s="47" t="n">
        <v>48</v>
      </c>
      <c r="B53" s="15" t="s">
        <v>278</v>
      </c>
      <c r="C53" s="15" t="s">
        <v>62</v>
      </c>
      <c r="D53" s="15" t="s">
        <v>356</v>
      </c>
      <c r="E53" s="15" t="s">
        <v>99</v>
      </c>
      <c r="F53" s="47" t="s">
        <v>319</v>
      </c>
      <c r="G53" s="15" t="s">
        <v>320</v>
      </c>
      <c r="H53" s="40" t="n">
        <v>10</v>
      </c>
      <c r="I53" s="47" t="s">
        <v>316</v>
      </c>
      <c r="J53" s="47" t="s">
        <v>317</v>
      </c>
      <c r="K53" s="40" t="n">
        <v>1</v>
      </c>
      <c r="L53" s="40" t="n">
        <v>36</v>
      </c>
      <c r="M53" s="45" t="n">
        <v>1.56</v>
      </c>
      <c r="N53" s="48" t="n">
        <f aca="false">K53*L53*M53</f>
        <v>56.16</v>
      </c>
      <c r="O53" s="29" t="n">
        <f aca="false">IFERROR(INDEX(Исходные!$B$18:$B$29,MATCH(H53,Исходные!$A$18:$A$29,0)),0)</f>
        <v>0.617</v>
      </c>
      <c r="P53" s="49" t="n">
        <f aca="false">N53*O53</f>
        <v>34.65072</v>
      </c>
      <c r="Q53" s="15" t="s">
        <v>321</v>
      </c>
      <c r="R53" s="50" t="s">
        <v>284</v>
      </c>
      <c r="S53" s="15"/>
      <c r="T53" s="15" t="s">
        <v>62</v>
      </c>
      <c r="U53" s="38" t="n">
        <v>0</v>
      </c>
      <c r="V53" s="47" t="s">
        <v>99</v>
      </c>
    </row>
    <row r="54" customFormat="false" ht="23.85" hidden="false" customHeight="false" outlineLevel="0" collapsed="false">
      <c r="A54" s="47" t="n">
        <v>49</v>
      </c>
      <c r="B54" s="15" t="s">
        <v>278</v>
      </c>
      <c r="C54" s="15" t="s">
        <v>62</v>
      </c>
      <c r="D54" s="15" t="s">
        <v>356</v>
      </c>
      <c r="E54" s="15" t="s">
        <v>99</v>
      </c>
      <c r="F54" s="47" t="s">
        <v>373</v>
      </c>
      <c r="G54" s="15" t="s">
        <v>323</v>
      </c>
      <c r="H54" s="40" t="n">
        <v>8</v>
      </c>
      <c r="I54" s="47" t="s">
        <v>316</v>
      </c>
      <c r="J54" s="47" t="s">
        <v>317</v>
      </c>
      <c r="K54" s="40" t="n">
        <v>1</v>
      </c>
      <c r="L54" s="40" t="n">
        <v>18</v>
      </c>
      <c r="M54" s="45" t="n">
        <v>1.76</v>
      </c>
      <c r="N54" s="48" t="n">
        <f aca="false">K54*L54*M54</f>
        <v>31.68</v>
      </c>
      <c r="O54" s="29" t="n">
        <f aca="false">IFERROR(INDEX(Исходные!$B$18:$B$29,MATCH(H54,Исходные!$A$18:$A$29,0)),0)</f>
        <v>0.395</v>
      </c>
      <c r="P54" s="49" t="n">
        <f aca="false">N54*O54</f>
        <v>12.5136</v>
      </c>
      <c r="Q54" s="15" t="s">
        <v>324</v>
      </c>
      <c r="R54" s="50" t="s">
        <v>284</v>
      </c>
      <c r="S54" s="15"/>
      <c r="T54" s="15" t="s">
        <v>62</v>
      </c>
      <c r="U54" s="38" t="n">
        <v>0</v>
      </c>
      <c r="V54" s="47" t="s">
        <v>99</v>
      </c>
    </row>
    <row r="55" customFormat="false" ht="23.85" hidden="false" customHeight="false" outlineLevel="0" collapsed="false">
      <c r="A55" s="47" t="n">
        <v>50</v>
      </c>
      <c r="B55" s="15" t="s">
        <v>278</v>
      </c>
      <c r="C55" s="15" t="s">
        <v>62</v>
      </c>
      <c r="D55" s="15" t="s">
        <v>356</v>
      </c>
      <c r="E55" s="15" t="s">
        <v>99</v>
      </c>
      <c r="F55" s="47" t="s">
        <v>325</v>
      </c>
      <c r="G55" s="15" t="s">
        <v>326</v>
      </c>
      <c r="H55" s="40" t="n">
        <v>8</v>
      </c>
      <c r="I55" s="47" t="s">
        <v>316</v>
      </c>
      <c r="J55" s="47" t="s">
        <v>317</v>
      </c>
      <c r="K55" s="40" t="n">
        <v>1</v>
      </c>
      <c r="L55" s="40" t="n">
        <v>30</v>
      </c>
      <c r="M55" s="45" t="n">
        <v>2.44</v>
      </c>
      <c r="N55" s="48" t="n">
        <f aca="false">K55*L55*M55</f>
        <v>73.2</v>
      </c>
      <c r="O55" s="29" t="n">
        <f aca="false">IFERROR(INDEX(Исходные!$B$18:$B$29,MATCH(H55,Исходные!$A$18:$A$29,0)),0)</f>
        <v>0.395</v>
      </c>
      <c r="P55" s="49" t="n">
        <f aca="false">N55*O55</f>
        <v>28.914</v>
      </c>
      <c r="Q55" s="15" t="s">
        <v>327</v>
      </c>
      <c r="R55" s="50" t="s">
        <v>284</v>
      </c>
      <c r="S55" s="15"/>
      <c r="T55" s="15" t="s">
        <v>62</v>
      </c>
      <c r="U55" s="38" t="n">
        <v>0</v>
      </c>
      <c r="V55" s="47" t="s">
        <v>99</v>
      </c>
    </row>
    <row r="56" customFormat="false" ht="23.85" hidden="false" customHeight="false" outlineLevel="0" collapsed="false">
      <c r="A56" s="47" t="n">
        <v>51</v>
      </c>
      <c r="B56" s="15" t="s">
        <v>278</v>
      </c>
      <c r="C56" s="15" t="s">
        <v>62</v>
      </c>
      <c r="D56" s="15" t="s">
        <v>356</v>
      </c>
      <c r="E56" s="15" t="s">
        <v>99</v>
      </c>
      <c r="F56" s="47" t="s">
        <v>328</v>
      </c>
      <c r="G56" s="15" t="s">
        <v>329</v>
      </c>
      <c r="H56" s="40" t="n">
        <v>8</v>
      </c>
      <c r="I56" s="47" t="s">
        <v>316</v>
      </c>
      <c r="J56" s="47" t="s">
        <v>317</v>
      </c>
      <c r="K56" s="40" t="n">
        <v>1</v>
      </c>
      <c r="L56" s="40" t="n">
        <v>36</v>
      </c>
      <c r="M56" s="45" t="n">
        <v>1.96</v>
      </c>
      <c r="N56" s="48" t="n">
        <f aca="false">K56*L56*M56</f>
        <v>70.56</v>
      </c>
      <c r="O56" s="29" t="n">
        <f aca="false">IFERROR(INDEX(Исходные!$B$18:$B$29,MATCH(H56,Исходные!$A$18:$A$29,0)),0)</f>
        <v>0.395</v>
      </c>
      <c r="P56" s="49" t="n">
        <f aca="false">N56*O56</f>
        <v>27.8712</v>
      </c>
      <c r="Q56" s="15" t="s">
        <v>330</v>
      </c>
      <c r="R56" s="50" t="s">
        <v>284</v>
      </c>
      <c r="S56" s="15"/>
      <c r="T56" s="15" t="s">
        <v>62</v>
      </c>
      <c r="U56" s="38" t="n">
        <v>0</v>
      </c>
      <c r="V56" s="47" t="s">
        <v>99</v>
      </c>
    </row>
    <row r="57" customFormat="false" ht="23.85" hidden="false" customHeight="false" outlineLevel="0" collapsed="false">
      <c r="A57" s="47" t="n">
        <v>52</v>
      </c>
      <c r="B57" s="15" t="s">
        <v>278</v>
      </c>
      <c r="C57" s="15" t="s">
        <v>62</v>
      </c>
      <c r="D57" s="15" t="s">
        <v>356</v>
      </c>
      <c r="E57" s="15" t="s">
        <v>99</v>
      </c>
      <c r="F57" s="47" t="s">
        <v>331</v>
      </c>
      <c r="G57" s="15" t="s">
        <v>374</v>
      </c>
      <c r="H57" s="40" t="n">
        <v>8</v>
      </c>
      <c r="I57" s="47" t="s">
        <v>316</v>
      </c>
      <c r="J57" s="47" t="s">
        <v>317</v>
      </c>
      <c r="K57" s="40" t="n">
        <v>1</v>
      </c>
      <c r="L57" s="40" t="n">
        <v>81</v>
      </c>
      <c r="M57" s="45" t="n">
        <v>0.53</v>
      </c>
      <c r="N57" s="48" t="n">
        <f aca="false">K57*L57*M57</f>
        <v>42.93</v>
      </c>
      <c r="O57" s="29" t="n">
        <f aca="false">IFERROR(INDEX(Исходные!$B$18:$B$29,MATCH(H57,Исходные!$A$18:$A$29,0)),0)</f>
        <v>0.395</v>
      </c>
      <c r="P57" s="49" t="n">
        <f aca="false">N57*O57</f>
        <v>16.95735</v>
      </c>
      <c r="Q57" s="15" t="s">
        <v>333</v>
      </c>
      <c r="R57" s="50" t="s">
        <v>284</v>
      </c>
      <c r="S57" s="15"/>
      <c r="T57" s="15" t="s">
        <v>62</v>
      </c>
      <c r="U57" s="38" t="n">
        <v>0</v>
      </c>
      <c r="V57" s="47" t="s">
        <v>99</v>
      </c>
    </row>
    <row r="58" customFormat="false" ht="23.85" hidden="false" customHeight="false" outlineLevel="0" collapsed="false">
      <c r="A58" s="47" t="n">
        <v>53</v>
      </c>
      <c r="B58" s="15" t="s">
        <v>278</v>
      </c>
      <c r="C58" s="15" t="s">
        <v>62</v>
      </c>
      <c r="D58" s="15" t="s">
        <v>375</v>
      </c>
      <c r="E58" s="15" t="s">
        <v>100</v>
      </c>
      <c r="F58" s="47" t="s">
        <v>280</v>
      </c>
      <c r="G58" s="15" t="s">
        <v>281</v>
      </c>
      <c r="H58" s="40" t="n">
        <v>32</v>
      </c>
      <c r="I58" s="47" t="s">
        <v>282</v>
      </c>
      <c r="J58" s="47" t="s">
        <v>113</v>
      </c>
      <c r="K58" s="40" t="n">
        <v>1</v>
      </c>
      <c r="L58" s="40" t="n">
        <v>4</v>
      </c>
      <c r="M58" s="45" t="n">
        <v>4</v>
      </c>
      <c r="N58" s="48" t="n">
        <f aca="false">K58*L58*M58</f>
        <v>16</v>
      </c>
      <c r="O58" s="29" t="n">
        <f aca="false">IFERROR(INDEX(Исходные!$B$18:$B$29,MATCH(H58,Исходные!$A$18:$A$29,0)),0)</f>
        <v>6.313</v>
      </c>
      <c r="P58" s="49" t="n">
        <f aca="false">N58*O58</f>
        <v>101.008</v>
      </c>
      <c r="Q58" s="15" t="s">
        <v>376</v>
      </c>
      <c r="R58" s="50" t="s">
        <v>284</v>
      </c>
      <c r="S58" s="15" t="s">
        <v>358</v>
      </c>
      <c r="T58" s="15" t="s">
        <v>62</v>
      </c>
      <c r="U58" s="38" t="n">
        <v>0</v>
      </c>
      <c r="V58" s="47" t="s">
        <v>100</v>
      </c>
    </row>
    <row r="59" customFormat="false" ht="23.85" hidden="false" customHeight="false" outlineLevel="0" collapsed="false">
      <c r="A59" s="47" t="n">
        <v>54</v>
      </c>
      <c r="B59" s="15" t="s">
        <v>278</v>
      </c>
      <c r="C59" s="15" t="s">
        <v>62</v>
      </c>
      <c r="D59" s="15" t="s">
        <v>375</v>
      </c>
      <c r="E59" s="15" t="s">
        <v>100</v>
      </c>
      <c r="F59" s="47" t="s">
        <v>289</v>
      </c>
      <c r="G59" s="15" t="s">
        <v>377</v>
      </c>
      <c r="H59" s="40" t="n">
        <v>28</v>
      </c>
      <c r="I59" s="47" t="s">
        <v>282</v>
      </c>
      <c r="J59" s="47" t="s">
        <v>113</v>
      </c>
      <c r="K59" s="40" t="n">
        <v>1</v>
      </c>
      <c r="L59" s="40" t="n">
        <v>4</v>
      </c>
      <c r="M59" s="45" t="n">
        <v>4</v>
      </c>
      <c r="N59" s="48" t="n">
        <f aca="false">K59*L59*M59</f>
        <v>16</v>
      </c>
      <c r="O59" s="29" t="n">
        <f aca="false">IFERROR(INDEX(Исходные!$B$18:$B$29,MATCH(H59,Исходные!$A$18:$A$29,0)),0)</f>
        <v>4.834</v>
      </c>
      <c r="P59" s="49" t="n">
        <f aca="false">N59*O59</f>
        <v>77.344</v>
      </c>
      <c r="Q59" s="15" t="s">
        <v>376</v>
      </c>
      <c r="R59" s="50" t="s">
        <v>284</v>
      </c>
      <c r="S59" s="15" t="s">
        <v>378</v>
      </c>
      <c r="T59" s="15" t="s">
        <v>62</v>
      </c>
      <c r="U59" s="38" t="n">
        <v>0</v>
      </c>
      <c r="V59" s="47" t="s">
        <v>100</v>
      </c>
    </row>
    <row r="60" customFormat="false" ht="23.85" hidden="false" customHeight="false" outlineLevel="0" collapsed="false">
      <c r="A60" s="47" t="n">
        <v>55</v>
      </c>
      <c r="B60" s="15" t="s">
        <v>278</v>
      </c>
      <c r="C60" s="15" t="s">
        <v>62</v>
      </c>
      <c r="D60" s="15" t="s">
        <v>375</v>
      </c>
      <c r="E60" s="15" t="s">
        <v>100</v>
      </c>
      <c r="F60" s="47" t="s">
        <v>286</v>
      </c>
      <c r="G60" s="15" t="s">
        <v>338</v>
      </c>
      <c r="H60" s="40" t="n">
        <v>20</v>
      </c>
      <c r="I60" s="47" t="s">
        <v>282</v>
      </c>
      <c r="J60" s="47" t="s">
        <v>113</v>
      </c>
      <c r="K60" s="40" t="n">
        <v>1</v>
      </c>
      <c r="L60" s="40" t="n">
        <v>4</v>
      </c>
      <c r="M60" s="45" t="n">
        <v>4</v>
      </c>
      <c r="N60" s="48" t="n">
        <f aca="false">K60*L60*M60</f>
        <v>16</v>
      </c>
      <c r="O60" s="29" t="n">
        <f aca="false">IFERROR(INDEX(Исходные!$B$18:$B$29,MATCH(H60,Исходные!$A$18:$A$29,0)),0)</f>
        <v>2.466</v>
      </c>
      <c r="P60" s="49" t="n">
        <f aca="false">N60*O60</f>
        <v>39.456</v>
      </c>
      <c r="Q60" s="15" t="s">
        <v>376</v>
      </c>
      <c r="R60" s="50" t="s">
        <v>284</v>
      </c>
      <c r="S60" s="15" t="s">
        <v>339</v>
      </c>
      <c r="T60" s="15" t="s">
        <v>62</v>
      </c>
      <c r="U60" s="38" t="n">
        <v>0</v>
      </c>
      <c r="V60" s="47" t="s">
        <v>100</v>
      </c>
    </row>
    <row r="61" customFormat="false" ht="23.85" hidden="false" customHeight="false" outlineLevel="0" collapsed="false">
      <c r="A61" s="47" t="n">
        <v>56</v>
      </c>
      <c r="B61" s="15" t="s">
        <v>278</v>
      </c>
      <c r="C61" s="15" t="s">
        <v>62</v>
      </c>
      <c r="D61" s="15" t="s">
        <v>375</v>
      </c>
      <c r="E61" s="15" t="s">
        <v>100</v>
      </c>
      <c r="F61" s="47" t="s">
        <v>286</v>
      </c>
      <c r="G61" s="15" t="s">
        <v>379</v>
      </c>
      <c r="H61" s="40" t="n">
        <v>20</v>
      </c>
      <c r="I61" s="47" t="s">
        <v>282</v>
      </c>
      <c r="J61" s="47" t="s">
        <v>113</v>
      </c>
      <c r="K61" s="40" t="n">
        <v>1</v>
      </c>
      <c r="L61" s="40" t="n">
        <v>6</v>
      </c>
      <c r="M61" s="45" t="n">
        <v>4</v>
      </c>
      <c r="N61" s="48" t="n">
        <f aca="false">K61*L61*M61</f>
        <v>24</v>
      </c>
      <c r="O61" s="29" t="n">
        <f aca="false">IFERROR(INDEX(Исходные!$B$18:$B$29,MATCH(H61,Исходные!$A$18:$A$29,0)),0)</f>
        <v>2.466</v>
      </c>
      <c r="P61" s="49" t="n">
        <f aca="false">N61*O61</f>
        <v>59.184</v>
      </c>
      <c r="Q61" s="15" t="s">
        <v>376</v>
      </c>
      <c r="R61" s="50" t="s">
        <v>284</v>
      </c>
      <c r="S61" s="15" t="s">
        <v>380</v>
      </c>
      <c r="T61" s="15" t="s">
        <v>62</v>
      </c>
      <c r="U61" s="38" t="n">
        <v>0</v>
      </c>
      <c r="V61" s="47" t="s">
        <v>100</v>
      </c>
    </row>
    <row r="62" customFormat="false" ht="23.85" hidden="false" customHeight="false" outlineLevel="0" collapsed="false">
      <c r="A62" s="47" t="n">
        <v>57</v>
      </c>
      <c r="B62" s="15" t="s">
        <v>278</v>
      </c>
      <c r="C62" s="15" t="s">
        <v>62</v>
      </c>
      <c r="D62" s="15" t="s">
        <v>375</v>
      </c>
      <c r="E62" s="15" t="s">
        <v>100</v>
      </c>
      <c r="F62" s="47" t="s">
        <v>289</v>
      </c>
      <c r="G62" s="15" t="s">
        <v>381</v>
      </c>
      <c r="H62" s="40" t="n">
        <v>28</v>
      </c>
      <c r="I62" s="47" t="s">
        <v>282</v>
      </c>
      <c r="J62" s="47" t="s">
        <v>113</v>
      </c>
      <c r="K62" s="40" t="n">
        <v>1</v>
      </c>
      <c r="L62" s="40" t="n">
        <v>10</v>
      </c>
      <c r="M62" s="45" t="n">
        <v>4</v>
      </c>
      <c r="N62" s="48" t="n">
        <f aca="false">K62*L62*M62</f>
        <v>40</v>
      </c>
      <c r="O62" s="29" t="n">
        <f aca="false">IFERROR(INDEX(Исходные!$B$18:$B$29,MATCH(H62,Исходные!$A$18:$A$29,0)),0)</f>
        <v>4.834</v>
      </c>
      <c r="P62" s="49" t="n">
        <f aca="false">N62*O62</f>
        <v>193.36</v>
      </c>
      <c r="Q62" s="15" t="s">
        <v>376</v>
      </c>
      <c r="R62" s="50" t="s">
        <v>284</v>
      </c>
      <c r="S62" s="15" t="s">
        <v>382</v>
      </c>
      <c r="T62" s="15" t="s">
        <v>62</v>
      </c>
      <c r="U62" s="38" t="n">
        <v>0</v>
      </c>
      <c r="V62" s="47" t="s">
        <v>100</v>
      </c>
    </row>
    <row r="63" customFormat="false" ht="23.85" hidden="false" customHeight="false" outlineLevel="0" collapsed="false">
      <c r="A63" s="47" t="n">
        <v>58</v>
      </c>
      <c r="B63" s="15" t="s">
        <v>278</v>
      </c>
      <c r="C63" s="15" t="s">
        <v>62</v>
      </c>
      <c r="D63" s="15" t="s">
        <v>375</v>
      </c>
      <c r="E63" s="15" t="s">
        <v>100</v>
      </c>
      <c r="F63" s="47" t="s">
        <v>302</v>
      </c>
      <c r="G63" s="15" t="s">
        <v>383</v>
      </c>
      <c r="H63" s="40" t="n">
        <v>16</v>
      </c>
      <c r="I63" s="47" t="s">
        <v>282</v>
      </c>
      <c r="J63" s="47" t="n">
        <v>200</v>
      </c>
      <c r="K63" s="40" t="n">
        <v>1</v>
      </c>
      <c r="L63" s="40" t="n">
        <v>36</v>
      </c>
      <c r="M63" s="45" t="n">
        <v>1.45</v>
      </c>
      <c r="N63" s="48" t="n">
        <f aca="false">K63*L63*M63</f>
        <v>52.2</v>
      </c>
      <c r="O63" s="29" t="n">
        <f aca="false">IFERROR(INDEX(Исходные!$B$18:$B$29,MATCH(H63,Исходные!$A$18:$A$29,0)),0)</f>
        <v>1.578</v>
      </c>
      <c r="P63" s="49" t="n">
        <f aca="false">N63*O63</f>
        <v>82.3716</v>
      </c>
      <c r="Q63" s="15" t="s">
        <v>384</v>
      </c>
      <c r="R63" s="51" t="s">
        <v>305</v>
      </c>
      <c r="S63" s="15"/>
      <c r="T63" s="15" t="s">
        <v>62</v>
      </c>
      <c r="U63" s="38" t="n">
        <v>1</v>
      </c>
      <c r="V63" s="47" t="s">
        <v>100</v>
      </c>
    </row>
    <row r="64" customFormat="false" ht="23.85" hidden="false" customHeight="false" outlineLevel="0" collapsed="false">
      <c r="A64" s="47" t="n">
        <v>59</v>
      </c>
      <c r="B64" s="15" t="s">
        <v>278</v>
      </c>
      <c r="C64" s="15" t="s">
        <v>62</v>
      </c>
      <c r="D64" s="15" t="s">
        <v>375</v>
      </c>
      <c r="E64" s="15" t="s">
        <v>100</v>
      </c>
      <c r="F64" s="47" t="s">
        <v>309</v>
      </c>
      <c r="G64" s="15" t="s">
        <v>385</v>
      </c>
      <c r="H64" s="40" t="n">
        <v>18</v>
      </c>
      <c r="I64" s="47" t="s">
        <v>282</v>
      </c>
      <c r="J64" s="47" t="n">
        <v>200</v>
      </c>
      <c r="K64" s="40" t="n">
        <v>1</v>
      </c>
      <c r="L64" s="40" t="n">
        <v>10</v>
      </c>
      <c r="M64" s="45" t="n">
        <v>1.45</v>
      </c>
      <c r="N64" s="48" t="n">
        <f aca="false">K64*L64*M64</f>
        <v>14.5</v>
      </c>
      <c r="O64" s="29" t="n">
        <f aca="false">IFERROR(INDEX(Исходные!$B$18:$B$29,MATCH(H64,Исходные!$A$18:$A$29,0)),0)</f>
        <v>1.998</v>
      </c>
      <c r="P64" s="49" t="n">
        <f aca="false">N64*O64</f>
        <v>28.971</v>
      </c>
      <c r="Q64" s="15" t="s">
        <v>386</v>
      </c>
      <c r="R64" s="50" t="s">
        <v>284</v>
      </c>
      <c r="S64" s="15"/>
      <c r="T64" s="15" t="s">
        <v>62</v>
      </c>
      <c r="U64" s="38" t="n">
        <v>0</v>
      </c>
      <c r="V64" s="47" t="s">
        <v>100</v>
      </c>
    </row>
    <row r="65" customFormat="false" ht="23.85" hidden="false" customHeight="false" outlineLevel="0" collapsed="false">
      <c r="A65" s="47" t="n">
        <v>60</v>
      </c>
      <c r="B65" s="15" t="s">
        <v>278</v>
      </c>
      <c r="C65" s="15" t="s">
        <v>62</v>
      </c>
      <c r="D65" s="15" t="s">
        <v>375</v>
      </c>
      <c r="E65" s="15" t="s">
        <v>100</v>
      </c>
      <c r="F65" s="47" t="s">
        <v>314</v>
      </c>
      <c r="G65" s="15" t="s">
        <v>387</v>
      </c>
      <c r="H65" s="40" t="n">
        <v>10</v>
      </c>
      <c r="I65" s="47" t="s">
        <v>316</v>
      </c>
      <c r="J65" s="47" t="s">
        <v>317</v>
      </c>
      <c r="K65" s="40" t="n">
        <v>1</v>
      </c>
      <c r="L65" s="40" t="n">
        <v>18</v>
      </c>
      <c r="M65" s="45" t="n">
        <v>1.33</v>
      </c>
      <c r="N65" s="48" t="n">
        <f aca="false">K65*L65*M65</f>
        <v>23.94</v>
      </c>
      <c r="O65" s="29" t="n">
        <f aca="false">IFERROR(INDEX(Исходные!$B$18:$B$29,MATCH(H65,Исходные!$A$18:$A$29,0)),0)</f>
        <v>0.617</v>
      </c>
      <c r="P65" s="49" t="n">
        <f aca="false">N65*O65</f>
        <v>14.77098</v>
      </c>
      <c r="Q65" s="15" t="s">
        <v>318</v>
      </c>
      <c r="R65" s="50" t="s">
        <v>284</v>
      </c>
      <c r="S65" s="15"/>
      <c r="T65" s="15" t="s">
        <v>62</v>
      </c>
      <c r="U65" s="38" t="n">
        <v>0</v>
      </c>
      <c r="V65" s="47" t="s">
        <v>100</v>
      </c>
    </row>
    <row r="66" customFormat="false" ht="23.85" hidden="false" customHeight="false" outlineLevel="0" collapsed="false">
      <c r="A66" s="47" t="n">
        <v>61</v>
      </c>
      <c r="B66" s="15" t="s">
        <v>278</v>
      </c>
      <c r="C66" s="15" t="s">
        <v>62</v>
      </c>
      <c r="D66" s="15" t="s">
        <v>375</v>
      </c>
      <c r="E66" s="15" t="s">
        <v>100</v>
      </c>
      <c r="F66" s="47" t="s">
        <v>322</v>
      </c>
      <c r="G66" s="15" t="s">
        <v>323</v>
      </c>
      <c r="H66" s="40" t="n">
        <v>10</v>
      </c>
      <c r="I66" s="47" t="s">
        <v>316</v>
      </c>
      <c r="J66" s="47" t="s">
        <v>317</v>
      </c>
      <c r="K66" s="40" t="n">
        <v>1</v>
      </c>
      <c r="L66" s="40" t="n">
        <v>18</v>
      </c>
      <c r="M66" s="45" t="n">
        <v>1.76</v>
      </c>
      <c r="N66" s="48" t="n">
        <f aca="false">K66*L66*M66</f>
        <v>31.68</v>
      </c>
      <c r="O66" s="29" t="n">
        <f aca="false">IFERROR(INDEX(Исходные!$B$18:$B$29,MATCH(H66,Исходные!$A$18:$A$29,0)),0)</f>
        <v>0.617</v>
      </c>
      <c r="P66" s="49" t="n">
        <f aca="false">N66*O66</f>
        <v>19.54656</v>
      </c>
      <c r="Q66" s="15" t="s">
        <v>324</v>
      </c>
      <c r="R66" s="50" t="s">
        <v>284</v>
      </c>
      <c r="S66" s="15"/>
      <c r="T66" s="15" t="s">
        <v>62</v>
      </c>
      <c r="U66" s="38" t="n">
        <v>0</v>
      </c>
      <c r="V66" s="47" t="s">
        <v>100</v>
      </c>
    </row>
    <row r="67" customFormat="false" ht="23.85" hidden="false" customHeight="false" outlineLevel="0" collapsed="false">
      <c r="A67" s="47" t="n">
        <v>62</v>
      </c>
      <c r="B67" s="15" t="s">
        <v>278</v>
      </c>
      <c r="C67" s="15" t="s">
        <v>62</v>
      </c>
      <c r="D67" s="15" t="s">
        <v>375</v>
      </c>
      <c r="E67" s="15" t="s">
        <v>100</v>
      </c>
      <c r="F67" s="47" t="s">
        <v>325</v>
      </c>
      <c r="G67" s="15" t="s">
        <v>326</v>
      </c>
      <c r="H67" s="40" t="n">
        <v>8</v>
      </c>
      <c r="I67" s="47" t="s">
        <v>316</v>
      </c>
      <c r="J67" s="47" t="s">
        <v>317</v>
      </c>
      <c r="K67" s="40" t="n">
        <v>1</v>
      </c>
      <c r="L67" s="40" t="n">
        <v>30</v>
      </c>
      <c r="M67" s="45" t="n">
        <v>2.44</v>
      </c>
      <c r="N67" s="48" t="n">
        <f aca="false">K67*L67*M67</f>
        <v>73.2</v>
      </c>
      <c r="O67" s="29" t="n">
        <f aca="false">IFERROR(INDEX(Исходные!$B$18:$B$29,MATCH(H67,Исходные!$A$18:$A$29,0)),0)</f>
        <v>0.395</v>
      </c>
      <c r="P67" s="49" t="n">
        <f aca="false">N67*O67</f>
        <v>28.914</v>
      </c>
      <c r="Q67" s="15" t="s">
        <v>327</v>
      </c>
      <c r="R67" s="50" t="s">
        <v>284</v>
      </c>
      <c r="S67" s="15"/>
      <c r="T67" s="15" t="s">
        <v>62</v>
      </c>
      <c r="U67" s="38" t="n">
        <v>0</v>
      </c>
      <c r="V67" s="47" t="s">
        <v>100</v>
      </c>
    </row>
    <row r="68" customFormat="false" ht="23.85" hidden="false" customHeight="false" outlineLevel="0" collapsed="false">
      <c r="A68" s="47" t="n">
        <v>63</v>
      </c>
      <c r="B68" s="15" t="s">
        <v>278</v>
      </c>
      <c r="C68" s="15" t="s">
        <v>62</v>
      </c>
      <c r="D68" s="15" t="s">
        <v>375</v>
      </c>
      <c r="E68" s="15" t="s">
        <v>100</v>
      </c>
      <c r="F68" s="47" t="s">
        <v>328</v>
      </c>
      <c r="G68" s="15" t="s">
        <v>329</v>
      </c>
      <c r="H68" s="40" t="n">
        <v>8</v>
      </c>
      <c r="I68" s="47" t="s">
        <v>316</v>
      </c>
      <c r="J68" s="47" t="s">
        <v>317</v>
      </c>
      <c r="K68" s="40" t="n">
        <v>1</v>
      </c>
      <c r="L68" s="40" t="n">
        <v>36</v>
      </c>
      <c r="M68" s="45" t="n">
        <v>1.96</v>
      </c>
      <c r="N68" s="48" t="n">
        <f aca="false">K68*L68*M68</f>
        <v>70.56</v>
      </c>
      <c r="O68" s="29" t="n">
        <f aca="false">IFERROR(INDEX(Исходные!$B$18:$B$29,MATCH(H68,Исходные!$A$18:$A$29,0)),0)</f>
        <v>0.395</v>
      </c>
      <c r="P68" s="49" t="n">
        <f aca="false">N68*O68</f>
        <v>27.8712</v>
      </c>
      <c r="Q68" s="15" t="s">
        <v>330</v>
      </c>
      <c r="R68" s="50" t="s">
        <v>284</v>
      </c>
      <c r="S68" s="15"/>
      <c r="T68" s="15" t="s">
        <v>62</v>
      </c>
      <c r="U68" s="38" t="n">
        <v>0</v>
      </c>
      <c r="V68" s="47" t="s">
        <v>100</v>
      </c>
    </row>
    <row r="69" customFormat="false" ht="23.85" hidden="false" customHeight="false" outlineLevel="0" collapsed="false">
      <c r="A69" s="47" t="n">
        <v>64</v>
      </c>
      <c r="B69" s="15" t="s">
        <v>278</v>
      </c>
      <c r="C69" s="15" t="s">
        <v>62</v>
      </c>
      <c r="D69" s="15" t="s">
        <v>375</v>
      </c>
      <c r="E69" s="15" t="s">
        <v>100</v>
      </c>
      <c r="F69" s="47" t="s">
        <v>331</v>
      </c>
      <c r="G69" s="15" t="s">
        <v>388</v>
      </c>
      <c r="H69" s="40" t="n">
        <v>8</v>
      </c>
      <c r="I69" s="47" t="s">
        <v>316</v>
      </c>
      <c r="J69" s="47" t="s">
        <v>317</v>
      </c>
      <c r="K69" s="40" t="n">
        <v>1</v>
      </c>
      <c r="L69" s="40" t="n">
        <v>36</v>
      </c>
      <c r="M69" s="45" t="n">
        <v>0.53</v>
      </c>
      <c r="N69" s="48" t="n">
        <f aca="false">K69*L69*M69</f>
        <v>19.08</v>
      </c>
      <c r="O69" s="29" t="n">
        <f aca="false">IFERROR(INDEX(Исходные!$B$18:$B$29,MATCH(H69,Исходные!$A$18:$A$29,0)),0)</f>
        <v>0.395</v>
      </c>
      <c r="P69" s="49" t="n">
        <f aca="false">N69*O69</f>
        <v>7.5366</v>
      </c>
      <c r="Q69" s="15" t="s">
        <v>333</v>
      </c>
      <c r="R69" s="50" t="s">
        <v>284</v>
      </c>
      <c r="S69" s="15"/>
      <c r="T69" s="15" t="s">
        <v>62</v>
      </c>
      <c r="U69" s="38" t="n">
        <v>0</v>
      </c>
      <c r="V69" s="47" t="s">
        <v>100</v>
      </c>
    </row>
    <row r="70" customFormat="false" ht="23.85" hidden="false" customHeight="false" outlineLevel="0" collapsed="false">
      <c r="A70" s="47" t="n">
        <v>65</v>
      </c>
      <c r="B70" s="15" t="s">
        <v>278</v>
      </c>
      <c r="C70" s="15" t="s">
        <v>62</v>
      </c>
      <c r="D70" s="15" t="s">
        <v>389</v>
      </c>
      <c r="E70" s="15" t="s">
        <v>101</v>
      </c>
      <c r="F70" s="47" t="s">
        <v>280</v>
      </c>
      <c r="G70" s="15" t="s">
        <v>281</v>
      </c>
      <c r="H70" s="40" t="n">
        <v>32</v>
      </c>
      <c r="I70" s="47" t="s">
        <v>282</v>
      </c>
      <c r="J70" s="47" t="s">
        <v>113</v>
      </c>
      <c r="K70" s="40" t="n">
        <v>1</v>
      </c>
      <c r="L70" s="40" t="n">
        <v>4</v>
      </c>
      <c r="M70" s="45" t="n">
        <v>4</v>
      </c>
      <c r="N70" s="48" t="n">
        <f aca="false">K70*L70*M70</f>
        <v>16</v>
      </c>
      <c r="O70" s="29" t="n">
        <f aca="false">IFERROR(INDEX(Исходные!$B$18:$B$29,MATCH(H70,Исходные!$A$18:$A$29,0)),0)</f>
        <v>6.313</v>
      </c>
      <c r="P70" s="49" t="n">
        <f aca="false">N70*O70</f>
        <v>101.008</v>
      </c>
      <c r="Q70" s="15" t="s">
        <v>390</v>
      </c>
      <c r="R70" s="50" t="s">
        <v>284</v>
      </c>
      <c r="S70" s="15" t="s">
        <v>358</v>
      </c>
      <c r="T70" s="15" t="s">
        <v>62</v>
      </c>
      <c r="U70" s="38" t="n">
        <v>0</v>
      </c>
      <c r="V70" s="47" t="s">
        <v>101</v>
      </c>
    </row>
    <row r="71" customFormat="false" ht="23.85" hidden="false" customHeight="false" outlineLevel="0" collapsed="false">
      <c r="A71" s="47" t="n">
        <v>66</v>
      </c>
      <c r="B71" s="15" t="s">
        <v>278</v>
      </c>
      <c r="C71" s="15" t="s">
        <v>62</v>
      </c>
      <c r="D71" s="15" t="s">
        <v>389</v>
      </c>
      <c r="E71" s="15" t="s">
        <v>101</v>
      </c>
      <c r="F71" s="47" t="s">
        <v>289</v>
      </c>
      <c r="G71" s="15" t="s">
        <v>377</v>
      </c>
      <c r="H71" s="40" t="n">
        <v>28</v>
      </c>
      <c r="I71" s="47" t="s">
        <v>282</v>
      </c>
      <c r="J71" s="47" t="s">
        <v>113</v>
      </c>
      <c r="K71" s="40" t="n">
        <v>1</v>
      </c>
      <c r="L71" s="40" t="n">
        <v>4</v>
      </c>
      <c r="M71" s="45" t="n">
        <v>4</v>
      </c>
      <c r="N71" s="48" t="n">
        <f aca="false">K71*L71*M71</f>
        <v>16</v>
      </c>
      <c r="O71" s="29" t="n">
        <f aca="false">IFERROR(INDEX(Исходные!$B$18:$B$29,MATCH(H71,Исходные!$A$18:$A$29,0)),0)</f>
        <v>4.834</v>
      </c>
      <c r="P71" s="49" t="n">
        <f aca="false">N71*O71</f>
        <v>77.344</v>
      </c>
      <c r="Q71" s="15" t="s">
        <v>390</v>
      </c>
      <c r="R71" s="50" t="s">
        <v>284</v>
      </c>
      <c r="S71" s="15" t="s">
        <v>391</v>
      </c>
      <c r="T71" s="15" t="s">
        <v>62</v>
      </c>
      <c r="U71" s="38" t="n">
        <v>0</v>
      </c>
      <c r="V71" s="47" t="s">
        <v>101</v>
      </c>
    </row>
    <row r="72" customFormat="false" ht="23.85" hidden="false" customHeight="false" outlineLevel="0" collapsed="false">
      <c r="A72" s="47" t="n">
        <v>67</v>
      </c>
      <c r="B72" s="15" t="s">
        <v>278</v>
      </c>
      <c r="C72" s="15" t="s">
        <v>62</v>
      </c>
      <c r="D72" s="15" t="s">
        <v>389</v>
      </c>
      <c r="E72" s="15" t="s">
        <v>101</v>
      </c>
      <c r="F72" s="47" t="s">
        <v>286</v>
      </c>
      <c r="G72" s="15" t="s">
        <v>338</v>
      </c>
      <c r="H72" s="40" t="n">
        <v>20</v>
      </c>
      <c r="I72" s="47" t="s">
        <v>282</v>
      </c>
      <c r="J72" s="47" t="s">
        <v>113</v>
      </c>
      <c r="K72" s="40" t="n">
        <v>1</v>
      </c>
      <c r="L72" s="40" t="n">
        <v>4</v>
      </c>
      <c r="M72" s="45" t="n">
        <v>4</v>
      </c>
      <c r="N72" s="48" t="n">
        <f aca="false">K72*L72*M72</f>
        <v>16</v>
      </c>
      <c r="O72" s="29" t="n">
        <f aca="false">IFERROR(INDEX(Исходные!$B$18:$B$29,MATCH(H72,Исходные!$A$18:$A$29,0)),0)</f>
        <v>2.466</v>
      </c>
      <c r="P72" s="49" t="n">
        <f aca="false">N72*O72</f>
        <v>39.456</v>
      </c>
      <c r="Q72" s="15" t="s">
        <v>390</v>
      </c>
      <c r="R72" s="50" t="s">
        <v>284</v>
      </c>
      <c r="S72" s="15" t="s">
        <v>392</v>
      </c>
      <c r="T72" s="15" t="s">
        <v>62</v>
      </c>
      <c r="U72" s="38" t="n">
        <v>0</v>
      </c>
      <c r="V72" s="47" t="s">
        <v>101</v>
      </c>
    </row>
    <row r="73" customFormat="false" ht="23.85" hidden="false" customHeight="false" outlineLevel="0" collapsed="false">
      <c r="A73" s="47" t="n">
        <v>68</v>
      </c>
      <c r="B73" s="15" t="s">
        <v>278</v>
      </c>
      <c r="C73" s="15" t="s">
        <v>62</v>
      </c>
      <c r="D73" s="15" t="s">
        <v>389</v>
      </c>
      <c r="E73" s="15" t="s">
        <v>101</v>
      </c>
      <c r="F73" s="47" t="s">
        <v>289</v>
      </c>
      <c r="G73" s="15" t="s">
        <v>340</v>
      </c>
      <c r="H73" s="40" t="n">
        <v>28</v>
      </c>
      <c r="I73" s="47" t="s">
        <v>282</v>
      </c>
      <c r="J73" s="47" t="s">
        <v>113</v>
      </c>
      <c r="K73" s="40" t="n">
        <v>1</v>
      </c>
      <c r="L73" s="40" t="n">
        <v>10</v>
      </c>
      <c r="M73" s="45" t="n">
        <v>4</v>
      </c>
      <c r="N73" s="48" t="n">
        <f aca="false">K73*L73*M73</f>
        <v>40</v>
      </c>
      <c r="O73" s="29" t="n">
        <f aca="false">IFERROR(INDEX(Исходные!$B$18:$B$29,MATCH(H73,Исходные!$A$18:$A$29,0)),0)</f>
        <v>4.834</v>
      </c>
      <c r="P73" s="49" t="n">
        <f aca="false">N73*O73</f>
        <v>193.36</v>
      </c>
      <c r="Q73" s="15" t="s">
        <v>390</v>
      </c>
      <c r="R73" s="50" t="s">
        <v>284</v>
      </c>
      <c r="S73" s="15" t="s">
        <v>382</v>
      </c>
      <c r="T73" s="15" t="s">
        <v>62</v>
      </c>
      <c r="U73" s="38" t="n">
        <v>0</v>
      </c>
      <c r="V73" s="47" t="s">
        <v>101</v>
      </c>
    </row>
    <row r="74" customFormat="false" ht="23.85" hidden="false" customHeight="false" outlineLevel="0" collapsed="false">
      <c r="A74" s="47" t="n">
        <v>69</v>
      </c>
      <c r="B74" s="15" t="s">
        <v>278</v>
      </c>
      <c r="C74" s="15" t="s">
        <v>62</v>
      </c>
      <c r="D74" s="15" t="s">
        <v>389</v>
      </c>
      <c r="E74" s="15" t="s">
        <v>101</v>
      </c>
      <c r="F74" s="47" t="s">
        <v>286</v>
      </c>
      <c r="G74" s="15" t="s">
        <v>342</v>
      </c>
      <c r="H74" s="40" t="n">
        <v>20</v>
      </c>
      <c r="I74" s="47" t="s">
        <v>282</v>
      </c>
      <c r="J74" s="47" t="s">
        <v>113</v>
      </c>
      <c r="K74" s="40" t="n">
        <v>1</v>
      </c>
      <c r="L74" s="40" t="n">
        <v>4</v>
      </c>
      <c r="M74" s="45" t="n">
        <v>4</v>
      </c>
      <c r="N74" s="48" t="n">
        <f aca="false">K74*L74*M74</f>
        <v>16</v>
      </c>
      <c r="O74" s="29" t="n">
        <f aca="false">IFERROR(INDEX(Исходные!$B$18:$B$29,MATCH(H74,Исходные!$A$18:$A$29,0)),0)</f>
        <v>2.466</v>
      </c>
      <c r="P74" s="49" t="n">
        <f aca="false">N74*O74</f>
        <v>39.456</v>
      </c>
      <c r="Q74" s="15" t="s">
        <v>390</v>
      </c>
      <c r="R74" s="50" t="s">
        <v>284</v>
      </c>
      <c r="S74" s="15" t="s">
        <v>393</v>
      </c>
      <c r="T74" s="15" t="s">
        <v>62</v>
      </c>
      <c r="U74" s="38" t="n">
        <v>0</v>
      </c>
      <c r="V74" s="47" t="s">
        <v>101</v>
      </c>
    </row>
    <row r="75" customFormat="false" ht="23.85" hidden="false" customHeight="false" outlineLevel="0" collapsed="false">
      <c r="A75" s="47" t="n">
        <v>70</v>
      </c>
      <c r="B75" s="15" t="s">
        <v>278</v>
      </c>
      <c r="C75" s="15" t="s">
        <v>62</v>
      </c>
      <c r="D75" s="15" t="s">
        <v>389</v>
      </c>
      <c r="E75" s="15" t="s">
        <v>101</v>
      </c>
      <c r="F75" s="47" t="s">
        <v>345</v>
      </c>
      <c r="G75" s="15" t="s">
        <v>297</v>
      </c>
      <c r="H75" s="40" t="n">
        <v>22</v>
      </c>
      <c r="I75" s="47" t="s">
        <v>282</v>
      </c>
      <c r="J75" s="47" t="s">
        <v>113</v>
      </c>
      <c r="K75" s="40" t="n">
        <v>1</v>
      </c>
      <c r="L75" s="40" t="n">
        <v>6</v>
      </c>
      <c r="M75" s="45" t="n">
        <v>4</v>
      </c>
      <c r="N75" s="48" t="n">
        <f aca="false">K75*L75*M75</f>
        <v>24</v>
      </c>
      <c r="O75" s="29" t="n">
        <f aca="false">IFERROR(INDEX(Исходные!$B$18:$B$29,MATCH(H75,Исходные!$A$18:$A$29,0)),0)</f>
        <v>2.984</v>
      </c>
      <c r="P75" s="49" t="n">
        <f aca="false">N75*O75</f>
        <v>71.616</v>
      </c>
      <c r="Q75" s="15" t="s">
        <v>390</v>
      </c>
      <c r="R75" s="50" t="s">
        <v>284</v>
      </c>
      <c r="S75" s="15" t="s">
        <v>361</v>
      </c>
      <c r="T75" s="15" t="s">
        <v>62</v>
      </c>
      <c r="U75" s="38" t="n">
        <v>0</v>
      </c>
      <c r="V75" s="47" t="s">
        <v>101</v>
      </c>
    </row>
    <row r="76" customFormat="false" ht="23.85" hidden="false" customHeight="false" outlineLevel="0" collapsed="false">
      <c r="A76" s="47" t="n">
        <v>71</v>
      </c>
      <c r="B76" s="15" t="s">
        <v>278</v>
      </c>
      <c r="C76" s="15" t="s">
        <v>62</v>
      </c>
      <c r="D76" s="15" t="s">
        <v>389</v>
      </c>
      <c r="E76" s="15" t="s">
        <v>101</v>
      </c>
      <c r="F76" s="47" t="s">
        <v>292</v>
      </c>
      <c r="G76" s="15" t="s">
        <v>344</v>
      </c>
      <c r="H76" s="40" t="n">
        <v>25</v>
      </c>
      <c r="I76" s="47" t="s">
        <v>282</v>
      </c>
      <c r="J76" s="47" t="s">
        <v>113</v>
      </c>
      <c r="K76" s="40" t="n">
        <v>1</v>
      </c>
      <c r="L76" s="40" t="n">
        <v>10</v>
      </c>
      <c r="M76" s="45" t="n">
        <v>4</v>
      </c>
      <c r="N76" s="48" t="n">
        <f aca="false">K76*L76*M76</f>
        <v>40</v>
      </c>
      <c r="O76" s="29" t="n">
        <f aca="false">IFERROR(INDEX(Исходные!$B$18:$B$29,MATCH(H76,Исходные!$A$18:$A$29,0)),0)</f>
        <v>3.853</v>
      </c>
      <c r="P76" s="49" t="n">
        <f aca="false">N76*O76</f>
        <v>154.12</v>
      </c>
      <c r="Q76" s="15" t="s">
        <v>390</v>
      </c>
      <c r="R76" s="50" t="s">
        <v>284</v>
      </c>
      <c r="S76" s="15" t="s">
        <v>362</v>
      </c>
      <c r="T76" s="15" t="s">
        <v>62</v>
      </c>
      <c r="U76" s="38" t="n">
        <v>0</v>
      </c>
      <c r="V76" s="47" t="s">
        <v>101</v>
      </c>
    </row>
    <row r="77" customFormat="false" ht="23.85" hidden="false" customHeight="false" outlineLevel="0" collapsed="false">
      <c r="A77" s="47" t="n">
        <v>72</v>
      </c>
      <c r="B77" s="15" t="s">
        <v>278</v>
      </c>
      <c r="C77" s="15" t="s">
        <v>62</v>
      </c>
      <c r="D77" s="15" t="s">
        <v>389</v>
      </c>
      <c r="E77" s="15" t="s">
        <v>101</v>
      </c>
      <c r="F77" s="47" t="s">
        <v>302</v>
      </c>
      <c r="G77" s="15" t="s">
        <v>394</v>
      </c>
      <c r="H77" s="40" t="n">
        <v>16</v>
      </c>
      <c r="I77" s="47" t="s">
        <v>282</v>
      </c>
      <c r="J77" s="47" t="n">
        <v>200</v>
      </c>
      <c r="K77" s="40" t="n">
        <v>1</v>
      </c>
      <c r="L77" s="40" t="n">
        <v>36</v>
      </c>
      <c r="M77" s="45" t="n">
        <v>1.25</v>
      </c>
      <c r="N77" s="48" t="n">
        <f aca="false">K77*L77*M77</f>
        <v>45</v>
      </c>
      <c r="O77" s="29" t="n">
        <f aca="false">IFERROR(INDEX(Исходные!$B$18:$B$29,MATCH(H77,Исходные!$A$18:$A$29,0)),0)</f>
        <v>1.578</v>
      </c>
      <c r="P77" s="49" t="n">
        <f aca="false">N77*O77</f>
        <v>71.01</v>
      </c>
      <c r="Q77" s="15" t="s">
        <v>395</v>
      </c>
      <c r="R77" s="51" t="s">
        <v>305</v>
      </c>
      <c r="S77" s="15" t="s">
        <v>396</v>
      </c>
      <c r="T77" s="15" t="s">
        <v>62</v>
      </c>
      <c r="U77" s="38" t="n">
        <v>1</v>
      </c>
      <c r="V77" s="47" t="s">
        <v>101</v>
      </c>
    </row>
    <row r="78" customFormat="false" ht="23.85" hidden="false" customHeight="false" outlineLevel="0" collapsed="false">
      <c r="A78" s="47" t="n">
        <v>73</v>
      </c>
      <c r="B78" s="15" t="s">
        <v>278</v>
      </c>
      <c r="C78" s="15" t="s">
        <v>62</v>
      </c>
      <c r="D78" s="15" t="s">
        <v>389</v>
      </c>
      <c r="E78" s="15" t="s">
        <v>101</v>
      </c>
      <c r="F78" s="47" t="s">
        <v>302</v>
      </c>
      <c r="G78" s="15" t="s">
        <v>397</v>
      </c>
      <c r="H78" s="40" t="n">
        <v>16</v>
      </c>
      <c r="I78" s="47" t="s">
        <v>282</v>
      </c>
      <c r="J78" s="47" t="n">
        <v>200</v>
      </c>
      <c r="K78" s="40" t="n">
        <v>1</v>
      </c>
      <c r="L78" s="40" t="n">
        <v>36</v>
      </c>
      <c r="M78" s="45" t="n">
        <v>1.45</v>
      </c>
      <c r="N78" s="48" t="n">
        <f aca="false">K78*L78*M78</f>
        <v>52.2</v>
      </c>
      <c r="O78" s="29" t="n">
        <f aca="false">IFERROR(INDEX(Исходные!$B$18:$B$29,MATCH(H78,Исходные!$A$18:$A$29,0)),0)</f>
        <v>1.578</v>
      </c>
      <c r="P78" s="49" t="n">
        <f aca="false">N78*O78</f>
        <v>82.3716</v>
      </c>
      <c r="Q78" s="15" t="s">
        <v>395</v>
      </c>
      <c r="R78" s="51" t="s">
        <v>305</v>
      </c>
      <c r="S78" s="15"/>
      <c r="T78" s="15" t="s">
        <v>62</v>
      </c>
      <c r="U78" s="38" t="n">
        <v>1</v>
      </c>
      <c r="V78" s="47" t="s">
        <v>101</v>
      </c>
    </row>
    <row r="79" customFormat="false" ht="23.85" hidden="false" customHeight="false" outlineLevel="0" collapsed="false">
      <c r="A79" s="47" t="n">
        <v>74</v>
      </c>
      <c r="B79" s="15" t="s">
        <v>278</v>
      </c>
      <c r="C79" s="15" t="s">
        <v>62</v>
      </c>
      <c r="D79" s="15" t="s">
        <v>389</v>
      </c>
      <c r="E79" s="15" t="s">
        <v>101</v>
      </c>
      <c r="F79" s="47" t="s">
        <v>309</v>
      </c>
      <c r="G79" s="15" t="s">
        <v>398</v>
      </c>
      <c r="H79" s="40" t="n">
        <v>10</v>
      </c>
      <c r="I79" s="47" t="s">
        <v>282</v>
      </c>
      <c r="J79" s="47" t="n">
        <v>200</v>
      </c>
      <c r="K79" s="40" t="n">
        <v>1</v>
      </c>
      <c r="L79" s="40" t="n">
        <v>6</v>
      </c>
      <c r="M79" s="45" t="n">
        <v>1.25</v>
      </c>
      <c r="N79" s="48" t="n">
        <f aca="false">K79*L79*M79</f>
        <v>7.5</v>
      </c>
      <c r="O79" s="29" t="n">
        <f aca="false">IFERROR(INDEX(Исходные!$B$18:$B$29,MATCH(H79,Исходные!$A$18:$A$29,0)),0)</f>
        <v>0.617</v>
      </c>
      <c r="P79" s="49" t="n">
        <f aca="false">N79*O79</f>
        <v>4.6275</v>
      </c>
      <c r="Q79" s="15" t="s">
        <v>399</v>
      </c>
      <c r="R79" s="50" t="s">
        <v>284</v>
      </c>
      <c r="S79" s="15"/>
      <c r="T79" s="15" t="s">
        <v>62</v>
      </c>
      <c r="U79" s="38" t="n">
        <v>0</v>
      </c>
      <c r="V79" s="47" t="s">
        <v>101</v>
      </c>
    </row>
    <row r="80" customFormat="false" ht="23.85" hidden="false" customHeight="false" outlineLevel="0" collapsed="false">
      <c r="A80" s="47" t="n">
        <v>75</v>
      </c>
      <c r="B80" s="15" t="s">
        <v>278</v>
      </c>
      <c r="C80" s="15" t="s">
        <v>62</v>
      </c>
      <c r="D80" s="15" t="s">
        <v>389</v>
      </c>
      <c r="E80" s="15" t="s">
        <v>101</v>
      </c>
      <c r="F80" s="47" t="s">
        <v>309</v>
      </c>
      <c r="G80" s="15" t="s">
        <v>400</v>
      </c>
      <c r="H80" s="40" t="n">
        <v>14</v>
      </c>
      <c r="I80" s="47" t="s">
        <v>282</v>
      </c>
      <c r="J80" s="47" t="n">
        <v>200</v>
      </c>
      <c r="K80" s="40" t="n">
        <v>1</v>
      </c>
      <c r="L80" s="40" t="n">
        <v>6</v>
      </c>
      <c r="M80" s="45" t="n">
        <v>1.45</v>
      </c>
      <c r="N80" s="48" t="n">
        <f aca="false">K80*L80*M80</f>
        <v>8.7</v>
      </c>
      <c r="O80" s="29" t="n">
        <f aca="false">IFERROR(INDEX(Исходные!$B$18:$B$29,MATCH(H80,Исходные!$A$18:$A$29,0)),0)</f>
        <v>1.208</v>
      </c>
      <c r="P80" s="49" t="n">
        <f aca="false">N80*O80</f>
        <v>10.5096</v>
      </c>
      <c r="Q80" s="15" t="s">
        <v>399</v>
      </c>
      <c r="R80" s="50" t="s">
        <v>284</v>
      </c>
      <c r="S80" s="15"/>
      <c r="T80" s="15" t="s">
        <v>62</v>
      </c>
      <c r="U80" s="38" t="n">
        <v>0</v>
      </c>
      <c r="V80" s="47" t="s">
        <v>101</v>
      </c>
    </row>
    <row r="81" customFormat="false" ht="23.85" hidden="false" customHeight="false" outlineLevel="0" collapsed="false">
      <c r="A81" s="47" t="n">
        <v>76</v>
      </c>
      <c r="B81" s="15" t="s">
        <v>278</v>
      </c>
      <c r="C81" s="15" t="s">
        <v>62</v>
      </c>
      <c r="D81" s="15" t="s">
        <v>389</v>
      </c>
      <c r="E81" s="15" t="s">
        <v>101</v>
      </c>
      <c r="F81" s="47" t="s">
        <v>314</v>
      </c>
      <c r="G81" s="15" t="s">
        <v>353</v>
      </c>
      <c r="H81" s="40" t="n">
        <v>10</v>
      </c>
      <c r="I81" s="47" t="s">
        <v>316</v>
      </c>
      <c r="J81" s="47" t="s">
        <v>317</v>
      </c>
      <c r="K81" s="40" t="n">
        <v>1</v>
      </c>
      <c r="L81" s="40" t="n">
        <v>36</v>
      </c>
      <c r="M81" s="45" t="n">
        <v>1.33</v>
      </c>
      <c r="N81" s="48" t="n">
        <f aca="false">K81*L81*M81</f>
        <v>47.88</v>
      </c>
      <c r="O81" s="29" t="n">
        <f aca="false">IFERROR(INDEX(Исходные!$B$18:$B$29,MATCH(H81,Исходные!$A$18:$A$29,0)),0)</f>
        <v>0.617</v>
      </c>
      <c r="P81" s="49" t="n">
        <f aca="false">N81*O81</f>
        <v>29.54196</v>
      </c>
      <c r="Q81" s="15" t="s">
        <v>318</v>
      </c>
      <c r="R81" s="50" t="s">
        <v>284</v>
      </c>
      <c r="S81" s="15"/>
      <c r="T81" s="15" t="s">
        <v>62</v>
      </c>
      <c r="U81" s="38" t="n">
        <v>0</v>
      </c>
      <c r="V81" s="47" t="s">
        <v>101</v>
      </c>
    </row>
    <row r="82" customFormat="false" ht="23.85" hidden="false" customHeight="false" outlineLevel="0" collapsed="false">
      <c r="A82" s="47" t="n">
        <v>77</v>
      </c>
      <c r="B82" s="15" t="s">
        <v>278</v>
      </c>
      <c r="C82" s="15" t="s">
        <v>62</v>
      </c>
      <c r="D82" s="15" t="s">
        <v>389</v>
      </c>
      <c r="E82" s="15" t="s">
        <v>101</v>
      </c>
      <c r="F82" s="47" t="s">
        <v>319</v>
      </c>
      <c r="G82" s="15" t="s">
        <v>354</v>
      </c>
      <c r="H82" s="40" t="n">
        <v>10</v>
      </c>
      <c r="I82" s="47" t="s">
        <v>316</v>
      </c>
      <c r="J82" s="47" t="s">
        <v>317</v>
      </c>
      <c r="K82" s="40" t="n">
        <v>1</v>
      </c>
      <c r="L82" s="40" t="n">
        <v>18</v>
      </c>
      <c r="M82" s="45" t="n">
        <v>1.56</v>
      </c>
      <c r="N82" s="48" t="n">
        <f aca="false">K82*L82*M82</f>
        <v>28.08</v>
      </c>
      <c r="O82" s="29" t="n">
        <f aca="false">IFERROR(INDEX(Исходные!$B$18:$B$29,MATCH(H82,Исходные!$A$18:$A$29,0)),0)</f>
        <v>0.617</v>
      </c>
      <c r="P82" s="49" t="n">
        <f aca="false">N82*O82</f>
        <v>17.32536</v>
      </c>
      <c r="Q82" s="15" t="s">
        <v>321</v>
      </c>
      <c r="R82" s="50" t="s">
        <v>284</v>
      </c>
      <c r="S82" s="15"/>
      <c r="T82" s="15" t="s">
        <v>62</v>
      </c>
      <c r="U82" s="38" t="n">
        <v>0</v>
      </c>
      <c r="V82" s="47" t="s">
        <v>101</v>
      </c>
    </row>
    <row r="83" customFormat="false" ht="23.85" hidden="false" customHeight="false" outlineLevel="0" collapsed="false">
      <c r="A83" s="47" t="n">
        <v>78</v>
      </c>
      <c r="B83" s="15" t="s">
        <v>278</v>
      </c>
      <c r="C83" s="15" t="s">
        <v>62</v>
      </c>
      <c r="D83" s="15" t="s">
        <v>389</v>
      </c>
      <c r="E83" s="15" t="s">
        <v>101</v>
      </c>
      <c r="F83" s="47" t="s">
        <v>373</v>
      </c>
      <c r="G83" s="15" t="s">
        <v>323</v>
      </c>
      <c r="H83" s="40" t="n">
        <v>8</v>
      </c>
      <c r="I83" s="47" t="s">
        <v>316</v>
      </c>
      <c r="J83" s="47" t="s">
        <v>317</v>
      </c>
      <c r="K83" s="40" t="n">
        <v>1</v>
      </c>
      <c r="L83" s="40" t="n">
        <v>18</v>
      </c>
      <c r="M83" s="45" t="n">
        <v>1.76</v>
      </c>
      <c r="N83" s="48" t="n">
        <f aca="false">K83*L83*M83</f>
        <v>31.68</v>
      </c>
      <c r="O83" s="29" t="n">
        <f aca="false">IFERROR(INDEX(Исходные!$B$18:$B$29,MATCH(H83,Исходные!$A$18:$A$29,0)),0)</f>
        <v>0.395</v>
      </c>
      <c r="P83" s="49" t="n">
        <f aca="false">N83*O83</f>
        <v>12.5136</v>
      </c>
      <c r="Q83" s="15" t="s">
        <v>324</v>
      </c>
      <c r="R83" s="50" t="s">
        <v>284</v>
      </c>
      <c r="S83" s="15"/>
      <c r="T83" s="15" t="s">
        <v>62</v>
      </c>
      <c r="U83" s="38" t="n">
        <v>0</v>
      </c>
      <c r="V83" s="47" t="s">
        <v>101</v>
      </c>
    </row>
    <row r="84" customFormat="false" ht="23.85" hidden="false" customHeight="false" outlineLevel="0" collapsed="false">
      <c r="A84" s="47" t="n">
        <v>79</v>
      </c>
      <c r="B84" s="15" t="s">
        <v>278</v>
      </c>
      <c r="C84" s="15" t="s">
        <v>62</v>
      </c>
      <c r="D84" s="15" t="s">
        <v>389</v>
      </c>
      <c r="E84" s="15" t="s">
        <v>101</v>
      </c>
      <c r="F84" s="47" t="s">
        <v>325</v>
      </c>
      <c r="G84" s="15" t="s">
        <v>326</v>
      </c>
      <c r="H84" s="40" t="n">
        <v>8</v>
      </c>
      <c r="I84" s="47" t="s">
        <v>316</v>
      </c>
      <c r="J84" s="47" t="s">
        <v>317</v>
      </c>
      <c r="K84" s="40" t="n">
        <v>1</v>
      </c>
      <c r="L84" s="40" t="n">
        <v>30</v>
      </c>
      <c r="M84" s="45" t="n">
        <v>2.44</v>
      </c>
      <c r="N84" s="48" t="n">
        <f aca="false">K84*L84*M84</f>
        <v>73.2</v>
      </c>
      <c r="O84" s="29" t="n">
        <f aca="false">IFERROR(INDEX(Исходные!$B$18:$B$29,MATCH(H84,Исходные!$A$18:$A$29,0)),0)</f>
        <v>0.395</v>
      </c>
      <c r="P84" s="49" t="n">
        <f aca="false">N84*O84</f>
        <v>28.914</v>
      </c>
      <c r="Q84" s="15" t="s">
        <v>327</v>
      </c>
      <c r="R84" s="50" t="s">
        <v>284</v>
      </c>
      <c r="S84" s="15"/>
      <c r="T84" s="15" t="s">
        <v>62</v>
      </c>
      <c r="U84" s="38" t="n">
        <v>0</v>
      </c>
      <c r="V84" s="47" t="s">
        <v>101</v>
      </c>
    </row>
    <row r="85" customFormat="false" ht="23.85" hidden="false" customHeight="false" outlineLevel="0" collapsed="false">
      <c r="A85" s="47" t="n">
        <v>80</v>
      </c>
      <c r="B85" s="15" t="s">
        <v>278</v>
      </c>
      <c r="C85" s="15" t="s">
        <v>62</v>
      </c>
      <c r="D85" s="15" t="s">
        <v>389</v>
      </c>
      <c r="E85" s="15" t="s">
        <v>101</v>
      </c>
      <c r="F85" s="47" t="s">
        <v>328</v>
      </c>
      <c r="G85" s="15" t="s">
        <v>329</v>
      </c>
      <c r="H85" s="40" t="n">
        <v>8</v>
      </c>
      <c r="I85" s="47" t="s">
        <v>316</v>
      </c>
      <c r="J85" s="47" t="s">
        <v>317</v>
      </c>
      <c r="K85" s="40" t="n">
        <v>1</v>
      </c>
      <c r="L85" s="40" t="n">
        <v>36</v>
      </c>
      <c r="M85" s="45" t="n">
        <v>1.96</v>
      </c>
      <c r="N85" s="48" t="n">
        <f aca="false">K85*L85*M85</f>
        <v>70.56</v>
      </c>
      <c r="O85" s="29" t="n">
        <f aca="false">IFERROR(INDEX(Исходные!$B$18:$B$29,MATCH(H85,Исходные!$A$18:$A$29,0)),0)</f>
        <v>0.395</v>
      </c>
      <c r="P85" s="49" t="n">
        <f aca="false">N85*O85</f>
        <v>27.8712</v>
      </c>
      <c r="Q85" s="15" t="s">
        <v>330</v>
      </c>
      <c r="R85" s="50" t="s">
        <v>284</v>
      </c>
      <c r="S85" s="15"/>
      <c r="T85" s="15" t="s">
        <v>62</v>
      </c>
      <c r="U85" s="38" t="n">
        <v>0</v>
      </c>
      <c r="V85" s="47" t="s">
        <v>101</v>
      </c>
    </row>
    <row r="86" customFormat="false" ht="23.85" hidden="false" customHeight="false" outlineLevel="0" collapsed="false">
      <c r="A86" s="47" t="n">
        <v>81</v>
      </c>
      <c r="B86" s="15" t="s">
        <v>278</v>
      </c>
      <c r="C86" s="15" t="s">
        <v>62</v>
      </c>
      <c r="D86" s="15" t="s">
        <v>389</v>
      </c>
      <c r="E86" s="15" t="s">
        <v>101</v>
      </c>
      <c r="F86" s="47" t="s">
        <v>331</v>
      </c>
      <c r="G86" s="15" t="s">
        <v>401</v>
      </c>
      <c r="H86" s="40" t="n">
        <v>8</v>
      </c>
      <c r="I86" s="47" t="s">
        <v>316</v>
      </c>
      <c r="J86" s="47" t="s">
        <v>317</v>
      </c>
      <c r="K86" s="40" t="n">
        <v>1</v>
      </c>
      <c r="L86" s="40" t="n">
        <v>54</v>
      </c>
      <c r="M86" s="45" t="n">
        <v>0.53</v>
      </c>
      <c r="N86" s="48" t="n">
        <f aca="false">K86*L86*M86</f>
        <v>28.62</v>
      </c>
      <c r="O86" s="29" t="n">
        <f aca="false">IFERROR(INDEX(Исходные!$B$18:$B$29,MATCH(H86,Исходные!$A$18:$A$29,0)),0)</f>
        <v>0.395</v>
      </c>
      <c r="P86" s="49" t="n">
        <f aca="false">N86*O86</f>
        <v>11.3049</v>
      </c>
      <c r="Q86" s="15" t="s">
        <v>333</v>
      </c>
      <c r="R86" s="50" t="s">
        <v>284</v>
      </c>
      <c r="S86" s="15"/>
      <c r="T86" s="15" t="s">
        <v>62</v>
      </c>
      <c r="U86" s="38" t="n">
        <v>0</v>
      </c>
      <c r="V86" s="47" t="s">
        <v>101</v>
      </c>
    </row>
    <row r="87" customFormat="false" ht="15" hidden="false" customHeight="true" outlineLevel="0" collapsed="false">
      <c r="A87" s="2" t="s">
        <v>402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customFormat="false" ht="35.05" hidden="false" customHeight="false" outlineLevel="0" collapsed="false">
      <c r="A88" s="47" t="n">
        <v>82</v>
      </c>
      <c r="B88" s="15" t="s">
        <v>278</v>
      </c>
      <c r="C88" s="15" t="s">
        <v>63</v>
      </c>
      <c r="D88" s="15" t="s">
        <v>403</v>
      </c>
      <c r="E88" s="15" t="s">
        <v>404</v>
      </c>
      <c r="F88" s="47" t="s">
        <v>280</v>
      </c>
      <c r="G88" s="15" t="s">
        <v>405</v>
      </c>
      <c r="H88" s="40" t="n">
        <v>32</v>
      </c>
      <c r="I88" s="47" t="s">
        <v>282</v>
      </c>
      <c r="J88" s="47" t="s">
        <v>113</v>
      </c>
      <c r="K88" s="40" t="n">
        <v>3</v>
      </c>
      <c r="L88" s="40" t="n">
        <v>4</v>
      </c>
      <c r="M88" s="45" t="n">
        <v>4</v>
      </c>
      <c r="N88" s="48" t="n">
        <f aca="false">K88*L88*M88</f>
        <v>48</v>
      </c>
      <c r="O88" s="29" t="n">
        <f aca="false">IFERROR(INDEX(Исходные!$B$18:$B$29,MATCH(H88,Исходные!$A$18:$A$29,0)),0)</f>
        <v>6.313</v>
      </c>
      <c r="P88" s="49" t="n">
        <f aca="false">N88*O88</f>
        <v>303.024</v>
      </c>
      <c r="Q88" s="15" t="s">
        <v>406</v>
      </c>
      <c r="R88" s="51" t="s">
        <v>407</v>
      </c>
      <c r="S88" s="15" t="s">
        <v>408</v>
      </c>
      <c r="T88" s="15" t="s">
        <v>63</v>
      </c>
      <c r="U88" s="38" t="n">
        <v>1</v>
      </c>
      <c r="V88" s="47" t="s">
        <v>404</v>
      </c>
    </row>
    <row r="89" customFormat="false" ht="23.85" hidden="false" customHeight="false" outlineLevel="0" collapsed="false">
      <c r="A89" s="47" t="n">
        <v>83</v>
      </c>
      <c r="B89" s="15" t="s">
        <v>278</v>
      </c>
      <c r="C89" s="15" t="s">
        <v>63</v>
      </c>
      <c r="D89" s="15" t="s">
        <v>403</v>
      </c>
      <c r="E89" s="15" t="s">
        <v>404</v>
      </c>
      <c r="F89" s="47" t="s">
        <v>286</v>
      </c>
      <c r="G89" s="15" t="s">
        <v>409</v>
      </c>
      <c r="H89" s="40" t="n">
        <v>20</v>
      </c>
      <c r="I89" s="47" t="s">
        <v>282</v>
      </c>
      <c r="J89" s="47" t="s">
        <v>113</v>
      </c>
      <c r="K89" s="40" t="n">
        <v>3</v>
      </c>
      <c r="L89" s="40" t="n">
        <v>8</v>
      </c>
      <c r="M89" s="45" t="n">
        <v>4</v>
      </c>
      <c r="N89" s="48" t="n">
        <f aca="false">K89*L89*M89</f>
        <v>96</v>
      </c>
      <c r="O89" s="29" t="n">
        <f aca="false">IFERROR(INDEX(Исходные!$B$18:$B$29,MATCH(H89,Исходные!$A$18:$A$29,0)),0)</f>
        <v>2.466</v>
      </c>
      <c r="P89" s="49" t="n">
        <f aca="false">N89*O89</f>
        <v>236.736</v>
      </c>
      <c r="Q89" s="15" t="s">
        <v>410</v>
      </c>
      <c r="R89" s="51" t="s">
        <v>407</v>
      </c>
      <c r="S89" s="15" t="s">
        <v>411</v>
      </c>
      <c r="T89" s="15" t="s">
        <v>63</v>
      </c>
      <c r="U89" s="38" t="n">
        <v>1</v>
      </c>
      <c r="V89" s="47" t="s">
        <v>404</v>
      </c>
    </row>
    <row r="90" customFormat="false" ht="35.05" hidden="false" customHeight="false" outlineLevel="0" collapsed="false">
      <c r="A90" s="47" t="n">
        <v>84</v>
      </c>
      <c r="B90" s="15" t="s">
        <v>278</v>
      </c>
      <c r="C90" s="15" t="s">
        <v>63</v>
      </c>
      <c r="D90" s="15" t="s">
        <v>403</v>
      </c>
      <c r="E90" s="15" t="s">
        <v>404</v>
      </c>
      <c r="F90" s="47" t="s">
        <v>325</v>
      </c>
      <c r="G90" s="15" t="s">
        <v>412</v>
      </c>
      <c r="H90" s="40" t="n">
        <v>8</v>
      </c>
      <c r="I90" s="47" t="s">
        <v>316</v>
      </c>
      <c r="J90" s="47" t="s">
        <v>413</v>
      </c>
      <c r="K90" s="40" t="n">
        <v>3</v>
      </c>
      <c r="L90" s="40" t="n">
        <v>30</v>
      </c>
      <c r="M90" s="45" t="n">
        <v>2.44</v>
      </c>
      <c r="N90" s="48" t="n">
        <f aca="false">K90*L90*M90</f>
        <v>219.6</v>
      </c>
      <c r="O90" s="29" t="n">
        <f aca="false">IFERROR(INDEX(Исходные!$B$18:$B$29,MATCH(H90,Исходные!$A$18:$A$29,0)),0)</f>
        <v>0.395</v>
      </c>
      <c r="P90" s="49" t="n">
        <f aca="false">N90*O90</f>
        <v>86.742</v>
      </c>
      <c r="Q90" s="15" t="s">
        <v>414</v>
      </c>
      <c r="R90" s="50" t="s">
        <v>284</v>
      </c>
      <c r="S90" s="15"/>
      <c r="T90" s="15" t="s">
        <v>63</v>
      </c>
      <c r="U90" s="38" t="n">
        <v>0</v>
      </c>
      <c r="V90" s="47" t="s">
        <v>404</v>
      </c>
    </row>
    <row r="91" customFormat="false" ht="23.85" hidden="false" customHeight="false" outlineLevel="0" collapsed="false">
      <c r="A91" s="47" t="n">
        <v>85</v>
      </c>
      <c r="B91" s="15" t="s">
        <v>278</v>
      </c>
      <c r="C91" s="15" t="s">
        <v>63</v>
      </c>
      <c r="D91" s="15" t="s">
        <v>403</v>
      </c>
      <c r="E91" s="15" t="s">
        <v>404</v>
      </c>
      <c r="F91" s="47" t="s">
        <v>328</v>
      </c>
      <c r="G91" s="15" t="s">
        <v>415</v>
      </c>
      <c r="H91" s="40" t="n">
        <v>8</v>
      </c>
      <c r="I91" s="47" t="s">
        <v>316</v>
      </c>
      <c r="J91" s="47" t="n">
        <v>200</v>
      </c>
      <c r="K91" s="40" t="n">
        <v>3</v>
      </c>
      <c r="L91" s="40" t="n">
        <v>36</v>
      </c>
      <c r="M91" s="45" t="n">
        <v>1.96</v>
      </c>
      <c r="N91" s="48" t="n">
        <f aca="false">K91*L91*M91</f>
        <v>211.68</v>
      </c>
      <c r="O91" s="29" t="n">
        <f aca="false">IFERROR(INDEX(Исходные!$B$18:$B$29,MATCH(H91,Исходные!$A$18:$A$29,0)),0)</f>
        <v>0.395</v>
      </c>
      <c r="P91" s="49" t="n">
        <f aca="false">N91*O91</f>
        <v>83.6136</v>
      </c>
      <c r="Q91" s="15" t="s">
        <v>416</v>
      </c>
      <c r="R91" s="50" t="s">
        <v>284</v>
      </c>
      <c r="S91" s="15"/>
      <c r="T91" s="15" t="s">
        <v>63</v>
      </c>
      <c r="U91" s="38" t="n">
        <v>0</v>
      </c>
      <c r="V91" s="47" t="s">
        <v>404</v>
      </c>
    </row>
    <row r="92" customFormat="false" ht="35.05" hidden="false" customHeight="false" outlineLevel="0" collapsed="false">
      <c r="A92" s="47" t="n">
        <v>86</v>
      </c>
      <c r="B92" s="15" t="s">
        <v>278</v>
      </c>
      <c r="C92" s="15" t="s">
        <v>63</v>
      </c>
      <c r="D92" s="15" t="s">
        <v>417</v>
      </c>
      <c r="E92" s="15" t="s">
        <v>418</v>
      </c>
      <c r="F92" s="47" t="s">
        <v>280</v>
      </c>
      <c r="G92" s="15" t="s">
        <v>405</v>
      </c>
      <c r="H92" s="40" t="n">
        <v>32</v>
      </c>
      <c r="I92" s="47" t="s">
        <v>282</v>
      </c>
      <c r="J92" s="47" t="s">
        <v>113</v>
      </c>
      <c r="K92" s="40" t="n">
        <v>5</v>
      </c>
      <c r="L92" s="40" t="n">
        <v>4</v>
      </c>
      <c r="M92" s="45" t="n">
        <v>4</v>
      </c>
      <c r="N92" s="48" t="n">
        <f aca="false">K92*L92*M92</f>
        <v>80</v>
      </c>
      <c r="O92" s="29" t="n">
        <f aca="false">IFERROR(INDEX(Исходные!$B$18:$B$29,MATCH(H92,Исходные!$A$18:$A$29,0)),0)</f>
        <v>6.313</v>
      </c>
      <c r="P92" s="49" t="n">
        <f aca="false">N92*O92</f>
        <v>505.04</v>
      </c>
      <c r="Q92" s="15" t="s">
        <v>406</v>
      </c>
      <c r="R92" s="51" t="s">
        <v>407</v>
      </c>
      <c r="S92" s="15" t="s">
        <v>408</v>
      </c>
      <c r="T92" s="15" t="s">
        <v>63</v>
      </c>
      <c r="U92" s="38" t="n">
        <v>1</v>
      </c>
      <c r="V92" s="47" t="s">
        <v>418</v>
      </c>
    </row>
    <row r="93" customFormat="false" ht="23.85" hidden="false" customHeight="false" outlineLevel="0" collapsed="false">
      <c r="A93" s="47" t="n">
        <v>87</v>
      </c>
      <c r="B93" s="15" t="s">
        <v>278</v>
      </c>
      <c r="C93" s="15" t="s">
        <v>63</v>
      </c>
      <c r="D93" s="15" t="s">
        <v>417</v>
      </c>
      <c r="E93" s="15" t="s">
        <v>418</v>
      </c>
      <c r="F93" s="47" t="s">
        <v>286</v>
      </c>
      <c r="G93" s="15" t="s">
        <v>409</v>
      </c>
      <c r="H93" s="40" t="n">
        <v>20</v>
      </c>
      <c r="I93" s="47" t="s">
        <v>282</v>
      </c>
      <c r="J93" s="47" t="s">
        <v>113</v>
      </c>
      <c r="K93" s="40" t="n">
        <v>5</v>
      </c>
      <c r="L93" s="40" t="n">
        <v>8</v>
      </c>
      <c r="M93" s="45" t="n">
        <v>4</v>
      </c>
      <c r="N93" s="48" t="n">
        <f aca="false">K93*L93*M93</f>
        <v>160</v>
      </c>
      <c r="O93" s="29" t="n">
        <f aca="false">IFERROR(INDEX(Исходные!$B$18:$B$29,MATCH(H93,Исходные!$A$18:$A$29,0)),0)</f>
        <v>2.466</v>
      </c>
      <c r="P93" s="49" t="n">
        <f aca="false">N93*O93</f>
        <v>394.56</v>
      </c>
      <c r="Q93" s="15" t="s">
        <v>410</v>
      </c>
      <c r="R93" s="51" t="s">
        <v>407</v>
      </c>
      <c r="S93" s="15" t="s">
        <v>411</v>
      </c>
      <c r="T93" s="15" t="s">
        <v>63</v>
      </c>
      <c r="U93" s="38" t="n">
        <v>1</v>
      </c>
      <c r="V93" s="47" t="s">
        <v>418</v>
      </c>
    </row>
    <row r="94" customFormat="false" ht="35.05" hidden="false" customHeight="false" outlineLevel="0" collapsed="false">
      <c r="A94" s="47" t="n">
        <v>88</v>
      </c>
      <c r="B94" s="15" t="s">
        <v>278</v>
      </c>
      <c r="C94" s="15" t="s">
        <v>63</v>
      </c>
      <c r="D94" s="15" t="s">
        <v>417</v>
      </c>
      <c r="E94" s="15" t="s">
        <v>418</v>
      </c>
      <c r="F94" s="47" t="s">
        <v>325</v>
      </c>
      <c r="G94" s="15" t="s">
        <v>412</v>
      </c>
      <c r="H94" s="40" t="n">
        <v>8</v>
      </c>
      <c r="I94" s="47" t="s">
        <v>316</v>
      </c>
      <c r="J94" s="47" t="s">
        <v>413</v>
      </c>
      <c r="K94" s="40" t="n">
        <v>5</v>
      </c>
      <c r="L94" s="40" t="n">
        <v>30</v>
      </c>
      <c r="M94" s="45" t="n">
        <v>2.44</v>
      </c>
      <c r="N94" s="48" t="n">
        <f aca="false">K94*L94*M94</f>
        <v>366</v>
      </c>
      <c r="O94" s="29" t="n">
        <f aca="false">IFERROR(INDEX(Исходные!$B$18:$B$29,MATCH(H94,Исходные!$A$18:$A$29,0)),0)</f>
        <v>0.395</v>
      </c>
      <c r="P94" s="49" t="n">
        <f aca="false">N94*O94</f>
        <v>144.57</v>
      </c>
      <c r="Q94" s="15" t="s">
        <v>414</v>
      </c>
      <c r="R94" s="50" t="s">
        <v>284</v>
      </c>
      <c r="S94" s="15"/>
      <c r="T94" s="15" t="s">
        <v>63</v>
      </c>
      <c r="U94" s="38" t="n">
        <v>0</v>
      </c>
      <c r="V94" s="47" t="s">
        <v>418</v>
      </c>
    </row>
    <row r="95" customFormat="false" ht="23.85" hidden="false" customHeight="false" outlineLevel="0" collapsed="false">
      <c r="A95" s="47" t="n">
        <v>89</v>
      </c>
      <c r="B95" s="15" t="s">
        <v>278</v>
      </c>
      <c r="C95" s="15" t="s">
        <v>63</v>
      </c>
      <c r="D95" s="15" t="s">
        <v>417</v>
      </c>
      <c r="E95" s="15" t="s">
        <v>418</v>
      </c>
      <c r="F95" s="47" t="s">
        <v>328</v>
      </c>
      <c r="G95" s="15" t="s">
        <v>415</v>
      </c>
      <c r="H95" s="40" t="n">
        <v>8</v>
      </c>
      <c r="I95" s="47" t="s">
        <v>316</v>
      </c>
      <c r="J95" s="47" t="n">
        <v>200</v>
      </c>
      <c r="K95" s="40" t="n">
        <v>5</v>
      </c>
      <c r="L95" s="40" t="n">
        <v>36</v>
      </c>
      <c r="M95" s="45" t="n">
        <v>1.96</v>
      </c>
      <c r="N95" s="48" t="n">
        <f aca="false">K95*L95*M95</f>
        <v>352.8</v>
      </c>
      <c r="O95" s="29" t="n">
        <f aca="false">IFERROR(INDEX(Исходные!$B$18:$B$29,MATCH(H95,Исходные!$A$18:$A$29,0)),0)</f>
        <v>0.395</v>
      </c>
      <c r="P95" s="49" t="n">
        <f aca="false">N95*O95</f>
        <v>139.356</v>
      </c>
      <c r="Q95" s="15" t="s">
        <v>416</v>
      </c>
      <c r="R95" s="50" t="s">
        <v>284</v>
      </c>
      <c r="S95" s="15"/>
      <c r="T95" s="15" t="s">
        <v>63</v>
      </c>
      <c r="U95" s="38" t="n">
        <v>0</v>
      </c>
      <c r="V95" s="47" t="s">
        <v>418</v>
      </c>
    </row>
    <row r="96" customFormat="false" ht="35.05" hidden="false" customHeight="false" outlineLevel="0" collapsed="false">
      <c r="A96" s="47" t="n">
        <v>90</v>
      </c>
      <c r="B96" s="15" t="s">
        <v>278</v>
      </c>
      <c r="C96" s="15" t="s">
        <v>63</v>
      </c>
      <c r="D96" s="15" t="s">
        <v>419</v>
      </c>
      <c r="E96" s="15" t="s">
        <v>420</v>
      </c>
      <c r="F96" s="47" t="s">
        <v>280</v>
      </c>
      <c r="G96" s="15" t="s">
        <v>405</v>
      </c>
      <c r="H96" s="40" t="n">
        <v>32</v>
      </c>
      <c r="I96" s="47" t="s">
        <v>282</v>
      </c>
      <c r="J96" s="47" t="s">
        <v>113</v>
      </c>
      <c r="K96" s="40" t="n">
        <v>5</v>
      </c>
      <c r="L96" s="40" t="n">
        <v>4</v>
      </c>
      <c r="M96" s="45" t="n">
        <v>4</v>
      </c>
      <c r="N96" s="48" t="n">
        <f aca="false">K96*L96*M96</f>
        <v>80</v>
      </c>
      <c r="O96" s="29" t="n">
        <f aca="false">IFERROR(INDEX(Исходные!$B$18:$B$29,MATCH(H96,Исходные!$A$18:$A$29,0)),0)</f>
        <v>6.313</v>
      </c>
      <c r="P96" s="49" t="n">
        <f aca="false">N96*O96</f>
        <v>505.04</v>
      </c>
      <c r="Q96" s="15" t="s">
        <v>406</v>
      </c>
      <c r="R96" s="51" t="s">
        <v>407</v>
      </c>
      <c r="S96" s="15" t="s">
        <v>408</v>
      </c>
      <c r="T96" s="15" t="s">
        <v>63</v>
      </c>
      <c r="U96" s="38" t="n">
        <v>1</v>
      </c>
      <c r="V96" s="47" t="s">
        <v>420</v>
      </c>
    </row>
    <row r="97" customFormat="false" ht="23.85" hidden="false" customHeight="false" outlineLevel="0" collapsed="false">
      <c r="A97" s="47" t="n">
        <v>91</v>
      </c>
      <c r="B97" s="15" t="s">
        <v>278</v>
      </c>
      <c r="C97" s="15" t="s">
        <v>63</v>
      </c>
      <c r="D97" s="15" t="s">
        <v>419</v>
      </c>
      <c r="E97" s="15" t="s">
        <v>420</v>
      </c>
      <c r="F97" s="47" t="s">
        <v>286</v>
      </c>
      <c r="G97" s="15" t="s">
        <v>409</v>
      </c>
      <c r="H97" s="40" t="n">
        <v>20</v>
      </c>
      <c r="I97" s="47" t="s">
        <v>282</v>
      </c>
      <c r="J97" s="47" t="s">
        <v>113</v>
      </c>
      <c r="K97" s="40" t="n">
        <v>5</v>
      </c>
      <c r="L97" s="40" t="n">
        <v>8</v>
      </c>
      <c r="M97" s="45" t="n">
        <v>4</v>
      </c>
      <c r="N97" s="48" t="n">
        <f aca="false">K97*L97*M97</f>
        <v>160</v>
      </c>
      <c r="O97" s="29" t="n">
        <f aca="false">IFERROR(INDEX(Исходные!$B$18:$B$29,MATCH(H97,Исходные!$A$18:$A$29,0)),0)</f>
        <v>2.466</v>
      </c>
      <c r="P97" s="49" t="n">
        <f aca="false">N97*O97</f>
        <v>394.56</v>
      </c>
      <c r="Q97" s="15" t="s">
        <v>410</v>
      </c>
      <c r="R97" s="51" t="s">
        <v>407</v>
      </c>
      <c r="S97" s="15" t="s">
        <v>411</v>
      </c>
      <c r="T97" s="15" t="s">
        <v>63</v>
      </c>
      <c r="U97" s="38" t="n">
        <v>1</v>
      </c>
      <c r="V97" s="47" t="s">
        <v>420</v>
      </c>
    </row>
    <row r="98" customFormat="false" ht="35.05" hidden="false" customHeight="false" outlineLevel="0" collapsed="false">
      <c r="A98" s="47" t="n">
        <v>92</v>
      </c>
      <c r="B98" s="15" t="s">
        <v>278</v>
      </c>
      <c r="C98" s="15" t="s">
        <v>63</v>
      </c>
      <c r="D98" s="15" t="s">
        <v>419</v>
      </c>
      <c r="E98" s="15" t="s">
        <v>420</v>
      </c>
      <c r="F98" s="47" t="s">
        <v>325</v>
      </c>
      <c r="G98" s="15" t="s">
        <v>412</v>
      </c>
      <c r="H98" s="40" t="n">
        <v>8</v>
      </c>
      <c r="I98" s="47" t="s">
        <v>316</v>
      </c>
      <c r="J98" s="47" t="s">
        <v>413</v>
      </c>
      <c r="K98" s="40" t="n">
        <v>5</v>
      </c>
      <c r="L98" s="40" t="n">
        <v>30</v>
      </c>
      <c r="M98" s="45" t="n">
        <v>2.44</v>
      </c>
      <c r="N98" s="48" t="n">
        <f aca="false">K98*L98*M98</f>
        <v>366</v>
      </c>
      <c r="O98" s="29" t="n">
        <f aca="false">IFERROR(INDEX(Исходные!$B$18:$B$29,MATCH(H98,Исходные!$A$18:$A$29,0)),0)</f>
        <v>0.395</v>
      </c>
      <c r="P98" s="49" t="n">
        <f aca="false">N98*O98</f>
        <v>144.57</v>
      </c>
      <c r="Q98" s="15" t="s">
        <v>414</v>
      </c>
      <c r="R98" s="50" t="s">
        <v>284</v>
      </c>
      <c r="S98" s="15"/>
      <c r="T98" s="15" t="s">
        <v>63</v>
      </c>
      <c r="U98" s="38" t="n">
        <v>0</v>
      </c>
      <c r="V98" s="47" t="s">
        <v>420</v>
      </c>
    </row>
    <row r="99" customFormat="false" ht="23.85" hidden="false" customHeight="false" outlineLevel="0" collapsed="false">
      <c r="A99" s="47" t="n">
        <v>93</v>
      </c>
      <c r="B99" s="15" t="s">
        <v>278</v>
      </c>
      <c r="C99" s="15" t="s">
        <v>63</v>
      </c>
      <c r="D99" s="15" t="s">
        <v>419</v>
      </c>
      <c r="E99" s="15" t="s">
        <v>420</v>
      </c>
      <c r="F99" s="47" t="s">
        <v>328</v>
      </c>
      <c r="G99" s="15" t="s">
        <v>415</v>
      </c>
      <c r="H99" s="40" t="n">
        <v>8</v>
      </c>
      <c r="I99" s="47" t="s">
        <v>316</v>
      </c>
      <c r="J99" s="47" t="n">
        <v>200</v>
      </c>
      <c r="K99" s="40" t="n">
        <v>5</v>
      </c>
      <c r="L99" s="40" t="n">
        <v>36</v>
      </c>
      <c r="M99" s="45" t="n">
        <v>1.96</v>
      </c>
      <c r="N99" s="48" t="n">
        <f aca="false">K99*L99*M99</f>
        <v>352.8</v>
      </c>
      <c r="O99" s="29" t="n">
        <f aca="false">IFERROR(INDEX(Исходные!$B$18:$B$29,MATCH(H99,Исходные!$A$18:$A$29,0)),0)</f>
        <v>0.395</v>
      </c>
      <c r="P99" s="49" t="n">
        <f aca="false">N99*O99</f>
        <v>139.356</v>
      </c>
      <c r="Q99" s="15" t="s">
        <v>416</v>
      </c>
      <c r="R99" s="50" t="s">
        <v>284</v>
      </c>
      <c r="S99" s="15"/>
      <c r="T99" s="15" t="s">
        <v>63</v>
      </c>
      <c r="U99" s="38" t="n">
        <v>0</v>
      </c>
      <c r="V99" s="47" t="s">
        <v>420</v>
      </c>
    </row>
    <row r="100" customFormat="false" ht="35.05" hidden="false" customHeight="false" outlineLevel="0" collapsed="false">
      <c r="A100" s="47" t="n">
        <v>94</v>
      </c>
      <c r="B100" s="15" t="s">
        <v>278</v>
      </c>
      <c r="C100" s="15" t="s">
        <v>63</v>
      </c>
      <c r="D100" s="15" t="s">
        <v>421</v>
      </c>
      <c r="E100" s="15" t="s">
        <v>422</v>
      </c>
      <c r="F100" s="47" t="s">
        <v>280</v>
      </c>
      <c r="G100" s="15" t="s">
        <v>405</v>
      </c>
      <c r="H100" s="40" t="n">
        <v>32</v>
      </c>
      <c r="I100" s="47" t="s">
        <v>282</v>
      </c>
      <c r="J100" s="47" t="s">
        <v>113</v>
      </c>
      <c r="K100" s="40" t="n">
        <v>2</v>
      </c>
      <c r="L100" s="40" t="n">
        <v>4</v>
      </c>
      <c r="M100" s="45" t="n">
        <v>4</v>
      </c>
      <c r="N100" s="48" t="n">
        <f aca="false">K100*L100*M100</f>
        <v>32</v>
      </c>
      <c r="O100" s="29" t="n">
        <f aca="false">IFERROR(INDEX(Исходные!$B$18:$B$29,MATCH(H100,Исходные!$A$18:$A$29,0)),0)</f>
        <v>6.313</v>
      </c>
      <c r="P100" s="49" t="n">
        <f aca="false">N100*O100</f>
        <v>202.016</v>
      </c>
      <c r="Q100" s="15" t="s">
        <v>406</v>
      </c>
      <c r="R100" s="51" t="s">
        <v>407</v>
      </c>
      <c r="S100" s="15" t="s">
        <v>408</v>
      </c>
      <c r="T100" s="15" t="s">
        <v>63</v>
      </c>
      <c r="U100" s="38" t="n">
        <v>1</v>
      </c>
      <c r="V100" s="47" t="s">
        <v>422</v>
      </c>
    </row>
    <row r="101" customFormat="false" ht="23.85" hidden="false" customHeight="false" outlineLevel="0" collapsed="false">
      <c r="A101" s="47" t="n">
        <v>95</v>
      </c>
      <c r="B101" s="15" t="s">
        <v>278</v>
      </c>
      <c r="C101" s="15" t="s">
        <v>63</v>
      </c>
      <c r="D101" s="15" t="s">
        <v>421</v>
      </c>
      <c r="E101" s="15" t="s">
        <v>422</v>
      </c>
      <c r="F101" s="47" t="s">
        <v>286</v>
      </c>
      <c r="G101" s="15" t="s">
        <v>409</v>
      </c>
      <c r="H101" s="40" t="n">
        <v>20</v>
      </c>
      <c r="I101" s="47" t="s">
        <v>282</v>
      </c>
      <c r="J101" s="47" t="s">
        <v>113</v>
      </c>
      <c r="K101" s="40" t="n">
        <v>2</v>
      </c>
      <c r="L101" s="40" t="n">
        <v>8</v>
      </c>
      <c r="M101" s="45" t="n">
        <v>4</v>
      </c>
      <c r="N101" s="48" t="n">
        <f aca="false">K101*L101*M101</f>
        <v>64</v>
      </c>
      <c r="O101" s="29" t="n">
        <f aca="false">IFERROR(INDEX(Исходные!$B$18:$B$29,MATCH(H101,Исходные!$A$18:$A$29,0)),0)</f>
        <v>2.466</v>
      </c>
      <c r="P101" s="49" t="n">
        <f aca="false">N101*O101</f>
        <v>157.824</v>
      </c>
      <c r="Q101" s="15" t="s">
        <v>410</v>
      </c>
      <c r="R101" s="51" t="s">
        <v>407</v>
      </c>
      <c r="S101" s="15" t="s">
        <v>411</v>
      </c>
      <c r="T101" s="15" t="s">
        <v>63</v>
      </c>
      <c r="U101" s="38" t="n">
        <v>1</v>
      </c>
      <c r="V101" s="47" t="s">
        <v>422</v>
      </c>
    </row>
    <row r="102" customFormat="false" ht="35.05" hidden="false" customHeight="false" outlineLevel="0" collapsed="false">
      <c r="A102" s="47" t="n">
        <v>96</v>
      </c>
      <c r="B102" s="15" t="s">
        <v>278</v>
      </c>
      <c r="C102" s="15" t="s">
        <v>63</v>
      </c>
      <c r="D102" s="15" t="s">
        <v>421</v>
      </c>
      <c r="E102" s="15" t="s">
        <v>422</v>
      </c>
      <c r="F102" s="47" t="s">
        <v>325</v>
      </c>
      <c r="G102" s="15" t="s">
        <v>412</v>
      </c>
      <c r="H102" s="40" t="n">
        <v>8</v>
      </c>
      <c r="I102" s="47" t="s">
        <v>316</v>
      </c>
      <c r="J102" s="47" t="s">
        <v>413</v>
      </c>
      <c r="K102" s="40" t="n">
        <v>2</v>
      </c>
      <c r="L102" s="40" t="n">
        <v>30</v>
      </c>
      <c r="M102" s="45" t="n">
        <v>2.44</v>
      </c>
      <c r="N102" s="48" t="n">
        <f aca="false">K102*L102*M102</f>
        <v>146.4</v>
      </c>
      <c r="O102" s="29" t="n">
        <f aca="false">IFERROR(INDEX(Исходные!$B$18:$B$29,MATCH(H102,Исходные!$A$18:$A$29,0)),0)</f>
        <v>0.395</v>
      </c>
      <c r="P102" s="49" t="n">
        <f aca="false">N102*O102</f>
        <v>57.828</v>
      </c>
      <c r="Q102" s="15" t="s">
        <v>414</v>
      </c>
      <c r="R102" s="50" t="s">
        <v>284</v>
      </c>
      <c r="S102" s="15"/>
      <c r="T102" s="15" t="s">
        <v>63</v>
      </c>
      <c r="U102" s="38" t="n">
        <v>0</v>
      </c>
      <c r="V102" s="47" t="s">
        <v>422</v>
      </c>
    </row>
    <row r="103" customFormat="false" ht="23.85" hidden="false" customHeight="false" outlineLevel="0" collapsed="false">
      <c r="A103" s="47" t="n">
        <v>97</v>
      </c>
      <c r="B103" s="15" t="s">
        <v>278</v>
      </c>
      <c r="C103" s="15" t="s">
        <v>63</v>
      </c>
      <c r="D103" s="15" t="s">
        <v>421</v>
      </c>
      <c r="E103" s="15" t="s">
        <v>422</v>
      </c>
      <c r="F103" s="47" t="s">
        <v>328</v>
      </c>
      <c r="G103" s="15" t="s">
        <v>415</v>
      </c>
      <c r="H103" s="40" t="n">
        <v>8</v>
      </c>
      <c r="I103" s="47" t="s">
        <v>316</v>
      </c>
      <c r="J103" s="47" t="n">
        <v>200</v>
      </c>
      <c r="K103" s="40" t="n">
        <v>2</v>
      </c>
      <c r="L103" s="40" t="n">
        <v>36</v>
      </c>
      <c r="M103" s="45" t="n">
        <v>1.96</v>
      </c>
      <c r="N103" s="48" t="n">
        <f aca="false">K103*L103*M103</f>
        <v>141.12</v>
      </c>
      <c r="O103" s="29" t="n">
        <f aca="false">IFERROR(INDEX(Исходные!$B$18:$B$29,MATCH(H103,Исходные!$A$18:$A$29,0)),0)</f>
        <v>0.395</v>
      </c>
      <c r="P103" s="49" t="n">
        <f aca="false">N103*O103</f>
        <v>55.7424</v>
      </c>
      <c r="Q103" s="15" t="s">
        <v>416</v>
      </c>
      <c r="R103" s="50" t="s">
        <v>284</v>
      </c>
      <c r="S103" s="15"/>
      <c r="T103" s="15" t="s">
        <v>63</v>
      </c>
      <c r="U103" s="38" t="n">
        <v>0</v>
      </c>
      <c r="V103" s="47" t="s">
        <v>422</v>
      </c>
    </row>
    <row r="104" customFormat="false" ht="15" hidden="false" customHeight="true" outlineLevel="0" collapsed="false">
      <c r="A104" s="2" t="s">
        <v>423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customFormat="false" ht="35.05" hidden="false" customHeight="false" outlineLevel="0" collapsed="false">
      <c r="A105" s="47" t="n">
        <v>98</v>
      </c>
      <c r="B105" s="15" t="s">
        <v>278</v>
      </c>
      <c r="C105" s="15" t="s">
        <v>424</v>
      </c>
      <c r="D105" s="15" t="s">
        <v>425</v>
      </c>
      <c r="E105" s="15" t="s">
        <v>426</v>
      </c>
      <c r="F105" s="47" t="s">
        <v>289</v>
      </c>
      <c r="G105" s="15" t="s">
        <v>427</v>
      </c>
      <c r="H105" s="40" t="n">
        <v>28</v>
      </c>
      <c r="I105" s="47" t="s">
        <v>282</v>
      </c>
      <c r="J105" s="47" t="s">
        <v>113</v>
      </c>
      <c r="K105" s="40" t="n">
        <v>1</v>
      </c>
      <c r="L105" s="40" t="n">
        <v>4</v>
      </c>
      <c r="M105" s="45" t="n">
        <v>25.5</v>
      </c>
      <c r="N105" s="48" t="n">
        <f aca="false">K105*L105*M105</f>
        <v>102</v>
      </c>
      <c r="O105" s="29" t="n">
        <f aca="false">IFERROR(INDEX(Исходные!$B$18:$B$29,MATCH(H105,Исходные!$A$18:$A$29,0)),0)</f>
        <v>4.834</v>
      </c>
      <c r="P105" s="49" t="n">
        <f aca="false">N105*O105</f>
        <v>493.068</v>
      </c>
      <c r="Q105" s="15" t="s">
        <v>428</v>
      </c>
      <c r="R105" s="50" t="s">
        <v>429</v>
      </c>
      <c r="S105" s="15" t="s">
        <v>430</v>
      </c>
      <c r="T105" s="15" t="s">
        <v>424</v>
      </c>
      <c r="U105" s="38" t="n">
        <v>0</v>
      </c>
      <c r="V105" s="47" t="s">
        <v>426</v>
      </c>
    </row>
    <row r="106" customFormat="false" ht="23.85" hidden="false" customHeight="false" outlineLevel="0" collapsed="false">
      <c r="A106" s="47" t="n">
        <v>99</v>
      </c>
      <c r="B106" s="15" t="s">
        <v>278</v>
      </c>
      <c r="C106" s="15" t="s">
        <v>424</v>
      </c>
      <c r="D106" s="15" t="s">
        <v>425</v>
      </c>
      <c r="E106" s="15" t="s">
        <v>426</v>
      </c>
      <c r="F106" s="47" t="s">
        <v>299</v>
      </c>
      <c r="G106" s="15" t="s">
        <v>431</v>
      </c>
      <c r="H106" s="40" t="n">
        <v>18</v>
      </c>
      <c r="I106" s="47" t="s">
        <v>282</v>
      </c>
      <c r="J106" s="47" t="s">
        <v>113</v>
      </c>
      <c r="K106" s="40" t="n">
        <v>1</v>
      </c>
      <c r="L106" s="40" t="n">
        <v>2</v>
      </c>
      <c r="M106" s="45" t="n">
        <v>25.5</v>
      </c>
      <c r="N106" s="48" t="n">
        <f aca="false">K106*L106*M106</f>
        <v>51</v>
      </c>
      <c r="O106" s="29" t="n">
        <f aca="false">IFERROR(INDEX(Исходные!$B$18:$B$29,MATCH(H106,Исходные!$A$18:$A$29,0)),0)</f>
        <v>1.998</v>
      </c>
      <c r="P106" s="49" t="n">
        <f aca="false">N106*O106</f>
        <v>101.898</v>
      </c>
      <c r="Q106" s="15" t="s">
        <v>432</v>
      </c>
      <c r="R106" s="50" t="s">
        <v>429</v>
      </c>
      <c r="S106" s="15"/>
      <c r="T106" s="15" t="s">
        <v>424</v>
      </c>
      <c r="U106" s="38" t="n">
        <v>0</v>
      </c>
      <c r="V106" s="47" t="s">
        <v>426</v>
      </c>
    </row>
    <row r="107" customFormat="false" ht="35.05" hidden="false" customHeight="false" outlineLevel="0" collapsed="false">
      <c r="A107" s="47" t="n">
        <v>100</v>
      </c>
      <c r="B107" s="15" t="s">
        <v>278</v>
      </c>
      <c r="C107" s="15" t="s">
        <v>424</v>
      </c>
      <c r="D107" s="15" t="s">
        <v>425</v>
      </c>
      <c r="E107" s="15" t="s">
        <v>426</v>
      </c>
      <c r="F107" s="47" t="s">
        <v>433</v>
      </c>
      <c r="G107" s="15" t="s">
        <v>434</v>
      </c>
      <c r="H107" s="40" t="n">
        <v>18</v>
      </c>
      <c r="I107" s="47" t="s">
        <v>282</v>
      </c>
      <c r="J107" s="47" t="s">
        <v>113</v>
      </c>
      <c r="K107" s="40" t="n">
        <v>2</v>
      </c>
      <c r="L107" s="40" t="n">
        <v>2</v>
      </c>
      <c r="M107" s="45" t="n">
        <v>0.144</v>
      </c>
      <c r="N107" s="48" t="n">
        <f aca="false">K107*L107*M107</f>
        <v>0.576</v>
      </c>
      <c r="O107" s="29" t="n">
        <f aca="false">IFERROR(INDEX(Исходные!$B$18:$B$29,MATCH(H107,Исходные!$A$18:$A$29,0)),0)</f>
        <v>1.998</v>
      </c>
      <c r="P107" s="49" t="n">
        <f aca="false">N107*O107</f>
        <v>1.150848</v>
      </c>
      <c r="Q107" s="15" t="s">
        <v>435</v>
      </c>
      <c r="R107" s="50" t="s">
        <v>436</v>
      </c>
      <c r="S107" s="15" t="s">
        <v>437</v>
      </c>
      <c r="T107" s="15" t="s">
        <v>424</v>
      </c>
      <c r="U107" s="38" t="n">
        <v>0</v>
      </c>
      <c r="V107" s="47" t="s">
        <v>426</v>
      </c>
    </row>
    <row r="108" customFormat="false" ht="23.85" hidden="false" customHeight="false" outlineLevel="0" collapsed="false">
      <c r="A108" s="47" t="n">
        <v>101</v>
      </c>
      <c r="B108" s="15" t="s">
        <v>278</v>
      </c>
      <c r="C108" s="15" t="s">
        <v>424</v>
      </c>
      <c r="D108" s="15" t="s">
        <v>425</v>
      </c>
      <c r="E108" s="15" t="s">
        <v>426</v>
      </c>
      <c r="F108" s="47" t="s">
        <v>438</v>
      </c>
      <c r="G108" s="15" t="s">
        <v>439</v>
      </c>
      <c r="H108" s="40" t="n">
        <v>16</v>
      </c>
      <c r="I108" s="47" t="s">
        <v>282</v>
      </c>
      <c r="J108" s="47" t="s">
        <v>113</v>
      </c>
      <c r="K108" s="40" t="n">
        <v>1</v>
      </c>
      <c r="L108" s="40" t="n">
        <v>2</v>
      </c>
      <c r="M108" s="45" t="n">
        <v>25.5</v>
      </c>
      <c r="N108" s="48" t="n">
        <f aca="false">K108*L108*M108</f>
        <v>51</v>
      </c>
      <c r="O108" s="29" t="n">
        <f aca="false">IFERROR(INDEX(Исходные!$B$18:$B$29,MATCH(H108,Исходные!$A$18:$A$29,0)),0)</f>
        <v>1.578</v>
      </c>
      <c r="P108" s="49" t="n">
        <f aca="false">N108*O108</f>
        <v>80.478</v>
      </c>
      <c r="Q108" s="15" t="s">
        <v>440</v>
      </c>
      <c r="R108" s="50" t="s">
        <v>429</v>
      </c>
      <c r="S108" s="15"/>
      <c r="T108" s="15" t="s">
        <v>424</v>
      </c>
      <c r="U108" s="38" t="n">
        <v>0</v>
      </c>
      <c r="V108" s="47" t="s">
        <v>426</v>
      </c>
    </row>
    <row r="109" customFormat="false" ht="35.05" hidden="false" customHeight="false" outlineLevel="0" collapsed="false">
      <c r="A109" s="47" t="n">
        <v>102</v>
      </c>
      <c r="B109" s="15" t="s">
        <v>278</v>
      </c>
      <c r="C109" s="15" t="s">
        <v>424</v>
      </c>
      <c r="D109" s="15" t="s">
        <v>425</v>
      </c>
      <c r="E109" s="15" t="s">
        <v>426</v>
      </c>
      <c r="F109" s="47" t="s">
        <v>441</v>
      </c>
      <c r="G109" s="15" t="s">
        <v>442</v>
      </c>
      <c r="H109" s="40" t="n">
        <v>16</v>
      </c>
      <c r="I109" s="47" t="s">
        <v>282</v>
      </c>
      <c r="J109" s="47" t="s">
        <v>113</v>
      </c>
      <c r="K109" s="40" t="n">
        <v>2</v>
      </c>
      <c r="L109" s="40" t="n">
        <v>2</v>
      </c>
      <c r="M109" s="45" t="n">
        <v>0.128</v>
      </c>
      <c r="N109" s="48" t="n">
        <f aca="false">K109*L109*M109</f>
        <v>0.512</v>
      </c>
      <c r="O109" s="29" t="n">
        <f aca="false">IFERROR(INDEX(Исходные!$B$18:$B$29,MATCH(H109,Исходные!$A$18:$A$29,0)),0)</f>
        <v>1.578</v>
      </c>
      <c r="P109" s="49" t="n">
        <f aca="false">N109*O109</f>
        <v>0.807936</v>
      </c>
      <c r="Q109" s="15" t="s">
        <v>443</v>
      </c>
      <c r="R109" s="50" t="s">
        <v>436</v>
      </c>
      <c r="S109" s="15" t="s">
        <v>444</v>
      </c>
      <c r="T109" s="15" t="s">
        <v>424</v>
      </c>
      <c r="U109" s="38" t="n">
        <v>0</v>
      </c>
      <c r="V109" s="47" t="s">
        <v>426</v>
      </c>
    </row>
    <row r="110" customFormat="false" ht="23.85" hidden="false" customHeight="false" outlineLevel="0" collapsed="false">
      <c r="A110" s="47" t="n">
        <v>103</v>
      </c>
      <c r="B110" s="15" t="s">
        <v>278</v>
      </c>
      <c r="C110" s="15" t="s">
        <v>424</v>
      </c>
      <c r="D110" s="15" t="s">
        <v>425</v>
      </c>
      <c r="E110" s="15" t="s">
        <v>426</v>
      </c>
      <c r="F110" s="47" t="s">
        <v>445</v>
      </c>
      <c r="G110" s="15" t="s">
        <v>446</v>
      </c>
      <c r="H110" s="40" t="n">
        <v>28</v>
      </c>
      <c r="I110" s="47" t="s">
        <v>282</v>
      </c>
      <c r="J110" s="47" t="s">
        <v>113</v>
      </c>
      <c r="K110" s="40" t="n">
        <v>1</v>
      </c>
      <c r="L110" s="40" t="n">
        <v>2</v>
      </c>
      <c r="M110" s="45" t="n">
        <v>2.05</v>
      </c>
      <c r="N110" s="48" t="n">
        <f aca="false">K110*L110*M110</f>
        <v>4.1</v>
      </c>
      <c r="O110" s="29" t="n">
        <f aca="false">IFERROR(INDEX(Исходные!$B$18:$B$29,MATCH(H110,Исходные!$A$18:$A$29,0)),0)</f>
        <v>4.834</v>
      </c>
      <c r="P110" s="49" t="n">
        <f aca="false">N110*O110</f>
        <v>19.8194</v>
      </c>
      <c r="Q110" s="15" t="s">
        <v>447</v>
      </c>
      <c r="R110" s="50" t="s">
        <v>429</v>
      </c>
      <c r="S110" s="15" t="s">
        <v>448</v>
      </c>
      <c r="T110" s="15" t="s">
        <v>424</v>
      </c>
      <c r="U110" s="38" t="n">
        <v>0</v>
      </c>
      <c r="V110" s="47" t="s">
        <v>426</v>
      </c>
    </row>
    <row r="111" customFormat="false" ht="23.85" hidden="false" customHeight="false" outlineLevel="0" collapsed="false">
      <c r="A111" s="47" t="n">
        <v>104</v>
      </c>
      <c r="B111" s="15" t="s">
        <v>278</v>
      </c>
      <c r="C111" s="15" t="s">
        <v>424</v>
      </c>
      <c r="D111" s="15" t="s">
        <v>425</v>
      </c>
      <c r="E111" s="15" t="s">
        <v>426</v>
      </c>
      <c r="F111" s="47" t="s">
        <v>445</v>
      </c>
      <c r="G111" s="15" t="s">
        <v>449</v>
      </c>
      <c r="H111" s="40" t="n">
        <v>25</v>
      </c>
      <c r="I111" s="47" t="s">
        <v>282</v>
      </c>
      <c r="J111" s="47" t="s">
        <v>113</v>
      </c>
      <c r="K111" s="40" t="n">
        <v>1</v>
      </c>
      <c r="L111" s="40" t="n">
        <v>2</v>
      </c>
      <c r="M111" s="45" t="n">
        <v>4.5</v>
      </c>
      <c r="N111" s="48" t="n">
        <f aca="false">K111*L111*M111</f>
        <v>9</v>
      </c>
      <c r="O111" s="29" t="n">
        <f aca="false">IFERROR(INDEX(Исходные!$B$18:$B$29,MATCH(H111,Исходные!$A$18:$A$29,0)),0)</f>
        <v>3.853</v>
      </c>
      <c r="P111" s="49" t="n">
        <f aca="false">N111*O111</f>
        <v>34.677</v>
      </c>
      <c r="Q111" s="15" t="s">
        <v>450</v>
      </c>
      <c r="R111" s="50" t="s">
        <v>429</v>
      </c>
      <c r="S111" s="15" t="s">
        <v>451</v>
      </c>
      <c r="T111" s="15" t="s">
        <v>424</v>
      </c>
      <c r="U111" s="38" t="n">
        <v>0</v>
      </c>
      <c r="V111" s="47" t="s">
        <v>426</v>
      </c>
    </row>
    <row r="112" customFormat="false" ht="23.85" hidden="false" customHeight="false" outlineLevel="0" collapsed="false">
      <c r="A112" s="47" t="n">
        <v>105</v>
      </c>
      <c r="B112" s="15" t="s">
        <v>278</v>
      </c>
      <c r="C112" s="15" t="s">
        <v>424</v>
      </c>
      <c r="D112" s="15" t="s">
        <v>425</v>
      </c>
      <c r="E112" s="15" t="s">
        <v>426</v>
      </c>
      <c r="F112" s="47" t="s">
        <v>445</v>
      </c>
      <c r="G112" s="15" t="s">
        <v>452</v>
      </c>
      <c r="H112" s="40" t="n">
        <v>22</v>
      </c>
      <c r="I112" s="47" t="s">
        <v>282</v>
      </c>
      <c r="J112" s="47" t="s">
        <v>113</v>
      </c>
      <c r="K112" s="40" t="n">
        <v>1</v>
      </c>
      <c r="L112" s="40" t="n">
        <v>2</v>
      </c>
      <c r="M112" s="45" t="n">
        <v>4.5</v>
      </c>
      <c r="N112" s="48" t="n">
        <f aca="false">K112*L112*M112</f>
        <v>9</v>
      </c>
      <c r="O112" s="29" t="n">
        <f aca="false">IFERROR(INDEX(Исходные!$B$18:$B$29,MATCH(H112,Исходные!$A$18:$A$29,0)),0)</f>
        <v>2.984</v>
      </c>
      <c r="P112" s="49" t="n">
        <f aca="false">N112*O112</f>
        <v>26.856</v>
      </c>
      <c r="Q112" s="15" t="s">
        <v>453</v>
      </c>
      <c r="R112" s="50" t="s">
        <v>429</v>
      </c>
      <c r="S112" s="15" t="s">
        <v>451</v>
      </c>
      <c r="T112" s="15" t="s">
        <v>424</v>
      </c>
      <c r="U112" s="38" t="n">
        <v>0</v>
      </c>
      <c r="V112" s="47" t="s">
        <v>426</v>
      </c>
    </row>
    <row r="113" customFormat="false" ht="23.85" hidden="false" customHeight="false" outlineLevel="0" collapsed="false">
      <c r="A113" s="47" t="n">
        <v>106</v>
      </c>
      <c r="B113" s="15" t="s">
        <v>278</v>
      </c>
      <c r="C113" s="15" t="s">
        <v>424</v>
      </c>
      <c r="D113" s="15" t="s">
        <v>425</v>
      </c>
      <c r="E113" s="15" t="s">
        <v>426</v>
      </c>
      <c r="F113" s="47" t="s">
        <v>445</v>
      </c>
      <c r="G113" s="15" t="s">
        <v>454</v>
      </c>
      <c r="H113" s="40" t="n">
        <v>32</v>
      </c>
      <c r="I113" s="47" t="s">
        <v>282</v>
      </c>
      <c r="J113" s="47" t="s">
        <v>113</v>
      </c>
      <c r="K113" s="40" t="n">
        <v>1</v>
      </c>
      <c r="L113" s="40" t="n">
        <v>2</v>
      </c>
      <c r="M113" s="45" t="n">
        <v>3.3</v>
      </c>
      <c r="N113" s="48" t="n">
        <f aca="false">K113*L113*M113</f>
        <v>6.6</v>
      </c>
      <c r="O113" s="29" t="n">
        <f aca="false">IFERROR(INDEX(Исходные!$B$18:$B$29,MATCH(H113,Исходные!$A$18:$A$29,0)),0)</f>
        <v>6.313</v>
      </c>
      <c r="P113" s="49" t="n">
        <f aca="false">N113*O113</f>
        <v>41.6658</v>
      </c>
      <c r="Q113" s="15" t="s">
        <v>455</v>
      </c>
      <c r="R113" s="50" t="s">
        <v>429</v>
      </c>
      <c r="S113" s="15" t="s">
        <v>456</v>
      </c>
      <c r="T113" s="15" t="s">
        <v>424</v>
      </c>
      <c r="U113" s="38" t="n">
        <v>0</v>
      </c>
      <c r="V113" s="47" t="s">
        <v>426</v>
      </c>
    </row>
    <row r="114" customFormat="false" ht="23.85" hidden="false" customHeight="false" outlineLevel="0" collapsed="false">
      <c r="A114" s="47" t="n">
        <v>107</v>
      </c>
      <c r="B114" s="15" t="s">
        <v>278</v>
      </c>
      <c r="C114" s="15" t="s">
        <v>424</v>
      </c>
      <c r="D114" s="15" t="s">
        <v>425</v>
      </c>
      <c r="E114" s="15" t="s">
        <v>426</v>
      </c>
      <c r="F114" s="47" t="s">
        <v>445</v>
      </c>
      <c r="G114" s="15" t="s">
        <v>457</v>
      </c>
      <c r="H114" s="40" t="n">
        <v>25</v>
      </c>
      <c r="I114" s="47" t="s">
        <v>282</v>
      </c>
      <c r="J114" s="47" t="s">
        <v>113</v>
      </c>
      <c r="K114" s="40" t="n">
        <v>1</v>
      </c>
      <c r="L114" s="40" t="n">
        <v>2</v>
      </c>
      <c r="M114" s="45" t="n">
        <v>7.85</v>
      </c>
      <c r="N114" s="48" t="n">
        <f aca="false">K114*L114*M114</f>
        <v>15.7</v>
      </c>
      <c r="O114" s="29" t="n">
        <f aca="false">IFERROR(INDEX(Исходные!$B$18:$B$29,MATCH(H114,Исходные!$A$18:$A$29,0)),0)</f>
        <v>3.853</v>
      </c>
      <c r="P114" s="49" t="n">
        <f aca="false">N114*O114</f>
        <v>60.4921</v>
      </c>
      <c r="Q114" s="15" t="s">
        <v>450</v>
      </c>
      <c r="R114" s="50" t="s">
        <v>429</v>
      </c>
      <c r="S114" s="15" t="s">
        <v>458</v>
      </c>
      <c r="T114" s="15" t="s">
        <v>424</v>
      </c>
      <c r="U114" s="38" t="n">
        <v>0</v>
      </c>
      <c r="V114" s="47" t="s">
        <v>426</v>
      </c>
    </row>
    <row r="115" customFormat="false" ht="23.85" hidden="false" customHeight="false" outlineLevel="0" collapsed="false">
      <c r="A115" s="47" t="n">
        <v>108</v>
      </c>
      <c r="B115" s="15" t="s">
        <v>278</v>
      </c>
      <c r="C115" s="15" t="s">
        <v>424</v>
      </c>
      <c r="D115" s="15" t="s">
        <v>425</v>
      </c>
      <c r="E115" s="15" t="s">
        <v>426</v>
      </c>
      <c r="F115" s="47" t="s">
        <v>445</v>
      </c>
      <c r="G115" s="15" t="s">
        <v>459</v>
      </c>
      <c r="H115" s="40" t="n">
        <v>25</v>
      </c>
      <c r="I115" s="47" t="s">
        <v>282</v>
      </c>
      <c r="J115" s="47" t="s">
        <v>113</v>
      </c>
      <c r="K115" s="40" t="n">
        <v>1</v>
      </c>
      <c r="L115" s="40" t="n">
        <v>2</v>
      </c>
      <c r="M115" s="45" t="n">
        <v>7.85</v>
      </c>
      <c r="N115" s="48" t="n">
        <f aca="false">K115*L115*M115</f>
        <v>15.7</v>
      </c>
      <c r="O115" s="29" t="n">
        <f aca="false">IFERROR(INDEX(Исходные!$B$18:$B$29,MATCH(H115,Исходные!$A$18:$A$29,0)),0)</f>
        <v>3.853</v>
      </c>
      <c r="P115" s="49" t="n">
        <f aca="false">N115*O115</f>
        <v>60.4921</v>
      </c>
      <c r="Q115" s="15" t="s">
        <v>450</v>
      </c>
      <c r="R115" s="50" t="s">
        <v>429</v>
      </c>
      <c r="S115" s="15" t="s">
        <v>458</v>
      </c>
      <c r="T115" s="15" t="s">
        <v>424</v>
      </c>
      <c r="U115" s="38" t="n">
        <v>0</v>
      </c>
      <c r="V115" s="47" t="s">
        <v>426</v>
      </c>
    </row>
    <row r="116" customFormat="false" ht="23.85" hidden="false" customHeight="false" outlineLevel="0" collapsed="false">
      <c r="A116" s="47" t="n">
        <v>109</v>
      </c>
      <c r="B116" s="15" t="s">
        <v>278</v>
      </c>
      <c r="C116" s="15" t="s">
        <v>424</v>
      </c>
      <c r="D116" s="15" t="s">
        <v>425</v>
      </c>
      <c r="E116" s="15" t="s">
        <v>426</v>
      </c>
      <c r="F116" s="47" t="s">
        <v>445</v>
      </c>
      <c r="G116" s="15" t="s">
        <v>460</v>
      </c>
      <c r="H116" s="40" t="n">
        <v>16</v>
      </c>
      <c r="I116" s="47" t="s">
        <v>282</v>
      </c>
      <c r="J116" s="47" t="s">
        <v>113</v>
      </c>
      <c r="K116" s="40" t="n">
        <v>1</v>
      </c>
      <c r="L116" s="40" t="n">
        <v>2</v>
      </c>
      <c r="M116" s="45" t="n">
        <v>9.45</v>
      </c>
      <c r="N116" s="48" t="n">
        <f aca="false">K116*L116*M116</f>
        <v>18.9</v>
      </c>
      <c r="O116" s="29" t="n">
        <f aca="false">IFERROR(INDEX(Исходные!$B$18:$B$29,MATCH(H116,Исходные!$A$18:$A$29,0)),0)</f>
        <v>1.578</v>
      </c>
      <c r="P116" s="49" t="n">
        <f aca="false">N116*O116</f>
        <v>29.8242</v>
      </c>
      <c r="Q116" s="15" t="s">
        <v>461</v>
      </c>
      <c r="R116" s="50" t="s">
        <v>429</v>
      </c>
      <c r="S116" s="15" t="s">
        <v>462</v>
      </c>
      <c r="T116" s="15" t="s">
        <v>424</v>
      </c>
      <c r="U116" s="38" t="n">
        <v>0</v>
      </c>
      <c r="V116" s="47" t="s">
        <v>426</v>
      </c>
    </row>
    <row r="117" customFormat="false" ht="23.85" hidden="false" customHeight="false" outlineLevel="0" collapsed="false">
      <c r="A117" s="47" t="n">
        <v>110</v>
      </c>
      <c r="B117" s="15" t="s">
        <v>278</v>
      </c>
      <c r="C117" s="15" t="s">
        <v>424</v>
      </c>
      <c r="D117" s="15" t="s">
        <v>425</v>
      </c>
      <c r="E117" s="15" t="s">
        <v>426</v>
      </c>
      <c r="F117" s="47" t="s">
        <v>445</v>
      </c>
      <c r="G117" s="15" t="s">
        <v>463</v>
      </c>
      <c r="H117" s="40" t="n">
        <v>16</v>
      </c>
      <c r="I117" s="47" t="s">
        <v>282</v>
      </c>
      <c r="J117" s="47" t="s">
        <v>113</v>
      </c>
      <c r="K117" s="40" t="n">
        <v>1</v>
      </c>
      <c r="L117" s="40" t="n">
        <v>2</v>
      </c>
      <c r="M117" s="45" t="n">
        <v>3.3</v>
      </c>
      <c r="N117" s="48" t="n">
        <f aca="false">K117*L117*M117</f>
        <v>6.6</v>
      </c>
      <c r="O117" s="29" t="n">
        <f aca="false">IFERROR(INDEX(Исходные!$B$18:$B$29,MATCH(H117,Исходные!$A$18:$A$29,0)),0)</f>
        <v>1.578</v>
      </c>
      <c r="P117" s="49" t="n">
        <f aca="false">N117*O117</f>
        <v>10.4148</v>
      </c>
      <c r="Q117" s="15" t="s">
        <v>461</v>
      </c>
      <c r="R117" s="50" t="s">
        <v>429</v>
      </c>
      <c r="S117" s="15" t="s">
        <v>456</v>
      </c>
      <c r="T117" s="15" t="s">
        <v>424</v>
      </c>
      <c r="U117" s="38" t="n">
        <v>0</v>
      </c>
      <c r="V117" s="47" t="s">
        <v>426</v>
      </c>
    </row>
    <row r="118" customFormat="false" ht="23.85" hidden="false" customHeight="false" outlineLevel="0" collapsed="false">
      <c r="A118" s="47" t="n">
        <v>111</v>
      </c>
      <c r="B118" s="15" t="s">
        <v>278</v>
      </c>
      <c r="C118" s="15" t="s">
        <v>424</v>
      </c>
      <c r="D118" s="15" t="s">
        <v>425</v>
      </c>
      <c r="E118" s="15" t="s">
        <v>426</v>
      </c>
      <c r="F118" s="47" t="s">
        <v>445</v>
      </c>
      <c r="G118" s="15" t="s">
        <v>464</v>
      </c>
      <c r="H118" s="40" t="n">
        <v>28</v>
      </c>
      <c r="I118" s="47" t="s">
        <v>282</v>
      </c>
      <c r="J118" s="47" t="s">
        <v>113</v>
      </c>
      <c r="K118" s="40" t="n">
        <v>1</v>
      </c>
      <c r="L118" s="40" t="n">
        <v>2</v>
      </c>
      <c r="M118" s="45" t="n">
        <v>7.85</v>
      </c>
      <c r="N118" s="48" t="n">
        <f aca="false">K118*L118*M118</f>
        <v>15.7</v>
      </c>
      <c r="O118" s="29" t="n">
        <f aca="false">IFERROR(INDEX(Исходные!$B$18:$B$29,MATCH(H118,Исходные!$A$18:$A$29,0)),0)</f>
        <v>4.834</v>
      </c>
      <c r="P118" s="49" t="n">
        <f aca="false">N118*O118</f>
        <v>75.8938</v>
      </c>
      <c r="Q118" s="15" t="s">
        <v>447</v>
      </c>
      <c r="R118" s="50" t="s">
        <v>429</v>
      </c>
      <c r="S118" s="15" t="s">
        <v>458</v>
      </c>
      <c r="T118" s="15" t="s">
        <v>424</v>
      </c>
      <c r="U118" s="38" t="n">
        <v>0</v>
      </c>
      <c r="V118" s="47" t="s">
        <v>426</v>
      </c>
    </row>
    <row r="119" customFormat="false" ht="23.85" hidden="false" customHeight="false" outlineLevel="0" collapsed="false">
      <c r="A119" s="47" t="n">
        <v>112</v>
      </c>
      <c r="B119" s="15" t="s">
        <v>278</v>
      </c>
      <c r="C119" s="15" t="s">
        <v>424</v>
      </c>
      <c r="D119" s="15" t="s">
        <v>425</v>
      </c>
      <c r="E119" s="15" t="s">
        <v>426</v>
      </c>
      <c r="F119" s="47" t="s">
        <v>465</v>
      </c>
      <c r="G119" s="15" t="s">
        <v>466</v>
      </c>
      <c r="H119" s="40" t="n">
        <v>8</v>
      </c>
      <c r="I119" s="47" t="s">
        <v>316</v>
      </c>
      <c r="J119" s="47" t="s">
        <v>467</v>
      </c>
      <c r="K119" s="40" t="n">
        <v>1</v>
      </c>
      <c r="L119" s="40" t="n">
        <v>134</v>
      </c>
      <c r="M119" s="45" t="n">
        <v>2.06</v>
      </c>
      <c r="N119" s="48" t="n">
        <f aca="false">K119*L119*M119</f>
        <v>276.04</v>
      </c>
      <c r="O119" s="29" t="n">
        <f aca="false">IFERROR(INDEX(Исходные!$B$18:$B$29,MATCH(H119,Исходные!$A$18:$A$29,0)),0)</f>
        <v>0.395</v>
      </c>
      <c r="P119" s="49" t="n">
        <f aca="false">N119*O119</f>
        <v>109.0358</v>
      </c>
      <c r="Q119" s="15" t="s">
        <v>468</v>
      </c>
      <c r="R119" s="50" t="s">
        <v>284</v>
      </c>
      <c r="S119" s="15" t="s">
        <v>469</v>
      </c>
      <c r="T119" s="15" t="s">
        <v>424</v>
      </c>
      <c r="U119" s="38" t="n">
        <v>0</v>
      </c>
      <c r="V119" s="47" t="s">
        <v>426</v>
      </c>
    </row>
    <row r="120" customFormat="false" ht="23.85" hidden="false" customHeight="false" outlineLevel="0" collapsed="false">
      <c r="A120" s="47" t="n">
        <v>113</v>
      </c>
      <c r="B120" s="15" t="s">
        <v>278</v>
      </c>
      <c r="C120" s="15" t="s">
        <v>424</v>
      </c>
      <c r="D120" s="15" t="s">
        <v>425</v>
      </c>
      <c r="E120" s="15" t="s">
        <v>426</v>
      </c>
      <c r="F120" s="47" t="s">
        <v>331</v>
      </c>
      <c r="G120" s="15" t="s">
        <v>470</v>
      </c>
      <c r="H120" s="40" t="n">
        <v>10</v>
      </c>
      <c r="I120" s="47" t="s">
        <v>316</v>
      </c>
      <c r="J120" s="47" t="n">
        <v>100</v>
      </c>
      <c r="K120" s="40" t="n">
        <v>1</v>
      </c>
      <c r="L120" s="40" t="n">
        <v>35</v>
      </c>
      <c r="M120" s="45" t="n">
        <v>2.06</v>
      </c>
      <c r="N120" s="48" t="n">
        <f aca="false">K120*L120*M120</f>
        <v>72.1</v>
      </c>
      <c r="O120" s="29" t="n">
        <f aca="false">IFERROR(INDEX(Исходные!$B$18:$B$29,MATCH(H120,Исходные!$A$18:$A$29,0)),0)</f>
        <v>0.617</v>
      </c>
      <c r="P120" s="49" t="n">
        <f aca="false">N120*O120</f>
        <v>44.4857</v>
      </c>
      <c r="Q120" s="15" t="s">
        <v>471</v>
      </c>
      <c r="R120" s="50" t="s">
        <v>284</v>
      </c>
      <c r="S120" s="15" t="s">
        <v>472</v>
      </c>
      <c r="T120" s="15" t="s">
        <v>424</v>
      </c>
      <c r="U120" s="38" t="n">
        <v>0</v>
      </c>
      <c r="V120" s="47" t="s">
        <v>426</v>
      </c>
    </row>
    <row r="121" customFormat="false" ht="23.85" hidden="false" customHeight="false" outlineLevel="0" collapsed="false">
      <c r="A121" s="47" t="n">
        <v>114</v>
      </c>
      <c r="B121" s="15" t="s">
        <v>278</v>
      </c>
      <c r="C121" s="15" t="s">
        <v>424</v>
      </c>
      <c r="D121" s="15" t="s">
        <v>425</v>
      </c>
      <c r="E121" s="15" t="s">
        <v>426</v>
      </c>
      <c r="F121" s="47" t="s">
        <v>373</v>
      </c>
      <c r="G121" s="15" t="s">
        <v>473</v>
      </c>
      <c r="H121" s="40" t="n">
        <v>10</v>
      </c>
      <c r="I121" s="47" t="s">
        <v>316</v>
      </c>
      <c r="J121" s="47" t="n">
        <v>100</v>
      </c>
      <c r="K121" s="40" t="n">
        <v>1</v>
      </c>
      <c r="L121" s="40" t="n">
        <v>8</v>
      </c>
      <c r="M121" s="45" t="n">
        <v>1.6</v>
      </c>
      <c r="N121" s="48" t="n">
        <f aca="false">K121*L121*M121</f>
        <v>12.8</v>
      </c>
      <c r="O121" s="29" t="n">
        <f aca="false">IFERROR(INDEX(Исходные!$B$18:$B$29,MATCH(H121,Исходные!$A$18:$A$29,0)),0)</f>
        <v>0.617</v>
      </c>
      <c r="P121" s="49" t="n">
        <f aca="false">N121*O121</f>
        <v>7.8976</v>
      </c>
      <c r="Q121" s="15" t="s">
        <v>474</v>
      </c>
      <c r="R121" s="50" t="s">
        <v>284</v>
      </c>
      <c r="S121" s="15"/>
      <c r="T121" s="15" t="s">
        <v>424</v>
      </c>
      <c r="U121" s="38" t="n">
        <v>0</v>
      </c>
      <c r="V121" s="47" t="s">
        <v>426</v>
      </c>
    </row>
    <row r="122" customFormat="false" ht="23.85" hidden="false" customHeight="false" outlineLevel="0" collapsed="false">
      <c r="A122" s="47" t="n">
        <v>115</v>
      </c>
      <c r="B122" s="15" t="s">
        <v>278</v>
      </c>
      <c r="C122" s="15" t="s">
        <v>424</v>
      </c>
      <c r="D122" s="15" t="s">
        <v>425</v>
      </c>
      <c r="E122" s="15" t="s">
        <v>426</v>
      </c>
      <c r="F122" s="47" t="s">
        <v>475</v>
      </c>
      <c r="G122" s="15" t="s">
        <v>476</v>
      </c>
      <c r="H122" s="40" t="n">
        <v>8</v>
      </c>
      <c r="I122" s="47" t="s">
        <v>316</v>
      </c>
      <c r="J122" s="47" t="s">
        <v>477</v>
      </c>
      <c r="K122" s="40" t="n">
        <v>1</v>
      </c>
      <c r="L122" s="40" t="n">
        <v>105</v>
      </c>
      <c r="M122" s="45" t="n">
        <v>0.75</v>
      </c>
      <c r="N122" s="48" t="n">
        <f aca="false">K122*L122*M122</f>
        <v>78.75</v>
      </c>
      <c r="O122" s="29" t="n">
        <f aca="false">IFERROR(INDEX(Исходные!$B$18:$B$29,MATCH(H122,Исходные!$A$18:$A$29,0)),0)</f>
        <v>0.395</v>
      </c>
      <c r="P122" s="49" t="n">
        <f aca="false">N122*O122</f>
        <v>31.10625</v>
      </c>
      <c r="Q122" s="15" t="s">
        <v>478</v>
      </c>
      <c r="R122" s="50" t="s">
        <v>284</v>
      </c>
      <c r="S122" s="15"/>
      <c r="T122" s="15" t="s">
        <v>424</v>
      </c>
      <c r="U122" s="38" t="n">
        <v>0</v>
      </c>
      <c r="V122" s="47" t="s">
        <v>426</v>
      </c>
    </row>
    <row r="123" customFormat="false" ht="23.85" hidden="false" customHeight="false" outlineLevel="0" collapsed="false">
      <c r="A123" s="47" t="n">
        <v>116</v>
      </c>
      <c r="B123" s="15" t="s">
        <v>278</v>
      </c>
      <c r="C123" s="15" t="s">
        <v>424</v>
      </c>
      <c r="D123" s="15" t="s">
        <v>425</v>
      </c>
      <c r="E123" s="15" t="s">
        <v>426</v>
      </c>
      <c r="F123" s="47" t="s">
        <v>479</v>
      </c>
      <c r="G123" s="15" t="s">
        <v>480</v>
      </c>
      <c r="H123" s="40" t="n">
        <v>8</v>
      </c>
      <c r="I123" s="47" t="s">
        <v>316</v>
      </c>
      <c r="J123" s="47" t="n">
        <v>300</v>
      </c>
      <c r="K123" s="40" t="n">
        <v>1</v>
      </c>
      <c r="L123" s="40" t="n">
        <v>70</v>
      </c>
      <c r="M123" s="45" t="n">
        <v>0.58</v>
      </c>
      <c r="N123" s="48" t="n">
        <f aca="false">K123*L123*M123</f>
        <v>40.6</v>
      </c>
      <c r="O123" s="29" t="n">
        <f aca="false">IFERROR(INDEX(Исходные!$B$18:$B$29,MATCH(H123,Исходные!$A$18:$A$29,0)),0)</f>
        <v>0.395</v>
      </c>
      <c r="P123" s="49" t="n">
        <f aca="false">N123*O123</f>
        <v>16.037</v>
      </c>
      <c r="Q123" s="15" t="s">
        <v>481</v>
      </c>
      <c r="R123" s="51" t="s">
        <v>407</v>
      </c>
      <c r="S123" s="15" t="s">
        <v>482</v>
      </c>
      <c r="T123" s="15" t="s">
        <v>424</v>
      </c>
      <c r="U123" s="38" t="n">
        <v>1</v>
      </c>
      <c r="V123" s="47" t="s">
        <v>426</v>
      </c>
    </row>
    <row r="124" customFormat="false" ht="35.05" hidden="false" customHeight="false" outlineLevel="0" collapsed="false">
      <c r="A124" s="47" t="n">
        <v>117</v>
      </c>
      <c r="B124" s="15" t="s">
        <v>278</v>
      </c>
      <c r="C124" s="15" t="s">
        <v>424</v>
      </c>
      <c r="D124" s="15" t="s">
        <v>483</v>
      </c>
      <c r="E124" s="15" t="s">
        <v>484</v>
      </c>
      <c r="F124" s="47" t="s">
        <v>289</v>
      </c>
      <c r="G124" s="15" t="s">
        <v>427</v>
      </c>
      <c r="H124" s="40" t="n">
        <v>28</v>
      </c>
      <c r="I124" s="47" t="s">
        <v>282</v>
      </c>
      <c r="J124" s="47" t="s">
        <v>113</v>
      </c>
      <c r="K124" s="40" t="n">
        <v>1</v>
      </c>
      <c r="L124" s="40" t="n">
        <v>4</v>
      </c>
      <c r="M124" s="45" t="n">
        <v>25.5</v>
      </c>
      <c r="N124" s="48" t="n">
        <f aca="false">K124*L124*M124</f>
        <v>102</v>
      </c>
      <c r="O124" s="29" t="n">
        <f aca="false">IFERROR(INDEX(Исходные!$B$18:$B$29,MATCH(H124,Исходные!$A$18:$A$29,0)),0)</f>
        <v>4.834</v>
      </c>
      <c r="P124" s="49" t="n">
        <f aca="false">N124*O124</f>
        <v>493.068</v>
      </c>
      <c r="Q124" s="15" t="s">
        <v>485</v>
      </c>
      <c r="R124" s="50" t="s">
        <v>429</v>
      </c>
      <c r="S124" s="15" t="s">
        <v>430</v>
      </c>
      <c r="T124" s="15" t="s">
        <v>424</v>
      </c>
      <c r="U124" s="38" t="n">
        <v>0</v>
      </c>
      <c r="V124" s="47" t="s">
        <v>484</v>
      </c>
    </row>
    <row r="125" customFormat="false" ht="23.85" hidden="false" customHeight="false" outlineLevel="0" collapsed="false">
      <c r="A125" s="47" t="n">
        <v>118</v>
      </c>
      <c r="B125" s="15" t="s">
        <v>278</v>
      </c>
      <c r="C125" s="15" t="s">
        <v>424</v>
      </c>
      <c r="D125" s="15" t="s">
        <v>483</v>
      </c>
      <c r="E125" s="15" t="s">
        <v>484</v>
      </c>
      <c r="F125" s="47" t="s">
        <v>299</v>
      </c>
      <c r="G125" s="15" t="s">
        <v>431</v>
      </c>
      <c r="H125" s="40" t="n">
        <v>18</v>
      </c>
      <c r="I125" s="47" t="s">
        <v>282</v>
      </c>
      <c r="J125" s="47" t="s">
        <v>113</v>
      </c>
      <c r="K125" s="40" t="n">
        <v>1</v>
      </c>
      <c r="L125" s="40" t="n">
        <v>2</v>
      </c>
      <c r="M125" s="45" t="n">
        <v>25.5</v>
      </c>
      <c r="N125" s="48" t="n">
        <f aca="false">K125*L125*M125</f>
        <v>51</v>
      </c>
      <c r="O125" s="29" t="n">
        <f aca="false">IFERROR(INDEX(Исходные!$B$18:$B$29,MATCH(H125,Исходные!$A$18:$A$29,0)),0)</f>
        <v>1.998</v>
      </c>
      <c r="P125" s="49" t="n">
        <f aca="false">N125*O125</f>
        <v>101.898</v>
      </c>
      <c r="Q125" s="15" t="s">
        <v>432</v>
      </c>
      <c r="R125" s="50" t="s">
        <v>429</v>
      </c>
      <c r="S125" s="15"/>
      <c r="T125" s="15" t="s">
        <v>424</v>
      </c>
      <c r="U125" s="38" t="n">
        <v>0</v>
      </c>
      <c r="V125" s="47" t="s">
        <v>484</v>
      </c>
    </row>
    <row r="126" customFormat="false" ht="35.05" hidden="false" customHeight="false" outlineLevel="0" collapsed="false">
      <c r="A126" s="47" t="n">
        <v>119</v>
      </c>
      <c r="B126" s="15" t="s">
        <v>278</v>
      </c>
      <c r="C126" s="15" t="s">
        <v>424</v>
      </c>
      <c r="D126" s="15" t="s">
        <v>483</v>
      </c>
      <c r="E126" s="15" t="s">
        <v>484</v>
      </c>
      <c r="F126" s="47" t="s">
        <v>433</v>
      </c>
      <c r="G126" s="15" t="s">
        <v>434</v>
      </c>
      <c r="H126" s="40" t="n">
        <v>18</v>
      </c>
      <c r="I126" s="47" t="s">
        <v>282</v>
      </c>
      <c r="J126" s="47" t="s">
        <v>113</v>
      </c>
      <c r="K126" s="40" t="n">
        <v>2</v>
      </c>
      <c r="L126" s="40" t="n">
        <v>2</v>
      </c>
      <c r="M126" s="45" t="n">
        <v>0.144</v>
      </c>
      <c r="N126" s="48" t="n">
        <f aca="false">K126*L126*M126</f>
        <v>0.576</v>
      </c>
      <c r="O126" s="29" t="n">
        <f aca="false">IFERROR(INDEX(Исходные!$B$18:$B$29,MATCH(H126,Исходные!$A$18:$A$29,0)),0)</f>
        <v>1.998</v>
      </c>
      <c r="P126" s="49" t="n">
        <f aca="false">N126*O126</f>
        <v>1.150848</v>
      </c>
      <c r="Q126" s="15" t="s">
        <v>435</v>
      </c>
      <c r="R126" s="50" t="s">
        <v>436</v>
      </c>
      <c r="S126" s="15" t="s">
        <v>437</v>
      </c>
      <c r="T126" s="15" t="s">
        <v>424</v>
      </c>
      <c r="U126" s="38" t="n">
        <v>0</v>
      </c>
      <c r="V126" s="47" t="s">
        <v>484</v>
      </c>
    </row>
    <row r="127" customFormat="false" ht="23.85" hidden="false" customHeight="false" outlineLevel="0" collapsed="false">
      <c r="A127" s="47" t="n">
        <v>120</v>
      </c>
      <c r="B127" s="15" t="s">
        <v>278</v>
      </c>
      <c r="C127" s="15" t="s">
        <v>424</v>
      </c>
      <c r="D127" s="15" t="s">
        <v>483</v>
      </c>
      <c r="E127" s="15" t="s">
        <v>484</v>
      </c>
      <c r="F127" s="47" t="s">
        <v>438</v>
      </c>
      <c r="G127" s="15" t="s">
        <v>439</v>
      </c>
      <c r="H127" s="40" t="n">
        <v>16</v>
      </c>
      <c r="I127" s="47" t="s">
        <v>282</v>
      </c>
      <c r="J127" s="47" t="s">
        <v>113</v>
      </c>
      <c r="K127" s="40" t="n">
        <v>1</v>
      </c>
      <c r="L127" s="40" t="n">
        <v>2</v>
      </c>
      <c r="M127" s="45" t="n">
        <v>25.5</v>
      </c>
      <c r="N127" s="48" t="n">
        <f aca="false">K127*L127*M127</f>
        <v>51</v>
      </c>
      <c r="O127" s="29" t="n">
        <f aca="false">IFERROR(INDEX(Исходные!$B$18:$B$29,MATCH(H127,Исходные!$A$18:$A$29,0)),0)</f>
        <v>1.578</v>
      </c>
      <c r="P127" s="49" t="n">
        <f aca="false">N127*O127</f>
        <v>80.478</v>
      </c>
      <c r="Q127" s="15" t="s">
        <v>440</v>
      </c>
      <c r="R127" s="50" t="s">
        <v>429</v>
      </c>
      <c r="S127" s="15"/>
      <c r="T127" s="15" t="s">
        <v>424</v>
      </c>
      <c r="U127" s="38" t="n">
        <v>0</v>
      </c>
      <c r="V127" s="47" t="s">
        <v>484</v>
      </c>
    </row>
    <row r="128" customFormat="false" ht="35.05" hidden="false" customHeight="false" outlineLevel="0" collapsed="false">
      <c r="A128" s="47" t="n">
        <v>121</v>
      </c>
      <c r="B128" s="15" t="s">
        <v>278</v>
      </c>
      <c r="C128" s="15" t="s">
        <v>424</v>
      </c>
      <c r="D128" s="15" t="s">
        <v>483</v>
      </c>
      <c r="E128" s="15" t="s">
        <v>484</v>
      </c>
      <c r="F128" s="47" t="s">
        <v>441</v>
      </c>
      <c r="G128" s="15" t="s">
        <v>442</v>
      </c>
      <c r="H128" s="40" t="n">
        <v>16</v>
      </c>
      <c r="I128" s="47" t="s">
        <v>282</v>
      </c>
      <c r="J128" s="47" t="s">
        <v>113</v>
      </c>
      <c r="K128" s="40" t="n">
        <v>2</v>
      </c>
      <c r="L128" s="40" t="n">
        <v>2</v>
      </c>
      <c r="M128" s="45" t="n">
        <v>0.128</v>
      </c>
      <c r="N128" s="48" t="n">
        <f aca="false">K128*L128*M128</f>
        <v>0.512</v>
      </c>
      <c r="O128" s="29" t="n">
        <f aca="false">IFERROR(INDEX(Исходные!$B$18:$B$29,MATCH(H128,Исходные!$A$18:$A$29,0)),0)</f>
        <v>1.578</v>
      </c>
      <c r="P128" s="49" t="n">
        <f aca="false">N128*O128</f>
        <v>0.807936</v>
      </c>
      <c r="Q128" s="15" t="s">
        <v>443</v>
      </c>
      <c r="R128" s="50" t="s">
        <v>436</v>
      </c>
      <c r="S128" s="15" t="s">
        <v>444</v>
      </c>
      <c r="T128" s="15" t="s">
        <v>424</v>
      </c>
      <c r="U128" s="38" t="n">
        <v>0</v>
      </c>
      <c r="V128" s="47" t="s">
        <v>484</v>
      </c>
    </row>
    <row r="129" customFormat="false" ht="23.85" hidden="false" customHeight="false" outlineLevel="0" collapsed="false">
      <c r="A129" s="47" t="n">
        <v>122</v>
      </c>
      <c r="B129" s="15" t="s">
        <v>278</v>
      </c>
      <c r="C129" s="15" t="s">
        <v>424</v>
      </c>
      <c r="D129" s="15" t="s">
        <v>483</v>
      </c>
      <c r="E129" s="15" t="s">
        <v>484</v>
      </c>
      <c r="F129" s="47" t="s">
        <v>445</v>
      </c>
      <c r="G129" s="15" t="s">
        <v>486</v>
      </c>
      <c r="H129" s="40" t="n">
        <v>25</v>
      </c>
      <c r="I129" s="47" t="s">
        <v>282</v>
      </c>
      <c r="J129" s="47" t="s">
        <v>113</v>
      </c>
      <c r="K129" s="40" t="n">
        <v>1</v>
      </c>
      <c r="L129" s="40" t="n">
        <v>2</v>
      </c>
      <c r="M129" s="45" t="n">
        <v>2.05</v>
      </c>
      <c r="N129" s="48" t="n">
        <f aca="false">K129*L129*M129</f>
        <v>4.1</v>
      </c>
      <c r="O129" s="29" t="n">
        <f aca="false">IFERROR(INDEX(Исходные!$B$18:$B$29,MATCH(H129,Исходные!$A$18:$A$29,0)),0)</f>
        <v>3.853</v>
      </c>
      <c r="P129" s="49" t="n">
        <f aca="false">N129*O129</f>
        <v>15.7973</v>
      </c>
      <c r="Q129" s="15" t="s">
        <v>487</v>
      </c>
      <c r="R129" s="50" t="s">
        <v>429</v>
      </c>
      <c r="S129" s="15" t="s">
        <v>448</v>
      </c>
      <c r="T129" s="15" t="s">
        <v>424</v>
      </c>
      <c r="U129" s="38" t="n">
        <v>0</v>
      </c>
      <c r="V129" s="47" t="s">
        <v>484</v>
      </c>
    </row>
    <row r="130" customFormat="false" ht="23.85" hidden="false" customHeight="false" outlineLevel="0" collapsed="false">
      <c r="A130" s="47" t="n">
        <v>123</v>
      </c>
      <c r="B130" s="15" t="s">
        <v>278</v>
      </c>
      <c r="C130" s="15" t="s">
        <v>424</v>
      </c>
      <c r="D130" s="15" t="s">
        <v>483</v>
      </c>
      <c r="E130" s="15" t="s">
        <v>484</v>
      </c>
      <c r="F130" s="47" t="s">
        <v>445</v>
      </c>
      <c r="G130" s="15" t="s">
        <v>488</v>
      </c>
      <c r="H130" s="40" t="n">
        <v>32</v>
      </c>
      <c r="I130" s="47" t="s">
        <v>282</v>
      </c>
      <c r="J130" s="47" t="s">
        <v>113</v>
      </c>
      <c r="K130" s="40" t="n">
        <v>1</v>
      </c>
      <c r="L130" s="40" t="n">
        <v>2</v>
      </c>
      <c r="M130" s="45" t="n">
        <v>3.7</v>
      </c>
      <c r="N130" s="48" t="n">
        <f aca="false">K130*L130*M130</f>
        <v>7.4</v>
      </c>
      <c r="O130" s="29" t="n">
        <f aca="false">IFERROR(INDEX(Исходные!$B$18:$B$29,MATCH(H130,Исходные!$A$18:$A$29,0)),0)</f>
        <v>6.313</v>
      </c>
      <c r="P130" s="49" t="n">
        <f aca="false">N130*O130</f>
        <v>46.7162</v>
      </c>
      <c r="Q130" s="15" t="s">
        <v>489</v>
      </c>
      <c r="R130" s="50" t="s">
        <v>429</v>
      </c>
      <c r="S130" s="15" t="s">
        <v>490</v>
      </c>
      <c r="T130" s="15" t="s">
        <v>424</v>
      </c>
      <c r="U130" s="38" t="n">
        <v>0</v>
      </c>
      <c r="V130" s="47" t="s">
        <v>484</v>
      </c>
    </row>
    <row r="131" customFormat="false" ht="23.85" hidden="false" customHeight="false" outlineLevel="0" collapsed="false">
      <c r="A131" s="47" t="n">
        <v>124</v>
      </c>
      <c r="B131" s="15" t="s">
        <v>278</v>
      </c>
      <c r="C131" s="15" t="s">
        <v>424</v>
      </c>
      <c r="D131" s="15" t="s">
        <v>483</v>
      </c>
      <c r="E131" s="15" t="s">
        <v>484</v>
      </c>
      <c r="F131" s="47" t="s">
        <v>445</v>
      </c>
      <c r="G131" s="15" t="s">
        <v>491</v>
      </c>
      <c r="H131" s="40" t="n">
        <v>28</v>
      </c>
      <c r="I131" s="47" t="s">
        <v>282</v>
      </c>
      <c r="J131" s="47" t="s">
        <v>113</v>
      </c>
      <c r="K131" s="40" t="n">
        <v>1</v>
      </c>
      <c r="L131" s="40" t="n">
        <v>2</v>
      </c>
      <c r="M131" s="45" t="n">
        <v>3.7</v>
      </c>
      <c r="N131" s="48" t="n">
        <f aca="false">K131*L131*M131</f>
        <v>7.4</v>
      </c>
      <c r="O131" s="29" t="n">
        <f aca="false">IFERROR(INDEX(Исходные!$B$18:$B$29,MATCH(H131,Исходные!$A$18:$A$29,0)),0)</f>
        <v>4.834</v>
      </c>
      <c r="P131" s="49" t="n">
        <f aca="false">N131*O131</f>
        <v>35.7716</v>
      </c>
      <c r="Q131" s="15" t="s">
        <v>492</v>
      </c>
      <c r="R131" s="50" t="s">
        <v>429</v>
      </c>
      <c r="S131" s="15" t="s">
        <v>493</v>
      </c>
      <c r="T131" s="15" t="s">
        <v>424</v>
      </c>
      <c r="U131" s="38" t="n">
        <v>0</v>
      </c>
      <c r="V131" s="47" t="s">
        <v>484</v>
      </c>
    </row>
    <row r="132" customFormat="false" ht="23.85" hidden="false" customHeight="false" outlineLevel="0" collapsed="false">
      <c r="A132" s="47" t="n">
        <v>125</v>
      </c>
      <c r="B132" s="15" t="s">
        <v>278</v>
      </c>
      <c r="C132" s="15" t="s">
        <v>424</v>
      </c>
      <c r="D132" s="15" t="s">
        <v>483</v>
      </c>
      <c r="E132" s="15" t="s">
        <v>484</v>
      </c>
      <c r="F132" s="47" t="s">
        <v>445</v>
      </c>
      <c r="G132" s="15" t="s">
        <v>494</v>
      </c>
      <c r="H132" s="40" t="n">
        <v>28</v>
      </c>
      <c r="I132" s="47" t="s">
        <v>282</v>
      </c>
      <c r="J132" s="47" t="s">
        <v>113</v>
      </c>
      <c r="K132" s="40" t="n">
        <v>1</v>
      </c>
      <c r="L132" s="40" t="n">
        <v>2</v>
      </c>
      <c r="M132" s="45" t="n">
        <v>3.6</v>
      </c>
      <c r="N132" s="48" t="n">
        <f aca="false">K132*L132*M132</f>
        <v>7.2</v>
      </c>
      <c r="O132" s="29" t="n">
        <f aca="false">IFERROR(INDEX(Исходные!$B$18:$B$29,MATCH(H132,Исходные!$A$18:$A$29,0)),0)</f>
        <v>4.834</v>
      </c>
      <c r="P132" s="49" t="n">
        <f aca="false">N132*O132</f>
        <v>34.8048</v>
      </c>
      <c r="Q132" s="15" t="s">
        <v>492</v>
      </c>
      <c r="R132" s="50" t="s">
        <v>429</v>
      </c>
      <c r="S132" s="15" t="s">
        <v>495</v>
      </c>
      <c r="T132" s="15" t="s">
        <v>424</v>
      </c>
      <c r="U132" s="38" t="n">
        <v>0</v>
      </c>
      <c r="V132" s="47" t="s">
        <v>484</v>
      </c>
    </row>
    <row r="133" customFormat="false" ht="23.85" hidden="false" customHeight="false" outlineLevel="0" collapsed="false">
      <c r="A133" s="47" t="n">
        <v>126</v>
      </c>
      <c r="B133" s="15" t="s">
        <v>278</v>
      </c>
      <c r="C133" s="15" t="s">
        <v>424</v>
      </c>
      <c r="D133" s="15" t="s">
        <v>483</v>
      </c>
      <c r="E133" s="15" t="s">
        <v>484</v>
      </c>
      <c r="F133" s="47" t="s">
        <v>445</v>
      </c>
      <c r="G133" s="15" t="s">
        <v>496</v>
      </c>
      <c r="H133" s="40" t="n">
        <v>25</v>
      </c>
      <c r="I133" s="47" t="s">
        <v>282</v>
      </c>
      <c r="J133" s="47" t="s">
        <v>113</v>
      </c>
      <c r="K133" s="40" t="n">
        <v>1</v>
      </c>
      <c r="L133" s="40" t="n">
        <v>2</v>
      </c>
      <c r="M133" s="45" t="n">
        <v>2.05</v>
      </c>
      <c r="N133" s="48" t="n">
        <f aca="false">K133*L133*M133</f>
        <v>4.1</v>
      </c>
      <c r="O133" s="29" t="n">
        <f aca="false">IFERROR(INDEX(Исходные!$B$18:$B$29,MATCH(H133,Исходные!$A$18:$A$29,0)),0)</f>
        <v>3.853</v>
      </c>
      <c r="P133" s="49" t="n">
        <f aca="false">N133*O133</f>
        <v>15.7973</v>
      </c>
      <c r="Q133" s="15" t="s">
        <v>487</v>
      </c>
      <c r="R133" s="50" t="s">
        <v>429</v>
      </c>
      <c r="S133" s="15" t="s">
        <v>497</v>
      </c>
      <c r="T133" s="15" t="s">
        <v>424</v>
      </c>
      <c r="U133" s="38" t="n">
        <v>0</v>
      </c>
      <c r="V133" s="47" t="s">
        <v>484</v>
      </c>
    </row>
    <row r="134" customFormat="false" ht="23.85" hidden="false" customHeight="false" outlineLevel="0" collapsed="false">
      <c r="A134" s="47" t="n">
        <v>127</v>
      </c>
      <c r="B134" s="15" t="s">
        <v>278</v>
      </c>
      <c r="C134" s="15" t="s">
        <v>424</v>
      </c>
      <c r="D134" s="15" t="s">
        <v>483</v>
      </c>
      <c r="E134" s="15" t="s">
        <v>484</v>
      </c>
      <c r="F134" s="47" t="s">
        <v>445</v>
      </c>
      <c r="G134" s="15" t="s">
        <v>498</v>
      </c>
      <c r="H134" s="40" t="n">
        <v>16</v>
      </c>
      <c r="I134" s="47" t="s">
        <v>282</v>
      </c>
      <c r="J134" s="47" t="s">
        <v>113</v>
      </c>
      <c r="K134" s="40" t="n">
        <v>1</v>
      </c>
      <c r="L134" s="40" t="n">
        <v>2</v>
      </c>
      <c r="M134" s="45" t="n">
        <v>2.9</v>
      </c>
      <c r="N134" s="48" t="n">
        <f aca="false">K134*L134*M134</f>
        <v>5.8</v>
      </c>
      <c r="O134" s="29" t="n">
        <f aca="false">IFERROR(INDEX(Исходные!$B$18:$B$29,MATCH(H134,Исходные!$A$18:$A$29,0)),0)</f>
        <v>1.578</v>
      </c>
      <c r="P134" s="49" t="n">
        <f aca="false">N134*O134</f>
        <v>9.1524</v>
      </c>
      <c r="Q134" s="15" t="s">
        <v>499</v>
      </c>
      <c r="R134" s="50" t="s">
        <v>429</v>
      </c>
      <c r="S134" s="15" t="s">
        <v>500</v>
      </c>
      <c r="T134" s="15" t="s">
        <v>424</v>
      </c>
      <c r="U134" s="38" t="n">
        <v>0</v>
      </c>
      <c r="V134" s="47" t="s">
        <v>484</v>
      </c>
    </row>
    <row r="135" customFormat="false" ht="23.85" hidden="false" customHeight="false" outlineLevel="0" collapsed="false">
      <c r="A135" s="47" t="n">
        <v>128</v>
      </c>
      <c r="B135" s="15" t="s">
        <v>278</v>
      </c>
      <c r="C135" s="15" t="s">
        <v>424</v>
      </c>
      <c r="D135" s="15" t="s">
        <v>483</v>
      </c>
      <c r="E135" s="15" t="s">
        <v>484</v>
      </c>
      <c r="F135" s="47" t="s">
        <v>445</v>
      </c>
      <c r="G135" s="15" t="s">
        <v>501</v>
      </c>
      <c r="H135" s="40" t="n">
        <v>22</v>
      </c>
      <c r="I135" s="47" t="s">
        <v>282</v>
      </c>
      <c r="J135" s="47" t="s">
        <v>113</v>
      </c>
      <c r="K135" s="40" t="n">
        <v>1</v>
      </c>
      <c r="L135" s="40" t="n">
        <v>2</v>
      </c>
      <c r="M135" s="45" t="n">
        <v>3.2</v>
      </c>
      <c r="N135" s="48" t="n">
        <f aca="false">K135*L135*M135</f>
        <v>6.4</v>
      </c>
      <c r="O135" s="29" t="n">
        <f aca="false">IFERROR(INDEX(Исходные!$B$18:$B$29,MATCH(H135,Исходные!$A$18:$A$29,0)),0)</f>
        <v>2.984</v>
      </c>
      <c r="P135" s="49" t="n">
        <f aca="false">N135*O135</f>
        <v>19.0976</v>
      </c>
      <c r="Q135" s="15" t="s">
        <v>502</v>
      </c>
      <c r="R135" s="50" t="s">
        <v>429</v>
      </c>
      <c r="S135" s="15" t="s">
        <v>503</v>
      </c>
      <c r="T135" s="15" t="s">
        <v>424</v>
      </c>
      <c r="U135" s="38" t="n">
        <v>0</v>
      </c>
      <c r="V135" s="47" t="s">
        <v>484</v>
      </c>
    </row>
    <row r="136" customFormat="false" ht="23.85" hidden="false" customHeight="false" outlineLevel="0" collapsed="false">
      <c r="A136" s="47" t="n">
        <v>129</v>
      </c>
      <c r="B136" s="15" t="s">
        <v>278</v>
      </c>
      <c r="C136" s="15" t="s">
        <v>424</v>
      </c>
      <c r="D136" s="15" t="s">
        <v>483</v>
      </c>
      <c r="E136" s="15" t="s">
        <v>484</v>
      </c>
      <c r="F136" s="47" t="s">
        <v>445</v>
      </c>
      <c r="G136" s="15" t="s">
        <v>504</v>
      </c>
      <c r="H136" s="40" t="n">
        <v>16</v>
      </c>
      <c r="I136" s="47" t="s">
        <v>282</v>
      </c>
      <c r="J136" s="47" t="s">
        <v>113</v>
      </c>
      <c r="K136" s="40" t="n">
        <v>1</v>
      </c>
      <c r="L136" s="40" t="n">
        <v>2</v>
      </c>
      <c r="M136" s="45" t="n">
        <v>2.9</v>
      </c>
      <c r="N136" s="48" t="n">
        <f aca="false">K136*L136*M136</f>
        <v>5.8</v>
      </c>
      <c r="O136" s="29" t="n">
        <f aca="false">IFERROR(INDEX(Исходные!$B$18:$B$29,MATCH(H136,Исходные!$A$18:$A$29,0)),0)</f>
        <v>1.578</v>
      </c>
      <c r="P136" s="49" t="n">
        <f aca="false">N136*O136</f>
        <v>9.1524</v>
      </c>
      <c r="Q136" s="15" t="s">
        <v>499</v>
      </c>
      <c r="R136" s="50" t="s">
        <v>429</v>
      </c>
      <c r="S136" s="15" t="s">
        <v>505</v>
      </c>
      <c r="T136" s="15" t="s">
        <v>424</v>
      </c>
      <c r="U136" s="38" t="n">
        <v>0</v>
      </c>
      <c r="V136" s="47" t="s">
        <v>484</v>
      </c>
    </row>
    <row r="137" customFormat="false" ht="23.85" hidden="false" customHeight="false" outlineLevel="0" collapsed="false">
      <c r="A137" s="47" t="n">
        <v>130</v>
      </c>
      <c r="B137" s="15" t="s">
        <v>278</v>
      </c>
      <c r="C137" s="15" t="s">
        <v>424</v>
      </c>
      <c r="D137" s="15" t="s">
        <v>483</v>
      </c>
      <c r="E137" s="15" t="s">
        <v>484</v>
      </c>
      <c r="F137" s="47" t="s">
        <v>445</v>
      </c>
      <c r="G137" s="15" t="s">
        <v>506</v>
      </c>
      <c r="H137" s="40" t="n">
        <v>14</v>
      </c>
      <c r="I137" s="47" t="s">
        <v>282</v>
      </c>
      <c r="J137" s="47" t="s">
        <v>113</v>
      </c>
      <c r="K137" s="40" t="n">
        <v>1</v>
      </c>
      <c r="L137" s="40" t="n">
        <v>2</v>
      </c>
      <c r="M137" s="45" t="n">
        <v>3.7</v>
      </c>
      <c r="N137" s="48" t="n">
        <f aca="false">K137*L137*M137</f>
        <v>7.4</v>
      </c>
      <c r="O137" s="29" t="n">
        <f aca="false">IFERROR(INDEX(Исходные!$B$18:$B$29,MATCH(H137,Исходные!$A$18:$A$29,0)),0)</f>
        <v>1.208</v>
      </c>
      <c r="P137" s="49" t="n">
        <f aca="false">N137*O137</f>
        <v>8.9392</v>
      </c>
      <c r="Q137" s="15" t="s">
        <v>507</v>
      </c>
      <c r="R137" s="50" t="s">
        <v>429</v>
      </c>
      <c r="S137" s="15" t="s">
        <v>490</v>
      </c>
      <c r="T137" s="15" t="s">
        <v>424</v>
      </c>
      <c r="U137" s="38" t="n">
        <v>0</v>
      </c>
      <c r="V137" s="47" t="s">
        <v>484</v>
      </c>
    </row>
    <row r="138" customFormat="false" ht="23.85" hidden="false" customHeight="false" outlineLevel="0" collapsed="false">
      <c r="A138" s="47" t="n">
        <v>131</v>
      </c>
      <c r="B138" s="15" t="s">
        <v>278</v>
      </c>
      <c r="C138" s="15" t="s">
        <v>424</v>
      </c>
      <c r="D138" s="15" t="s">
        <v>483</v>
      </c>
      <c r="E138" s="15" t="s">
        <v>484</v>
      </c>
      <c r="F138" s="47" t="s">
        <v>445</v>
      </c>
      <c r="G138" s="15" t="s">
        <v>508</v>
      </c>
      <c r="H138" s="40" t="n">
        <v>14</v>
      </c>
      <c r="I138" s="47" t="s">
        <v>282</v>
      </c>
      <c r="J138" s="47" t="s">
        <v>113</v>
      </c>
      <c r="K138" s="40" t="n">
        <v>1</v>
      </c>
      <c r="L138" s="40" t="n">
        <v>2</v>
      </c>
      <c r="M138" s="45" t="n">
        <v>3.7</v>
      </c>
      <c r="N138" s="48" t="n">
        <f aca="false">K138*L138*M138</f>
        <v>7.4</v>
      </c>
      <c r="O138" s="29" t="n">
        <f aca="false">IFERROR(INDEX(Исходные!$B$18:$B$29,MATCH(H138,Исходные!$A$18:$A$29,0)),0)</f>
        <v>1.208</v>
      </c>
      <c r="P138" s="49" t="n">
        <f aca="false">N138*O138</f>
        <v>8.9392</v>
      </c>
      <c r="Q138" s="15" t="s">
        <v>507</v>
      </c>
      <c r="R138" s="50" t="s">
        <v>429</v>
      </c>
      <c r="S138" s="15" t="s">
        <v>493</v>
      </c>
      <c r="T138" s="15" t="s">
        <v>424</v>
      </c>
      <c r="U138" s="38" t="n">
        <v>0</v>
      </c>
      <c r="V138" s="47" t="s">
        <v>484</v>
      </c>
    </row>
    <row r="139" customFormat="false" ht="23.85" hidden="false" customHeight="false" outlineLevel="0" collapsed="false">
      <c r="A139" s="47" t="n">
        <v>132</v>
      </c>
      <c r="B139" s="15" t="s">
        <v>278</v>
      </c>
      <c r="C139" s="15" t="s">
        <v>424</v>
      </c>
      <c r="D139" s="15" t="s">
        <v>483</v>
      </c>
      <c r="E139" s="15" t="s">
        <v>484</v>
      </c>
      <c r="F139" s="47" t="s">
        <v>445</v>
      </c>
      <c r="G139" s="15" t="s">
        <v>509</v>
      </c>
      <c r="H139" s="40" t="n">
        <v>12</v>
      </c>
      <c r="I139" s="47" t="s">
        <v>282</v>
      </c>
      <c r="J139" s="47" t="s">
        <v>113</v>
      </c>
      <c r="K139" s="40" t="n">
        <v>1</v>
      </c>
      <c r="L139" s="40" t="n">
        <v>2</v>
      </c>
      <c r="M139" s="45" t="n">
        <v>10.6</v>
      </c>
      <c r="N139" s="48" t="n">
        <f aca="false">K139*L139*M139</f>
        <v>21.2</v>
      </c>
      <c r="O139" s="29" t="n">
        <f aca="false">IFERROR(INDEX(Исходные!$B$18:$B$29,MATCH(H139,Исходные!$A$18:$A$29,0)),0)</f>
        <v>0.888</v>
      </c>
      <c r="P139" s="49" t="n">
        <f aca="false">N139*O139</f>
        <v>18.8256</v>
      </c>
      <c r="Q139" s="15" t="s">
        <v>510</v>
      </c>
      <c r="R139" s="50" t="s">
        <v>429</v>
      </c>
      <c r="S139" s="15" t="s">
        <v>511</v>
      </c>
      <c r="T139" s="15" t="s">
        <v>424</v>
      </c>
      <c r="U139" s="38" t="n">
        <v>0</v>
      </c>
      <c r="V139" s="47" t="s">
        <v>484</v>
      </c>
    </row>
    <row r="140" customFormat="false" ht="23.85" hidden="false" customHeight="false" outlineLevel="0" collapsed="false">
      <c r="A140" s="47" t="n">
        <v>133</v>
      </c>
      <c r="B140" s="15" t="s">
        <v>278</v>
      </c>
      <c r="C140" s="15" t="s">
        <v>424</v>
      </c>
      <c r="D140" s="15" t="s">
        <v>483</v>
      </c>
      <c r="E140" s="15" t="s">
        <v>484</v>
      </c>
      <c r="F140" s="47" t="s">
        <v>445</v>
      </c>
      <c r="G140" s="15" t="s">
        <v>512</v>
      </c>
      <c r="H140" s="40" t="n">
        <v>12</v>
      </c>
      <c r="I140" s="47" t="s">
        <v>282</v>
      </c>
      <c r="J140" s="47" t="s">
        <v>113</v>
      </c>
      <c r="K140" s="40" t="n">
        <v>1</v>
      </c>
      <c r="L140" s="40" t="n">
        <v>2</v>
      </c>
      <c r="M140" s="45" t="n">
        <v>3.6</v>
      </c>
      <c r="N140" s="48" t="n">
        <f aca="false">K140*L140*M140</f>
        <v>7.2</v>
      </c>
      <c r="O140" s="29" t="n">
        <f aca="false">IFERROR(INDEX(Исходные!$B$18:$B$29,MATCH(H140,Исходные!$A$18:$A$29,0)),0)</f>
        <v>0.888</v>
      </c>
      <c r="P140" s="49" t="n">
        <f aca="false">N140*O140</f>
        <v>6.3936</v>
      </c>
      <c r="Q140" s="15" t="s">
        <v>510</v>
      </c>
      <c r="R140" s="50" t="s">
        <v>429</v>
      </c>
      <c r="S140" s="15" t="s">
        <v>495</v>
      </c>
      <c r="T140" s="15" t="s">
        <v>424</v>
      </c>
      <c r="U140" s="38" t="n">
        <v>0</v>
      </c>
      <c r="V140" s="47" t="s">
        <v>484</v>
      </c>
    </row>
    <row r="141" customFormat="false" ht="23.85" hidden="false" customHeight="false" outlineLevel="0" collapsed="false">
      <c r="A141" s="47" t="n">
        <v>134</v>
      </c>
      <c r="B141" s="15" t="s">
        <v>278</v>
      </c>
      <c r="C141" s="15" t="s">
        <v>424</v>
      </c>
      <c r="D141" s="15" t="s">
        <v>483</v>
      </c>
      <c r="E141" s="15" t="s">
        <v>484</v>
      </c>
      <c r="F141" s="47" t="s">
        <v>465</v>
      </c>
      <c r="G141" s="15" t="s">
        <v>466</v>
      </c>
      <c r="H141" s="40" t="n">
        <v>8</v>
      </c>
      <c r="I141" s="47" t="s">
        <v>316</v>
      </c>
      <c r="J141" s="47" t="s">
        <v>467</v>
      </c>
      <c r="K141" s="40" t="n">
        <v>1</v>
      </c>
      <c r="L141" s="40" t="n">
        <v>99</v>
      </c>
      <c r="M141" s="45" t="n">
        <v>2.06</v>
      </c>
      <c r="N141" s="48" t="n">
        <f aca="false">K141*L141*M141</f>
        <v>203.94</v>
      </c>
      <c r="O141" s="29" t="n">
        <f aca="false">IFERROR(INDEX(Исходные!$B$18:$B$29,MATCH(H141,Исходные!$A$18:$A$29,0)),0)</f>
        <v>0.395</v>
      </c>
      <c r="P141" s="49" t="n">
        <f aca="false">N141*O141</f>
        <v>80.5563</v>
      </c>
      <c r="Q141" s="15" t="s">
        <v>468</v>
      </c>
      <c r="R141" s="50" t="s">
        <v>284</v>
      </c>
      <c r="S141" s="15" t="s">
        <v>513</v>
      </c>
      <c r="T141" s="15" t="s">
        <v>424</v>
      </c>
      <c r="U141" s="38" t="n">
        <v>0</v>
      </c>
      <c r="V141" s="47" t="s">
        <v>484</v>
      </c>
    </row>
    <row r="142" customFormat="false" ht="35.05" hidden="false" customHeight="false" outlineLevel="0" collapsed="false">
      <c r="A142" s="47" t="n">
        <v>135</v>
      </c>
      <c r="B142" s="15" t="s">
        <v>278</v>
      </c>
      <c r="C142" s="15" t="s">
        <v>424</v>
      </c>
      <c r="D142" s="15" t="s">
        <v>483</v>
      </c>
      <c r="E142" s="15" t="s">
        <v>484</v>
      </c>
      <c r="F142" s="47" t="s">
        <v>331</v>
      </c>
      <c r="G142" s="15" t="s">
        <v>470</v>
      </c>
      <c r="H142" s="40" t="n">
        <v>10</v>
      </c>
      <c r="I142" s="47" t="s">
        <v>316</v>
      </c>
      <c r="J142" s="47" t="n">
        <v>100</v>
      </c>
      <c r="K142" s="40" t="n">
        <v>1</v>
      </c>
      <c r="L142" s="40" t="n">
        <v>95</v>
      </c>
      <c r="M142" s="45" t="n">
        <v>2.06</v>
      </c>
      <c r="N142" s="48" t="n">
        <f aca="false">K142*L142*M142</f>
        <v>195.7</v>
      </c>
      <c r="O142" s="29" t="n">
        <f aca="false">IFERROR(INDEX(Исходные!$B$18:$B$29,MATCH(H142,Исходные!$A$18:$A$29,0)),0)</f>
        <v>0.617</v>
      </c>
      <c r="P142" s="49" t="n">
        <f aca="false">N142*O142</f>
        <v>120.7469</v>
      </c>
      <c r="Q142" s="15" t="s">
        <v>514</v>
      </c>
      <c r="R142" s="50" t="s">
        <v>284</v>
      </c>
      <c r="S142" s="15" t="s">
        <v>515</v>
      </c>
      <c r="T142" s="15" t="s">
        <v>424</v>
      </c>
      <c r="U142" s="38" t="n">
        <v>0</v>
      </c>
      <c r="V142" s="47" t="s">
        <v>484</v>
      </c>
    </row>
    <row r="143" customFormat="false" ht="23.85" hidden="false" customHeight="false" outlineLevel="0" collapsed="false">
      <c r="A143" s="47" t="n">
        <v>136</v>
      </c>
      <c r="B143" s="15" t="s">
        <v>278</v>
      </c>
      <c r="C143" s="15" t="s">
        <v>424</v>
      </c>
      <c r="D143" s="15" t="s">
        <v>483</v>
      </c>
      <c r="E143" s="15" t="s">
        <v>484</v>
      </c>
      <c r="F143" s="47" t="s">
        <v>373</v>
      </c>
      <c r="G143" s="15" t="s">
        <v>473</v>
      </c>
      <c r="H143" s="40" t="n">
        <v>10</v>
      </c>
      <c r="I143" s="47" t="s">
        <v>316</v>
      </c>
      <c r="J143" s="47" t="n">
        <v>100</v>
      </c>
      <c r="K143" s="40" t="n">
        <v>1</v>
      </c>
      <c r="L143" s="40" t="n">
        <v>19</v>
      </c>
      <c r="M143" s="45" t="n">
        <v>1.6</v>
      </c>
      <c r="N143" s="48" t="n">
        <f aca="false">K143*L143*M143</f>
        <v>30.4</v>
      </c>
      <c r="O143" s="29" t="n">
        <f aca="false">IFERROR(INDEX(Исходные!$B$18:$B$29,MATCH(H143,Исходные!$A$18:$A$29,0)),0)</f>
        <v>0.617</v>
      </c>
      <c r="P143" s="49" t="n">
        <f aca="false">N143*O143</f>
        <v>18.7568</v>
      </c>
      <c r="Q143" s="15" t="s">
        <v>516</v>
      </c>
      <c r="R143" s="50" t="s">
        <v>284</v>
      </c>
      <c r="S143" s="15"/>
      <c r="T143" s="15" t="s">
        <v>424</v>
      </c>
      <c r="U143" s="38" t="n">
        <v>0</v>
      </c>
      <c r="V143" s="47" t="s">
        <v>484</v>
      </c>
    </row>
    <row r="144" customFormat="false" ht="23.85" hidden="false" customHeight="false" outlineLevel="0" collapsed="false">
      <c r="A144" s="47" t="n">
        <v>137</v>
      </c>
      <c r="B144" s="15" t="s">
        <v>278</v>
      </c>
      <c r="C144" s="15" t="s">
        <v>424</v>
      </c>
      <c r="D144" s="15" t="s">
        <v>483</v>
      </c>
      <c r="E144" s="15" t="s">
        <v>484</v>
      </c>
      <c r="F144" s="47" t="s">
        <v>475</v>
      </c>
      <c r="G144" s="15" t="s">
        <v>476</v>
      </c>
      <c r="H144" s="40" t="n">
        <v>8</v>
      </c>
      <c r="I144" s="47" t="s">
        <v>316</v>
      </c>
      <c r="J144" s="47" t="s">
        <v>477</v>
      </c>
      <c r="K144" s="40" t="n">
        <v>1</v>
      </c>
      <c r="L144" s="40" t="n">
        <v>113</v>
      </c>
      <c r="M144" s="45" t="n">
        <v>0.75</v>
      </c>
      <c r="N144" s="48" t="n">
        <f aca="false">K144*L144*M144</f>
        <v>84.75</v>
      </c>
      <c r="O144" s="29" t="n">
        <f aca="false">IFERROR(INDEX(Исходные!$B$18:$B$29,MATCH(H144,Исходные!$A$18:$A$29,0)),0)</f>
        <v>0.395</v>
      </c>
      <c r="P144" s="49" t="n">
        <f aca="false">N144*O144</f>
        <v>33.47625</v>
      </c>
      <c r="Q144" s="15" t="s">
        <v>478</v>
      </c>
      <c r="R144" s="50" t="s">
        <v>284</v>
      </c>
      <c r="S144" s="15"/>
      <c r="T144" s="15" t="s">
        <v>424</v>
      </c>
      <c r="U144" s="38" t="n">
        <v>0</v>
      </c>
      <c r="V144" s="47" t="s">
        <v>484</v>
      </c>
    </row>
    <row r="145" customFormat="false" ht="23.85" hidden="false" customHeight="false" outlineLevel="0" collapsed="false">
      <c r="A145" s="47" t="n">
        <v>138</v>
      </c>
      <c r="B145" s="15" t="s">
        <v>278</v>
      </c>
      <c r="C145" s="15" t="s">
        <v>424</v>
      </c>
      <c r="D145" s="15" t="s">
        <v>483</v>
      </c>
      <c r="E145" s="15" t="s">
        <v>484</v>
      </c>
      <c r="F145" s="47" t="s">
        <v>479</v>
      </c>
      <c r="G145" s="15" t="s">
        <v>480</v>
      </c>
      <c r="H145" s="40" t="n">
        <v>8</v>
      </c>
      <c r="I145" s="47" t="s">
        <v>316</v>
      </c>
      <c r="J145" s="47" t="n">
        <v>300</v>
      </c>
      <c r="K145" s="40" t="n">
        <v>1</v>
      </c>
      <c r="L145" s="40" t="n">
        <v>77</v>
      </c>
      <c r="M145" s="45" t="n">
        <v>0.58</v>
      </c>
      <c r="N145" s="48" t="n">
        <f aca="false">K145*L145*M145</f>
        <v>44.66</v>
      </c>
      <c r="O145" s="29" t="n">
        <f aca="false">IFERROR(INDEX(Исходные!$B$18:$B$29,MATCH(H145,Исходные!$A$18:$A$29,0)),0)</f>
        <v>0.395</v>
      </c>
      <c r="P145" s="49" t="n">
        <f aca="false">N145*O145</f>
        <v>17.6407</v>
      </c>
      <c r="Q145" s="15" t="s">
        <v>481</v>
      </c>
      <c r="R145" s="51" t="s">
        <v>407</v>
      </c>
      <c r="S145" s="15" t="s">
        <v>482</v>
      </c>
      <c r="T145" s="15" t="s">
        <v>424</v>
      </c>
      <c r="U145" s="38" t="n">
        <v>1</v>
      </c>
      <c r="V145" s="47" t="s">
        <v>484</v>
      </c>
    </row>
    <row r="146" customFormat="false" ht="35.05" hidden="false" customHeight="false" outlineLevel="0" collapsed="false">
      <c r="A146" s="47" t="n">
        <v>139</v>
      </c>
      <c r="B146" s="15" t="s">
        <v>278</v>
      </c>
      <c r="C146" s="15" t="s">
        <v>424</v>
      </c>
      <c r="D146" s="15" t="s">
        <v>517</v>
      </c>
      <c r="E146" s="15" t="s">
        <v>518</v>
      </c>
      <c r="F146" s="47" t="s">
        <v>289</v>
      </c>
      <c r="G146" s="15" t="s">
        <v>427</v>
      </c>
      <c r="H146" s="40" t="n">
        <v>28</v>
      </c>
      <c r="I146" s="47" t="s">
        <v>282</v>
      </c>
      <c r="J146" s="47" t="s">
        <v>113</v>
      </c>
      <c r="K146" s="40" t="n">
        <v>1</v>
      </c>
      <c r="L146" s="40" t="n">
        <v>4</v>
      </c>
      <c r="M146" s="45" t="n">
        <v>25.5</v>
      </c>
      <c r="N146" s="48" t="n">
        <f aca="false">K146*L146*M146</f>
        <v>102</v>
      </c>
      <c r="O146" s="29" t="n">
        <f aca="false">IFERROR(INDEX(Исходные!$B$18:$B$29,MATCH(H146,Исходные!$A$18:$A$29,0)),0)</f>
        <v>4.834</v>
      </c>
      <c r="P146" s="49" t="n">
        <f aca="false">N146*O146</f>
        <v>493.068</v>
      </c>
      <c r="Q146" s="15" t="s">
        <v>519</v>
      </c>
      <c r="R146" s="50" t="s">
        <v>429</v>
      </c>
      <c r="S146" s="15" t="s">
        <v>430</v>
      </c>
      <c r="T146" s="15" t="s">
        <v>424</v>
      </c>
      <c r="U146" s="38" t="n">
        <v>0</v>
      </c>
      <c r="V146" s="47" t="s">
        <v>518</v>
      </c>
    </row>
    <row r="147" customFormat="false" ht="23.85" hidden="false" customHeight="false" outlineLevel="0" collapsed="false">
      <c r="A147" s="47" t="n">
        <v>140</v>
      </c>
      <c r="B147" s="15" t="s">
        <v>278</v>
      </c>
      <c r="C147" s="15" t="s">
        <v>424</v>
      </c>
      <c r="D147" s="15" t="s">
        <v>517</v>
      </c>
      <c r="E147" s="15" t="s">
        <v>518</v>
      </c>
      <c r="F147" s="47" t="s">
        <v>299</v>
      </c>
      <c r="G147" s="15" t="s">
        <v>431</v>
      </c>
      <c r="H147" s="40" t="n">
        <v>18</v>
      </c>
      <c r="I147" s="47" t="s">
        <v>282</v>
      </c>
      <c r="J147" s="47" t="s">
        <v>113</v>
      </c>
      <c r="K147" s="40" t="n">
        <v>1</v>
      </c>
      <c r="L147" s="40" t="n">
        <v>2</v>
      </c>
      <c r="M147" s="45" t="n">
        <v>25.5</v>
      </c>
      <c r="N147" s="48" t="n">
        <f aca="false">K147*L147*M147</f>
        <v>51</v>
      </c>
      <c r="O147" s="29" t="n">
        <f aca="false">IFERROR(INDEX(Исходные!$B$18:$B$29,MATCH(H147,Исходные!$A$18:$A$29,0)),0)</f>
        <v>1.998</v>
      </c>
      <c r="P147" s="49" t="n">
        <f aca="false">N147*O147</f>
        <v>101.898</v>
      </c>
      <c r="Q147" s="15" t="s">
        <v>432</v>
      </c>
      <c r="R147" s="50" t="s">
        <v>429</v>
      </c>
      <c r="S147" s="15"/>
      <c r="T147" s="15" t="s">
        <v>424</v>
      </c>
      <c r="U147" s="38" t="n">
        <v>0</v>
      </c>
      <c r="V147" s="47" t="s">
        <v>518</v>
      </c>
    </row>
    <row r="148" customFormat="false" ht="35.05" hidden="false" customHeight="false" outlineLevel="0" collapsed="false">
      <c r="A148" s="47" t="n">
        <v>141</v>
      </c>
      <c r="B148" s="15" t="s">
        <v>278</v>
      </c>
      <c r="C148" s="15" t="s">
        <v>424</v>
      </c>
      <c r="D148" s="15" t="s">
        <v>517</v>
      </c>
      <c r="E148" s="15" t="s">
        <v>518</v>
      </c>
      <c r="F148" s="47" t="s">
        <v>433</v>
      </c>
      <c r="G148" s="15" t="s">
        <v>434</v>
      </c>
      <c r="H148" s="40" t="n">
        <v>18</v>
      </c>
      <c r="I148" s="47" t="s">
        <v>282</v>
      </c>
      <c r="J148" s="47" t="s">
        <v>113</v>
      </c>
      <c r="K148" s="40" t="n">
        <v>2</v>
      </c>
      <c r="L148" s="40" t="n">
        <v>2</v>
      </c>
      <c r="M148" s="45" t="n">
        <v>0.144</v>
      </c>
      <c r="N148" s="48" t="n">
        <f aca="false">K148*L148*M148</f>
        <v>0.576</v>
      </c>
      <c r="O148" s="29" t="n">
        <f aca="false">IFERROR(INDEX(Исходные!$B$18:$B$29,MATCH(H148,Исходные!$A$18:$A$29,0)),0)</f>
        <v>1.998</v>
      </c>
      <c r="P148" s="49" t="n">
        <f aca="false">N148*O148</f>
        <v>1.150848</v>
      </c>
      <c r="Q148" s="15" t="s">
        <v>435</v>
      </c>
      <c r="R148" s="50" t="s">
        <v>436</v>
      </c>
      <c r="S148" s="15" t="s">
        <v>437</v>
      </c>
      <c r="T148" s="15" t="s">
        <v>424</v>
      </c>
      <c r="U148" s="38" t="n">
        <v>0</v>
      </c>
      <c r="V148" s="47" t="s">
        <v>518</v>
      </c>
    </row>
    <row r="149" customFormat="false" ht="23.85" hidden="false" customHeight="false" outlineLevel="0" collapsed="false">
      <c r="A149" s="47" t="n">
        <v>142</v>
      </c>
      <c r="B149" s="15" t="s">
        <v>278</v>
      </c>
      <c r="C149" s="15" t="s">
        <v>424</v>
      </c>
      <c r="D149" s="15" t="s">
        <v>517</v>
      </c>
      <c r="E149" s="15" t="s">
        <v>518</v>
      </c>
      <c r="F149" s="47" t="s">
        <v>438</v>
      </c>
      <c r="G149" s="15" t="s">
        <v>439</v>
      </c>
      <c r="H149" s="40" t="n">
        <v>16</v>
      </c>
      <c r="I149" s="47" t="s">
        <v>282</v>
      </c>
      <c r="J149" s="47" t="s">
        <v>113</v>
      </c>
      <c r="K149" s="40" t="n">
        <v>1</v>
      </c>
      <c r="L149" s="40" t="n">
        <v>2</v>
      </c>
      <c r="M149" s="45" t="n">
        <v>25.5</v>
      </c>
      <c r="N149" s="48" t="n">
        <f aca="false">K149*L149*M149</f>
        <v>51</v>
      </c>
      <c r="O149" s="29" t="n">
        <f aca="false">IFERROR(INDEX(Исходные!$B$18:$B$29,MATCH(H149,Исходные!$A$18:$A$29,0)),0)</f>
        <v>1.578</v>
      </c>
      <c r="P149" s="49" t="n">
        <f aca="false">N149*O149</f>
        <v>80.478</v>
      </c>
      <c r="Q149" s="15" t="s">
        <v>440</v>
      </c>
      <c r="R149" s="50" t="s">
        <v>429</v>
      </c>
      <c r="S149" s="15"/>
      <c r="T149" s="15" t="s">
        <v>424</v>
      </c>
      <c r="U149" s="38" t="n">
        <v>0</v>
      </c>
      <c r="V149" s="47" t="s">
        <v>518</v>
      </c>
    </row>
    <row r="150" customFormat="false" ht="35.05" hidden="false" customHeight="false" outlineLevel="0" collapsed="false">
      <c r="A150" s="47" t="n">
        <v>143</v>
      </c>
      <c r="B150" s="15" t="s">
        <v>278</v>
      </c>
      <c r="C150" s="15" t="s">
        <v>424</v>
      </c>
      <c r="D150" s="15" t="s">
        <v>517</v>
      </c>
      <c r="E150" s="15" t="s">
        <v>518</v>
      </c>
      <c r="F150" s="47" t="s">
        <v>441</v>
      </c>
      <c r="G150" s="15" t="s">
        <v>442</v>
      </c>
      <c r="H150" s="40" t="n">
        <v>16</v>
      </c>
      <c r="I150" s="47" t="s">
        <v>282</v>
      </c>
      <c r="J150" s="47" t="s">
        <v>113</v>
      </c>
      <c r="K150" s="40" t="n">
        <v>2</v>
      </c>
      <c r="L150" s="40" t="n">
        <v>2</v>
      </c>
      <c r="M150" s="45" t="n">
        <v>0.128</v>
      </c>
      <c r="N150" s="48" t="n">
        <f aca="false">K150*L150*M150</f>
        <v>0.512</v>
      </c>
      <c r="O150" s="29" t="n">
        <f aca="false">IFERROR(INDEX(Исходные!$B$18:$B$29,MATCH(H150,Исходные!$A$18:$A$29,0)),0)</f>
        <v>1.578</v>
      </c>
      <c r="P150" s="49" t="n">
        <f aca="false">N150*O150</f>
        <v>0.807936</v>
      </c>
      <c r="Q150" s="15" t="s">
        <v>443</v>
      </c>
      <c r="R150" s="50" t="s">
        <v>436</v>
      </c>
      <c r="S150" s="15" t="s">
        <v>444</v>
      </c>
      <c r="T150" s="15" t="s">
        <v>424</v>
      </c>
      <c r="U150" s="38" t="n">
        <v>0</v>
      </c>
      <c r="V150" s="47" t="s">
        <v>518</v>
      </c>
    </row>
    <row r="151" customFormat="false" ht="23.85" hidden="false" customHeight="false" outlineLevel="0" collapsed="false">
      <c r="A151" s="47" t="n">
        <v>144</v>
      </c>
      <c r="B151" s="15" t="s">
        <v>278</v>
      </c>
      <c r="C151" s="15" t="s">
        <v>424</v>
      </c>
      <c r="D151" s="15" t="s">
        <v>517</v>
      </c>
      <c r="E151" s="15" t="s">
        <v>518</v>
      </c>
      <c r="F151" s="47" t="s">
        <v>445</v>
      </c>
      <c r="G151" s="15" t="s">
        <v>446</v>
      </c>
      <c r="H151" s="40" t="n">
        <v>28</v>
      </c>
      <c r="I151" s="47" t="s">
        <v>282</v>
      </c>
      <c r="J151" s="47" t="s">
        <v>113</v>
      </c>
      <c r="K151" s="40" t="n">
        <v>1</v>
      </c>
      <c r="L151" s="40" t="n">
        <v>2</v>
      </c>
      <c r="M151" s="45" t="n">
        <v>2.05</v>
      </c>
      <c r="N151" s="48" t="n">
        <f aca="false">K151*L151*M151</f>
        <v>4.1</v>
      </c>
      <c r="O151" s="29" t="n">
        <f aca="false">IFERROR(INDEX(Исходные!$B$18:$B$29,MATCH(H151,Исходные!$A$18:$A$29,0)),0)</f>
        <v>4.834</v>
      </c>
      <c r="P151" s="49" t="n">
        <f aca="false">N151*O151</f>
        <v>19.8194</v>
      </c>
      <c r="Q151" s="15" t="s">
        <v>520</v>
      </c>
      <c r="R151" s="50" t="s">
        <v>429</v>
      </c>
      <c r="S151" s="15" t="s">
        <v>448</v>
      </c>
      <c r="T151" s="15" t="s">
        <v>424</v>
      </c>
      <c r="U151" s="38" t="n">
        <v>0</v>
      </c>
      <c r="V151" s="47" t="s">
        <v>518</v>
      </c>
    </row>
    <row r="152" customFormat="false" ht="23.85" hidden="false" customHeight="false" outlineLevel="0" collapsed="false">
      <c r="A152" s="47" t="n">
        <v>145</v>
      </c>
      <c r="B152" s="15" t="s">
        <v>278</v>
      </c>
      <c r="C152" s="15" t="s">
        <v>424</v>
      </c>
      <c r="D152" s="15" t="s">
        <v>517</v>
      </c>
      <c r="E152" s="15" t="s">
        <v>518</v>
      </c>
      <c r="F152" s="47" t="s">
        <v>445</v>
      </c>
      <c r="G152" s="15" t="s">
        <v>488</v>
      </c>
      <c r="H152" s="40" t="n">
        <v>32</v>
      </c>
      <c r="I152" s="47" t="s">
        <v>282</v>
      </c>
      <c r="J152" s="47" t="s">
        <v>113</v>
      </c>
      <c r="K152" s="40" t="n">
        <v>1</v>
      </c>
      <c r="L152" s="40" t="n">
        <v>2</v>
      </c>
      <c r="M152" s="45" t="n">
        <v>3.7</v>
      </c>
      <c r="N152" s="48" t="n">
        <f aca="false">K152*L152*M152</f>
        <v>7.4</v>
      </c>
      <c r="O152" s="29" t="n">
        <f aca="false">IFERROR(INDEX(Исходные!$B$18:$B$29,MATCH(H152,Исходные!$A$18:$A$29,0)),0)</f>
        <v>6.313</v>
      </c>
      <c r="P152" s="49" t="n">
        <f aca="false">N152*O152</f>
        <v>46.7162</v>
      </c>
      <c r="Q152" s="15" t="s">
        <v>521</v>
      </c>
      <c r="R152" s="50" t="s">
        <v>429</v>
      </c>
      <c r="S152" s="15" t="s">
        <v>490</v>
      </c>
      <c r="T152" s="15" t="s">
        <v>424</v>
      </c>
      <c r="U152" s="38" t="n">
        <v>0</v>
      </c>
      <c r="V152" s="47" t="s">
        <v>518</v>
      </c>
    </row>
    <row r="153" customFormat="false" ht="23.85" hidden="false" customHeight="false" outlineLevel="0" collapsed="false">
      <c r="A153" s="47" t="n">
        <v>146</v>
      </c>
      <c r="B153" s="15" t="s">
        <v>278</v>
      </c>
      <c r="C153" s="15" t="s">
        <v>424</v>
      </c>
      <c r="D153" s="15" t="s">
        <v>517</v>
      </c>
      <c r="E153" s="15" t="s">
        <v>518</v>
      </c>
      <c r="F153" s="47" t="s">
        <v>445</v>
      </c>
      <c r="G153" s="15" t="s">
        <v>522</v>
      </c>
      <c r="H153" s="40" t="n">
        <v>32</v>
      </c>
      <c r="I153" s="47" t="s">
        <v>282</v>
      </c>
      <c r="J153" s="47" t="s">
        <v>113</v>
      </c>
      <c r="K153" s="40" t="n">
        <v>1</v>
      </c>
      <c r="L153" s="40" t="n">
        <v>2</v>
      </c>
      <c r="M153" s="45" t="n">
        <v>3.7</v>
      </c>
      <c r="N153" s="48" t="n">
        <f aca="false">K153*L153*M153</f>
        <v>7.4</v>
      </c>
      <c r="O153" s="29" t="n">
        <f aca="false">IFERROR(INDEX(Исходные!$B$18:$B$29,MATCH(H153,Исходные!$A$18:$A$29,0)),0)</f>
        <v>6.313</v>
      </c>
      <c r="P153" s="49" t="n">
        <f aca="false">N153*O153</f>
        <v>46.7162</v>
      </c>
      <c r="Q153" s="15" t="s">
        <v>521</v>
      </c>
      <c r="R153" s="50" t="s">
        <v>429</v>
      </c>
      <c r="S153" s="15" t="s">
        <v>493</v>
      </c>
      <c r="T153" s="15" t="s">
        <v>424</v>
      </c>
      <c r="U153" s="38" t="n">
        <v>0</v>
      </c>
      <c r="V153" s="47" t="s">
        <v>518</v>
      </c>
    </row>
    <row r="154" customFormat="false" ht="23.85" hidden="false" customHeight="false" outlineLevel="0" collapsed="false">
      <c r="A154" s="47" t="n">
        <v>147</v>
      </c>
      <c r="B154" s="15" t="s">
        <v>278</v>
      </c>
      <c r="C154" s="15" t="s">
        <v>424</v>
      </c>
      <c r="D154" s="15" t="s">
        <v>517</v>
      </c>
      <c r="E154" s="15" t="s">
        <v>518</v>
      </c>
      <c r="F154" s="47" t="s">
        <v>445</v>
      </c>
      <c r="G154" s="15" t="s">
        <v>494</v>
      </c>
      <c r="H154" s="40" t="n">
        <v>28</v>
      </c>
      <c r="I154" s="47" t="s">
        <v>282</v>
      </c>
      <c r="J154" s="47" t="s">
        <v>113</v>
      </c>
      <c r="K154" s="40" t="n">
        <v>1</v>
      </c>
      <c r="L154" s="40" t="n">
        <v>2</v>
      </c>
      <c r="M154" s="45" t="n">
        <v>3.6</v>
      </c>
      <c r="N154" s="48" t="n">
        <f aca="false">K154*L154*M154</f>
        <v>7.2</v>
      </c>
      <c r="O154" s="29" t="n">
        <f aca="false">IFERROR(INDEX(Исходные!$B$18:$B$29,MATCH(H154,Исходные!$A$18:$A$29,0)),0)</f>
        <v>4.834</v>
      </c>
      <c r="P154" s="49" t="n">
        <f aca="false">N154*O154</f>
        <v>34.8048</v>
      </c>
      <c r="Q154" s="15" t="s">
        <v>520</v>
      </c>
      <c r="R154" s="50" t="s">
        <v>429</v>
      </c>
      <c r="S154" s="15" t="s">
        <v>495</v>
      </c>
      <c r="T154" s="15" t="s">
        <v>424</v>
      </c>
      <c r="U154" s="38" t="n">
        <v>0</v>
      </c>
      <c r="V154" s="47" t="s">
        <v>518</v>
      </c>
    </row>
    <row r="155" customFormat="false" ht="23.85" hidden="false" customHeight="false" outlineLevel="0" collapsed="false">
      <c r="A155" s="47" t="n">
        <v>148</v>
      </c>
      <c r="B155" s="15" t="s">
        <v>278</v>
      </c>
      <c r="C155" s="15" t="s">
        <v>424</v>
      </c>
      <c r="D155" s="15" t="s">
        <v>517</v>
      </c>
      <c r="E155" s="15" t="s">
        <v>518</v>
      </c>
      <c r="F155" s="47" t="s">
        <v>445</v>
      </c>
      <c r="G155" s="15" t="s">
        <v>496</v>
      </c>
      <c r="H155" s="40" t="n">
        <v>25</v>
      </c>
      <c r="I155" s="47" t="s">
        <v>282</v>
      </c>
      <c r="J155" s="47" t="s">
        <v>113</v>
      </c>
      <c r="K155" s="40" t="n">
        <v>1</v>
      </c>
      <c r="L155" s="40" t="n">
        <v>2</v>
      </c>
      <c r="M155" s="45" t="n">
        <v>2.05</v>
      </c>
      <c r="N155" s="48" t="n">
        <f aca="false">K155*L155*M155</f>
        <v>4.1</v>
      </c>
      <c r="O155" s="29" t="n">
        <f aca="false">IFERROR(INDEX(Исходные!$B$18:$B$29,MATCH(H155,Исходные!$A$18:$A$29,0)),0)</f>
        <v>3.853</v>
      </c>
      <c r="P155" s="49" t="n">
        <f aca="false">N155*O155</f>
        <v>15.7973</v>
      </c>
      <c r="Q155" s="15" t="s">
        <v>523</v>
      </c>
      <c r="R155" s="50" t="s">
        <v>429</v>
      </c>
      <c r="S155" s="15" t="s">
        <v>497</v>
      </c>
      <c r="T155" s="15" t="s">
        <v>424</v>
      </c>
      <c r="U155" s="38" t="n">
        <v>0</v>
      </c>
      <c r="V155" s="47" t="s">
        <v>518</v>
      </c>
    </row>
    <row r="156" customFormat="false" ht="23.85" hidden="false" customHeight="false" outlineLevel="0" collapsed="false">
      <c r="A156" s="47" t="n">
        <v>149</v>
      </c>
      <c r="B156" s="15" t="s">
        <v>278</v>
      </c>
      <c r="C156" s="15" t="s">
        <v>424</v>
      </c>
      <c r="D156" s="15" t="s">
        <v>517</v>
      </c>
      <c r="E156" s="15" t="s">
        <v>518</v>
      </c>
      <c r="F156" s="47" t="s">
        <v>445</v>
      </c>
      <c r="G156" s="15" t="s">
        <v>524</v>
      </c>
      <c r="H156" s="40" t="n">
        <v>14</v>
      </c>
      <c r="I156" s="47" t="s">
        <v>282</v>
      </c>
      <c r="J156" s="47" t="s">
        <v>113</v>
      </c>
      <c r="K156" s="40" t="n">
        <v>1</v>
      </c>
      <c r="L156" s="40" t="n">
        <v>2</v>
      </c>
      <c r="M156" s="45" t="n">
        <v>4.2</v>
      </c>
      <c r="N156" s="48" t="n">
        <f aca="false">K156*L156*M156</f>
        <v>8.4</v>
      </c>
      <c r="O156" s="29" t="n">
        <f aca="false">IFERROR(INDEX(Исходные!$B$18:$B$29,MATCH(H156,Исходные!$A$18:$A$29,0)),0)</f>
        <v>1.208</v>
      </c>
      <c r="P156" s="49" t="n">
        <f aca="false">N156*O156</f>
        <v>10.1472</v>
      </c>
      <c r="Q156" s="15" t="s">
        <v>525</v>
      </c>
      <c r="R156" s="50" t="s">
        <v>429</v>
      </c>
      <c r="S156" s="15" t="s">
        <v>526</v>
      </c>
      <c r="T156" s="15" t="s">
        <v>424</v>
      </c>
      <c r="U156" s="38" t="n">
        <v>0</v>
      </c>
      <c r="V156" s="47" t="s">
        <v>518</v>
      </c>
    </row>
    <row r="157" customFormat="false" ht="23.85" hidden="false" customHeight="false" outlineLevel="0" collapsed="false">
      <c r="A157" s="47" t="n">
        <v>150</v>
      </c>
      <c r="B157" s="15" t="s">
        <v>278</v>
      </c>
      <c r="C157" s="15" t="s">
        <v>424</v>
      </c>
      <c r="D157" s="15" t="s">
        <v>517</v>
      </c>
      <c r="E157" s="15" t="s">
        <v>518</v>
      </c>
      <c r="F157" s="47" t="s">
        <v>445</v>
      </c>
      <c r="G157" s="15" t="s">
        <v>527</v>
      </c>
      <c r="H157" s="40" t="n">
        <v>14</v>
      </c>
      <c r="I157" s="47" t="s">
        <v>282</v>
      </c>
      <c r="J157" s="47" t="s">
        <v>113</v>
      </c>
      <c r="K157" s="40" t="n">
        <v>1</v>
      </c>
      <c r="L157" s="40" t="n">
        <v>2</v>
      </c>
      <c r="M157" s="45" t="n">
        <v>3.9</v>
      </c>
      <c r="N157" s="48" t="n">
        <f aca="false">K157*L157*M157</f>
        <v>7.8</v>
      </c>
      <c r="O157" s="29" t="n">
        <f aca="false">IFERROR(INDEX(Исходные!$B$18:$B$29,MATCH(H157,Исходные!$A$18:$A$29,0)),0)</f>
        <v>1.208</v>
      </c>
      <c r="P157" s="49" t="n">
        <f aca="false">N157*O157</f>
        <v>9.4224</v>
      </c>
      <c r="Q157" s="15" t="s">
        <v>525</v>
      </c>
      <c r="R157" s="50" t="s">
        <v>429</v>
      </c>
      <c r="S157" s="15" t="s">
        <v>528</v>
      </c>
      <c r="T157" s="15" t="s">
        <v>424</v>
      </c>
      <c r="U157" s="38" t="n">
        <v>0</v>
      </c>
      <c r="V157" s="47" t="s">
        <v>518</v>
      </c>
    </row>
    <row r="158" customFormat="false" ht="23.85" hidden="false" customHeight="false" outlineLevel="0" collapsed="false">
      <c r="A158" s="47" t="n">
        <v>151</v>
      </c>
      <c r="B158" s="15" t="s">
        <v>278</v>
      </c>
      <c r="C158" s="15" t="s">
        <v>424</v>
      </c>
      <c r="D158" s="15" t="s">
        <v>517</v>
      </c>
      <c r="E158" s="15" t="s">
        <v>518</v>
      </c>
      <c r="F158" s="47" t="s">
        <v>445</v>
      </c>
      <c r="G158" s="15" t="s">
        <v>498</v>
      </c>
      <c r="H158" s="40" t="n">
        <v>16</v>
      </c>
      <c r="I158" s="47" t="s">
        <v>282</v>
      </c>
      <c r="J158" s="47" t="s">
        <v>113</v>
      </c>
      <c r="K158" s="40" t="n">
        <v>1</v>
      </c>
      <c r="L158" s="40" t="n">
        <v>2</v>
      </c>
      <c r="M158" s="45" t="n">
        <v>2.9</v>
      </c>
      <c r="N158" s="48" t="n">
        <f aca="false">K158*L158*M158</f>
        <v>5.8</v>
      </c>
      <c r="O158" s="29" t="n">
        <f aca="false">IFERROR(INDEX(Исходные!$B$18:$B$29,MATCH(H158,Исходные!$A$18:$A$29,0)),0)</f>
        <v>1.578</v>
      </c>
      <c r="P158" s="49" t="n">
        <f aca="false">N158*O158</f>
        <v>9.1524</v>
      </c>
      <c r="Q158" s="15" t="s">
        <v>529</v>
      </c>
      <c r="R158" s="50" t="s">
        <v>429</v>
      </c>
      <c r="S158" s="15" t="s">
        <v>500</v>
      </c>
      <c r="T158" s="15" t="s">
        <v>424</v>
      </c>
      <c r="U158" s="38" t="n">
        <v>0</v>
      </c>
      <c r="V158" s="47" t="s">
        <v>518</v>
      </c>
    </row>
    <row r="159" customFormat="false" ht="23.85" hidden="false" customHeight="false" outlineLevel="0" collapsed="false">
      <c r="A159" s="47" t="n">
        <v>152</v>
      </c>
      <c r="B159" s="15" t="s">
        <v>278</v>
      </c>
      <c r="C159" s="15" t="s">
        <v>424</v>
      </c>
      <c r="D159" s="15" t="s">
        <v>517</v>
      </c>
      <c r="E159" s="15" t="s">
        <v>518</v>
      </c>
      <c r="F159" s="47" t="s">
        <v>445</v>
      </c>
      <c r="G159" s="15" t="s">
        <v>501</v>
      </c>
      <c r="H159" s="40" t="n">
        <v>22</v>
      </c>
      <c r="I159" s="47" t="s">
        <v>282</v>
      </c>
      <c r="J159" s="47" t="s">
        <v>113</v>
      </c>
      <c r="K159" s="40" t="n">
        <v>1</v>
      </c>
      <c r="L159" s="40" t="n">
        <v>2</v>
      </c>
      <c r="M159" s="45" t="n">
        <v>3.2</v>
      </c>
      <c r="N159" s="48" t="n">
        <f aca="false">K159*L159*M159</f>
        <v>6.4</v>
      </c>
      <c r="O159" s="29" t="n">
        <f aca="false">IFERROR(INDEX(Исходные!$B$18:$B$29,MATCH(H159,Исходные!$A$18:$A$29,0)),0)</f>
        <v>2.984</v>
      </c>
      <c r="P159" s="49" t="n">
        <f aca="false">N159*O159</f>
        <v>19.0976</v>
      </c>
      <c r="Q159" s="15" t="s">
        <v>530</v>
      </c>
      <c r="R159" s="50" t="s">
        <v>429</v>
      </c>
      <c r="S159" s="15" t="s">
        <v>503</v>
      </c>
      <c r="T159" s="15" t="s">
        <v>424</v>
      </c>
      <c r="U159" s="38" t="n">
        <v>0</v>
      </c>
      <c r="V159" s="47" t="s">
        <v>518</v>
      </c>
    </row>
    <row r="160" customFormat="false" ht="23.85" hidden="false" customHeight="false" outlineLevel="0" collapsed="false">
      <c r="A160" s="47" t="n">
        <v>153</v>
      </c>
      <c r="B160" s="15" t="s">
        <v>278</v>
      </c>
      <c r="C160" s="15" t="s">
        <v>424</v>
      </c>
      <c r="D160" s="15" t="s">
        <v>517</v>
      </c>
      <c r="E160" s="15" t="s">
        <v>518</v>
      </c>
      <c r="F160" s="47" t="s">
        <v>445</v>
      </c>
      <c r="G160" s="15" t="s">
        <v>504</v>
      </c>
      <c r="H160" s="40" t="n">
        <v>16</v>
      </c>
      <c r="I160" s="47" t="s">
        <v>282</v>
      </c>
      <c r="J160" s="47" t="s">
        <v>113</v>
      </c>
      <c r="K160" s="40" t="n">
        <v>1</v>
      </c>
      <c r="L160" s="40" t="n">
        <v>2</v>
      </c>
      <c r="M160" s="45" t="n">
        <v>2.9</v>
      </c>
      <c r="N160" s="48" t="n">
        <f aca="false">K160*L160*M160</f>
        <v>5.8</v>
      </c>
      <c r="O160" s="29" t="n">
        <f aca="false">IFERROR(INDEX(Исходные!$B$18:$B$29,MATCH(H160,Исходные!$A$18:$A$29,0)),0)</f>
        <v>1.578</v>
      </c>
      <c r="P160" s="49" t="n">
        <f aca="false">N160*O160</f>
        <v>9.1524</v>
      </c>
      <c r="Q160" s="15" t="s">
        <v>529</v>
      </c>
      <c r="R160" s="50" t="s">
        <v>429</v>
      </c>
      <c r="S160" s="15" t="s">
        <v>505</v>
      </c>
      <c r="T160" s="15" t="s">
        <v>424</v>
      </c>
      <c r="U160" s="38" t="n">
        <v>0</v>
      </c>
      <c r="V160" s="47" t="s">
        <v>518</v>
      </c>
    </row>
    <row r="161" customFormat="false" ht="23.85" hidden="false" customHeight="false" outlineLevel="0" collapsed="false">
      <c r="A161" s="47" t="n">
        <v>154</v>
      </c>
      <c r="B161" s="15" t="s">
        <v>278</v>
      </c>
      <c r="C161" s="15" t="s">
        <v>424</v>
      </c>
      <c r="D161" s="15" t="s">
        <v>517</v>
      </c>
      <c r="E161" s="15" t="s">
        <v>518</v>
      </c>
      <c r="F161" s="47" t="s">
        <v>445</v>
      </c>
      <c r="G161" s="15" t="s">
        <v>506</v>
      </c>
      <c r="H161" s="40" t="n">
        <v>14</v>
      </c>
      <c r="I161" s="47" t="s">
        <v>282</v>
      </c>
      <c r="J161" s="47" t="s">
        <v>113</v>
      </c>
      <c r="K161" s="40" t="n">
        <v>1</v>
      </c>
      <c r="L161" s="40" t="n">
        <v>2</v>
      </c>
      <c r="M161" s="45" t="n">
        <v>3.7</v>
      </c>
      <c r="N161" s="48" t="n">
        <f aca="false">K161*L161*M161</f>
        <v>7.4</v>
      </c>
      <c r="O161" s="29" t="n">
        <f aca="false">IFERROR(INDEX(Исходные!$B$18:$B$29,MATCH(H161,Исходные!$A$18:$A$29,0)),0)</f>
        <v>1.208</v>
      </c>
      <c r="P161" s="49" t="n">
        <f aca="false">N161*O161</f>
        <v>8.9392</v>
      </c>
      <c r="Q161" s="15" t="s">
        <v>525</v>
      </c>
      <c r="R161" s="50" t="s">
        <v>429</v>
      </c>
      <c r="S161" s="15" t="s">
        <v>490</v>
      </c>
      <c r="T161" s="15" t="s">
        <v>424</v>
      </c>
      <c r="U161" s="38" t="n">
        <v>0</v>
      </c>
      <c r="V161" s="47" t="s">
        <v>518</v>
      </c>
    </row>
    <row r="162" customFormat="false" ht="23.85" hidden="false" customHeight="false" outlineLevel="0" collapsed="false">
      <c r="A162" s="47" t="n">
        <v>155</v>
      </c>
      <c r="B162" s="15" t="s">
        <v>278</v>
      </c>
      <c r="C162" s="15" t="s">
        <v>424</v>
      </c>
      <c r="D162" s="15" t="s">
        <v>517</v>
      </c>
      <c r="E162" s="15" t="s">
        <v>518</v>
      </c>
      <c r="F162" s="47" t="s">
        <v>445</v>
      </c>
      <c r="G162" s="15" t="s">
        <v>531</v>
      </c>
      <c r="H162" s="40" t="n">
        <v>14</v>
      </c>
      <c r="I162" s="47" t="s">
        <v>282</v>
      </c>
      <c r="J162" s="47" t="s">
        <v>113</v>
      </c>
      <c r="K162" s="40" t="n">
        <v>1</v>
      </c>
      <c r="L162" s="40" t="n">
        <v>2</v>
      </c>
      <c r="M162" s="45" t="n">
        <v>4.2</v>
      </c>
      <c r="N162" s="48" t="n">
        <f aca="false">K162*L162*M162</f>
        <v>8.4</v>
      </c>
      <c r="O162" s="29" t="n">
        <f aca="false">IFERROR(INDEX(Исходные!$B$18:$B$29,MATCH(H162,Исходные!$A$18:$A$29,0)),0)</f>
        <v>1.208</v>
      </c>
      <c r="P162" s="49" t="n">
        <f aca="false">N162*O162</f>
        <v>10.1472</v>
      </c>
      <c r="Q162" s="15" t="s">
        <v>525</v>
      </c>
      <c r="R162" s="50" t="s">
        <v>429</v>
      </c>
      <c r="S162" s="15" t="s">
        <v>532</v>
      </c>
      <c r="T162" s="15" t="s">
        <v>424</v>
      </c>
      <c r="U162" s="38" t="n">
        <v>0</v>
      </c>
      <c r="V162" s="47" t="s">
        <v>518</v>
      </c>
    </row>
    <row r="163" customFormat="false" ht="23.85" hidden="false" customHeight="false" outlineLevel="0" collapsed="false">
      <c r="A163" s="47" t="n">
        <v>156</v>
      </c>
      <c r="B163" s="15" t="s">
        <v>278</v>
      </c>
      <c r="C163" s="15" t="s">
        <v>424</v>
      </c>
      <c r="D163" s="15" t="s">
        <v>517</v>
      </c>
      <c r="E163" s="15" t="s">
        <v>518</v>
      </c>
      <c r="F163" s="47" t="s">
        <v>445</v>
      </c>
      <c r="G163" s="15" t="s">
        <v>533</v>
      </c>
      <c r="H163" s="40" t="n">
        <v>12</v>
      </c>
      <c r="I163" s="47" t="s">
        <v>282</v>
      </c>
      <c r="J163" s="47" t="s">
        <v>113</v>
      </c>
      <c r="K163" s="40" t="n">
        <v>1</v>
      </c>
      <c r="L163" s="40" t="n">
        <v>4</v>
      </c>
      <c r="M163" s="45" t="n">
        <v>17.1</v>
      </c>
      <c r="N163" s="48" t="n">
        <f aca="false">K163*L163*M163</f>
        <v>68.4</v>
      </c>
      <c r="O163" s="29" t="n">
        <f aca="false">IFERROR(INDEX(Исходные!$B$18:$B$29,MATCH(H163,Исходные!$A$18:$A$29,0)),0)</f>
        <v>0.888</v>
      </c>
      <c r="P163" s="49" t="n">
        <f aca="false">N163*O163</f>
        <v>60.7392</v>
      </c>
      <c r="Q163" s="15" t="s">
        <v>534</v>
      </c>
      <c r="R163" s="50" t="s">
        <v>429</v>
      </c>
      <c r="S163" s="15" t="s">
        <v>535</v>
      </c>
      <c r="T163" s="15" t="s">
        <v>424</v>
      </c>
      <c r="U163" s="38" t="n">
        <v>0</v>
      </c>
      <c r="V163" s="47" t="s">
        <v>518</v>
      </c>
    </row>
    <row r="164" customFormat="false" ht="35.05" hidden="false" customHeight="false" outlineLevel="0" collapsed="false">
      <c r="A164" s="47" t="n">
        <v>157</v>
      </c>
      <c r="B164" s="15" t="s">
        <v>278</v>
      </c>
      <c r="C164" s="15" t="s">
        <v>424</v>
      </c>
      <c r="D164" s="15" t="s">
        <v>517</v>
      </c>
      <c r="E164" s="15" t="s">
        <v>518</v>
      </c>
      <c r="F164" s="47" t="s">
        <v>536</v>
      </c>
      <c r="G164" s="15" t="s">
        <v>537</v>
      </c>
      <c r="H164" s="40" t="n">
        <v>12</v>
      </c>
      <c r="I164" s="47" t="s">
        <v>282</v>
      </c>
      <c r="J164" s="47" t="s">
        <v>113</v>
      </c>
      <c r="K164" s="40" t="n">
        <v>4</v>
      </c>
      <c r="L164" s="40" t="n">
        <v>1</v>
      </c>
      <c r="M164" s="45" t="n">
        <v>0.096</v>
      </c>
      <c r="N164" s="48" t="n">
        <f aca="false">K164*L164*M164</f>
        <v>0.384</v>
      </c>
      <c r="O164" s="29" t="n">
        <f aca="false">IFERROR(INDEX(Исходные!$B$18:$B$29,MATCH(H164,Исходные!$A$18:$A$29,0)),0)</f>
        <v>0.888</v>
      </c>
      <c r="P164" s="49" t="n">
        <f aca="false">N164*O164</f>
        <v>0.340992</v>
      </c>
      <c r="Q164" s="15" t="s">
        <v>538</v>
      </c>
      <c r="R164" s="50" t="s">
        <v>436</v>
      </c>
      <c r="S164" s="15" t="s">
        <v>539</v>
      </c>
      <c r="T164" s="15" t="s">
        <v>424</v>
      </c>
      <c r="U164" s="38" t="n">
        <v>0</v>
      </c>
      <c r="V164" s="47" t="s">
        <v>518</v>
      </c>
    </row>
    <row r="165" customFormat="false" ht="23.85" hidden="false" customHeight="false" outlineLevel="0" collapsed="false">
      <c r="A165" s="47" t="n">
        <v>158</v>
      </c>
      <c r="B165" s="15" t="s">
        <v>278</v>
      </c>
      <c r="C165" s="15" t="s">
        <v>424</v>
      </c>
      <c r="D165" s="15" t="s">
        <v>517</v>
      </c>
      <c r="E165" s="15" t="s">
        <v>518</v>
      </c>
      <c r="F165" s="47" t="s">
        <v>465</v>
      </c>
      <c r="G165" s="15" t="s">
        <v>466</v>
      </c>
      <c r="H165" s="40" t="n">
        <v>8</v>
      </c>
      <c r="I165" s="47" t="s">
        <v>316</v>
      </c>
      <c r="J165" s="47" t="s">
        <v>467</v>
      </c>
      <c r="K165" s="40" t="n">
        <v>1</v>
      </c>
      <c r="L165" s="40" t="n">
        <v>78</v>
      </c>
      <c r="M165" s="45" t="n">
        <v>2.06</v>
      </c>
      <c r="N165" s="48" t="n">
        <f aca="false">K165*L165*M165</f>
        <v>160.68</v>
      </c>
      <c r="O165" s="29" t="n">
        <f aca="false">IFERROR(INDEX(Исходные!$B$18:$B$29,MATCH(H165,Исходные!$A$18:$A$29,0)),0)</f>
        <v>0.395</v>
      </c>
      <c r="P165" s="49" t="n">
        <f aca="false">N165*O165</f>
        <v>63.4686</v>
      </c>
      <c r="Q165" s="15" t="s">
        <v>468</v>
      </c>
      <c r="R165" s="50" t="s">
        <v>284</v>
      </c>
      <c r="S165" s="15" t="s">
        <v>513</v>
      </c>
      <c r="T165" s="15" t="s">
        <v>424</v>
      </c>
      <c r="U165" s="38" t="n">
        <v>0</v>
      </c>
      <c r="V165" s="47" t="s">
        <v>518</v>
      </c>
    </row>
    <row r="166" customFormat="false" ht="23.85" hidden="false" customHeight="false" outlineLevel="0" collapsed="false">
      <c r="A166" s="47" t="n">
        <v>159</v>
      </c>
      <c r="B166" s="15" t="s">
        <v>278</v>
      </c>
      <c r="C166" s="15" t="s">
        <v>424</v>
      </c>
      <c r="D166" s="15" t="s">
        <v>517</v>
      </c>
      <c r="E166" s="15" t="s">
        <v>518</v>
      </c>
      <c r="F166" s="47" t="s">
        <v>331</v>
      </c>
      <c r="G166" s="15" t="s">
        <v>470</v>
      </c>
      <c r="H166" s="40" t="n">
        <v>10</v>
      </c>
      <c r="I166" s="47" t="s">
        <v>316</v>
      </c>
      <c r="J166" s="47" t="n">
        <v>100</v>
      </c>
      <c r="K166" s="40" t="n">
        <v>1</v>
      </c>
      <c r="L166" s="40" t="n">
        <v>124</v>
      </c>
      <c r="M166" s="45" t="n">
        <v>2.06</v>
      </c>
      <c r="N166" s="48" t="n">
        <f aca="false">K166*L166*M166</f>
        <v>255.44</v>
      </c>
      <c r="O166" s="29" t="n">
        <f aca="false">IFERROR(INDEX(Исходные!$B$18:$B$29,MATCH(H166,Исходные!$A$18:$A$29,0)),0)</f>
        <v>0.617</v>
      </c>
      <c r="P166" s="49" t="n">
        <f aca="false">N166*O166</f>
        <v>157.60648</v>
      </c>
      <c r="Q166" s="15" t="s">
        <v>540</v>
      </c>
      <c r="R166" s="50" t="s">
        <v>284</v>
      </c>
      <c r="S166" s="15" t="s">
        <v>541</v>
      </c>
      <c r="T166" s="15" t="s">
        <v>424</v>
      </c>
      <c r="U166" s="38" t="n">
        <v>0</v>
      </c>
      <c r="V166" s="47" t="s">
        <v>518</v>
      </c>
    </row>
    <row r="167" customFormat="false" ht="23.85" hidden="false" customHeight="false" outlineLevel="0" collapsed="false">
      <c r="A167" s="47" t="n">
        <v>160</v>
      </c>
      <c r="B167" s="15" t="s">
        <v>278</v>
      </c>
      <c r="C167" s="15" t="s">
        <v>424</v>
      </c>
      <c r="D167" s="15" t="s">
        <v>517</v>
      </c>
      <c r="E167" s="15" t="s">
        <v>518</v>
      </c>
      <c r="F167" s="47" t="s">
        <v>373</v>
      </c>
      <c r="G167" s="15" t="s">
        <v>473</v>
      </c>
      <c r="H167" s="40" t="n">
        <v>10</v>
      </c>
      <c r="I167" s="47" t="s">
        <v>316</v>
      </c>
      <c r="J167" s="47" t="n">
        <v>100</v>
      </c>
      <c r="K167" s="40" t="n">
        <v>1</v>
      </c>
      <c r="L167" s="40" t="n">
        <v>115</v>
      </c>
      <c r="M167" s="45" t="n">
        <v>1.6</v>
      </c>
      <c r="N167" s="48" t="n">
        <f aca="false">K167*L167*M167</f>
        <v>184</v>
      </c>
      <c r="O167" s="29" t="n">
        <f aca="false">IFERROR(INDEX(Исходные!$B$18:$B$29,MATCH(H167,Исходные!$A$18:$A$29,0)),0)</f>
        <v>0.617</v>
      </c>
      <c r="P167" s="49" t="n">
        <f aca="false">N167*O167</f>
        <v>113.528</v>
      </c>
      <c r="Q167" s="15" t="s">
        <v>542</v>
      </c>
      <c r="R167" s="50" t="s">
        <v>284</v>
      </c>
      <c r="S167" s="15"/>
      <c r="T167" s="15" t="s">
        <v>424</v>
      </c>
      <c r="U167" s="38" t="n">
        <v>0</v>
      </c>
      <c r="V167" s="47" t="s">
        <v>518</v>
      </c>
    </row>
    <row r="168" customFormat="false" ht="23.85" hidden="false" customHeight="false" outlineLevel="0" collapsed="false">
      <c r="A168" s="47" t="n">
        <v>161</v>
      </c>
      <c r="B168" s="15" t="s">
        <v>278</v>
      </c>
      <c r="C168" s="15" t="s">
        <v>424</v>
      </c>
      <c r="D168" s="15" t="s">
        <v>517</v>
      </c>
      <c r="E168" s="15" t="s">
        <v>518</v>
      </c>
      <c r="F168" s="47" t="s">
        <v>475</v>
      </c>
      <c r="G168" s="15" t="s">
        <v>476</v>
      </c>
      <c r="H168" s="40" t="n">
        <v>8</v>
      </c>
      <c r="I168" s="47" t="s">
        <v>316</v>
      </c>
      <c r="J168" s="47" t="s">
        <v>477</v>
      </c>
      <c r="K168" s="40" t="n">
        <v>1</v>
      </c>
      <c r="L168" s="40" t="n">
        <v>54</v>
      </c>
      <c r="M168" s="45" t="n">
        <v>0.75</v>
      </c>
      <c r="N168" s="48" t="n">
        <f aca="false">K168*L168*M168</f>
        <v>40.5</v>
      </c>
      <c r="O168" s="29" t="n">
        <f aca="false">IFERROR(INDEX(Исходные!$B$18:$B$29,MATCH(H168,Исходные!$A$18:$A$29,0)),0)</f>
        <v>0.395</v>
      </c>
      <c r="P168" s="49" t="n">
        <f aca="false">N168*O168</f>
        <v>15.9975</v>
      </c>
      <c r="Q168" s="15" t="s">
        <v>478</v>
      </c>
      <c r="R168" s="50" t="s">
        <v>284</v>
      </c>
      <c r="S168" s="15"/>
      <c r="T168" s="15" t="s">
        <v>424</v>
      </c>
      <c r="U168" s="38" t="n">
        <v>0</v>
      </c>
      <c r="V168" s="47" t="s">
        <v>518</v>
      </c>
    </row>
    <row r="169" customFormat="false" ht="23.85" hidden="false" customHeight="false" outlineLevel="0" collapsed="false">
      <c r="A169" s="47" t="n">
        <v>162</v>
      </c>
      <c r="B169" s="15" t="s">
        <v>278</v>
      </c>
      <c r="C169" s="15" t="s">
        <v>424</v>
      </c>
      <c r="D169" s="15" t="s">
        <v>517</v>
      </c>
      <c r="E169" s="15" t="s">
        <v>518</v>
      </c>
      <c r="F169" s="47" t="s">
        <v>479</v>
      </c>
      <c r="G169" s="15" t="s">
        <v>480</v>
      </c>
      <c r="H169" s="40" t="n">
        <v>8</v>
      </c>
      <c r="I169" s="47" t="s">
        <v>316</v>
      </c>
      <c r="J169" s="47" t="n">
        <v>300</v>
      </c>
      <c r="K169" s="40" t="n">
        <v>1</v>
      </c>
      <c r="L169" s="40" t="n">
        <v>77</v>
      </c>
      <c r="M169" s="45" t="n">
        <v>0.58</v>
      </c>
      <c r="N169" s="48" t="n">
        <f aca="false">K169*L169*M169</f>
        <v>44.66</v>
      </c>
      <c r="O169" s="29" t="n">
        <f aca="false">IFERROR(INDEX(Исходные!$B$18:$B$29,MATCH(H169,Исходные!$A$18:$A$29,0)),0)</f>
        <v>0.395</v>
      </c>
      <c r="P169" s="49" t="n">
        <f aca="false">N169*O169</f>
        <v>17.6407</v>
      </c>
      <c r="Q169" s="15" t="s">
        <v>481</v>
      </c>
      <c r="R169" s="51" t="s">
        <v>407</v>
      </c>
      <c r="S169" s="15" t="s">
        <v>482</v>
      </c>
      <c r="T169" s="15" t="s">
        <v>424</v>
      </c>
      <c r="U169" s="38" t="n">
        <v>1</v>
      </c>
      <c r="V169" s="47" t="s">
        <v>518</v>
      </c>
    </row>
    <row r="170" customFormat="false" ht="35.05" hidden="false" customHeight="false" outlineLevel="0" collapsed="false">
      <c r="A170" s="47" t="n">
        <v>163</v>
      </c>
      <c r="B170" s="15" t="s">
        <v>278</v>
      </c>
      <c r="C170" s="15" t="s">
        <v>424</v>
      </c>
      <c r="D170" s="15" t="s">
        <v>543</v>
      </c>
      <c r="E170" s="15" t="s">
        <v>544</v>
      </c>
      <c r="F170" s="47" t="s">
        <v>289</v>
      </c>
      <c r="G170" s="15" t="s">
        <v>427</v>
      </c>
      <c r="H170" s="40" t="n">
        <v>28</v>
      </c>
      <c r="I170" s="47" t="s">
        <v>282</v>
      </c>
      <c r="J170" s="47" t="s">
        <v>113</v>
      </c>
      <c r="K170" s="40" t="n">
        <v>1</v>
      </c>
      <c r="L170" s="40" t="n">
        <v>4</v>
      </c>
      <c r="M170" s="45" t="n">
        <v>25.5</v>
      </c>
      <c r="N170" s="48" t="n">
        <f aca="false">K170*L170*M170</f>
        <v>102</v>
      </c>
      <c r="O170" s="29" t="n">
        <f aca="false">IFERROR(INDEX(Исходные!$B$18:$B$29,MATCH(H170,Исходные!$A$18:$A$29,0)),0)</f>
        <v>4.834</v>
      </c>
      <c r="P170" s="49" t="n">
        <f aca="false">N170*O170</f>
        <v>493.068</v>
      </c>
      <c r="Q170" s="15" t="s">
        <v>545</v>
      </c>
      <c r="R170" s="50" t="s">
        <v>429</v>
      </c>
      <c r="S170" s="15" t="s">
        <v>430</v>
      </c>
      <c r="T170" s="15" t="s">
        <v>424</v>
      </c>
      <c r="U170" s="38" t="n">
        <v>0</v>
      </c>
      <c r="V170" s="47" t="s">
        <v>544</v>
      </c>
    </row>
    <row r="171" customFormat="false" ht="23.85" hidden="false" customHeight="false" outlineLevel="0" collapsed="false">
      <c r="A171" s="47" t="n">
        <v>164</v>
      </c>
      <c r="B171" s="15" t="s">
        <v>278</v>
      </c>
      <c r="C171" s="15" t="s">
        <v>424</v>
      </c>
      <c r="D171" s="15" t="s">
        <v>543</v>
      </c>
      <c r="E171" s="15" t="s">
        <v>544</v>
      </c>
      <c r="F171" s="47" t="s">
        <v>299</v>
      </c>
      <c r="G171" s="15" t="s">
        <v>431</v>
      </c>
      <c r="H171" s="40" t="n">
        <v>18</v>
      </c>
      <c r="I171" s="47" t="s">
        <v>282</v>
      </c>
      <c r="J171" s="47" t="s">
        <v>113</v>
      </c>
      <c r="K171" s="40" t="n">
        <v>1</v>
      </c>
      <c r="L171" s="40" t="n">
        <v>2</v>
      </c>
      <c r="M171" s="45" t="n">
        <v>25.5</v>
      </c>
      <c r="N171" s="48" t="n">
        <f aca="false">K171*L171*M171</f>
        <v>51</v>
      </c>
      <c r="O171" s="29" t="n">
        <f aca="false">IFERROR(INDEX(Исходные!$B$18:$B$29,MATCH(H171,Исходные!$A$18:$A$29,0)),0)</f>
        <v>1.998</v>
      </c>
      <c r="P171" s="49" t="n">
        <f aca="false">N171*O171</f>
        <v>101.898</v>
      </c>
      <c r="Q171" s="15" t="s">
        <v>432</v>
      </c>
      <c r="R171" s="50" t="s">
        <v>429</v>
      </c>
      <c r="S171" s="15"/>
      <c r="T171" s="15" t="s">
        <v>424</v>
      </c>
      <c r="U171" s="38" t="n">
        <v>0</v>
      </c>
      <c r="V171" s="47" t="s">
        <v>544</v>
      </c>
    </row>
    <row r="172" customFormat="false" ht="35.05" hidden="false" customHeight="false" outlineLevel="0" collapsed="false">
      <c r="A172" s="47" t="n">
        <v>165</v>
      </c>
      <c r="B172" s="15" t="s">
        <v>278</v>
      </c>
      <c r="C172" s="15" t="s">
        <v>424</v>
      </c>
      <c r="D172" s="15" t="s">
        <v>543</v>
      </c>
      <c r="E172" s="15" t="s">
        <v>544</v>
      </c>
      <c r="F172" s="47" t="s">
        <v>433</v>
      </c>
      <c r="G172" s="15" t="s">
        <v>434</v>
      </c>
      <c r="H172" s="40" t="n">
        <v>18</v>
      </c>
      <c r="I172" s="47" t="s">
        <v>282</v>
      </c>
      <c r="J172" s="47" t="s">
        <v>113</v>
      </c>
      <c r="K172" s="40" t="n">
        <v>2</v>
      </c>
      <c r="L172" s="40" t="n">
        <v>2</v>
      </c>
      <c r="M172" s="45" t="n">
        <v>0.144</v>
      </c>
      <c r="N172" s="48" t="n">
        <f aca="false">K172*L172*M172</f>
        <v>0.576</v>
      </c>
      <c r="O172" s="29" t="n">
        <f aca="false">IFERROR(INDEX(Исходные!$B$18:$B$29,MATCH(H172,Исходные!$A$18:$A$29,0)),0)</f>
        <v>1.998</v>
      </c>
      <c r="P172" s="49" t="n">
        <f aca="false">N172*O172</f>
        <v>1.150848</v>
      </c>
      <c r="Q172" s="15" t="s">
        <v>435</v>
      </c>
      <c r="R172" s="50" t="s">
        <v>436</v>
      </c>
      <c r="S172" s="15" t="s">
        <v>437</v>
      </c>
      <c r="T172" s="15" t="s">
        <v>424</v>
      </c>
      <c r="U172" s="38" t="n">
        <v>0</v>
      </c>
      <c r="V172" s="47" t="s">
        <v>544</v>
      </c>
    </row>
    <row r="173" customFormat="false" ht="23.85" hidden="false" customHeight="false" outlineLevel="0" collapsed="false">
      <c r="A173" s="47" t="n">
        <v>166</v>
      </c>
      <c r="B173" s="15" t="s">
        <v>278</v>
      </c>
      <c r="C173" s="15" t="s">
        <v>424</v>
      </c>
      <c r="D173" s="15" t="s">
        <v>543</v>
      </c>
      <c r="E173" s="15" t="s">
        <v>544</v>
      </c>
      <c r="F173" s="47" t="s">
        <v>438</v>
      </c>
      <c r="G173" s="15" t="s">
        <v>439</v>
      </c>
      <c r="H173" s="40" t="n">
        <v>16</v>
      </c>
      <c r="I173" s="47" t="s">
        <v>282</v>
      </c>
      <c r="J173" s="47" t="s">
        <v>113</v>
      </c>
      <c r="K173" s="40" t="n">
        <v>1</v>
      </c>
      <c r="L173" s="40" t="n">
        <v>2</v>
      </c>
      <c r="M173" s="45" t="n">
        <v>25.5</v>
      </c>
      <c r="N173" s="48" t="n">
        <f aca="false">K173*L173*M173</f>
        <v>51</v>
      </c>
      <c r="O173" s="29" t="n">
        <f aca="false">IFERROR(INDEX(Исходные!$B$18:$B$29,MATCH(H173,Исходные!$A$18:$A$29,0)),0)</f>
        <v>1.578</v>
      </c>
      <c r="P173" s="49" t="n">
        <f aca="false">N173*O173</f>
        <v>80.478</v>
      </c>
      <c r="Q173" s="15" t="s">
        <v>440</v>
      </c>
      <c r="R173" s="50" t="s">
        <v>429</v>
      </c>
      <c r="S173" s="15"/>
      <c r="T173" s="15" t="s">
        <v>424</v>
      </c>
      <c r="U173" s="38" t="n">
        <v>0</v>
      </c>
      <c r="V173" s="47" t="s">
        <v>544</v>
      </c>
    </row>
    <row r="174" customFormat="false" ht="35.05" hidden="false" customHeight="false" outlineLevel="0" collapsed="false">
      <c r="A174" s="47" t="n">
        <v>167</v>
      </c>
      <c r="B174" s="15" t="s">
        <v>278</v>
      </c>
      <c r="C174" s="15" t="s">
        <v>424</v>
      </c>
      <c r="D174" s="15" t="s">
        <v>543</v>
      </c>
      <c r="E174" s="15" t="s">
        <v>544</v>
      </c>
      <c r="F174" s="47" t="s">
        <v>441</v>
      </c>
      <c r="G174" s="15" t="s">
        <v>442</v>
      </c>
      <c r="H174" s="40" t="n">
        <v>16</v>
      </c>
      <c r="I174" s="47" t="s">
        <v>282</v>
      </c>
      <c r="J174" s="47" t="s">
        <v>113</v>
      </c>
      <c r="K174" s="40" t="n">
        <v>2</v>
      </c>
      <c r="L174" s="40" t="n">
        <v>2</v>
      </c>
      <c r="M174" s="45" t="n">
        <v>0.128</v>
      </c>
      <c r="N174" s="48" t="n">
        <f aca="false">K174*L174*M174</f>
        <v>0.512</v>
      </c>
      <c r="O174" s="29" t="n">
        <f aca="false">IFERROR(INDEX(Исходные!$B$18:$B$29,MATCH(H174,Исходные!$A$18:$A$29,0)),0)</f>
        <v>1.578</v>
      </c>
      <c r="P174" s="49" t="n">
        <f aca="false">N174*O174</f>
        <v>0.807936</v>
      </c>
      <c r="Q174" s="15" t="s">
        <v>443</v>
      </c>
      <c r="R174" s="50" t="s">
        <v>436</v>
      </c>
      <c r="S174" s="15" t="s">
        <v>444</v>
      </c>
      <c r="T174" s="15" t="s">
        <v>424</v>
      </c>
      <c r="U174" s="38" t="n">
        <v>0</v>
      </c>
      <c r="V174" s="47" t="s">
        <v>544</v>
      </c>
    </row>
    <row r="175" customFormat="false" ht="23.85" hidden="false" customHeight="false" outlineLevel="0" collapsed="false">
      <c r="A175" s="47" t="n">
        <v>168</v>
      </c>
      <c r="B175" s="15" t="s">
        <v>278</v>
      </c>
      <c r="C175" s="15" t="s">
        <v>424</v>
      </c>
      <c r="D175" s="15" t="s">
        <v>543</v>
      </c>
      <c r="E175" s="15" t="s">
        <v>544</v>
      </c>
      <c r="F175" s="47" t="s">
        <v>445</v>
      </c>
      <c r="G175" s="15" t="s">
        <v>546</v>
      </c>
      <c r="H175" s="40" t="n">
        <v>28</v>
      </c>
      <c r="I175" s="47" t="s">
        <v>282</v>
      </c>
      <c r="J175" s="47" t="s">
        <v>113</v>
      </c>
      <c r="K175" s="40" t="n">
        <v>1</v>
      </c>
      <c r="L175" s="40" t="n">
        <v>2</v>
      </c>
      <c r="M175" s="45" t="n">
        <v>1.85</v>
      </c>
      <c r="N175" s="48" t="n">
        <f aca="false">K175*L175*M175</f>
        <v>3.7</v>
      </c>
      <c r="O175" s="29" t="n">
        <f aca="false">IFERROR(INDEX(Исходные!$B$18:$B$29,MATCH(H175,Исходные!$A$18:$A$29,0)),0)</f>
        <v>4.834</v>
      </c>
      <c r="P175" s="49" t="n">
        <f aca="false">N175*O175</f>
        <v>17.8858</v>
      </c>
      <c r="Q175" s="15" t="s">
        <v>547</v>
      </c>
      <c r="R175" s="50" t="s">
        <v>429</v>
      </c>
      <c r="S175" s="15" t="s">
        <v>548</v>
      </c>
      <c r="T175" s="15" t="s">
        <v>424</v>
      </c>
      <c r="U175" s="38" t="n">
        <v>0</v>
      </c>
      <c r="V175" s="47" t="s">
        <v>544</v>
      </c>
    </row>
    <row r="176" customFormat="false" ht="23.85" hidden="false" customHeight="false" outlineLevel="0" collapsed="false">
      <c r="A176" s="47" t="n">
        <v>169</v>
      </c>
      <c r="B176" s="15" t="s">
        <v>278</v>
      </c>
      <c r="C176" s="15" t="s">
        <v>424</v>
      </c>
      <c r="D176" s="15" t="s">
        <v>543</v>
      </c>
      <c r="E176" s="15" t="s">
        <v>544</v>
      </c>
      <c r="F176" s="47" t="s">
        <v>445</v>
      </c>
      <c r="G176" s="15" t="s">
        <v>549</v>
      </c>
      <c r="H176" s="40" t="n">
        <v>28</v>
      </c>
      <c r="I176" s="47" t="s">
        <v>282</v>
      </c>
      <c r="J176" s="47" t="s">
        <v>113</v>
      </c>
      <c r="K176" s="40" t="n">
        <v>1</v>
      </c>
      <c r="L176" s="40" t="n">
        <v>2</v>
      </c>
      <c r="M176" s="45" t="n">
        <v>5.5</v>
      </c>
      <c r="N176" s="48" t="n">
        <f aca="false">K176*L176*M176</f>
        <v>11</v>
      </c>
      <c r="O176" s="29" t="n">
        <f aca="false">IFERROR(INDEX(Исходные!$B$18:$B$29,MATCH(H176,Исходные!$A$18:$A$29,0)),0)</f>
        <v>4.834</v>
      </c>
      <c r="P176" s="49" t="n">
        <f aca="false">N176*O176</f>
        <v>53.174</v>
      </c>
      <c r="Q176" s="15" t="s">
        <v>547</v>
      </c>
      <c r="R176" s="50" t="s">
        <v>429</v>
      </c>
      <c r="S176" s="15" t="s">
        <v>550</v>
      </c>
      <c r="T176" s="15" t="s">
        <v>424</v>
      </c>
      <c r="U176" s="38" t="n">
        <v>0</v>
      </c>
      <c r="V176" s="47" t="s">
        <v>544</v>
      </c>
    </row>
    <row r="177" customFormat="false" ht="23.85" hidden="false" customHeight="false" outlineLevel="0" collapsed="false">
      <c r="A177" s="47" t="n">
        <v>170</v>
      </c>
      <c r="B177" s="15" t="s">
        <v>278</v>
      </c>
      <c r="C177" s="15" t="s">
        <v>424</v>
      </c>
      <c r="D177" s="15" t="s">
        <v>543</v>
      </c>
      <c r="E177" s="15" t="s">
        <v>544</v>
      </c>
      <c r="F177" s="47" t="s">
        <v>445</v>
      </c>
      <c r="G177" s="15" t="s">
        <v>551</v>
      </c>
      <c r="H177" s="40" t="n">
        <v>22</v>
      </c>
      <c r="I177" s="47" t="s">
        <v>282</v>
      </c>
      <c r="J177" s="47" t="s">
        <v>113</v>
      </c>
      <c r="K177" s="40" t="n">
        <v>1</v>
      </c>
      <c r="L177" s="40" t="n">
        <v>2</v>
      </c>
      <c r="M177" s="45" t="n">
        <v>5.5</v>
      </c>
      <c r="N177" s="48" t="n">
        <f aca="false">K177*L177*M177</f>
        <v>11</v>
      </c>
      <c r="O177" s="29" t="n">
        <f aca="false">IFERROR(INDEX(Исходные!$B$18:$B$29,MATCH(H177,Исходные!$A$18:$A$29,0)),0)</f>
        <v>2.984</v>
      </c>
      <c r="P177" s="49" t="n">
        <f aca="false">N177*O177</f>
        <v>32.824</v>
      </c>
      <c r="Q177" s="15" t="s">
        <v>552</v>
      </c>
      <c r="R177" s="50" t="s">
        <v>429</v>
      </c>
      <c r="S177" s="15" t="s">
        <v>550</v>
      </c>
      <c r="T177" s="15" t="s">
        <v>424</v>
      </c>
      <c r="U177" s="38" t="n">
        <v>0</v>
      </c>
      <c r="V177" s="47" t="s">
        <v>544</v>
      </c>
    </row>
    <row r="178" customFormat="false" ht="23.85" hidden="false" customHeight="false" outlineLevel="0" collapsed="false">
      <c r="A178" s="47" t="n">
        <v>171</v>
      </c>
      <c r="B178" s="15" t="s">
        <v>278</v>
      </c>
      <c r="C178" s="15" t="s">
        <v>424</v>
      </c>
      <c r="D178" s="15" t="s">
        <v>543</v>
      </c>
      <c r="E178" s="15" t="s">
        <v>544</v>
      </c>
      <c r="F178" s="47" t="s">
        <v>445</v>
      </c>
      <c r="G178" s="15" t="s">
        <v>553</v>
      </c>
      <c r="H178" s="40" t="n">
        <v>28</v>
      </c>
      <c r="I178" s="47" t="s">
        <v>282</v>
      </c>
      <c r="J178" s="47" t="s">
        <v>113</v>
      </c>
      <c r="K178" s="40" t="n">
        <v>1</v>
      </c>
      <c r="L178" s="40" t="n">
        <v>2</v>
      </c>
      <c r="M178" s="45" t="n">
        <v>4.7</v>
      </c>
      <c r="N178" s="48" t="n">
        <f aca="false">K178*L178*M178</f>
        <v>9.4</v>
      </c>
      <c r="O178" s="29" t="n">
        <f aca="false">IFERROR(INDEX(Исходные!$B$18:$B$29,MATCH(H178,Исходные!$A$18:$A$29,0)),0)</f>
        <v>4.834</v>
      </c>
      <c r="P178" s="49" t="n">
        <f aca="false">N178*O178</f>
        <v>45.4396</v>
      </c>
      <c r="Q178" s="15" t="s">
        <v>547</v>
      </c>
      <c r="R178" s="50" t="s">
        <v>429</v>
      </c>
      <c r="S178" s="15" t="s">
        <v>554</v>
      </c>
      <c r="T178" s="15" t="s">
        <v>424</v>
      </c>
      <c r="U178" s="38" t="n">
        <v>0</v>
      </c>
      <c r="V178" s="47" t="s">
        <v>544</v>
      </c>
    </row>
    <row r="179" customFormat="false" ht="23.85" hidden="false" customHeight="false" outlineLevel="0" collapsed="false">
      <c r="A179" s="47" t="n">
        <v>172</v>
      </c>
      <c r="B179" s="15" t="s">
        <v>278</v>
      </c>
      <c r="C179" s="15" t="s">
        <v>424</v>
      </c>
      <c r="D179" s="15" t="s">
        <v>543</v>
      </c>
      <c r="E179" s="15" t="s">
        <v>544</v>
      </c>
      <c r="F179" s="47" t="s">
        <v>445</v>
      </c>
      <c r="G179" s="15" t="s">
        <v>555</v>
      </c>
      <c r="H179" s="40" t="n">
        <v>22</v>
      </c>
      <c r="I179" s="47" t="s">
        <v>282</v>
      </c>
      <c r="J179" s="47" t="s">
        <v>113</v>
      </c>
      <c r="K179" s="40" t="n">
        <v>1</v>
      </c>
      <c r="L179" s="40" t="n">
        <v>2</v>
      </c>
      <c r="M179" s="45" t="n">
        <v>4.7</v>
      </c>
      <c r="N179" s="48" t="n">
        <f aca="false">K179*L179*M179</f>
        <v>9.4</v>
      </c>
      <c r="O179" s="29" t="n">
        <f aca="false">IFERROR(INDEX(Исходные!$B$18:$B$29,MATCH(H179,Исходные!$A$18:$A$29,0)),0)</f>
        <v>2.984</v>
      </c>
      <c r="P179" s="49" t="n">
        <f aca="false">N179*O179</f>
        <v>28.0496</v>
      </c>
      <c r="Q179" s="15" t="s">
        <v>552</v>
      </c>
      <c r="R179" s="50" t="s">
        <v>429</v>
      </c>
      <c r="S179" s="15" t="s">
        <v>554</v>
      </c>
      <c r="T179" s="15" t="s">
        <v>424</v>
      </c>
      <c r="U179" s="38" t="n">
        <v>0</v>
      </c>
      <c r="V179" s="47" t="s">
        <v>544</v>
      </c>
    </row>
    <row r="180" customFormat="false" ht="23.85" hidden="false" customHeight="false" outlineLevel="0" collapsed="false">
      <c r="A180" s="47" t="n">
        <v>173</v>
      </c>
      <c r="B180" s="15" t="s">
        <v>278</v>
      </c>
      <c r="C180" s="15" t="s">
        <v>424</v>
      </c>
      <c r="D180" s="15" t="s">
        <v>543</v>
      </c>
      <c r="E180" s="15" t="s">
        <v>544</v>
      </c>
      <c r="F180" s="47" t="s">
        <v>445</v>
      </c>
      <c r="G180" s="15" t="s">
        <v>556</v>
      </c>
      <c r="H180" s="40" t="n">
        <v>32</v>
      </c>
      <c r="I180" s="47" t="s">
        <v>282</v>
      </c>
      <c r="J180" s="47" t="s">
        <v>113</v>
      </c>
      <c r="K180" s="40" t="n">
        <v>1</v>
      </c>
      <c r="L180" s="40" t="n">
        <v>2</v>
      </c>
      <c r="M180" s="45" t="n">
        <v>4.3</v>
      </c>
      <c r="N180" s="48" t="n">
        <f aca="false">K180*L180*M180</f>
        <v>8.6</v>
      </c>
      <c r="O180" s="29" t="n">
        <f aca="false">IFERROR(INDEX(Исходные!$B$18:$B$29,MATCH(H180,Исходные!$A$18:$A$29,0)),0)</f>
        <v>6.313</v>
      </c>
      <c r="P180" s="49" t="n">
        <f aca="false">N180*O180</f>
        <v>54.2918</v>
      </c>
      <c r="Q180" s="15" t="s">
        <v>557</v>
      </c>
      <c r="R180" s="50" t="s">
        <v>429</v>
      </c>
      <c r="S180" s="15" t="s">
        <v>558</v>
      </c>
      <c r="T180" s="15" t="s">
        <v>424</v>
      </c>
      <c r="U180" s="38" t="n">
        <v>0</v>
      </c>
      <c r="V180" s="47" t="s">
        <v>544</v>
      </c>
    </row>
    <row r="181" customFormat="false" ht="23.85" hidden="false" customHeight="false" outlineLevel="0" collapsed="false">
      <c r="A181" s="47" t="n">
        <v>174</v>
      </c>
      <c r="B181" s="15" t="s">
        <v>278</v>
      </c>
      <c r="C181" s="15" t="s">
        <v>424</v>
      </c>
      <c r="D181" s="15" t="s">
        <v>543</v>
      </c>
      <c r="E181" s="15" t="s">
        <v>544</v>
      </c>
      <c r="F181" s="47" t="s">
        <v>445</v>
      </c>
      <c r="G181" s="15" t="s">
        <v>496</v>
      </c>
      <c r="H181" s="40" t="n">
        <v>25</v>
      </c>
      <c r="I181" s="47" t="s">
        <v>282</v>
      </c>
      <c r="J181" s="47" t="s">
        <v>113</v>
      </c>
      <c r="K181" s="40" t="n">
        <v>1</v>
      </c>
      <c r="L181" s="40" t="n">
        <v>2</v>
      </c>
      <c r="M181" s="45" t="n">
        <v>2.05</v>
      </c>
      <c r="N181" s="48" t="n">
        <f aca="false">K181*L181*M181</f>
        <v>4.1</v>
      </c>
      <c r="O181" s="29" t="n">
        <f aca="false">IFERROR(INDEX(Исходные!$B$18:$B$29,MATCH(H181,Исходные!$A$18:$A$29,0)),0)</f>
        <v>3.853</v>
      </c>
      <c r="P181" s="49" t="n">
        <f aca="false">N181*O181</f>
        <v>15.7973</v>
      </c>
      <c r="Q181" s="15" t="s">
        <v>559</v>
      </c>
      <c r="R181" s="50" t="s">
        <v>429</v>
      </c>
      <c r="S181" s="15" t="s">
        <v>497</v>
      </c>
      <c r="T181" s="15" t="s">
        <v>424</v>
      </c>
      <c r="U181" s="38" t="n">
        <v>0</v>
      </c>
      <c r="V181" s="47" t="s">
        <v>544</v>
      </c>
    </row>
    <row r="182" customFormat="false" ht="23.85" hidden="false" customHeight="false" outlineLevel="0" collapsed="false">
      <c r="A182" s="47" t="n">
        <v>175</v>
      </c>
      <c r="B182" s="15" t="s">
        <v>278</v>
      </c>
      <c r="C182" s="15" t="s">
        <v>424</v>
      </c>
      <c r="D182" s="15" t="s">
        <v>543</v>
      </c>
      <c r="E182" s="15" t="s">
        <v>544</v>
      </c>
      <c r="F182" s="47" t="s">
        <v>445</v>
      </c>
      <c r="G182" s="15" t="s">
        <v>560</v>
      </c>
      <c r="H182" s="40" t="n">
        <v>16</v>
      </c>
      <c r="I182" s="47" t="s">
        <v>282</v>
      </c>
      <c r="J182" s="47" t="s">
        <v>113</v>
      </c>
      <c r="K182" s="40" t="n">
        <v>1</v>
      </c>
      <c r="L182" s="40" t="n">
        <v>2</v>
      </c>
      <c r="M182" s="45" t="n">
        <v>1.85</v>
      </c>
      <c r="N182" s="48" t="n">
        <f aca="false">K182*L182*M182</f>
        <v>3.7</v>
      </c>
      <c r="O182" s="29" t="n">
        <f aca="false">IFERROR(INDEX(Исходные!$B$18:$B$29,MATCH(H182,Исходные!$A$18:$A$29,0)),0)</f>
        <v>1.578</v>
      </c>
      <c r="P182" s="49" t="n">
        <f aca="false">N182*O182</f>
        <v>5.8386</v>
      </c>
      <c r="Q182" s="15" t="s">
        <v>561</v>
      </c>
      <c r="R182" s="50" t="s">
        <v>429</v>
      </c>
      <c r="S182" s="15" t="s">
        <v>548</v>
      </c>
      <c r="T182" s="15" t="s">
        <v>424</v>
      </c>
      <c r="U182" s="38" t="n">
        <v>0</v>
      </c>
      <c r="V182" s="47" t="s">
        <v>544</v>
      </c>
    </row>
    <row r="183" customFormat="false" ht="23.85" hidden="false" customHeight="false" outlineLevel="0" collapsed="false">
      <c r="A183" s="47" t="n">
        <v>176</v>
      </c>
      <c r="B183" s="15" t="s">
        <v>278</v>
      </c>
      <c r="C183" s="15" t="s">
        <v>424</v>
      </c>
      <c r="D183" s="15" t="s">
        <v>543</v>
      </c>
      <c r="E183" s="15" t="s">
        <v>544</v>
      </c>
      <c r="F183" s="47" t="s">
        <v>445</v>
      </c>
      <c r="G183" s="15" t="s">
        <v>562</v>
      </c>
      <c r="H183" s="40" t="n">
        <v>22</v>
      </c>
      <c r="I183" s="47" t="s">
        <v>282</v>
      </c>
      <c r="J183" s="47" t="s">
        <v>113</v>
      </c>
      <c r="K183" s="40" t="n">
        <v>1</v>
      </c>
      <c r="L183" s="40" t="n">
        <v>2</v>
      </c>
      <c r="M183" s="45" t="n">
        <v>5.5</v>
      </c>
      <c r="N183" s="48" t="n">
        <f aca="false">K183*L183*M183</f>
        <v>11</v>
      </c>
      <c r="O183" s="29" t="n">
        <f aca="false">IFERROR(INDEX(Исходные!$B$18:$B$29,MATCH(H183,Исходные!$A$18:$A$29,0)),0)</f>
        <v>2.984</v>
      </c>
      <c r="P183" s="49" t="n">
        <f aca="false">N183*O183</f>
        <v>32.824</v>
      </c>
      <c r="Q183" s="15" t="s">
        <v>552</v>
      </c>
      <c r="R183" s="50" t="s">
        <v>429</v>
      </c>
      <c r="S183" s="15" t="s">
        <v>550</v>
      </c>
      <c r="T183" s="15" t="s">
        <v>424</v>
      </c>
      <c r="U183" s="38" t="n">
        <v>0</v>
      </c>
      <c r="V183" s="47" t="s">
        <v>544</v>
      </c>
    </row>
    <row r="184" customFormat="false" ht="23.85" hidden="false" customHeight="false" outlineLevel="0" collapsed="false">
      <c r="A184" s="47" t="n">
        <v>177</v>
      </c>
      <c r="B184" s="15" t="s">
        <v>278</v>
      </c>
      <c r="C184" s="15" t="s">
        <v>424</v>
      </c>
      <c r="D184" s="15" t="s">
        <v>543</v>
      </c>
      <c r="E184" s="15" t="s">
        <v>544</v>
      </c>
      <c r="F184" s="47" t="s">
        <v>445</v>
      </c>
      <c r="G184" s="15" t="s">
        <v>563</v>
      </c>
      <c r="H184" s="40" t="n">
        <v>28</v>
      </c>
      <c r="I184" s="47" t="s">
        <v>282</v>
      </c>
      <c r="J184" s="47" t="s">
        <v>113</v>
      </c>
      <c r="K184" s="40" t="n">
        <v>1</v>
      </c>
      <c r="L184" s="40" t="n">
        <v>2</v>
      </c>
      <c r="M184" s="45" t="n">
        <v>4.7</v>
      </c>
      <c r="N184" s="48" t="n">
        <f aca="false">K184*L184*M184</f>
        <v>9.4</v>
      </c>
      <c r="O184" s="29" t="n">
        <f aca="false">IFERROR(INDEX(Исходные!$B$18:$B$29,MATCH(H184,Исходные!$A$18:$A$29,0)),0)</f>
        <v>4.834</v>
      </c>
      <c r="P184" s="49" t="n">
        <f aca="false">N184*O184</f>
        <v>45.4396</v>
      </c>
      <c r="Q184" s="15" t="s">
        <v>547</v>
      </c>
      <c r="R184" s="50" t="s">
        <v>429</v>
      </c>
      <c r="S184" s="15" t="s">
        <v>554</v>
      </c>
      <c r="T184" s="15" t="s">
        <v>424</v>
      </c>
      <c r="U184" s="38" t="n">
        <v>0</v>
      </c>
      <c r="V184" s="47" t="s">
        <v>544</v>
      </c>
    </row>
    <row r="185" customFormat="false" ht="23.85" hidden="false" customHeight="false" outlineLevel="0" collapsed="false">
      <c r="A185" s="47" t="n">
        <v>178</v>
      </c>
      <c r="B185" s="15" t="s">
        <v>278</v>
      </c>
      <c r="C185" s="15" t="s">
        <v>424</v>
      </c>
      <c r="D185" s="15" t="s">
        <v>543</v>
      </c>
      <c r="E185" s="15" t="s">
        <v>544</v>
      </c>
      <c r="F185" s="47" t="s">
        <v>445</v>
      </c>
      <c r="G185" s="15" t="s">
        <v>564</v>
      </c>
      <c r="H185" s="40" t="n">
        <v>28</v>
      </c>
      <c r="I185" s="47" t="s">
        <v>282</v>
      </c>
      <c r="J185" s="47" t="s">
        <v>113</v>
      </c>
      <c r="K185" s="40" t="n">
        <v>1</v>
      </c>
      <c r="L185" s="40" t="n">
        <v>2</v>
      </c>
      <c r="M185" s="45" t="n">
        <v>4.3</v>
      </c>
      <c r="N185" s="48" t="n">
        <f aca="false">K185*L185*M185</f>
        <v>8.6</v>
      </c>
      <c r="O185" s="29" t="n">
        <f aca="false">IFERROR(INDEX(Исходные!$B$18:$B$29,MATCH(H185,Исходные!$A$18:$A$29,0)),0)</f>
        <v>4.834</v>
      </c>
      <c r="P185" s="49" t="n">
        <f aca="false">N185*O185</f>
        <v>41.5724</v>
      </c>
      <c r="Q185" s="15" t="s">
        <v>547</v>
      </c>
      <c r="R185" s="50" t="s">
        <v>429</v>
      </c>
      <c r="S185" s="15" t="s">
        <v>558</v>
      </c>
      <c r="T185" s="15" t="s">
        <v>424</v>
      </c>
      <c r="U185" s="38" t="n">
        <v>0</v>
      </c>
      <c r="V185" s="47" t="s">
        <v>544</v>
      </c>
    </row>
    <row r="186" customFormat="false" ht="23.85" hidden="false" customHeight="false" outlineLevel="0" collapsed="false">
      <c r="A186" s="47" t="n">
        <v>179</v>
      </c>
      <c r="B186" s="15" t="s">
        <v>278</v>
      </c>
      <c r="C186" s="15" t="s">
        <v>424</v>
      </c>
      <c r="D186" s="15" t="s">
        <v>543</v>
      </c>
      <c r="E186" s="15" t="s">
        <v>544</v>
      </c>
      <c r="F186" s="47" t="s">
        <v>445</v>
      </c>
      <c r="G186" s="15" t="s">
        <v>565</v>
      </c>
      <c r="H186" s="40" t="n">
        <v>22</v>
      </c>
      <c r="I186" s="47" t="s">
        <v>282</v>
      </c>
      <c r="J186" s="47" t="s">
        <v>113</v>
      </c>
      <c r="K186" s="40" t="n">
        <v>1</v>
      </c>
      <c r="L186" s="40" t="n">
        <v>2</v>
      </c>
      <c r="M186" s="45" t="n">
        <v>2.05</v>
      </c>
      <c r="N186" s="48" t="n">
        <f aca="false">K186*L186*M186</f>
        <v>4.1</v>
      </c>
      <c r="O186" s="29" t="n">
        <f aca="false">IFERROR(INDEX(Исходные!$B$18:$B$29,MATCH(H186,Исходные!$A$18:$A$29,0)),0)</f>
        <v>2.984</v>
      </c>
      <c r="P186" s="49" t="n">
        <f aca="false">N186*O186</f>
        <v>12.2344</v>
      </c>
      <c r="Q186" s="15" t="s">
        <v>552</v>
      </c>
      <c r="R186" s="50" t="s">
        <v>429</v>
      </c>
      <c r="S186" s="15" t="s">
        <v>497</v>
      </c>
      <c r="T186" s="15" t="s">
        <v>424</v>
      </c>
      <c r="U186" s="38" t="n">
        <v>0</v>
      </c>
      <c r="V186" s="47" t="s">
        <v>544</v>
      </c>
    </row>
    <row r="187" customFormat="false" ht="23.85" hidden="false" customHeight="false" outlineLevel="0" collapsed="false">
      <c r="A187" s="47" t="n">
        <v>180</v>
      </c>
      <c r="B187" s="15" t="s">
        <v>278</v>
      </c>
      <c r="C187" s="15" t="s">
        <v>424</v>
      </c>
      <c r="D187" s="15" t="s">
        <v>543</v>
      </c>
      <c r="E187" s="15" t="s">
        <v>544</v>
      </c>
      <c r="F187" s="47" t="s">
        <v>465</v>
      </c>
      <c r="G187" s="15" t="s">
        <v>466</v>
      </c>
      <c r="H187" s="40" t="n">
        <v>8</v>
      </c>
      <c r="I187" s="47" t="s">
        <v>316</v>
      </c>
      <c r="J187" s="47" t="s">
        <v>467</v>
      </c>
      <c r="K187" s="40" t="n">
        <v>1</v>
      </c>
      <c r="L187" s="40" t="n">
        <v>125</v>
      </c>
      <c r="M187" s="45" t="n">
        <v>2.06</v>
      </c>
      <c r="N187" s="48" t="n">
        <f aca="false">K187*L187*M187</f>
        <v>257.5</v>
      </c>
      <c r="O187" s="29" t="n">
        <f aca="false">IFERROR(INDEX(Исходные!$B$18:$B$29,MATCH(H187,Исходные!$A$18:$A$29,0)),0)</f>
        <v>0.395</v>
      </c>
      <c r="P187" s="49" t="n">
        <f aca="false">N187*O187</f>
        <v>101.7125</v>
      </c>
      <c r="Q187" s="15" t="s">
        <v>468</v>
      </c>
      <c r="R187" s="50" t="s">
        <v>284</v>
      </c>
      <c r="S187" s="15" t="s">
        <v>566</v>
      </c>
      <c r="T187" s="15" t="s">
        <v>424</v>
      </c>
      <c r="U187" s="38" t="n">
        <v>0</v>
      </c>
      <c r="V187" s="47" t="s">
        <v>544</v>
      </c>
    </row>
    <row r="188" customFormat="false" ht="23.85" hidden="false" customHeight="false" outlineLevel="0" collapsed="false">
      <c r="A188" s="47" t="n">
        <v>181</v>
      </c>
      <c r="B188" s="15" t="s">
        <v>278</v>
      </c>
      <c r="C188" s="15" t="s">
        <v>424</v>
      </c>
      <c r="D188" s="15" t="s">
        <v>543</v>
      </c>
      <c r="E188" s="15" t="s">
        <v>544</v>
      </c>
      <c r="F188" s="47" t="s">
        <v>331</v>
      </c>
      <c r="G188" s="15" t="s">
        <v>470</v>
      </c>
      <c r="H188" s="40" t="n">
        <v>10</v>
      </c>
      <c r="I188" s="47" t="s">
        <v>316</v>
      </c>
      <c r="J188" s="47" t="n">
        <v>100</v>
      </c>
      <c r="K188" s="40" t="n">
        <v>1</v>
      </c>
      <c r="L188" s="40" t="n">
        <v>45</v>
      </c>
      <c r="M188" s="45" t="n">
        <v>2.06</v>
      </c>
      <c r="N188" s="48" t="n">
        <f aca="false">K188*L188*M188</f>
        <v>92.7</v>
      </c>
      <c r="O188" s="29" t="n">
        <f aca="false">IFERROR(INDEX(Исходные!$B$18:$B$29,MATCH(H188,Исходные!$A$18:$A$29,0)),0)</f>
        <v>0.617</v>
      </c>
      <c r="P188" s="49" t="n">
        <f aca="false">N188*O188</f>
        <v>57.1959</v>
      </c>
      <c r="Q188" s="15" t="s">
        <v>567</v>
      </c>
      <c r="R188" s="50" t="s">
        <v>284</v>
      </c>
      <c r="S188" s="15" t="s">
        <v>568</v>
      </c>
      <c r="T188" s="15" t="s">
        <v>424</v>
      </c>
      <c r="U188" s="38" t="n">
        <v>0</v>
      </c>
      <c r="V188" s="47" t="s">
        <v>544</v>
      </c>
    </row>
    <row r="189" customFormat="false" ht="23.85" hidden="false" customHeight="false" outlineLevel="0" collapsed="false">
      <c r="A189" s="47" t="n">
        <v>182</v>
      </c>
      <c r="B189" s="15" t="s">
        <v>278</v>
      </c>
      <c r="C189" s="15" t="s">
        <v>424</v>
      </c>
      <c r="D189" s="15" t="s">
        <v>543</v>
      </c>
      <c r="E189" s="15" t="s">
        <v>544</v>
      </c>
      <c r="F189" s="47" t="s">
        <v>475</v>
      </c>
      <c r="G189" s="15" t="s">
        <v>476</v>
      </c>
      <c r="H189" s="40" t="n">
        <v>8</v>
      </c>
      <c r="I189" s="47" t="s">
        <v>316</v>
      </c>
      <c r="J189" s="47" t="s">
        <v>477</v>
      </c>
      <c r="K189" s="40" t="n">
        <v>1</v>
      </c>
      <c r="L189" s="40" t="n">
        <v>106</v>
      </c>
      <c r="M189" s="45" t="n">
        <v>0.75</v>
      </c>
      <c r="N189" s="48" t="n">
        <f aca="false">K189*L189*M189</f>
        <v>79.5</v>
      </c>
      <c r="O189" s="29" t="n">
        <f aca="false">IFERROR(INDEX(Исходные!$B$18:$B$29,MATCH(H189,Исходные!$A$18:$A$29,0)),0)</f>
        <v>0.395</v>
      </c>
      <c r="P189" s="49" t="n">
        <f aca="false">N189*O189</f>
        <v>31.4025</v>
      </c>
      <c r="Q189" s="15" t="s">
        <v>478</v>
      </c>
      <c r="R189" s="50" t="s">
        <v>284</v>
      </c>
      <c r="S189" s="15"/>
      <c r="T189" s="15" t="s">
        <v>424</v>
      </c>
      <c r="U189" s="38" t="n">
        <v>0</v>
      </c>
      <c r="V189" s="47" t="s">
        <v>544</v>
      </c>
    </row>
    <row r="190" customFormat="false" ht="23.85" hidden="false" customHeight="false" outlineLevel="0" collapsed="false">
      <c r="A190" s="47" t="n">
        <v>183</v>
      </c>
      <c r="B190" s="15" t="s">
        <v>278</v>
      </c>
      <c r="C190" s="15" t="s">
        <v>424</v>
      </c>
      <c r="D190" s="15" t="s">
        <v>543</v>
      </c>
      <c r="E190" s="15" t="s">
        <v>544</v>
      </c>
      <c r="F190" s="47" t="s">
        <v>479</v>
      </c>
      <c r="G190" s="15" t="s">
        <v>480</v>
      </c>
      <c r="H190" s="40" t="n">
        <v>8</v>
      </c>
      <c r="I190" s="47" t="s">
        <v>316</v>
      </c>
      <c r="J190" s="47" t="n">
        <v>300</v>
      </c>
      <c r="K190" s="40" t="n">
        <v>1</v>
      </c>
      <c r="L190" s="40" t="n">
        <v>67</v>
      </c>
      <c r="M190" s="45" t="n">
        <v>0.58</v>
      </c>
      <c r="N190" s="48" t="n">
        <f aca="false">K190*L190*M190</f>
        <v>38.86</v>
      </c>
      <c r="O190" s="29" t="n">
        <f aca="false">IFERROR(INDEX(Исходные!$B$18:$B$29,MATCH(H190,Исходные!$A$18:$A$29,0)),0)</f>
        <v>0.395</v>
      </c>
      <c r="P190" s="49" t="n">
        <f aca="false">N190*O190</f>
        <v>15.3497</v>
      </c>
      <c r="Q190" s="15" t="s">
        <v>481</v>
      </c>
      <c r="R190" s="51" t="s">
        <v>407</v>
      </c>
      <c r="S190" s="15" t="s">
        <v>482</v>
      </c>
      <c r="T190" s="15" t="s">
        <v>424</v>
      </c>
      <c r="U190" s="38" t="n">
        <v>1</v>
      </c>
      <c r="V190" s="47" t="s">
        <v>544</v>
      </c>
    </row>
    <row r="191" customFormat="false" ht="35.05" hidden="false" customHeight="false" outlineLevel="0" collapsed="false">
      <c r="A191" s="47" t="n">
        <v>184</v>
      </c>
      <c r="B191" s="15" t="s">
        <v>278</v>
      </c>
      <c r="C191" s="15" t="s">
        <v>424</v>
      </c>
      <c r="D191" s="15" t="s">
        <v>569</v>
      </c>
      <c r="E191" s="15" t="s">
        <v>570</v>
      </c>
      <c r="F191" s="47" t="s">
        <v>289</v>
      </c>
      <c r="G191" s="15" t="s">
        <v>427</v>
      </c>
      <c r="H191" s="40" t="n">
        <v>28</v>
      </c>
      <c r="I191" s="47" t="s">
        <v>282</v>
      </c>
      <c r="J191" s="47" t="s">
        <v>113</v>
      </c>
      <c r="K191" s="40" t="n">
        <v>2</v>
      </c>
      <c r="L191" s="40" t="n">
        <v>4</v>
      </c>
      <c r="M191" s="45" t="n">
        <v>20.5</v>
      </c>
      <c r="N191" s="48" t="n">
        <f aca="false">K191*L191*M191</f>
        <v>164</v>
      </c>
      <c r="O191" s="29" t="n">
        <f aca="false">IFERROR(INDEX(Исходные!$B$18:$B$29,MATCH(H191,Исходные!$A$18:$A$29,0)),0)</f>
        <v>4.834</v>
      </c>
      <c r="P191" s="49" t="n">
        <f aca="false">N191*O191</f>
        <v>792.776</v>
      </c>
      <c r="Q191" s="15" t="s">
        <v>571</v>
      </c>
      <c r="R191" s="50" t="s">
        <v>429</v>
      </c>
      <c r="S191" s="15" t="s">
        <v>572</v>
      </c>
      <c r="T191" s="15" t="s">
        <v>424</v>
      </c>
      <c r="U191" s="38" t="n">
        <v>0</v>
      </c>
      <c r="V191" s="47" t="s">
        <v>570</v>
      </c>
    </row>
    <row r="192" customFormat="false" ht="23.85" hidden="false" customHeight="false" outlineLevel="0" collapsed="false">
      <c r="A192" s="47" t="n">
        <v>185</v>
      </c>
      <c r="B192" s="15" t="s">
        <v>278</v>
      </c>
      <c r="C192" s="15" t="s">
        <v>424</v>
      </c>
      <c r="D192" s="15" t="s">
        <v>569</v>
      </c>
      <c r="E192" s="15" t="s">
        <v>570</v>
      </c>
      <c r="F192" s="47" t="s">
        <v>299</v>
      </c>
      <c r="G192" s="15" t="s">
        <v>431</v>
      </c>
      <c r="H192" s="40" t="n">
        <v>18</v>
      </c>
      <c r="I192" s="47" t="s">
        <v>282</v>
      </c>
      <c r="J192" s="47" t="s">
        <v>113</v>
      </c>
      <c r="K192" s="40" t="n">
        <v>2</v>
      </c>
      <c r="L192" s="40" t="n">
        <v>2</v>
      </c>
      <c r="M192" s="45" t="n">
        <v>20.5</v>
      </c>
      <c r="N192" s="48" t="n">
        <f aca="false">K192*L192*M192</f>
        <v>82</v>
      </c>
      <c r="O192" s="29" t="n">
        <f aca="false">IFERROR(INDEX(Исходные!$B$18:$B$29,MATCH(H192,Исходные!$A$18:$A$29,0)),0)</f>
        <v>1.998</v>
      </c>
      <c r="P192" s="49" t="n">
        <f aca="false">N192*O192</f>
        <v>163.836</v>
      </c>
      <c r="Q192" s="15" t="s">
        <v>432</v>
      </c>
      <c r="R192" s="50" t="s">
        <v>429</v>
      </c>
      <c r="S192" s="15"/>
      <c r="T192" s="15" t="s">
        <v>424</v>
      </c>
      <c r="U192" s="38" t="n">
        <v>0</v>
      </c>
      <c r="V192" s="47" t="s">
        <v>570</v>
      </c>
    </row>
    <row r="193" customFormat="false" ht="35.05" hidden="false" customHeight="false" outlineLevel="0" collapsed="false">
      <c r="A193" s="47" t="n">
        <v>186</v>
      </c>
      <c r="B193" s="15" t="s">
        <v>278</v>
      </c>
      <c r="C193" s="15" t="s">
        <v>424</v>
      </c>
      <c r="D193" s="15" t="s">
        <v>569</v>
      </c>
      <c r="E193" s="15" t="s">
        <v>570</v>
      </c>
      <c r="F193" s="47" t="s">
        <v>433</v>
      </c>
      <c r="G193" s="15" t="s">
        <v>573</v>
      </c>
      <c r="H193" s="40" t="n">
        <v>18</v>
      </c>
      <c r="I193" s="47" t="s">
        <v>282</v>
      </c>
      <c r="J193" s="47" t="s">
        <v>113</v>
      </c>
      <c r="K193" s="40" t="n">
        <v>4</v>
      </c>
      <c r="L193" s="40" t="n">
        <v>1</v>
      </c>
      <c r="M193" s="45" t="n">
        <v>0.144</v>
      </c>
      <c r="N193" s="48" t="n">
        <f aca="false">K193*L193*M193</f>
        <v>0.576</v>
      </c>
      <c r="O193" s="29" t="n">
        <f aca="false">IFERROR(INDEX(Исходные!$B$18:$B$29,MATCH(H193,Исходные!$A$18:$A$29,0)),0)</f>
        <v>1.998</v>
      </c>
      <c r="P193" s="49" t="n">
        <f aca="false">N193*O193</f>
        <v>1.150848</v>
      </c>
      <c r="Q193" s="15" t="s">
        <v>435</v>
      </c>
      <c r="R193" s="50" t="s">
        <v>436</v>
      </c>
      <c r="S193" s="15" t="s">
        <v>574</v>
      </c>
      <c r="T193" s="15" t="s">
        <v>424</v>
      </c>
      <c r="U193" s="38" t="n">
        <v>0</v>
      </c>
      <c r="V193" s="47" t="s">
        <v>570</v>
      </c>
    </row>
    <row r="194" customFormat="false" ht="23.85" hidden="false" customHeight="false" outlineLevel="0" collapsed="false">
      <c r="A194" s="47" t="n">
        <v>187</v>
      </c>
      <c r="B194" s="15" t="s">
        <v>278</v>
      </c>
      <c r="C194" s="15" t="s">
        <v>424</v>
      </c>
      <c r="D194" s="15" t="s">
        <v>569</v>
      </c>
      <c r="E194" s="15" t="s">
        <v>570</v>
      </c>
      <c r="F194" s="47" t="s">
        <v>438</v>
      </c>
      <c r="G194" s="15" t="s">
        <v>439</v>
      </c>
      <c r="H194" s="40" t="n">
        <v>16</v>
      </c>
      <c r="I194" s="47" t="s">
        <v>282</v>
      </c>
      <c r="J194" s="47" t="s">
        <v>113</v>
      </c>
      <c r="K194" s="40" t="n">
        <v>2</v>
      </c>
      <c r="L194" s="40" t="n">
        <v>2</v>
      </c>
      <c r="M194" s="45" t="n">
        <v>20.5</v>
      </c>
      <c r="N194" s="48" t="n">
        <f aca="false">K194*L194*M194</f>
        <v>82</v>
      </c>
      <c r="O194" s="29" t="n">
        <f aca="false">IFERROR(INDEX(Исходные!$B$18:$B$29,MATCH(H194,Исходные!$A$18:$A$29,0)),0)</f>
        <v>1.578</v>
      </c>
      <c r="P194" s="49" t="n">
        <f aca="false">N194*O194</f>
        <v>129.396</v>
      </c>
      <c r="Q194" s="15" t="s">
        <v>440</v>
      </c>
      <c r="R194" s="50" t="s">
        <v>429</v>
      </c>
      <c r="S194" s="15"/>
      <c r="T194" s="15" t="s">
        <v>424</v>
      </c>
      <c r="U194" s="38" t="n">
        <v>0</v>
      </c>
      <c r="V194" s="47" t="s">
        <v>570</v>
      </c>
    </row>
    <row r="195" customFormat="false" ht="35.05" hidden="false" customHeight="false" outlineLevel="0" collapsed="false">
      <c r="A195" s="47" t="n">
        <v>188</v>
      </c>
      <c r="B195" s="15" t="s">
        <v>278</v>
      </c>
      <c r="C195" s="15" t="s">
        <v>424</v>
      </c>
      <c r="D195" s="15" t="s">
        <v>569</v>
      </c>
      <c r="E195" s="15" t="s">
        <v>570</v>
      </c>
      <c r="F195" s="47" t="s">
        <v>441</v>
      </c>
      <c r="G195" s="15" t="s">
        <v>575</v>
      </c>
      <c r="H195" s="40" t="n">
        <v>16</v>
      </c>
      <c r="I195" s="47" t="s">
        <v>282</v>
      </c>
      <c r="J195" s="47" t="s">
        <v>113</v>
      </c>
      <c r="K195" s="40" t="n">
        <v>4</v>
      </c>
      <c r="L195" s="40" t="n">
        <v>1</v>
      </c>
      <c r="M195" s="45" t="n">
        <v>0.128</v>
      </c>
      <c r="N195" s="48" t="n">
        <f aca="false">K195*L195*M195</f>
        <v>0.512</v>
      </c>
      <c r="O195" s="29" t="n">
        <f aca="false">IFERROR(INDEX(Исходные!$B$18:$B$29,MATCH(H195,Исходные!$A$18:$A$29,0)),0)</f>
        <v>1.578</v>
      </c>
      <c r="P195" s="49" t="n">
        <f aca="false">N195*O195</f>
        <v>0.807936</v>
      </c>
      <c r="Q195" s="15" t="s">
        <v>443</v>
      </c>
      <c r="R195" s="50" t="s">
        <v>436</v>
      </c>
      <c r="S195" s="15" t="s">
        <v>576</v>
      </c>
      <c r="T195" s="15" t="s">
        <v>424</v>
      </c>
      <c r="U195" s="38" t="n">
        <v>0</v>
      </c>
      <c r="V195" s="47" t="s">
        <v>570</v>
      </c>
    </row>
    <row r="196" customFormat="false" ht="23.85" hidden="false" customHeight="false" outlineLevel="0" collapsed="false">
      <c r="A196" s="47" t="n">
        <v>189</v>
      </c>
      <c r="B196" s="15" t="s">
        <v>278</v>
      </c>
      <c r="C196" s="15" t="s">
        <v>424</v>
      </c>
      <c r="D196" s="15" t="s">
        <v>569</v>
      </c>
      <c r="E196" s="15" t="s">
        <v>570</v>
      </c>
      <c r="F196" s="47" t="s">
        <v>445</v>
      </c>
      <c r="G196" s="15" t="s">
        <v>486</v>
      </c>
      <c r="H196" s="40" t="n">
        <v>25</v>
      </c>
      <c r="I196" s="47" t="s">
        <v>282</v>
      </c>
      <c r="J196" s="47" t="s">
        <v>113</v>
      </c>
      <c r="K196" s="40" t="n">
        <v>2</v>
      </c>
      <c r="L196" s="40" t="n">
        <v>2</v>
      </c>
      <c r="M196" s="45" t="n">
        <v>2.05</v>
      </c>
      <c r="N196" s="48" t="n">
        <f aca="false">K196*L196*M196</f>
        <v>8.2</v>
      </c>
      <c r="O196" s="29" t="n">
        <f aca="false">IFERROR(INDEX(Исходные!$B$18:$B$29,MATCH(H196,Исходные!$A$18:$A$29,0)),0)</f>
        <v>3.853</v>
      </c>
      <c r="P196" s="49" t="n">
        <f aca="false">N196*O196</f>
        <v>31.5946</v>
      </c>
      <c r="Q196" s="15" t="s">
        <v>577</v>
      </c>
      <c r="R196" s="50" t="s">
        <v>429</v>
      </c>
      <c r="S196" s="15" t="s">
        <v>578</v>
      </c>
      <c r="T196" s="15" t="s">
        <v>424</v>
      </c>
      <c r="U196" s="38" t="n">
        <v>0</v>
      </c>
      <c r="V196" s="47" t="s">
        <v>570</v>
      </c>
    </row>
    <row r="197" customFormat="false" ht="23.85" hidden="false" customHeight="false" outlineLevel="0" collapsed="false">
      <c r="A197" s="47" t="n">
        <v>190</v>
      </c>
      <c r="B197" s="15" t="s">
        <v>278</v>
      </c>
      <c r="C197" s="15" t="s">
        <v>424</v>
      </c>
      <c r="D197" s="15" t="s">
        <v>569</v>
      </c>
      <c r="E197" s="15" t="s">
        <v>570</v>
      </c>
      <c r="F197" s="47" t="s">
        <v>445</v>
      </c>
      <c r="G197" s="15" t="s">
        <v>579</v>
      </c>
      <c r="H197" s="40" t="n">
        <v>28</v>
      </c>
      <c r="I197" s="47" t="s">
        <v>282</v>
      </c>
      <c r="J197" s="47" t="s">
        <v>113</v>
      </c>
      <c r="K197" s="40" t="n">
        <v>2</v>
      </c>
      <c r="L197" s="40" t="n">
        <v>2</v>
      </c>
      <c r="M197" s="45" t="n">
        <v>3.8</v>
      </c>
      <c r="N197" s="48" t="n">
        <f aca="false">K197*L197*M197</f>
        <v>15.2</v>
      </c>
      <c r="O197" s="29" t="n">
        <f aca="false">IFERROR(INDEX(Исходные!$B$18:$B$29,MATCH(H197,Исходные!$A$18:$A$29,0)),0)</f>
        <v>4.834</v>
      </c>
      <c r="P197" s="49" t="n">
        <f aca="false">N197*O197</f>
        <v>73.4768</v>
      </c>
      <c r="Q197" s="15" t="s">
        <v>580</v>
      </c>
      <c r="R197" s="50" t="s">
        <v>429</v>
      </c>
      <c r="S197" s="15" t="s">
        <v>581</v>
      </c>
      <c r="T197" s="15" t="s">
        <v>424</v>
      </c>
      <c r="U197" s="38" t="n">
        <v>0</v>
      </c>
      <c r="V197" s="47" t="s">
        <v>570</v>
      </c>
    </row>
    <row r="198" customFormat="false" ht="23.85" hidden="false" customHeight="false" outlineLevel="0" collapsed="false">
      <c r="A198" s="47" t="n">
        <v>191</v>
      </c>
      <c r="B198" s="15" t="s">
        <v>278</v>
      </c>
      <c r="C198" s="15" t="s">
        <v>424</v>
      </c>
      <c r="D198" s="15" t="s">
        <v>569</v>
      </c>
      <c r="E198" s="15" t="s">
        <v>570</v>
      </c>
      <c r="F198" s="47" t="s">
        <v>445</v>
      </c>
      <c r="G198" s="15" t="s">
        <v>582</v>
      </c>
      <c r="H198" s="40" t="n">
        <v>32</v>
      </c>
      <c r="I198" s="47" t="s">
        <v>282</v>
      </c>
      <c r="J198" s="47" t="s">
        <v>113</v>
      </c>
      <c r="K198" s="40" t="n">
        <v>2</v>
      </c>
      <c r="L198" s="40" t="n">
        <v>2</v>
      </c>
      <c r="M198" s="45" t="n">
        <v>3.8</v>
      </c>
      <c r="N198" s="48" t="n">
        <f aca="false">K198*L198*M198</f>
        <v>15.2</v>
      </c>
      <c r="O198" s="29" t="n">
        <f aca="false">IFERROR(INDEX(Исходные!$B$18:$B$29,MATCH(H198,Исходные!$A$18:$A$29,0)),0)</f>
        <v>6.313</v>
      </c>
      <c r="P198" s="49" t="n">
        <f aca="false">N198*O198</f>
        <v>95.9576</v>
      </c>
      <c r="Q198" s="15" t="s">
        <v>583</v>
      </c>
      <c r="R198" s="50" t="s">
        <v>429</v>
      </c>
      <c r="S198" s="15" t="s">
        <v>584</v>
      </c>
      <c r="T198" s="15" t="s">
        <v>424</v>
      </c>
      <c r="U198" s="38" t="n">
        <v>0</v>
      </c>
      <c r="V198" s="47" t="s">
        <v>570</v>
      </c>
    </row>
    <row r="199" customFormat="false" ht="23.85" hidden="false" customHeight="false" outlineLevel="0" collapsed="false">
      <c r="A199" s="47" t="n">
        <v>192</v>
      </c>
      <c r="B199" s="15" t="s">
        <v>278</v>
      </c>
      <c r="C199" s="15" t="s">
        <v>424</v>
      </c>
      <c r="D199" s="15" t="s">
        <v>569</v>
      </c>
      <c r="E199" s="15" t="s">
        <v>570</v>
      </c>
      <c r="F199" s="47" t="s">
        <v>445</v>
      </c>
      <c r="G199" s="15" t="s">
        <v>585</v>
      </c>
      <c r="H199" s="40" t="n">
        <v>28</v>
      </c>
      <c r="I199" s="47" t="s">
        <v>282</v>
      </c>
      <c r="J199" s="47" t="s">
        <v>113</v>
      </c>
      <c r="K199" s="40" t="n">
        <v>2</v>
      </c>
      <c r="L199" s="40" t="n">
        <v>2</v>
      </c>
      <c r="M199" s="45" t="n">
        <v>2.05</v>
      </c>
      <c r="N199" s="48" t="n">
        <f aca="false">K199*L199*M199</f>
        <v>8.2</v>
      </c>
      <c r="O199" s="29" t="n">
        <f aca="false">IFERROR(INDEX(Исходные!$B$18:$B$29,MATCH(H199,Исходные!$A$18:$A$29,0)),0)</f>
        <v>4.834</v>
      </c>
      <c r="P199" s="49" t="n">
        <f aca="false">N199*O199</f>
        <v>39.6388</v>
      </c>
      <c r="Q199" s="15" t="s">
        <v>580</v>
      </c>
      <c r="R199" s="50" t="s">
        <v>429</v>
      </c>
      <c r="S199" s="15" t="s">
        <v>586</v>
      </c>
      <c r="T199" s="15" t="s">
        <v>424</v>
      </c>
      <c r="U199" s="38" t="n">
        <v>0</v>
      </c>
      <c r="V199" s="47" t="s">
        <v>570</v>
      </c>
    </row>
    <row r="200" customFormat="false" ht="23.85" hidden="false" customHeight="false" outlineLevel="0" collapsed="false">
      <c r="A200" s="47" t="n">
        <v>193</v>
      </c>
      <c r="B200" s="15" t="s">
        <v>278</v>
      </c>
      <c r="C200" s="15" t="s">
        <v>424</v>
      </c>
      <c r="D200" s="15" t="s">
        <v>569</v>
      </c>
      <c r="E200" s="15" t="s">
        <v>570</v>
      </c>
      <c r="F200" s="47" t="s">
        <v>445</v>
      </c>
      <c r="G200" s="15" t="s">
        <v>587</v>
      </c>
      <c r="H200" s="40" t="n">
        <v>16</v>
      </c>
      <c r="I200" s="47" t="s">
        <v>282</v>
      </c>
      <c r="J200" s="47" t="s">
        <v>113</v>
      </c>
      <c r="K200" s="40" t="n">
        <v>2</v>
      </c>
      <c r="L200" s="40" t="n">
        <v>2</v>
      </c>
      <c r="M200" s="45" t="n">
        <v>4.95</v>
      </c>
      <c r="N200" s="48" t="n">
        <f aca="false">K200*L200*M200</f>
        <v>19.8</v>
      </c>
      <c r="O200" s="29" t="n">
        <f aca="false">IFERROR(INDEX(Исходные!$B$18:$B$29,MATCH(H200,Исходные!$A$18:$A$29,0)),0)</f>
        <v>1.578</v>
      </c>
      <c r="P200" s="49" t="n">
        <f aca="false">N200*O200</f>
        <v>31.2444</v>
      </c>
      <c r="Q200" s="15" t="s">
        <v>588</v>
      </c>
      <c r="R200" s="50" t="s">
        <v>429</v>
      </c>
      <c r="S200" s="15" t="s">
        <v>589</v>
      </c>
      <c r="T200" s="15" t="s">
        <v>424</v>
      </c>
      <c r="U200" s="38" t="n">
        <v>0</v>
      </c>
      <c r="V200" s="47" t="s">
        <v>570</v>
      </c>
    </row>
    <row r="201" customFormat="false" ht="23.85" hidden="false" customHeight="false" outlineLevel="0" collapsed="false">
      <c r="A201" s="47" t="n">
        <v>194</v>
      </c>
      <c r="B201" s="15" t="s">
        <v>278</v>
      </c>
      <c r="C201" s="15" t="s">
        <v>424</v>
      </c>
      <c r="D201" s="15" t="s">
        <v>569</v>
      </c>
      <c r="E201" s="15" t="s">
        <v>570</v>
      </c>
      <c r="F201" s="47" t="s">
        <v>445</v>
      </c>
      <c r="G201" s="15" t="s">
        <v>590</v>
      </c>
      <c r="H201" s="40" t="n">
        <v>16</v>
      </c>
      <c r="I201" s="47" t="s">
        <v>282</v>
      </c>
      <c r="J201" s="47" t="s">
        <v>113</v>
      </c>
      <c r="K201" s="40" t="n">
        <v>2</v>
      </c>
      <c r="L201" s="40" t="n">
        <v>2</v>
      </c>
      <c r="M201" s="45" t="n">
        <v>3</v>
      </c>
      <c r="N201" s="48" t="n">
        <f aca="false">K201*L201*M201</f>
        <v>12</v>
      </c>
      <c r="O201" s="29" t="n">
        <f aca="false">IFERROR(INDEX(Исходные!$B$18:$B$29,MATCH(H201,Исходные!$A$18:$A$29,0)),0)</f>
        <v>1.578</v>
      </c>
      <c r="P201" s="49" t="n">
        <f aca="false">N201*O201</f>
        <v>18.936</v>
      </c>
      <c r="Q201" s="15" t="s">
        <v>588</v>
      </c>
      <c r="R201" s="50" t="s">
        <v>429</v>
      </c>
      <c r="S201" s="15" t="s">
        <v>591</v>
      </c>
      <c r="T201" s="15" t="s">
        <v>424</v>
      </c>
      <c r="U201" s="38" t="n">
        <v>0</v>
      </c>
      <c r="V201" s="47" t="s">
        <v>570</v>
      </c>
    </row>
    <row r="202" customFormat="false" ht="23.85" hidden="false" customHeight="false" outlineLevel="0" collapsed="false">
      <c r="A202" s="47" t="n">
        <v>195</v>
      </c>
      <c r="B202" s="15" t="s">
        <v>278</v>
      </c>
      <c r="C202" s="15" t="s">
        <v>424</v>
      </c>
      <c r="D202" s="15" t="s">
        <v>569</v>
      </c>
      <c r="E202" s="15" t="s">
        <v>570</v>
      </c>
      <c r="F202" s="47" t="s">
        <v>445</v>
      </c>
      <c r="G202" s="15" t="s">
        <v>504</v>
      </c>
      <c r="H202" s="40" t="n">
        <v>16</v>
      </c>
      <c r="I202" s="47" t="s">
        <v>282</v>
      </c>
      <c r="J202" s="47" t="s">
        <v>113</v>
      </c>
      <c r="K202" s="40" t="n">
        <v>2</v>
      </c>
      <c r="L202" s="40" t="n">
        <v>2</v>
      </c>
      <c r="M202" s="45" t="n">
        <v>2.9</v>
      </c>
      <c r="N202" s="48" t="n">
        <f aca="false">K202*L202*M202</f>
        <v>11.6</v>
      </c>
      <c r="O202" s="29" t="n">
        <f aca="false">IFERROR(INDEX(Исходные!$B$18:$B$29,MATCH(H202,Исходные!$A$18:$A$29,0)),0)</f>
        <v>1.578</v>
      </c>
      <c r="P202" s="49" t="n">
        <f aca="false">N202*O202</f>
        <v>18.3048</v>
      </c>
      <c r="Q202" s="15" t="s">
        <v>588</v>
      </c>
      <c r="R202" s="50" t="s">
        <v>429</v>
      </c>
      <c r="S202" s="15" t="s">
        <v>592</v>
      </c>
      <c r="T202" s="15" t="s">
        <v>424</v>
      </c>
      <c r="U202" s="38" t="n">
        <v>0</v>
      </c>
      <c r="V202" s="47" t="s">
        <v>570</v>
      </c>
    </row>
    <row r="203" customFormat="false" ht="23.85" hidden="false" customHeight="false" outlineLevel="0" collapsed="false">
      <c r="A203" s="47" t="n">
        <v>196</v>
      </c>
      <c r="B203" s="15" t="s">
        <v>278</v>
      </c>
      <c r="C203" s="15" t="s">
        <v>424</v>
      </c>
      <c r="D203" s="15" t="s">
        <v>569</v>
      </c>
      <c r="E203" s="15" t="s">
        <v>570</v>
      </c>
      <c r="F203" s="47" t="s">
        <v>445</v>
      </c>
      <c r="G203" s="15" t="s">
        <v>593</v>
      </c>
      <c r="H203" s="40" t="n">
        <v>12</v>
      </c>
      <c r="I203" s="47" t="s">
        <v>282</v>
      </c>
      <c r="J203" s="47" t="s">
        <v>113</v>
      </c>
      <c r="K203" s="40" t="n">
        <v>2</v>
      </c>
      <c r="L203" s="40" t="n">
        <v>4</v>
      </c>
      <c r="M203" s="45" t="n">
        <v>2.05</v>
      </c>
      <c r="N203" s="48" t="n">
        <f aca="false">K203*L203*M203</f>
        <v>16.4</v>
      </c>
      <c r="O203" s="29" t="n">
        <f aca="false">IFERROR(INDEX(Исходные!$B$18:$B$29,MATCH(H203,Исходные!$A$18:$A$29,0)),0)</f>
        <v>0.888</v>
      </c>
      <c r="P203" s="49" t="n">
        <f aca="false">N203*O203</f>
        <v>14.5632</v>
      </c>
      <c r="Q203" s="15" t="s">
        <v>594</v>
      </c>
      <c r="R203" s="50" t="s">
        <v>429</v>
      </c>
      <c r="S203" s="15" t="s">
        <v>578</v>
      </c>
      <c r="T203" s="15" t="s">
        <v>424</v>
      </c>
      <c r="U203" s="38" t="n">
        <v>0</v>
      </c>
      <c r="V203" s="47" t="s">
        <v>570</v>
      </c>
    </row>
    <row r="204" customFormat="false" ht="23.85" hidden="false" customHeight="false" outlineLevel="0" collapsed="false">
      <c r="A204" s="47" t="n">
        <v>197</v>
      </c>
      <c r="B204" s="15" t="s">
        <v>278</v>
      </c>
      <c r="C204" s="15" t="s">
        <v>424</v>
      </c>
      <c r="D204" s="15" t="s">
        <v>569</v>
      </c>
      <c r="E204" s="15" t="s">
        <v>570</v>
      </c>
      <c r="F204" s="47" t="s">
        <v>465</v>
      </c>
      <c r="G204" s="15" t="s">
        <v>466</v>
      </c>
      <c r="H204" s="40" t="n">
        <v>8</v>
      </c>
      <c r="I204" s="47" t="s">
        <v>316</v>
      </c>
      <c r="J204" s="47" t="s">
        <v>467</v>
      </c>
      <c r="K204" s="40" t="n">
        <v>2</v>
      </c>
      <c r="L204" s="40" t="n">
        <v>112</v>
      </c>
      <c r="M204" s="45" t="n">
        <v>2.06</v>
      </c>
      <c r="N204" s="48" t="n">
        <f aca="false">K204*L204*M204</f>
        <v>461.44</v>
      </c>
      <c r="O204" s="29" t="n">
        <f aca="false">IFERROR(INDEX(Исходные!$B$18:$B$29,MATCH(H204,Исходные!$A$18:$A$29,0)),0)</f>
        <v>0.395</v>
      </c>
      <c r="P204" s="49" t="n">
        <f aca="false">N204*O204</f>
        <v>182.2688</v>
      </c>
      <c r="Q204" s="15" t="s">
        <v>468</v>
      </c>
      <c r="R204" s="50" t="s">
        <v>284</v>
      </c>
      <c r="S204" s="15" t="s">
        <v>595</v>
      </c>
      <c r="T204" s="15" t="s">
        <v>424</v>
      </c>
      <c r="U204" s="38" t="n">
        <v>0</v>
      </c>
      <c r="V204" s="47" t="s">
        <v>570</v>
      </c>
    </row>
    <row r="205" customFormat="false" ht="23.85" hidden="false" customHeight="false" outlineLevel="0" collapsed="false">
      <c r="A205" s="47" t="n">
        <v>198</v>
      </c>
      <c r="B205" s="15" t="s">
        <v>278</v>
      </c>
      <c r="C205" s="15" t="s">
        <v>424</v>
      </c>
      <c r="D205" s="15" t="s">
        <v>569</v>
      </c>
      <c r="E205" s="15" t="s">
        <v>570</v>
      </c>
      <c r="F205" s="47" t="s">
        <v>331</v>
      </c>
      <c r="G205" s="15" t="s">
        <v>470</v>
      </c>
      <c r="H205" s="40" t="n">
        <v>10</v>
      </c>
      <c r="I205" s="47" t="s">
        <v>316</v>
      </c>
      <c r="J205" s="47" t="n">
        <v>100</v>
      </c>
      <c r="K205" s="40" t="n">
        <v>2</v>
      </c>
      <c r="L205" s="40" t="n">
        <v>36</v>
      </c>
      <c r="M205" s="45" t="n">
        <v>2.06</v>
      </c>
      <c r="N205" s="48" t="n">
        <f aca="false">K205*L205*M205</f>
        <v>148.32</v>
      </c>
      <c r="O205" s="29" t="n">
        <f aca="false">IFERROR(INDEX(Исходные!$B$18:$B$29,MATCH(H205,Исходные!$A$18:$A$29,0)),0)</f>
        <v>0.617</v>
      </c>
      <c r="P205" s="49" t="n">
        <f aca="false">N205*O205</f>
        <v>91.51344</v>
      </c>
      <c r="Q205" s="15" t="s">
        <v>596</v>
      </c>
      <c r="R205" s="50" t="s">
        <v>284</v>
      </c>
      <c r="S205" s="15" t="s">
        <v>597</v>
      </c>
      <c r="T205" s="15" t="s">
        <v>424</v>
      </c>
      <c r="U205" s="38" t="n">
        <v>0</v>
      </c>
      <c r="V205" s="47" t="s">
        <v>570</v>
      </c>
    </row>
    <row r="206" customFormat="false" ht="23.85" hidden="false" customHeight="false" outlineLevel="0" collapsed="false">
      <c r="A206" s="47" t="n">
        <v>199</v>
      </c>
      <c r="B206" s="15" t="s">
        <v>278</v>
      </c>
      <c r="C206" s="15" t="s">
        <v>424</v>
      </c>
      <c r="D206" s="15" t="s">
        <v>569</v>
      </c>
      <c r="E206" s="15" t="s">
        <v>570</v>
      </c>
      <c r="F206" s="47" t="s">
        <v>475</v>
      </c>
      <c r="G206" s="15" t="s">
        <v>476</v>
      </c>
      <c r="H206" s="40" t="n">
        <v>8</v>
      </c>
      <c r="I206" s="47" t="s">
        <v>316</v>
      </c>
      <c r="J206" s="47" t="s">
        <v>477</v>
      </c>
      <c r="K206" s="40" t="n">
        <v>2</v>
      </c>
      <c r="L206" s="40" t="n">
        <v>99</v>
      </c>
      <c r="M206" s="45" t="n">
        <v>0.75</v>
      </c>
      <c r="N206" s="48" t="n">
        <f aca="false">K206*L206*M206</f>
        <v>148.5</v>
      </c>
      <c r="O206" s="29" t="n">
        <f aca="false">IFERROR(INDEX(Исходные!$B$18:$B$29,MATCH(H206,Исходные!$A$18:$A$29,0)),0)</f>
        <v>0.395</v>
      </c>
      <c r="P206" s="49" t="n">
        <f aca="false">N206*O206</f>
        <v>58.6575</v>
      </c>
      <c r="Q206" s="15" t="s">
        <v>478</v>
      </c>
      <c r="R206" s="50" t="s">
        <v>284</v>
      </c>
      <c r="S206" s="15"/>
      <c r="T206" s="15" t="s">
        <v>424</v>
      </c>
      <c r="U206" s="38" t="n">
        <v>0</v>
      </c>
      <c r="V206" s="47" t="s">
        <v>570</v>
      </c>
    </row>
    <row r="207" customFormat="false" ht="23.85" hidden="false" customHeight="false" outlineLevel="0" collapsed="false">
      <c r="A207" s="47" t="n">
        <v>200</v>
      </c>
      <c r="B207" s="15" t="s">
        <v>278</v>
      </c>
      <c r="C207" s="15" t="s">
        <v>424</v>
      </c>
      <c r="D207" s="15" t="s">
        <v>569</v>
      </c>
      <c r="E207" s="15" t="s">
        <v>570</v>
      </c>
      <c r="F207" s="47" t="s">
        <v>479</v>
      </c>
      <c r="G207" s="15" t="s">
        <v>480</v>
      </c>
      <c r="H207" s="40" t="n">
        <v>8</v>
      </c>
      <c r="I207" s="47" t="s">
        <v>316</v>
      </c>
      <c r="J207" s="47" t="n">
        <v>300</v>
      </c>
      <c r="K207" s="40" t="n">
        <v>2</v>
      </c>
      <c r="L207" s="40" t="n">
        <v>62</v>
      </c>
      <c r="M207" s="45" t="n">
        <v>0.58</v>
      </c>
      <c r="N207" s="48" t="n">
        <f aca="false">K207*L207*M207</f>
        <v>71.92</v>
      </c>
      <c r="O207" s="29" t="n">
        <f aca="false">IFERROR(INDEX(Исходные!$B$18:$B$29,MATCH(H207,Исходные!$A$18:$A$29,0)),0)</f>
        <v>0.395</v>
      </c>
      <c r="P207" s="49" t="n">
        <f aca="false">N207*O207</f>
        <v>28.4084</v>
      </c>
      <c r="Q207" s="15" t="s">
        <v>481</v>
      </c>
      <c r="R207" s="51" t="s">
        <v>407</v>
      </c>
      <c r="S207" s="15" t="s">
        <v>482</v>
      </c>
      <c r="T207" s="15" t="s">
        <v>424</v>
      </c>
      <c r="U207" s="38" t="n">
        <v>1</v>
      </c>
      <c r="V207" s="47" t="s">
        <v>570</v>
      </c>
    </row>
    <row r="208" customFormat="false" ht="35.05" hidden="false" customHeight="false" outlineLevel="0" collapsed="false">
      <c r="A208" s="47" t="n">
        <v>201</v>
      </c>
      <c r="B208" s="15" t="s">
        <v>278</v>
      </c>
      <c r="C208" s="15" t="s">
        <v>424</v>
      </c>
      <c r="D208" s="15" t="s">
        <v>598</v>
      </c>
      <c r="E208" s="15" t="s">
        <v>599</v>
      </c>
      <c r="F208" s="47" t="s">
        <v>289</v>
      </c>
      <c r="G208" s="15" t="s">
        <v>427</v>
      </c>
      <c r="H208" s="40" t="n">
        <v>28</v>
      </c>
      <c r="I208" s="47" t="s">
        <v>282</v>
      </c>
      <c r="J208" s="47" t="s">
        <v>113</v>
      </c>
      <c r="K208" s="40" t="n">
        <v>1</v>
      </c>
      <c r="L208" s="40" t="n">
        <v>4</v>
      </c>
      <c r="M208" s="45" t="n">
        <v>20.5</v>
      </c>
      <c r="N208" s="48" t="n">
        <f aca="false">K208*L208*M208</f>
        <v>82</v>
      </c>
      <c r="O208" s="29" t="n">
        <f aca="false">IFERROR(INDEX(Исходные!$B$18:$B$29,MATCH(H208,Исходные!$A$18:$A$29,0)),0)</f>
        <v>4.834</v>
      </c>
      <c r="P208" s="49" t="n">
        <f aca="false">N208*O208</f>
        <v>396.388</v>
      </c>
      <c r="Q208" s="15" t="s">
        <v>600</v>
      </c>
      <c r="R208" s="50" t="s">
        <v>429</v>
      </c>
      <c r="S208" s="15" t="s">
        <v>601</v>
      </c>
      <c r="T208" s="15" t="s">
        <v>424</v>
      </c>
      <c r="U208" s="38" t="n">
        <v>0</v>
      </c>
      <c r="V208" s="47" t="s">
        <v>599</v>
      </c>
    </row>
    <row r="209" customFormat="false" ht="23.85" hidden="false" customHeight="false" outlineLevel="0" collapsed="false">
      <c r="A209" s="47" t="n">
        <v>202</v>
      </c>
      <c r="B209" s="15" t="s">
        <v>278</v>
      </c>
      <c r="C209" s="15" t="s">
        <v>424</v>
      </c>
      <c r="D209" s="15" t="s">
        <v>598</v>
      </c>
      <c r="E209" s="15" t="s">
        <v>599</v>
      </c>
      <c r="F209" s="47" t="s">
        <v>299</v>
      </c>
      <c r="G209" s="15" t="s">
        <v>431</v>
      </c>
      <c r="H209" s="40" t="n">
        <v>18</v>
      </c>
      <c r="I209" s="47" t="s">
        <v>282</v>
      </c>
      <c r="J209" s="47" t="s">
        <v>113</v>
      </c>
      <c r="K209" s="40" t="n">
        <v>1</v>
      </c>
      <c r="L209" s="40" t="n">
        <v>2</v>
      </c>
      <c r="M209" s="45" t="n">
        <v>20.5</v>
      </c>
      <c r="N209" s="48" t="n">
        <f aca="false">K209*L209*M209</f>
        <v>41</v>
      </c>
      <c r="O209" s="29" t="n">
        <f aca="false">IFERROR(INDEX(Исходные!$B$18:$B$29,MATCH(H209,Исходные!$A$18:$A$29,0)),0)</f>
        <v>1.998</v>
      </c>
      <c r="P209" s="49" t="n">
        <f aca="false">N209*O209</f>
        <v>81.918</v>
      </c>
      <c r="Q209" s="15" t="s">
        <v>432</v>
      </c>
      <c r="R209" s="50" t="s">
        <v>429</v>
      </c>
      <c r="S209" s="15"/>
      <c r="T209" s="15" t="s">
        <v>424</v>
      </c>
      <c r="U209" s="38" t="n">
        <v>0</v>
      </c>
      <c r="V209" s="47" t="s">
        <v>599</v>
      </c>
    </row>
    <row r="210" customFormat="false" ht="35.05" hidden="false" customHeight="false" outlineLevel="0" collapsed="false">
      <c r="A210" s="47" t="n">
        <v>203</v>
      </c>
      <c r="B210" s="15" t="s">
        <v>278</v>
      </c>
      <c r="C210" s="15" t="s">
        <v>424</v>
      </c>
      <c r="D210" s="15" t="s">
        <v>598</v>
      </c>
      <c r="E210" s="15" t="s">
        <v>599</v>
      </c>
      <c r="F210" s="47" t="s">
        <v>433</v>
      </c>
      <c r="G210" s="15" t="s">
        <v>602</v>
      </c>
      <c r="H210" s="40" t="n">
        <v>18</v>
      </c>
      <c r="I210" s="47" t="s">
        <v>282</v>
      </c>
      <c r="J210" s="47" t="s">
        <v>113</v>
      </c>
      <c r="K210" s="40" t="n">
        <v>2</v>
      </c>
      <c r="L210" s="40" t="n">
        <v>1</v>
      </c>
      <c r="M210" s="45" t="n">
        <v>0.144</v>
      </c>
      <c r="N210" s="48" t="n">
        <f aca="false">K210*L210*M210</f>
        <v>0.288</v>
      </c>
      <c r="O210" s="29" t="n">
        <f aca="false">IFERROR(INDEX(Исходные!$B$18:$B$29,MATCH(H210,Исходные!$A$18:$A$29,0)),0)</f>
        <v>1.998</v>
      </c>
      <c r="P210" s="49" t="n">
        <f aca="false">N210*O210</f>
        <v>0.575424</v>
      </c>
      <c r="Q210" s="15" t="s">
        <v>435</v>
      </c>
      <c r="R210" s="50" t="s">
        <v>436</v>
      </c>
      <c r="S210" s="15" t="s">
        <v>574</v>
      </c>
      <c r="T210" s="15" t="s">
        <v>424</v>
      </c>
      <c r="U210" s="38" t="n">
        <v>0</v>
      </c>
      <c r="V210" s="47" t="s">
        <v>599</v>
      </c>
    </row>
    <row r="211" customFormat="false" ht="23.85" hidden="false" customHeight="false" outlineLevel="0" collapsed="false">
      <c r="A211" s="47" t="n">
        <v>204</v>
      </c>
      <c r="B211" s="15" t="s">
        <v>278</v>
      </c>
      <c r="C211" s="15" t="s">
        <v>424</v>
      </c>
      <c r="D211" s="15" t="s">
        <v>598</v>
      </c>
      <c r="E211" s="15" t="s">
        <v>599</v>
      </c>
      <c r="F211" s="47" t="s">
        <v>438</v>
      </c>
      <c r="G211" s="15" t="s">
        <v>439</v>
      </c>
      <c r="H211" s="40" t="n">
        <v>16</v>
      </c>
      <c r="I211" s="47" t="s">
        <v>282</v>
      </c>
      <c r="J211" s="47" t="s">
        <v>113</v>
      </c>
      <c r="K211" s="40" t="n">
        <v>1</v>
      </c>
      <c r="L211" s="40" t="n">
        <v>2</v>
      </c>
      <c r="M211" s="45" t="n">
        <v>20.5</v>
      </c>
      <c r="N211" s="48" t="n">
        <f aca="false">K211*L211*M211</f>
        <v>41</v>
      </c>
      <c r="O211" s="29" t="n">
        <f aca="false">IFERROR(INDEX(Исходные!$B$18:$B$29,MATCH(H211,Исходные!$A$18:$A$29,0)),0)</f>
        <v>1.578</v>
      </c>
      <c r="P211" s="49" t="n">
        <f aca="false">N211*O211</f>
        <v>64.698</v>
      </c>
      <c r="Q211" s="15" t="s">
        <v>440</v>
      </c>
      <c r="R211" s="50" t="s">
        <v>429</v>
      </c>
      <c r="S211" s="15"/>
      <c r="T211" s="15" t="s">
        <v>424</v>
      </c>
      <c r="U211" s="38" t="n">
        <v>0</v>
      </c>
      <c r="V211" s="47" t="s">
        <v>599</v>
      </c>
    </row>
    <row r="212" customFormat="false" ht="35.05" hidden="false" customHeight="false" outlineLevel="0" collapsed="false">
      <c r="A212" s="47" t="n">
        <v>205</v>
      </c>
      <c r="B212" s="15" t="s">
        <v>278</v>
      </c>
      <c r="C212" s="15" t="s">
        <v>424</v>
      </c>
      <c r="D212" s="15" t="s">
        <v>598</v>
      </c>
      <c r="E212" s="15" t="s">
        <v>599</v>
      </c>
      <c r="F212" s="47" t="s">
        <v>441</v>
      </c>
      <c r="G212" s="15" t="s">
        <v>603</v>
      </c>
      <c r="H212" s="40" t="n">
        <v>16</v>
      </c>
      <c r="I212" s="47" t="s">
        <v>282</v>
      </c>
      <c r="J212" s="47" t="s">
        <v>113</v>
      </c>
      <c r="K212" s="40" t="n">
        <v>2</v>
      </c>
      <c r="L212" s="40" t="n">
        <v>1</v>
      </c>
      <c r="M212" s="45" t="n">
        <v>0.128</v>
      </c>
      <c r="N212" s="48" t="n">
        <f aca="false">K212*L212*M212</f>
        <v>0.256</v>
      </c>
      <c r="O212" s="29" t="n">
        <f aca="false">IFERROR(INDEX(Исходные!$B$18:$B$29,MATCH(H212,Исходные!$A$18:$A$29,0)),0)</f>
        <v>1.578</v>
      </c>
      <c r="P212" s="49" t="n">
        <f aca="false">N212*O212</f>
        <v>0.403968</v>
      </c>
      <c r="Q212" s="15" t="s">
        <v>443</v>
      </c>
      <c r="R212" s="50" t="s">
        <v>436</v>
      </c>
      <c r="S212" s="15" t="s">
        <v>576</v>
      </c>
      <c r="T212" s="15" t="s">
        <v>424</v>
      </c>
      <c r="U212" s="38" t="n">
        <v>0</v>
      </c>
      <c r="V212" s="47" t="s">
        <v>599</v>
      </c>
    </row>
    <row r="213" customFormat="false" ht="23.85" hidden="false" customHeight="false" outlineLevel="0" collapsed="false">
      <c r="A213" s="47" t="n">
        <v>206</v>
      </c>
      <c r="B213" s="15" t="s">
        <v>278</v>
      </c>
      <c r="C213" s="15" t="s">
        <v>424</v>
      </c>
      <c r="D213" s="15" t="s">
        <v>598</v>
      </c>
      <c r="E213" s="15" t="s">
        <v>599</v>
      </c>
      <c r="F213" s="47" t="s">
        <v>445</v>
      </c>
      <c r="G213" s="15" t="s">
        <v>604</v>
      </c>
      <c r="H213" s="40" t="n">
        <v>20</v>
      </c>
      <c r="I213" s="47" t="s">
        <v>282</v>
      </c>
      <c r="J213" s="47" t="s">
        <v>113</v>
      </c>
      <c r="K213" s="40" t="n">
        <v>1</v>
      </c>
      <c r="L213" s="40" t="n">
        <v>1</v>
      </c>
      <c r="M213" s="45" t="n">
        <v>2.4</v>
      </c>
      <c r="N213" s="48" t="n">
        <f aca="false">K213*L213*M213</f>
        <v>2.4</v>
      </c>
      <c r="O213" s="29" t="n">
        <f aca="false">IFERROR(INDEX(Исходные!$B$18:$B$29,MATCH(H213,Исходные!$A$18:$A$29,0)),0)</f>
        <v>2.466</v>
      </c>
      <c r="P213" s="49" t="n">
        <f aca="false">N213*O213</f>
        <v>5.9184</v>
      </c>
      <c r="Q213" s="15" t="s">
        <v>605</v>
      </c>
      <c r="R213" s="50" t="s">
        <v>429</v>
      </c>
      <c r="S213" s="15" t="s">
        <v>606</v>
      </c>
      <c r="T213" s="15" t="s">
        <v>424</v>
      </c>
      <c r="U213" s="38" t="n">
        <v>0</v>
      </c>
      <c r="V213" s="47" t="s">
        <v>599</v>
      </c>
    </row>
    <row r="214" customFormat="false" ht="23.85" hidden="false" customHeight="false" outlineLevel="0" collapsed="false">
      <c r="A214" s="47" t="n">
        <v>207</v>
      </c>
      <c r="B214" s="15" t="s">
        <v>278</v>
      </c>
      <c r="C214" s="15" t="s">
        <v>424</v>
      </c>
      <c r="D214" s="15" t="s">
        <v>598</v>
      </c>
      <c r="E214" s="15" t="s">
        <v>599</v>
      </c>
      <c r="F214" s="47" t="s">
        <v>445</v>
      </c>
      <c r="G214" s="15" t="s">
        <v>607</v>
      </c>
      <c r="H214" s="40" t="n">
        <v>14</v>
      </c>
      <c r="I214" s="47" t="s">
        <v>282</v>
      </c>
      <c r="J214" s="47" t="s">
        <v>113</v>
      </c>
      <c r="K214" s="40" t="n">
        <v>1</v>
      </c>
      <c r="L214" s="40" t="n">
        <v>2</v>
      </c>
      <c r="M214" s="45" t="n">
        <v>4</v>
      </c>
      <c r="N214" s="48" t="n">
        <f aca="false">K214*L214*M214</f>
        <v>8</v>
      </c>
      <c r="O214" s="29" t="n">
        <f aca="false">IFERROR(INDEX(Исходные!$B$18:$B$29,MATCH(H214,Исходные!$A$18:$A$29,0)),0)</f>
        <v>1.208</v>
      </c>
      <c r="P214" s="49" t="n">
        <f aca="false">N214*O214</f>
        <v>9.664</v>
      </c>
      <c r="Q214" s="15" t="s">
        <v>608</v>
      </c>
      <c r="R214" s="50" t="s">
        <v>429</v>
      </c>
      <c r="S214" s="15" t="s">
        <v>609</v>
      </c>
      <c r="T214" s="15" t="s">
        <v>424</v>
      </c>
      <c r="U214" s="38" t="n">
        <v>0</v>
      </c>
      <c r="V214" s="47" t="s">
        <v>599</v>
      </c>
    </row>
    <row r="215" customFormat="false" ht="23.85" hidden="false" customHeight="false" outlineLevel="0" collapsed="false">
      <c r="A215" s="47" t="n">
        <v>208</v>
      </c>
      <c r="B215" s="15" t="s">
        <v>278</v>
      </c>
      <c r="C215" s="15" t="s">
        <v>424</v>
      </c>
      <c r="D215" s="15" t="s">
        <v>598</v>
      </c>
      <c r="E215" s="15" t="s">
        <v>599</v>
      </c>
      <c r="F215" s="47" t="s">
        <v>445</v>
      </c>
      <c r="G215" s="15" t="s">
        <v>610</v>
      </c>
      <c r="H215" s="40" t="n">
        <v>32</v>
      </c>
      <c r="I215" s="47" t="s">
        <v>282</v>
      </c>
      <c r="J215" s="47" t="s">
        <v>113</v>
      </c>
      <c r="K215" s="40" t="n">
        <v>1</v>
      </c>
      <c r="L215" s="40" t="n">
        <v>2</v>
      </c>
      <c r="M215" s="45" t="n">
        <v>7.5</v>
      </c>
      <c r="N215" s="48" t="n">
        <f aca="false">K215*L215*M215</f>
        <v>15</v>
      </c>
      <c r="O215" s="29" t="n">
        <f aca="false">IFERROR(INDEX(Исходные!$B$18:$B$29,MATCH(H215,Исходные!$A$18:$A$29,0)),0)</f>
        <v>6.313</v>
      </c>
      <c r="P215" s="49" t="n">
        <f aca="false">N215*O215</f>
        <v>94.695</v>
      </c>
      <c r="Q215" s="15" t="s">
        <v>611</v>
      </c>
      <c r="R215" s="50" t="s">
        <v>429</v>
      </c>
      <c r="S215" s="15" t="s">
        <v>612</v>
      </c>
      <c r="T215" s="15" t="s">
        <v>424</v>
      </c>
      <c r="U215" s="38" t="n">
        <v>0</v>
      </c>
      <c r="V215" s="47" t="s">
        <v>599</v>
      </c>
    </row>
    <row r="216" customFormat="false" ht="23.85" hidden="false" customHeight="false" outlineLevel="0" collapsed="false">
      <c r="A216" s="47" t="n">
        <v>209</v>
      </c>
      <c r="B216" s="15" t="s">
        <v>278</v>
      </c>
      <c r="C216" s="15" t="s">
        <v>424</v>
      </c>
      <c r="D216" s="15" t="s">
        <v>598</v>
      </c>
      <c r="E216" s="15" t="s">
        <v>599</v>
      </c>
      <c r="F216" s="47" t="s">
        <v>445</v>
      </c>
      <c r="G216" s="15" t="s">
        <v>613</v>
      </c>
      <c r="H216" s="40" t="n">
        <v>32</v>
      </c>
      <c r="I216" s="47" t="s">
        <v>282</v>
      </c>
      <c r="J216" s="47" t="s">
        <v>113</v>
      </c>
      <c r="K216" s="40" t="n">
        <v>1</v>
      </c>
      <c r="L216" s="40" t="n">
        <v>2</v>
      </c>
      <c r="M216" s="45" t="n">
        <v>3.6</v>
      </c>
      <c r="N216" s="48" t="n">
        <f aca="false">K216*L216*M216</f>
        <v>7.2</v>
      </c>
      <c r="O216" s="29" t="n">
        <f aca="false">IFERROR(INDEX(Исходные!$B$18:$B$29,MATCH(H216,Исходные!$A$18:$A$29,0)),0)</f>
        <v>6.313</v>
      </c>
      <c r="P216" s="49" t="n">
        <f aca="false">N216*O216</f>
        <v>45.4536</v>
      </c>
      <c r="Q216" s="15" t="s">
        <v>611</v>
      </c>
      <c r="R216" s="50" t="s">
        <v>429</v>
      </c>
      <c r="S216" s="15" t="s">
        <v>614</v>
      </c>
      <c r="T216" s="15" t="s">
        <v>424</v>
      </c>
      <c r="U216" s="38" t="n">
        <v>0</v>
      </c>
      <c r="V216" s="47" t="s">
        <v>599</v>
      </c>
    </row>
    <row r="217" customFormat="false" ht="23.85" hidden="false" customHeight="false" outlineLevel="0" collapsed="false">
      <c r="A217" s="47" t="n">
        <v>210</v>
      </c>
      <c r="B217" s="15" t="s">
        <v>278</v>
      </c>
      <c r="C217" s="15" t="s">
        <v>424</v>
      </c>
      <c r="D217" s="15" t="s">
        <v>598</v>
      </c>
      <c r="E217" s="15" t="s">
        <v>599</v>
      </c>
      <c r="F217" s="47" t="s">
        <v>445</v>
      </c>
      <c r="G217" s="15" t="s">
        <v>615</v>
      </c>
      <c r="H217" s="40" t="n">
        <v>32</v>
      </c>
      <c r="I217" s="47" t="s">
        <v>282</v>
      </c>
      <c r="J217" s="47" t="s">
        <v>113</v>
      </c>
      <c r="K217" s="40" t="n">
        <v>1</v>
      </c>
      <c r="L217" s="40" t="n">
        <v>2</v>
      </c>
      <c r="M217" s="45" t="n">
        <v>2.85</v>
      </c>
      <c r="N217" s="48" t="n">
        <f aca="false">K217*L217*M217</f>
        <v>5.7</v>
      </c>
      <c r="O217" s="29" t="n">
        <f aca="false">IFERROR(INDEX(Исходные!$B$18:$B$29,MATCH(H217,Исходные!$A$18:$A$29,0)),0)</f>
        <v>6.313</v>
      </c>
      <c r="P217" s="49" t="n">
        <f aca="false">N217*O217</f>
        <v>35.9841</v>
      </c>
      <c r="Q217" s="15" t="s">
        <v>611</v>
      </c>
      <c r="R217" s="50" t="s">
        <v>429</v>
      </c>
      <c r="S217" s="15" t="s">
        <v>616</v>
      </c>
      <c r="T217" s="15" t="s">
        <v>424</v>
      </c>
      <c r="U217" s="38" t="n">
        <v>0</v>
      </c>
      <c r="V217" s="47" t="s">
        <v>599</v>
      </c>
    </row>
    <row r="218" customFormat="false" ht="23.85" hidden="false" customHeight="false" outlineLevel="0" collapsed="false">
      <c r="A218" s="47" t="n">
        <v>211</v>
      </c>
      <c r="B218" s="15" t="s">
        <v>278</v>
      </c>
      <c r="C218" s="15" t="s">
        <v>424</v>
      </c>
      <c r="D218" s="15" t="s">
        <v>598</v>
      </c>
      <c r="E218" s="15" t="s">
        <v>599</v>
      </c>
      <c r="F218" s="47" t="s">
        <v>445</v>
      </c>
      <c r="G218" s="15" t="s">
        <v>617</v>
      </c>
      <c r="H218" s="40" t="n">
        <v>25</v>
      </c>
      <c r="I218" s="47" t="s">
        <v>282</v>
      </c>
      <c r="J218" s="47" t="s">
        <v>113</v>
      </c>
      <c r="K218" s="40" t="n">
        <v>1</v>
      </c>
      <c r="L218" s="40" t="n">
        <v>2</v>
      </c>
      <c r="M218" s="45" t="n">
        <v>10.5</v>
      </c>
      <c r="N218" s="48" t="n">
        <f aca="false">K218*L218*M218</f>
        <v>21</v>
      </c>
      <c r="O218" s="29" t="n">
        <f aca="false">IFERROR(INDEX(Исходные!$B$18:$B$29,MATCH(H218,Исходные!$A$18:$A$29,0)),0)</f>
        <v>3.853</v>
      </c>
      <c r="P218" s="49" t="n">
        <f aca="false">N218*O218</f>
        <v>80.913</v>
      </c>
      <c r="Q218" s="15" t="s">
        <v>618</v>
      </c>
      <c r="R218" s="50" t="s">
        <v>429</v>
      </c>
      <c r="S218" s="15" t="s">
        <v>619</v>
      </c>
      <c r="T218" s="15" t="s">
        <v>424</v>
      </c>
      <c r="U218" s="38" t="n">
        <v>0</v>
      </c>
      <c r="V218" s="47" t="s">
        <v>599</v>
      </c>
    </row>
    <row r="219" customFormat="false" ht="23.85" hidden="false" customHeight="false" outlineLevel="0" collapsed="false">
      <c r="A219" s="47" t="n">
        <v>212</v>
      </c>
      <c r="B219" s="15" t="s">
        <v>278</v>
      </c>
      <c r="C219" s="15" t="s">
        <v>424</v>
      </c>
      <c r="D219" s="15" t="s">
        <v>598</v>
      </c>
      <c r="E219" s="15" t="s">
        <v>599</v>
      </c>
      <c r="F219" s="47" t="s">
        <v>445</v>
      </c>
      <c r="G219" s="15" t="s">
        <v>620</v>
      </c>
      <c r="H219" s="40" t="n">
        <v>20</v>
      </c>
      <c r="I219" s="47" t="s">
        <v>282</v>
      </c>
      <c r="J219" s="47" t="s">
        <v>113</v>
      </c>
      <c r="K219" s="40" t="n">
        <v>1</v>
      </c>
      <c r="L219" s="40" t="n">
        <v>2</v>
      </c>
      <c r="M219" s="45" t="n">
        <v>2.85</v>
      </c>
      <c r="N219" s="48" t="n">
        <f aca="false">K219*L219*M219</f>
        <v>5.7</v>
      </c>
      <c r="O219" s="29" t="n">
        <f aca="false">IFERROR(INDEX(Исходные!$B$18:$B$29,MATCH(H219,Исходные!$A$18:$A$29,0)),0)</f>
        <v>2.466</v>
      </c>
      <c r="P219" s="49" t="n">
        <f aca="false">N219*O219</f>
        <v>14.0562</v>
      </c>
      <c r="Q219" s="15" t="s">
        <v>621</v>
      </c>
      <c r="R219" s="50" t="s">
        <v>429</v>
      </c>
      <c r="S219" s="15" t="s">
        <v>616</v>
      </c>
      <c r="T219" s="15" t="s">
        <v>424</v>
      </c>
      <c r="U219" s="38" t="n">
        <v>0</v>
      </c>
      <c r="V219" s="47" t="s">
        <v>599</v>
      </c>
    </row>
    <row r="220" customFormat="false" ht="23.85" hidden="false" customHeight="false" outlineLevel="0" collapsed="false">
      <c r="A220" s="47" t="n">
        <v>213</v>
      </c>
      <c r="B220" s="15" t="s">
        <v>278</v>
      </c>
      <c r="C220" s="15" t="s">
        <v>424</v>
      </c>
      <c r="D220" s="15" t="s">
        <v>598</v>
      </c>
      <c r="E220" s="15" t="s">
        <v>599</v>
      </c>
      <c r="F220" s="47" t="s">
        <v>445</v>
      </c>
      <c r="G220" s="15" t="s">
        <v>622</v>
      </c>
      <c r="H220" s="40" t="n">
        <v>16</v>
      </c>
      <c r="I220" s="47" t="s">
        <v>282</v>
      </c>
      <c r="J220" s="47" t="s">
        <v>113</v>
      </c>
      <c r="K220" s="40" t="n">
        <v>1</v>
      </c>
      <c r="L220" s="40" t="n">
        <v>2</v>
      </c>
      <c r="M220" s="45" t="n">
        <v>3.6</v>
      </c>
      <c r="N220" s="48" t="n">
        <f aca="false">K220*L220*M220</f>
        <v>7.2</v>
      </c>
      <c r="O220" s="29" t="n">
        <f aca="false">IFERROR(INDEX(Исходные!$B$18:$B$29,MATCH(H220,Исходные!$A$18:$A$29,0)),0)</f>
        <v>1.578</v>
      </c>
      <c r="P220" s="49" t="n">
        <f aca="false">N220*O220</f>
        <v>11.3616</v>
      </c>
      <c r="Q220" s="15" t="s">
        <v>623</v>
      </c>
      <c r="R220" s="50" t="s">
        <v>429</v>
      </c>
      <c r="S220" s="15" t="s">
        <v>614</v>
      </c>
      <c r="T220" s="15" t="s">
        <v>424</v>
      </c>
      <c r="U220" s="38" t="n">
        <v>0</v>
      </c>
      <c r="V220" s="47" t="s">
        <v>599</v>
      </c>
    </row>
    <row r="221" customFormat="false" ht="23.85" hidden="false" customHeight="false" outlineLevel="0" collapsed="false">
      <c r="A221" s="47" t="n">
        <v>214</v>
      </c>
      <c r="B221" s="15" t="s">
        <v>278</v>
      </c>
      <c r="C221" s="15" t="s">
        <v>424</v>
      </c>
      <c r="D221" s="15" t="s">
        <v>598</v>
      </c>
      <c r="E221" s="15" t="s">
        <v>599</v>
      </c>
      <c r="F221" s="47" t="s">
        <v>445</v>
      </c>
      <c r="G221" s="15" t="s">
        <v>624</v>
      </c>
      <c r="H221" s="40" t="n">
        <v>14</v>
      </c>
      <c r="I221" s="47" t="s">
        <v>282</v>
      </c>
      <c r="J221" s="47" t="s">
        <v>113</v>
      </c>
      <c r="K221" s="40" t="n">
        <v>1</v>
      </c>
      <c r="L221" s="40" t="n">
        <v>2</v>
      </c>
      <c r="M221" s="45" t="n">
        <v>2.4</v>
      </c>
      <c r="N221" s="48" t="n">
        <f aca="false">K221*L221*M221</f>
        <v>4.8</v>
      </c>
      <c r="O221" s="29" t="n">
        <f aca="false">IFERROR(INDEX(Исходные!$B$18:$B$29,MATCH(H221,Исходные!$A$18:$A$29,0)),0)</f>
        <v>1.208</v>
      </c>
      <c r="P221" s="49" t="n">
        <f aca="false">N221*O221</f>
        <v>5.7984</v>
      </c>
      <c r="Q221" s="15" t="s">
        <v>625</v>
      </c>
      <c r="R221" s="50" t="s">
        <v>429</v>
      </c>
      <c r="S221" s="15" t="s">
        <v>606</v>
      </c>
      <c r="T221" s="15" t="s">
        <v>424</v>
      </c>
      <c r="U221" s="38" t="n">
        <v>0</v>
      </c>
      <c r="V221" s="47" t="s">
        <v>599</v>
      </c>
    </row>
    <row r="222" customFormat="false" ht="23.85" hidden="false" customHeight="false" outlineLevel="0" collapsed="false">
      <c r="A222" s="47" t="n">
        <v>215</v>
      </c>
      <c r="B222" s="15" t="s">
        <v>278</v>
      </c>
      <c r="C222" s="15" t="s">
        <v>424</v>
      </c>
      <c r="D222" s="15" t="s">
        <v>598</v>
      </c>
      <c r="E222" s="15" t="s">
        <v>599</v>
      </c>
      <c r="F222" s="47" t="s">
        <v>445</v>
      </c>
      <c r="G222" s="15" t="s">
        <v>626</v>
      </c>
      <c r="H222" s="40" t="n">
        <v>14</v>
      </c>
      <c r="I222" s="47" t="s">
        <v>282</v>
      </c>
      <c r="J222" s="47" t="s">
        <v>113</v>
      </c>
      <c r="K222" s="40" t="n">
        <v>1</v>
      </c>
      <c r="L222" s="40" t="n">
        <v>2</v>
      </c>
      <c r="M222" s="45" t="n">
        <v>9.1</v>
      </c>
      <c r="N222" s="48" t="n">
        <f aca="false">K222*L222*M222</f>
        <v>18.2</v>
      </c>
      <c r="O222" s="29" t="n">
        <f aca="false">IFERROR(INDEX(Исходные!$B$18:$B$29,MATCH(H222,Исходные!$A$18:$A$29,0)),0)</f>
        <v>1.208</v>
      </c>
      <c r="P222" s="49" t="n">
        <f aca="false">N222*O222</f>
        <v>21.9856</v>
      </c>
      <c r="Q222" s="15" t="s">
        <v>625</v>
      </c>
      <c r="R222" s="50" t="s">
        <v>429</v>
      </c>
      <c r="S222" s="15" t="s">
        <v>627</v>
      </c>
      <c r="T222" s="15" t="s">
        <v>424</v>
      </c>
      <c r="U222" s="38" t="n">
        <v>0</v>
      </c>
      <c r="V222" s="47" t="s">
        <v>599</v>
      </c>
    </row>
    <row r="223" customFormat="false" ht="23.85" hidden="false" customHeight="false" outlineLevel="0" collapsed="false">
      <c r="A223" s="47" t="n">
        <v>216</v>
      </c>
      <c r="B223" s="15" t="s">
        <v>278</v>
      </c>
      <c r="C223" s="15" t="s">
        <v>424</v>
      </c>
      <c r="D223" s="15" t="s">
        <v>598</v>
      </c>
      <c r="E223" s="15" t="s">
        <v>599</v>
      </c>
      <c r="F223" s="47" t="s">
        <v>445</v>
      </c>
      <c r="G223" s="15" t="s">
        <v>628</v>
      </c>
      <c r="H223" s="40" t="n">
        <v>14</v>
      </c>
      <c r="I223" s="47" t="s">
        <v>282</v>
      </c>
      <c r="J223" s="47" t="s">
        <v>113</v>
      </c>
      <c r="K223" s="40" t="n">
        <v>1</v>
      </c>
      <c r="L223" s="40" t="n">
        <v>2</v>
      </c>
      <c r="M223" s="45" t="n">
        <v>2.85</v>
      </c>
      <c r="N223" s="48" t="n">
        <f aca="false">K223*L223*M223</f>
        <v>5.7</v>
      </c>
      <c r="O223" s="29" t="n">
        <f aca="false">IFERROR(INDEX(Исходные!$B$18:$B$29,MATCH(H223,Исходные!$A$18:$A$29,0)),0)</f>
        <v>1.208</v>
      </c>
      <c r="P223" s="49" t="n">
        <f aca="false">N223*O223</f>
        <v>6.8856</v>
      </c>
      <c r="Q223" s="15" t="s">
        <v>625</v>
      </c>
      <c r="R223" s="50" t="s">
        <v>429</v>
      </c>
      <c r="S223" s="15" t="s">
        <v>616</v>
      </c>
      <c r="T223" s="15" t="s">
        <v>424</v>
      </c>
      <c r="U223" s="38" t="n">
        <v>0</v>
      </c>
      <c r="V223" s="47" t="s">
        <v>599</v>
      </c>
    </row>
    <row r="224" customFormat="false" ht="23.85" hidden="false" customHeight="false" outlineLevel="0" collapsed="false">
      <c r="A224" s="47" t="n">
        <v>217</v>
      </c>
      <c r="B224" s="15" t="s">
        <v>278</v>
      </c>
      <c r="C224" s="15" t="s">
        <v>424</v>
      </c>
      <c r="D224" s="15" t="s">
        <v>598</v>
      </c>
      <c r="E224" s="15" t="s">
        <v>599</v>
      </c>
      <c r="F224" s="47" t="s">
        <v>465</v>
      </c>
      <c r="G224" s="15" t="s">
        <v>466</v>
      </c>
      <c r="H224" s="40" t="n">
        <v>8</v>
      </c>
      <c r="I224" s="47" t="s">
        <v>316</v>
      </c>
      <c r="J224" s="47" t="s">
        <v>467</v>
      </c>
      <c r="K224" s="40" t="n">
        <v>1</v>
      </c>
      <c r="L224" s="40" t="n">
        <v>47</v>
      </c>
      <c r="M224" s="45" t="n">
        <v>2.06</v>
      </c>
      <c r="N224" s="48" t="n">
        <f aca="false">K224*L224*M224</f>
        <v>96.82</v>
      </c>
      <c r="O224" s="29" t="n">
        <f aca="false">IFERROR(INDEX(Исходные!$B$18:$B$29,MATCH(H224,Исходные!$A$18:$A$29,0)),0)</f>
        <v>0.395</v>
      </c>
      <c r="P224" s="49" t="n">
        <f aca="false">N224*O224</f>
        <v>38.2439</v>
      </c>
      <c r="Q224" s="15" t="s">
        <v>468</v>
      </c>
      <c r="R224" s="50" t="s">
        <v>284</v>
      </c>
      <c r="S224" s="15" t="s">
        <v>629</v>
      </c>
      <c r="T224" s="15" t="s">
        <v>424</v>
      </c>
      <c r="U224" s="38" t="n">
        <v>0</v>
      </c>
      <c r="V224" s="47" t="s">
        <v>599</v>
      </c>
    </row>
    <row r="225" customFormat="false" ht="23.85" hidden="false" customHeight="false" outlineLevel="0" collapsed="false">
      <c r="A225" s="47" t="n">
        <v>218</v>
      </c>
      <c r="B225" s="15" t="s">
        <v>278</v>
      </c>
      <c r="C225" s="15" t="s">
        <v>424</v>
      </c>
      <c r="D225" s="15" t="s">
        <v>598</v>
      </c>
      <c r="E225" s="15" t="s">
        <v>599</v>
      </c>
      <c r="F225" s="47" t="s">
        <v>331</v>
      </c>
      <c r="G225" s="15" t="s">
        <v>470</v>
      </c>
      <c r="H225" s="40" t="n">
        <v>10</v>
      </c>
      <c r="I225" s="47" t="s">
        <v>316</v>
      </c>
      <c r="J225" s="47" t="n">
        <v>100</v>
      </c>
      <c r="K225" s="40" t="n">
        <v>1</v>
      </c>
      <c r="L225" s="40" t="n">
        <v>92</v>
      </c>
      <c r="M225" s="45" t="n">
        <v>2.06</v>
      </c>
      <c r="N225" s="48" t="n">
        <f aca="false">K225*L225*M225</f>
        <v>189.52</v>
      </c>
      <c r="O225" s="29" t="n">
        <f aca="false">IFERROR(INDEX(Исходные!$B$18:$B$29,MATCH(H225,Исходные!$A$18:$A$29,0)),0)</f>
        <v>0.617</v>
      </c>
      <c r="P225" s="49" t="n">
        <f aca="false">N225*O225</f>
        <v>116.93384</v>
      </c>
      <c r="Q225" s="15" t="s">
        <v>630</v>
      </c>
      <c r="R225" s="50" t="s">
        <v>284</v>
      </c>
      <c r="S225" s="15" t="s">
        <v>631</v>
      </c>
      <c r="T225" s="15" t="s">
        <v>424</v>
      </c>
      <c r="U225" s="38" t="n">
        <v>0</v>
      </c>
      <c r="V225" s="47" t="s">
        <v>599</v>
      </c>
    </row>
    <row r="226" customFormat="false" ht="23.85" hidden="false" customHeight="false" outlineLevel="0" collapsed="false">
      <c r="A226" s="47" t="n">
        <v>219</v>
      </c>
      <c r="B226" s="15" t="s">
        <v>278</v>
      </c>
      <c r="C226" s="15" t="s">
        <v>424</v>
      </c>
      <c r="D226" s="15" t="s">
        <v>598</v>
      </c>
      <c r="E226" s="15" t="s">
        <v>599</v>
      </c>
      <c r="F226" s="47" t="s">
        <v>373</v>
      </c>
      <c r="G226" s="15" t="s">
        <v>473</v>
      </c>
      <c r="H226" s="40" t="n">
        <v>10</v>
      </c>
      <c r="I226" s="47" t="s">
        <v>316</v>
      </c>
      <c r="J226" s="47" t="n">
        <v>100</v>
      </c>
      <c r="K226" s="40" t="n">
        <v>1</v>
      </c>
      <c r="L226" s="40" t="n">
        <v>86</v>
      </c>
      <c r="M226" s="45" t="n">
        <v>1.6</v>
      </c>
      <c r="N226" s="48" t="n">
        <f aca="false">K226*L226*M226</f>
        <v>137.6</v>
      </c>
      <c r="O226" s="29" t="n">
        <f aca="false">IFERROR(INDEX(Исходные!$B$18:$B$29,MATCH(H226,Исходные!$A$18:$A$29,0)),0)</f>
        <v>0.617</v>
      </c>
      <c r="P226" s="49" t="n">
        <f aca="false">N226*O226</f>
        <v>84.8992</v>
      </c>
      <c r="Q226" s="15" t="s">
        <v>632</v>
      </c>
      <c r="R226" s="50" t="s">
        <v>284</v>
      </c>
      <c r="S226" s="15"/>
      <c r="T226" s="15" t="s">
        <v>424</v>
      </c>
      <c r="U226" s="38" t="n">
        <v>0</v>
      </c>
      <c r="V226" s="47" t="s">
        <v>599</v>
      </c>
    </row>
    <row r="227" customFormat="false" ht="23.85" hidden="false" customHeight="false" outlineLevel="0" collapsed="false">
      <c r="A227" s="47" t="n">
        <v>220</v>
      </c>
      <c r="B227" s="15" t="s">
        <v>278</v>
      </c>
      <c r="C227" s="15" t="s">
        <v>424</v>
      </c>
      <c r="D227" s="15" t="s">
        <v>598</v>
      </c>
      <c r="E227" s="15" t="s">
        <v>599</v>
      </c>
      <c r="F227" s="47" t="s">
        <v>475</v>
      </c>
      <c r="G227" s="15" t="s">
        <v>476</v>
      </c>
      <c r="H227" s="40" t="n">
        <v>8</v>
      </c>
      <c r="I227" s="47" t="s">
        <v>316</v>
      </c>
      <c r="J227" s="47" t="s">
        <v>477</v>
      </c>
      <c r="K227" s="40" t="n">
        <v>1</v>
      </c>
      <c r="L227" s="40" t="n">
        <v>35</v>
      </c>
      <c r="M227" s="45" t="n">
        <v>0.75</v>
      </c>
      <c r="N227" s="48" t="n">
        <f aca="false">K227*L227*M227</f>
        <v>26.25</v>
      </c>
      <c r="O227" s="29" t="n">
        <f aca="false">IFERROR(INDEX(Исходные!$B$18:$B$29,MATCH(H227,Исходные!$A$18:$A$29,0)),0)</f>
        <v>0.395</v>
      </c>
      <c r="P227" s="49" t="n">
        <f aca="false">N227*O227</f>
        <v>10.36875</v>
      </c>
      <c r="Q227" s="15" t="s">
        <v>478</v>
      </c>
      <c r="R227" s="50" t="s">
        <v>284</v>
      </c>
      <c r="S227" s="15"/>
      <c r="T227" s="15" t="s">
        <v>424</v>
      </c>
      <c r="U227" s="38" t="n">
        <v>0</v>
      </c>
      <c r="V227" s="47" t="s">
        <v>599</v>
      </c>
    </row>
    <row r="228" customFormat="false" ht="23.85" hidden="false" customHeight="false" outlineLevel="0" collapsed="false">
      <c r="A228" s="47" t="n">
        <v>221</v>
      </c>
      <c r="B228" s="15" t="s">
        <v>278</v>
      </c>
      <c r="C228" s="15" t="s">
        <v>424</v>
      </c>
      <c r="D228" s="15" t="s">
        <v>598</v>
      </c>
      <c r="E228" s="15" t="s">
        <v>599</v>
      </c>
      <c r="F228" s="47" t="s">
        <v>479</v>
      </c>
      <c r="G228" s="15" t="s">
        <v>480</v>
      </c>
      <c r="H228" s="40" t="n">
        <v>8</v>
      </c>
      <c r="I228" s="47" t="s">
        <v>316</v>
      </c>
      <c r="J228" s="47" t="n">
        <v>300</v>
      </c>
      <c r="K228" s="40" t="n">
        <v>1</v>
      </c>
      <c r="L228" s="40" t="n">
        <v>54</v>
      </c>
      <c r="M228" s="45" t="n">
        <v>0.58</v>
      </c>
      <c r="N228" s="48" t="n">
        <f aca="false">K228*L228*M228</f>
        <v>31.32</v>
      </c>
      <c r="O228" s="29" t="n">
        <f aca="false">IFERROR(INDEX(Исходные!$B$18:$B$29,MATCH(H228,Исходные!$A$18:$A$29,0)),0)</f>
        <v>0.395</v>
      </c>
      <c r="P228" s="49" t="n">
        <f aca="false">N228*O228</f>
        <v>12.3714</v>
      </c>
      <c r="Q228" s="15" t="s">
        <v>481</v>
      </c>
      <c r="R228" s="51" t="s">
        <v>407</v>
      </c>
      <c r="S228" s="15" t="s">
        <v>482</v>
      </c>
      <c r="T228" s="15" t="s">
        <v>424</v>
      </c>
      <c r="U228" s="38" t="n">
        <v>1</v>
      </c>
      <c r="V228" s="47" t="s">
        <v>599</v>
      </c>
    </row>
    <row r="229" customFormat="false" ht="35.05" hidden="false" customHeight="false" outlineLevel="0" collapsed="false">
      <c r="A229" s="47" t="n">
        <v>222</v>
      </c>
      <c r="B229" s="15" t="s">
        <v>278</v>
      </c>
      <c r="C229" s="15" t="s">
        <v>424</v>
      </c>
      <c r="D229" s="15" t="s">
        <v>633</v>
      </c>
      <c r="E229" s="15" t="s">
        <v>634</v>
      </c>
      <c r="F229" s="47" t="s">
        <v>289</v>
      </c>
      <c r="G229" s="15" t="s">
        <v>427</v>
      </c>
      <c r="H229" s="40" t="n">
        <v>28</v>
      </c>
      <c r="I229" s="47" t="s">
        <v>282</v>
      </c>
      <c r="J229" s="47" t="s">
        <v>113</v>
      </c>
      <c r="K229" s="40" t="n">
        <v>1</v>
      </c>
      <c r="L229" s="40" t="n">
        <v>4</v>
      </c>
      <c r="M229" s="45" t="n">
        <v>20.5</v>
      </c>
      <c r="N229" s="48" t="n">
        <f aca="false">K229*L229*M229</f>
        <v>82</v>
      </c>
      <c r="O229" s="29" t="n">
        <f aca="false">IFERROR(INDEX(Исходные!$B$18:$B$29,MATCH(H229,Исходные!$A$18:$A$29,0)),0)</f>
        <v>4.834</v>
      </c>
      <c r="P229" s="49" t="n">
        <f aca="false">N229*O229</f>
        <v>396.388</v>
      </c>
      <c r="Q229" s="15" t="s">
        <v>635</v>
      </c>
      <c r="R229" s="50" t="s">
        <v>429</v>
      </c>
      <c r="S229" s="15" t="s">
        <v>601</v>
      </c>
      <c r="T229" s="15" t="s">
        <v>424</v>
      </c>
      <c r="U229" s="38" t="n">
        <v>0</v>
      </c>
      <c r="V229" s="47" t="s">
        <v>634</v>
      </c>
    </row>
    <row r="230" customFormat="false" ht="23.85" hidden="false" customHeight="false" outlineLevel="0" collapsed="false">
      <c r="A230" s="47" t="n">
        <v>223</v>
      </c>
      <c r="B230" s="15" t="s">
        <v>278</v>
      </c>
      <c r="C230" s="15" t="s">
        <v>424</v>
      </c>
      <c r="D230" s="15" t="s">
        <v>633</v>
      </c>
      <c r="E230" s="15" t="s">
        <v>634</v>
      </c>
      <c r="F230" s="47" t="s">
        <v>299</v>
      </c>
      <c r="G230" s="15" t="s">
        <v>431</v>
      </c>
      <c r="H230" s="40" t="n">
        <v>18</v>
      </c>
      <c r="I230" s="47" t="s">
        <v>282</v>
      </c>
      <c r="J230" s="47" t="s">
        <v>113</v>
      </c>
      <c r="K230" s="40" t="n">
        <v>1</v>
      </c>
      <c r="L230" s="40" t="n">
        <v>2</v>
      </c>
      <c r="M230" s="45" t="n">
        <v>20.5</v>
      </c>
      <c r="N230" s="48" t="n">
        <f aca="false">K230*L230*M230</f>
        <v>41</v>
      </c>
      <c r="O230" s="29" t="n">
        <f aca="false">IFERROR(INDEX(Исходные!$B$18:$B$29,MATCH(H230,Исходные!$A$18:$A$29,0)),0)</f>
        <v>1.998</v>
      </c>
      <c r="P230" s="49" t="n">
        <f aca="false">N230*O230</f>
        <v>81.918</v>
      </c>
      <c r="Q230" s="15" t="s">
        <v>432</v>
      </c>
      <c r="R230" s="50" t="s">
        <v>429</v>
      </c>
      <c r="S230" s="15"/>
      <c r="T230" s="15" t="s">
        <v>424</v>
      </c>
      <c r="U230" s="38" t="n">
        <v>0</v>
      </c>
      <c r="V230" s="47" t="s">
        <v>634</v>
      </c>
    </row>
    <row r="231" customFormat="false" ht="35.05" hidden="false" customHeight="false" outlineLevel="0" collapsed="false">
      <c r="A231" s="47" t="n">
        <v>224</v>
      </c>
      <c r="B231" s="15" t="s">
        <v>278</v>
      </c>
      <c r="C231" s="15" t="s">
        <v>424</v>
      </c>
      <c r="D231" s="15" t="s">
        <v>633</v>
      </c>
      <c r="E231" s="15" t="s">
        <v>634</v>
      </c>
      <c r="F231" s="47" t="s">
        <v>433</v>
      </c>
      <c r="G231" s="15" t="s">
        <v>602</v>
      </c>
      <c r="H231" s="40" t="n">
        <v>18</v>
      </c>
      <c r="I231" s="47" t="s">
        <v>282</v>
      </c>
      <c r="J231" s="47" t="s">
        <v>113</v>
      </c>
      <c r="K231" s="40" t="n">
        <v>2</v>
      </c>
      <c r="L231" s="40" t="n">
        <v>1</v>
      </c>
      <c r="M231" s="45" t="n">
        <v>0.144</v>
      </c>
      <c r="N231" s="48" t="n">
        <f aca="false">K231*L231*M231</f>
        <v>0.288</v>
      </c>
      <c r="O231" s="29" t="n">
        <f aca="false">IFERROR(INDEX(Исходные!$B$18:$B$29,MATCH(H231,Исходные!$A$18:$A$29,0)),0)</f>
        <v>1.998</v>
      </c>
      <c r="P231" s="49" t="n">
        <f aca="false">N231*O231</f>
        <v>0.575424</v>
      </c>
      <c r="Q231" s="15" t="s">
        <v>435</v>
      </c>
      <c r="R231" s="50" t="s">
        <v>436</v>
      </c>
      <c r="S231" s="15" t="s">
        <v>574</v>
      </c>
      <c r="T231" s="15" t="s">
        <v>424</v>
      </c>
      <c r="U231" s="38" t="n">
        <v>0</v>
      </c>
      <c r="V231" s="47" t="s">
        <v>634</v>
      </c>
    </row>
    <row r="232" customFormat="false" ht="23.85" hidden="false" customHeight="false" outlineLevel="0" collapsed="false">
      <c r="A232" s="47" t="n">
        <v>225</v>
      </c>
      <c r="B232" s="15" t="s">
        <v>278</v>
      </c>
      <c r="C232" s="15" t="s">
        <v>424</v>
      </c>
      <c r="D232" s="15" t="s">
        <v>633</v>
      </c>
      <c r="E232" s="15" t="s">
        <v>634</v>
      </c>
      <c r="F232" s="47" t="s">
        <v>438</v>
      </c>
      <c r="G232" s="15" t="s">
        <v>439</v>
      </c>
      <c r="H232" s="40" t="n">
        <v>16</v>
      </c>
      <c r="I232" s="47" t="s">
        <v>282</v>
      </c>
      <c r="J232" s="47" t="s">
        <v>113</v>
      </c>
      <c r="K232" s="40" t="n">
        <v>1</v>
      </c>
      <c r="L232" s="40" t="n">
        <v>2</v>
      </c>
      <c r="M232" s="45" t="n">
        <v>20.5</v>
      </c>
      <c r="N232" s="48" t="n">
        <f aca="false">K232*L232*M232</f>
        <v>41</v>
      </c>
      <c r="O232" s="29" t="n">
        <f aca="false">IFERROR(INDEX(Исходные!$B$18:$B$29,MATCH(H232,Исходные!$A$18:$A$29,0)),0)</f>
        <v>1.578</v>
      </c>
      <c r="P232" s="49" t="n">
        <f aca="false">N232*O232</f>
        <v>64.698</v>
      </c>
      <c r="Q232" s="15" t="s">
        <v>440</v>
      </c>
      <c r="R232" s="50" t="s">
        <v>429</v>
      </c>
      <c r="S232" s="15"/>
      <c r="T232" s="15" t="s">
        <v>424</v>
      </c>
      <c r="U232" s="38" t="n">
        <v>0</v>
      </c>
      <c r="V232" s="47" t="s">
        <v>634</v>
      </c>
    </row>
    <row r="233" customFormat="false" ht="35.05" hidden="false" customHeight="false" outlineLevel="0" collapsed="false">
      <c r="A233" s="47" t="n">
        <v>226</v>
      </c>
      <c r="B233" s="15" t="s">
        <v>278</v>
      </c>
      <c r="C233" s="15" t="s">
        <v>424</v>
      </c>
      <c r="D233" s="15" t="s">
        <v>633</v>
      </c>
      <c r="E233" s="15" t="s">
        <v>634</v>
      </c>
      <c r="F233" s="47" t="s">
        <v>441</v>
      </c>
      <c r="G233" s="15" t="s">
        <v>603</v>
      </c>
      <c r="H233" s="40" t="n">
        <v>16</v>
      </c>
      <c r="I233" s="47" t="s">
        <v>282</v>
      </c>
      <c r="J233" s="47" t="s">
        <v>113</v>
      </c>
      <c r="K233" s="40" t="n">
        <v>2</v>
      </c>
      <c r="L233" s="40" t="n">
        <v>1</v>
      </c>
      <c r="M233" s="45" t="n">
        <v>0.128</v>
      </c>
      <c r="N233" s="48" t="n">
        <f aca="false">K233*L233*M233</f>
        <v>0.256</v>
      </c>
      <c r="O233" s="29" t="n">
        <f aca="false">IFERROR(INDEX(Исходные!$B$18:$B$29,MATCH(H233,Исходные!$A$18:$A$29,0)),0)</f>
        <v>1.578</v>
      </c>
      <c r="P233" s="49" t="n">
        <f aca="false">N233*O233</f>
        <v>0.403968</v>
      </c>
      <c r="Q233" s="15" t="s">
        <v>443</v>
      </c>
      <c r="R233" s="50" t="s">
        <v>436</v>
      </c>
      <c r="S233" s="15" t="s">
        <v>576</v>
      </c>
      <c r="T233" s="15" t="s">
        <v>424</v>
      </c>
      <c r="U233" s="38" t="n">
        <v>0</v>
      </c>
      <c r="V233" s="47" t="s">
        <v>634</v>
      </c>
    </row>
    <row r="234" customFormat="false" ht="23.85" hidden="false" customHeight="false" outlineLevel="0" collapsed="false">
      <c r="A234" s="47" t="n">
        <v>227</v>
      </c>
      <c r="B234" s="15" t="s">
        <v>278</v>
      </c>
      <c r="C234" s="15" t="s">
        <v>424</v>
      </c>
      <c r="D234" s="15" t="s">
        <v>633</v>
      </c>
      <c r="E234" s="15" t="s">
        <v>634</v>
      </c>
      <c r="F234" s="47" t="s">
        <v>445</v>
      </c>
      <c r="G234" s="15" t="s">
        <v>446</v>
      </c>
      <c r="H234" s="40" t="n">
        <v>28</v>
      </c>
      <c r="I234" s="47" t="s">
        <v>282</v>
      </c>
      <c r="J234" s="47" t="s">
        <v>113</v>
      </c>
      <c r="K234" s="40" t="n">
        <v>1</v>
      </c>
      <c r="L234" s="40" t="n">
        <v>2</v>
      </c>
      <c r="M234" s="45" t="n">
        <v>2.05</v>
      </c>
      <c r="N234" s="48" t="n">
        <f aca="false">K234*L234*M234</f>
        <v>4.1</v>
      </c>
      <c r="O234" s="29" t="n">
        <f aca="false">IFERROR(INDEX(Исходные!$B$18:$B$29,MATCH(H234,Исходные!$A$18:$A$29,0)),0)</f>
        <v>4.834</v>
      </c>
      <c r="P234" s="49" t="n">
        <f aca="false">N234*O234</f>
        <v>19.8194</v>
      </c>
      <c r="Q234" s="15" t="s">
        <v>636</v>
      </c>
      <c r="R234" s="50" t="s">
        <v>429</v>
      </c>
      <c r="S234" s="15" t="s">
        <v>578</v>
      </c>
      <c r="T234" s="15" t="s">
        <v>424</v>
      </c>
      <c r="U234" s="38" t="n">
        <v>0</v>
      </c>
      <c r="V234" s="47" t="s">
        <v>634</v>
      </c>
    </row>
    <row r="235" customFormat="false" ht="23.85" hidden="false" customHeight="false" outlineLevel="0" collapsed="false">
      <c r="A235" s="47" t="n">
        <v>228</v>
      </c>
      <c r="B235" s="15" t="s">
        <v>278</v>
      </c>
      <c r="C235" s="15" t="s">
        <v>424</v>
      </c>
      <c r="D235" s="15" t="s">
        <v>633</v>
      </c>
      <c r="E235" s="15" t="s">
        <v>634</v>
      </c>
      <c r="F235" s="47" t="s">
        <v>445</v>
      </c>
      <c r="G235" s="15" t="s">
        <v>579</v>
      </c>
      <c r="H235" s="40" t="n">
        <v>28</v>
      </c>
      <c r="I235" s="47" t="s">
        <v>282</v>
      </c>
      <c r="J235" s="47" t="s">
        <v>113</v>
      </c>
      <c r="K235" s="40" t="n">
        <v>1</v>
      </c>
      <c r="L235" s="40" t="n">
        <v>2</v>
      </c>
      <c r="M235" s="45" t="n">
        <v>3.8</v>
      </c>
      <c r="N235" s="48" t="n">
        <f aca="false">K235*L235*M235</f>
        <v>7.6</v>
      </c>
      <c r="O235" s="29" t="n">
        <f aca="false">IFERROR(INDEX(Исходные!$B$18:$B$29,MATCH(H235,Исходные!$A$18:$A$29,0)),0)</f>
        <v>4.834</v>
      </c>
      <c r="P235" s="49" t="n">
        <f aca="false">N235*O235</f>
        <v>36.7384</v>
      </c>
      <c r="Q235" s="15" t="s">
        <v>636</v>
      </c>
      <c r="R235" s="50" t="s">
        <v>429</v>
      </c>
      <c r="S235" s="15" t="s">
        <v>581</v>
      </c>
      <c r="T235" s="15" t="s">
        <v>424</v>
      </c>
      <c r="U235" s="38" t="n">
        <v>0</v>
      </c>
      <c r="V235" s="47" t="s">
        <v>634</v>
      </c>
    </row>
    <row r="236" customFormat="false" ht="23.85" hidden="false" customHeight="false" outlineLevel="0" collapsed="false">
      <c r="A236" s="47" t="n">
        <v>229</v>
      </c>
      <c r="B236" s="15" t="s">
        <v>278</v>
      </c>
      <c r="C236" s="15" t="s">
        <v>424</v>
      </c>
      <c r="D236" s="15" t="s">
        <v>633</v>
      </c>
      <c r="E236" s="15" t="s">
        <v>634</v>
      </c>
      <c r="F236" s="47" t="s">
        <v>445</v>
      </c>
      <c r="G236" s="15" t="s">
        <v>637</v>
      </c>
      <c r="H236" s="40" t="n">
        <v>25</v>
      </c>
      <c r="I236" s="47" t="s">
        <v>282</v>
      </c>
      <c r="J236" s="47" t="s">
        <v>113</v>
      </c>
      <c r="K236" s="40" t="n">
        <v>1</v>
      </c>
      <c r="L236" s="40" t="n">
        <v>2</v>
      </c>
      <c r="M236" s="45" t="n">
        <v>3.8</v>
      </c>
      <c r="N236" s="48" t="n">
        <f aca="false">K236*L236*M236</f>
        <v>7.6</v>
      </c>
      <c r="O236" s="29" t="n">
        <f aca="false">IFERROR(INDEX(Исходные!$B$18:$B$29,MATCH(H236,Исходные!$A$18:$A$29,0)),0)</f>
        <v>3.853</v>
      </c>
      <c r="P236" s="49" t="n">
        <f aca="false">N236*O236</f>
        <v>29.2828</v>
      </c>
      <c r="Q236" s="15" t="s">
        <v>638</v>
      </c>
      <c r="R236" s="50" t="s">
        <v>429</v>
      </c>
      <c r="S236" s="15" t="s">
        <v>581</v>
      </c>
      <c r="T236" s="15" t="s">
        <v>424</v>
      </c>
      <c r="U236" s="38" t="n">
        <v>0</v>
      </c>
      <c r="V236" s="47" t="s">
        <v>634</v>
      </c>
    </row>
    <row r="237" customFormat="false" ht="23.85" hidden="false" customHeight="false" outlineLevel="0" collapsed="false">
      <c r="A237" s="47" t="n">
        <v>230</v>
      </c>
      <c r="B237" s="15" t="s">
        <v>278</v>
      </c>
      <c r="C237" s="15" t="s">
        <v>424</v>
      </c>
      <c r="D237" s="15" t="s">
        <v>633</v>
      </c>
      <c r="E237" s="15" t="s">
        <v>634</v>
      </c>
      <c r="F237" s="47" t="s">
        <v>445</v>
      </c>
      <c r="G237" s="15" t="s">
        <v>639</v>
      </c>
      <c r="H237" s="40" t="n">
        <v>25</v>
      </c>
      <c r="I237" s="47" t="s">
        <v>282</v>
      </c>
      <c r="J237" s="47" t="s">
        <v>113</v>
      </c>
      <c r="K237" s="40" t="n">
        <v>1</v>
      </c>
      <c r="L237" s="40" t="n">
        <v>2</v>
      </c>
      <c r="M237" s="45" t="n">
        <v>3.8</v>
      </c>
      <c r="N237" s="48" t="n">
        <f aca="false">K237*L237*M237</f>
        <v>7.6</v>
      </c>
      <c r="O237" s="29" t="n">
        <f aca="false">IFERROR(INDEX(Исходные!$B$18:$B$29,MATCH(H237,Исходные!$A$18:$A$29,0)),0)</f>
        <v>3.853</v>
      </c>
      <c r="P237" s="49" t="n">
        <f aca="false">N237*O237</f>
        <v>29.2828</v>
      </c>
      <c r="Q237" s="15" t="s">
        <v>638</v>
      </c>
      <c r="R237" s="50" t="s">
        <v>429</v>
      </c>
      <c r="S237" s="15" t="s">
        <v>584</v>
      </c>
      <c r="T237" s="15" t="s">
        <v>424</v>
      </c>
      <c r="U237" s="38" t="n">
        <v>0</v>
      </c>
      <c r="V237" s="47" t="s">
        <v>634</v>
      </c>
    </row>
    <row r="238" customFormat="false" ht="23.85" hidden="false" customHeight="false" outlineLevel="0" collapsed="false">
      <c r="A238" s="47" t="n">
        <v>231</v>
      </c>
      <c r="B238" s="15" t="s">
        <v>278</v>
      </c>
      <c r="C238" s="15" t="s">
        <v>424</v>
      </c>
      <c r="D238" s="15" t="s">
        <v>633</v>
      </c>
      <c r="E238" s="15" t="s">
        <v>634</v>
      </c>
      <c r="F238" s="47" t="s">
        <v>445</v>
      </c>
      <c r="G238" s="15" t="s">
        <v>640</v>
      </c>
      <c r="H238" s="40" t="n">
        <v>25</v>
      </c>
      <c r="I238" s="47" t="s">
        <v>282</v>
      </c>
      <c r="J238" s="47" t="s">
        <v>113</v>
      </c>
      <c r="K238" s="40" t="n">
        <v>1</v>
      </c>
      <c r="L238" s="40" t="n">
        <v>2</v>
      </c>
      <c r="M238" s="45" t="n">
        <v>3.8</v>
      </c>
      <c r="N238" s="48" t="n">
        <f aca="false">K238*L238*M238</f>
        <v>7.6</v>
      </c>
      <c r="O238" s="29" t="n">
        <f aca="false">IFERROR(INDEX(Исходные!$B$18:$B$29,MATCH(H238,Исходные!$A$18:$A$29,0)),0)</f>
        <v>3.853</v>
      </c>
      <c r="P238" s="49" t="n">
        <f aca="false">N238*O238</f>
        <v>29.2828</v>
      </c>
      <c r="Q238" s="15" t="s">
        <v>638</v>
      </c>
      <c r="R238" s="50" t="s">
        <v>429</v>
      </c>
      <c r="S238" s="15" t="s">
        <v>584</v>
      </c>
      <c r="T238" s="15" t="s">
        <v>424</v>
      </c>
      <c r="U238" s="38" t="n">
        <v>0</v>
      </c>
      <c r="V238" s="47" t="s">
        <v>634</v>
      </c>
    </row>
    <row r="239" customFormat="false" ht="23.85" hidden="false" customHeight="false" outlineLevel="0" collapsed="false">
      <c r="A239" s="47" t="n">
        <v>232</v>
      </c>
      <c r="B239" s="15" t="s">
        <v>278</v>
      </c>
      <c r="C239" s="15" t="s">
        <v>424</v>
      </c>
      <c r="D239" s="15" t="s">
        <v>633</v>
      </c>
      <c r="E239" s="15" t="s">
        <v>634</v>
      </c>
      <c r="F239" s="47" t="s">
        <v>445</v>
      </c>
      <c r="G239" s="15" t="s">
        <v>641</v>
      </c>
      <c r="H239" s="40" t="n">
        <v>32</v>
      </c>
      <c r="I239" s="47" t="s">
        <v>282</v>
      </c>
      <c r="J239" s="47" t="s">
        <v>113</v>
      </c>
      <c r="K239" s="40" t="n">
        <v>1</v>
      </c>
      <c r="L239" s="40" t="n">
        <v>2</v>
      </c>
      <c r="M239" s="45" t="n">
        <v>2.05</v>
      </c>
      <c r="N239" s="48" t="n">
        <f aca="false">K239*L239*M239</f>
        <v>4.1</v>
      </c>
      <c r="O239" s="29" t="n">
        <f aca="false">IFERROR(INDEX(Исходные!$B$18:$B$29,MATCH(H239,Исходные!$A$18:$A$29,0)),0)</f>
        <v>6.313</v>
      </c>
      <c r="P239" s="49" t="n">
        <f aca="false">N239*O239</f>
        <v>25.8833</v>
      </c>
      <c r="Q239" s="15" t="s">
        <v>642</v>
      </c>
      <c r="R239" s="50" t="s">
        <v>429</v>
      </c>
      <c r="S239" s="15" t="s">
        <v>586</v>
      </c>
      <c r="T239" s="15" t="s">
        <v>424</v>
      </c>
      <c r="U239" s="38" t="n">
        <v>0</v>
      </c>
      <c r="V239" s="47" t="s">
        <v>634</v>
      </c>
    </row>
    <row r="240" customFormat="false" ht="23.85" hidden="false" customHeight="false" outlineLevel="0" collapsed="false">
      <c r="A240" s="47" t="n">
        <v>233</v>
      </c>
      <c r="B240" s="15" t="s">
        <v>278</v>
      </c>
      <c r="C240" s="15" t="s">
        <v>424</v>
      </c>
      <c r="D240" s="15" t="s">
        <v>633</v>
      </c>
      <c r="E240" s="15" t="s">
        <v>634</v>
      </c>
      <c r="F240" s="47" t="s">
        <v>445</v>
      </c>
      <c r="G240" s="15" t="s">
        <v>498</v>
      </c>
      <c r="H240" s="40" t="n">
        <v>16</v>
      </c>
      <c r="I240" s="47" t="s">
        <v>282</v>
      </c>
      <c r="J240" s="47" t="s">
        <v>113</v>
      </c>
      <c r="K240" s="40" t="n">
        <v>1</v>
      </c>
      <c r="L240" s="40" t="n">
        <v>2</v>
      </c>
      <c r="M240" s="45" t="n">
        <v>2.9</v>
      </c>
      <c r="N240" s="48" t="n">
        <f aca="false">K240*L240*M240</f>
        <v>5.8</v>
      </c>
      <c r="O240" s="29" t="n">
        <f aca="false">IFERROR(INDEX(Исходные!$B$18:$B$29,MATCH(H240,Исходные!$A$18:$A$29,0)),0)</f>
        <v>1.578</v>
      </c>
      <c r="P240" s="49" t="n">
        <f aca="false">N240*O240</f>
        <v>9.1524</v>
      </c>
      <c r="Q240" s="15" t="s">
        <v>643</v>
      </c>
      <c r="R240" s="50" t="s">
        <v>429</v>
      </c>
      <c r="S240" s="15" t="s">
        <v>644</v>
      </c>
      <c r="T240" s="15" t="s">
        <v>424</v>
      </c>
      <c r="U240" s="38" t="n">
        <v>0</v>
      </c>
      <c r="V240" s="47" t="s">
        <v>634</v>
      </c>
    </row>
    <row r="241" customFormat="false" ht="23.85" hidden="false" customHeight="false" outlineLevel="0" collapsed="false">
      <c r="A241" s="47" t="n">
        <v>234</v>
      </c>
      <c r="B241" s="15" t="s">
        <v>278</v>
      </c>
      <c r="C241" s="15" t="s">
        <v>424</v>
      </c>
      <c r="D241" s="15" t="s">
        <v>633</v>
      </c>
      <c r="E241" s="15" t="s">
        <v>634</v>
      </c>
      <c r="F241" s="47" t="s">
        <v>445</v>
      </c>
      <c r="G241" s="15" t="s">
        <v>645</v>
      </c>
      <c r="H241" s="40" t="n">
        <v>28</v>
      </c>
      <c r="I241" s="47" t="s">
        <v>282</v>
      </c>
      <c r="J241" s="47" t="s">
        <v>113</v>
      </c>
      <c r="K241" s="40" t="n">
        <v>1</v>
      </c>
      <c r="L241" s="40" t="n">
        <v>2</v>
      </c>
      <c r="M241" s="45" t="n">
        <v>3</v>
      </c>
      <c r="N241" s="48" t="n">
        <f aca="false">K241*L241*M241</f>
        <v>6</v>
      </c>
      <c r="O241" s="29" t="n">
        <f aca="false">IFERROR(INDEX(Исходные!$B$18:$B$29,MATCH(H241,Исходные!$A$18:$A$29,0)),0)</f>
        <v>4.834</v>
      </c>
      <c r="P241" s="49" t="n">
        <f aca="false">N241*O241</f>
        <v>29.004</v>
      </c>
      <c r="Q241" s="15" t="s">
        <v>636</v>
      </c>
      <c r="R241" s="50" t="s">
        <v>429</v>
      </c>
      <c r="S241" s="15" t="s">
        <v>591</v>
      </c>
      <c r="T241" s="15" t="s">
        <v>424</v>
      </c>
      <c r="U241" s="38" t="n">
        <v>0</v>
      </c>
      <c r="V241" s="47" t="s">
        <v>634</v>
      </c>
    </row>
    <row r="242" customFormat="false" ht="23.85" hidden="false" customHeight="false" outlineLevel="0" collapsed="false">
      <c r="A242" s="47" t="n">
        <v>235</v>
      </c>
      <c r="B242" s="15" t="s">
        <v>278</v>
      </c>
      <c r="C242" s="15" t="s">
        <v>424</v>
      </c>
      <c r="D242" s="15" t="s">
        <v>633</v>
      </c>
      <c r="E242" s="15" t="s">
        <v>634</v>
      </c>
      <c r="F242" s="47" t="s">
        <v>445</v>
      </c>
      <c r="G242" s="15" t="s">
        <v>646</v>
      </c>
      <c r="H242" s="40" t="n">
        <v>16</v>
      </c>
      <c r="I242" s="47" t="s">
        <v>282</v>
      </c>
      <c r="J242" s="47" t="s">
        <v>113</v>
      </c>
      <c r="K242" s="40" t="n">
        <v>1</v>
      </c>
      <c r="L242" s="40" t="n">
        <v>2</v>
      </c>
      <c r="M242" s="45" t="n">
        <v>4.95</v>
      </c>
      <c r="N242" s="48" t="n">
        <f aca="false">K242*L242*M242</f>
        <v>9.9</v>
      </c>
      <c r="O242" s="29" t="n">
        <f aca="false">IFERROR(INDEX(Исходные!$B$18:$B$29,MATCH(H242,Исходные!$A$18:$A$29,0)),0)</f>
        <v>1.578</v>
      </c>
      <c r="P242" s="49" t="n">
        <f aca="false">N242*O242</f>
        <v>15.6222</v>
      </c>
      <c r="Q242" s="15" t="s">
        <v>643</v>
      </c>
      <c r="R242" s="50" t="s">
        <v>429</v>
      </c>
      <c r="S242" s="15" t="s">
        <v>647</v>
      </c>
      <c r="T242" s="15" t="s">
        <v>424</v>
      </c>
      <c r="U242" s="38" t="n">
        <v>0</v>
      </c>
      <c r="V242" s="47" t="s">
        <v>634</v>
      </c>
    </row>
    <row r="243" customFormat="false" ht="23.85" hidden="false" customHeight="false" outlineLevel="0" collapsed="false">
      <c r="A243" s="47" t="n">
        <v>236</v>
      </c>
      <c r="B243" s="15" t="s">
        <v>278</v>
      </c>
      <c r="C243" s="15" t="s">
        <v>424</v>
      </c>
      <c r="D243" s="15" t="s">
        <v>633</v>
      </c>
      <c r="E243" s="15" t="s">
        <v>634</v>
      </c>
      <c r="F243" s="47" t="s">
        <v>445</v>
      </c>
      <c r="G243" s="15" t="s">
        <v>648</v>
      </c>
      <c r="H243" s="40" t="n">
        <v>12</v>
      </c>
      <c r="I243" s="47" t="s">
        <v>282</v>
      </c>
      <c r="J243" s="47" t="s">
        <v>113</v>
      </c>
      <c r="K243" s="40" t="n">
        <v>1</v>
      </c>
      <c r="L243" s="40" t="n">
        <v>4</v>
      </c>
      <c r="M243" s="45" t="n">
        <v>3.8</v>
      </c>
      <c r="N243" s="48" t="n">
        <f aca="false">K243*L243*M243</f>
        <v>15.2</v>
      </c>
      <c r="O243" s="29" t="n">
        <f aca="false">IFERROR(INDEX(Исходные!$B$18:$B$29,MATCH(H243,Исходные!$A$18:$A$29,0)),0)</f>
        <v>0.888</v>
      </c>
      <c r="P243" s="49" t="n">
        <f aca="false">N243*O243</f>
        <v>13.4976</v>
      </c>
      <c r="Q243" s="15" t="s">
        <v>649</v>
      </c>
      <c r="R243" s="50" t="s">
        <v>429</v>
      </c>
      <c r="S243" s="15" t="s">
        <v>581</v>
      </c>
      <c r="T243" s="15" t="s">
        <v>424</v>
      </c>
      <c r="U243" s="38" t="n">
        <v>0</v>
      </c>
      <c r="V243" s="47" t="s">
        <v>634</v>
      </c>
    </row>
    <row r="244" customFormat="false" ht="23.85" hidden="false" customHeight="false" outlineLevel="0" collapsed="false">
      <c r="A244" s="47" t="n">
        <v>237</v>
      </c>
      <c r="B244" s="15" t="s">
        <v>278</v>
      </c>
      <c r="C244" s="15" t="s">
        <v>424</v>
      </c>
      <c r="D244" s="15" t="s">
        <v>633</v>
      </c>
      <c r="E244" s="15" t="s">
        <v>634</v>
      </c>
      <c r="F244" s="47" t="s">
        <v>445</v>
      </c>
      <c r="G244" s="15" t="s">
        <v>650</v>
      </c>
      <c r="H244" s="40" t="n">
        <v>12</v>
      </c>
      <c r="I244" s="47" t="s">
        <v>282</v>
      </c>
      <c r="J244" s="47" t="s">
        <v>113</v>
      </c>
      <c r="K244" s="40" t="n">
        <v>1</v>
      </c>
      <c r="L244" s="40" t="n">
        <v>4</v>
      </c>
      <c r="M244" s="45" t="n">
        <v>3.8</v>
      </c>
      <c r="N244" s="48" t="n">
        <f aca="false">K244*L244*M244</f>
        <v>15.2</v>
      </c>
      <c r="O244" s="29" t="n">
        <f aca="false">IFERROR(INDEX(Исходные!$B$18:$B$29,MATCH(H244,Исходные!$A$18:$A$29,0)),0)</f>
        <v>0.888</v>
      </c>
      <c r="P244" s="49" t="n">
        <f aca="false">N244*O244</f>
        <v>13.4976</v>
      </c>
      <c r="Q244" s="15" t="s">
        <v>649</v>
      </c>
      <c r="R244" s="50" t="s">
        <v>429</v>
      </c>
      <c r="S244" s="15" t="s">
        <v>584</v>
      </c>
      <c r="T244" s="15" t="s">
        <v>424</v>
      </c>
      <c r="U244" s="38" t="n">
        <v>0</v>
      </c>
      <c r="V244" s="47" t="s">
        <v>634</v>
      </c>
    </row>
    <row r="245" customFormat="false" ht="23.85" hidden="false" customHeight="false" outlineLevel="0" collapsed="false">
      <c r="A245" s="47" t="n">
        <v>238</v>
      </c>
      <c r="B245" s="15" t="s">
        <v>278</v>
      </c>
      <c r="C245" s="15" t="s">
        <v>424</v>
      </c>
      <c r="D245" s="15" t="s">
        <v>633</v>
      </c>
      <c r="E245" s="15" t="s">
        <v>634</v>
      </c>
      <c r="F245" s="47" t="s">
        <v>445</v>
      </c>
      <c r="G245" s="15" t="s">
        <v>651</v>
      </c>
      <c r="H245" s="40" t="n">
        <v>12</v>
      </c>
      <c r="I245" s="47" t="s">
        <v>282</v>
      </c>
      <c r="J245" s="47" t="s">
        <v>113</v>
      </c>
      <c r="K245" s="40" t="n">
        <v>1</v>
      </c>
      <c r="L245" s="40" t="n">
        <v>4</v>
      </c>
      <c r="M245" s="45" t="n">
        <v>2.05</v>
      </c>
      <c r="N245" s="48" t="n">
        <f aca="false">K245*L245*M245</f>
        <v>8.2</v>
      </c>
      <c r="O245" s="29" t="n">
        <f aca="false">IFERROR(INDEX(Исходные!$B$18:$B$29,MATCH(H245,Исходные!$A$18:$A$29,0)),0)</f>
        <v>0.888</v>
      </c>
      <c r="P245" s="49" t="n">
        <f aca="false">N245*O245</f>
        <v>7.2816</v>
      </c>
      <c r="Q245" s="15" t="s">
        <v>649</v>
      </c>
      <c r="R245" s="50" t="s">
        <v>429</v>
      </c>
      <c r="S245" s="15" t="s">
        <v>586</v>
      </c>
      <c r="T245" s="15" t="s">
        <v>424</v>
      </c>
      <c r="U245" s="38" t="n">
        <v>0</v>
      </c>
      <c r="V245" s="47" t="s">
        <v>634</v>
      </c>
    </row>
    <row r="246" customFormat="false" ht="23.85" hidden="false" customHeight="false" outlineLevel="0" collapsed="false">
      <c r="A246" s="47" t="n">
        <v>239</v>
      </c>
      <c r="B246" s="15" t="s">
        <v>278</v>
      </c>
      <c r="C246" s="15" t="s">
        <v>424</v>
      </c>
      <c r="D246" s="15" t="s">
        <v>633</v>
      </c>
      <c r="E246" s="15" t="s">
        <v>634</v>
      </c>
      <c r="F246" s="47" t="s">
        <v>465</v>
      </c>
      <c r="G246" s="15" t="s">
        <v>466</v>
      </c>
      <c r="H246" s="40" t="n">
        <v>8</v>
      </c>
      <c r="I246" s="47" t="s">
        <v>316</v>
      </c>
      <c r="J246" s="47" t="s">
        <v>467</v>
      </c>
      <c r="K246" s="40" t="n">
        <v>1</v>
      </c>
      <c r="L246" s="40" t="n">
        <v>52</v>
      </c>
      <c r="M246" s="45" t="n">
        <v>2.06</v>
      </c>
      <c r="N246" s="48" t="n">
        <f aca="false">K246*L246*M246</f>
        <v>107.12</v>
      </c>
      <c r="O246" s="29" t="n">
        <f aca="false">IFERROR(INDEX(Исходные!$B$18:$B$29,MATCH(H246,Исходные!$A$18:$A$29,0)),0)</f>
        <v>0.395</v>
      </c>
      <c r="P246" s="49" t="n">
        <f aca="false">N246*O246</f>
        <v>42.3124</v>
      </c>
      <c r="Q246" s="15" t="s">
        <v>468</v>
      </c>
      <c r="R246" s="50" t="s">
        <v>284</v>
      </c>
      <c r="S246" s="15" t="s">
        <v>595</v>
      </c>
      <c r="T246" s="15" t="s">
        <v>424</v>
      </c>
      <c r="U246" s="38" t="n">
        <v>0</v>
      </c>
      <c r="V246" s="47" t="s">
        <v>634</v>
      </c>
    </row>
    <row r="247" customFormat="false" ht="35.05" hidden="false" customHeight="false" outlineLevel="0" collapsed="false">
      <c r="A247" s="47" t="n">
        <v>240</v>
      </c>
      <c r="B247" s="15" t="s">
        <v>278</v>
      </c>
      <c r="C247" s="15" t="s">
        <v>424</v>
      </c>
      <c r="D247" s="15" t="s">
        <v>633</v>
      </c>
      <c r="E247" s="15" t="s">
        <v>634</v>
      </c>
      <c r="F247" s="47" t="s">
        <v>331</v>
      </c>
      <c r="G247" s="15" t="s">
        <v>470</v>
      </c>
      <c r="H247" s="40" t="n">
        <v>10</v>
      </c>
      <c r="I247" s="47" t="s">
        <v>316</v>
      </c>
      <c r="J247" s="47" t="n">
        <v>100</v>
      </c>
      <c r="K247" s="40" t="n">
        <v>1</v>
      </c>
      <c r="L247" s="40" t="n">
        <v>106</v>
      </c>
      <c r="M247" s="45" t="n">
        <v>2.06</v>
      </c>
      <c r="N247" s="48" t="n">
        <f aca="false">K247*L247*M247</f>
        <v>218.36</v>
      </c>
      <c r="O247" s="29" t="n">
        <f aca="false">IFERROR(INDEX(Исходные!$B$18:$B$29,MATCH(H247,Исходные!$A$18:$A$29,0)),0)</f>
        <v>0.617</v>
      </c>
      <c r="P247" s="49" t="n">
        <f aca="false">N247*O247</f>
        <v>134.72812</v>
      </c>
      <c r="Q247" s="15" t="s">
        <v>652</v>
      </c>
      <c r="R247" s="50" t="s">
        <v>284</v>
      </c>
      <c r="S247" s="15" t="s">
        <v>653</v>
      </c>
      <c r="T247" s="15" t="s">
        <v>424</v>
      </c>
      <c r="U247" s="38" t="n">
        <v>0</v>
      </c>
      <c r="V247" s="47" t="s">
        <v>634</v>
      </c>
    </row>
    <row r="248" customFormat="false" ht="23.85" hidden="false" customHeight="false" outlineLevel="0" collapsed="false">
      <c r="A248" s="47" t="n">
        <v>241</v>
      </c>
      <c r="B248" s="15" t="s">
        <v>278</v>
      </c>
      <c r="C248" s="15" t="s">
        <v>424</v>
      </c>
      <c r="D248" s="15" t="s">
        <v>633</v>
      </c>
      <c r="E248" s="15" t="s">
        <v>634</v>
      </c>
      <c r="F248" s="47" t="s">
        <v>373</v>
      </c>
      <c r="G248" s="15" t="s">
        <v>473</v>
      </c>
      <c r="H248" s="40" t="n">
        <v>10</v>
      </c>
      <c r="I248" s="47" t="s">
        <v>316</v>
      </c>
      <c r="J248" s="47" t="n">
        <v>100</v>
      </c>
      <c r="K248" s="40" t="n">
        <v>1</v>
      </c>
      <c r="L248" s="40" t="n">
        <v>50</v>
      </c>
      <c r="M248" s="45" t="n">
        <v>1.6</v>
      </c>
      <c r="N248" s="48" t="n">
        <f aca="false">K248*L248*M248</f>
        <v>80</v>
      </c>
      <c r="O248" s="29" t="n">
        <f aca="false">IFERROR(INDEX(Исходные!$B$18:$B$29,MATCH(H248,Исходные!$A$18:$A$29,0)),0)</f>
        <v>0.617</v>
      </c>
      <c r="P248" s="49" t="n">
        <f aca="false">N248*O248</f>
        <v>49.36</v>
      </c>
      <c r="Q248" s="15" t="s">
        <v>654</v>
      </c>
      <c r="R248" s="50" t="s">
        <v>284</v>
      </c>
      <c r="S248" s="15"/>
      <c r="T248" s="15" t="s">
        <v>424</v>
      </c>
      <c r="U248" s="38" t="n">
        <v>0</v>
      </c>
      <c r="V248" s="47" t="s">
        <v>634</v>
      </c>
    </row>
    <row r="249" customFormat="false" ht="23.85" hidden="false" customHeight="false" outlineLevel="0" collapsed="false">
      <c r="A249" s="47" t="n">
        <v>242</v>
      </c>
      <c r="B249" s="15" t="s">
        <v>278</v>
      </c>
      <c r="C249" s="15" t="s">
        <v>424</v>
      </c>
      <c r="D249" s="15" t="s">
        <v>633</v>
      </c>
      <c r="E249" s="15" t="s">
        <v>634</v>
      </c>
      <c r="F249" s="47" t="s">
        <v>475</v>
      </c>
      <c r="G249" s="15" t="s">
        <v>476</v>
      </c>
      <c r="H249" s="40" t="n">
        <v>8</v>
      </c>
      <c r="I249" s="47" t="s">
        <v>316</v>
      </c>
      <c r="J249" s="47" t="s">
        <v>477</v>
      </c>
      <c r="K249" s="40" t="n">
        <v>1</v>
      </c>
      <c r="L249" s="40" t="n">
        <v>73</v>
      </c>
      <c r="M249" s="45" t="n">
        <v>0.75</v>
      </c>
      <c r="N249" s="48" t="n">
        <f aca="false">K249*L249*M249</f>
        <v>54.75</v>
      </c>
      <c r="O249" s="29" t="n">
        <f aca="false">IFERROR(INDEX(Исходные!$B$18:$B$29,MATCH(H249,Исходные!$A$18:$A$29,0)),0)</f>
        <v>0.395</v>
      </c>
      <c r="P249" s="49" t="n">
        <f aca="false">N249*O249</f>
        <v>21.62625</v>
      </c>
      <c r="Q249" s="15" t="s">
        <v>478</v>
      </c>
      <c r="R249" s="50" t="s">
        <v>284</v>
      </c>
      <c r="S249" s="15"/>
      <c r="T249" s="15" t="s">
        <v>424</v>
      </c>
      <c r="U249" s="38" t="n">
        <v>0</v>
      </c>
      <c r="V249" s="47" t="s">
        <v>634</v>
      </c>
    </row>
    <row r="250" customFormat="false" ht="23.85" hidden="false" customHeight="false" outlineLevel="0" collapsed="false">
      <c r="A250" s="47" t="n">
        <v>243</v>
      </c>
      <c r="B250" s="15" t="s">
        <v>278</v>
      </c>
      <c r="C250" s="15" t="s">
        <v>424</v>
      </c>
      <c r="D250" s="15" t="s">
        <v>633</v>
      </c>
      <c r="E250" s="15" t="s">
        <v>634</v>
      </c>
      <c r="F250" s="47" t="s">
        <v>479</v>
      </c>
      <c r="G250" s="15" t="s">
        <v>480</v>
      </c>
      <c r="H250" s="40" t="n">
        <v>8</v>
      </c>
      <c r="I250" s="47" t="s">
        <v>316</v>
      </c>
      <c r="J250" s="47" t="n">
        <v>300</v>
      </c>
      <c r="K250" s="40" t="n">
        <v>1</v>
      </c>
      <c r="L250" s="40" t="n">
        <v>62</v>
      </c>
      <c r="M250" s="45" t="n">
        <v>0.58</v>
      </c>
      <c r="N250" s="48" t="n">
        <f aca="false">K250*L250*M250</f>
        <v>35.96</v>
      </c>
      <c r="O250" s="29" t="n">
        <f aca="false">IFERROR(INDEX(Исходные!$B$18:$B$29,MATCH(H250,Исходные!$A$18:$A$29,0)),0)</f>
        <v>0.395</v>
      </c>
      <c r="P250" s="49" t="n">
        <f aca="false">N250*O250</f>
        <v>14.2042</v>
      </c>
      <c r="Q250" s="15" t="s">
        <v>481</v>
      </c>
      <c r="R250" s="51" t="s">
        <v>407</v>
      </c>
      <c r="S250" s="15" t="s">
        <v>482</v>
      </c>
      <c r="T250" s="15" t="s">
        <v>424</v>
      </c>
      <c r="U250" s="38" t="n">
        <v>1</v>
      </c>
      <c r="V250" s="47" t="s">
        <v>634</v>
      </c>
    </row>
    <row r="251" customFormat="false" ht="35.05" hidden="false" customHeight="false" outlineLevel="0" collapsed="false">
      <c r="A251" s="47" t="n">
        <v>244</v>
      </c>
      <c r="B251" s="15" t="s">
        <v>278</v>
      </c>
      <c r="C251" s="15" t="s">
        <v>424</v>
      </c>
      <c r="D251" s="15" t="s">
        <v>655</v>
      </c>
      <c r="E251" s="15" t="s">
        <v>656</v>
      </c>
      <c r="F251" s="47" t="s">
        <v>289</v>
      </c>
      <c r="G251" s="15" t="s">
        <v>427</v>
      </c>
      <c r="H251" s="40" t="n">
        <v>28</v>
      </c>
      <c r="I251" s="47" t="s">
        <v>282</v>
      </c>
      <c r="J251" s="47" t="s">
        <v>113</v>
      </c>
      <c r="K251" s="40" t="n">
        <v>1</v>
      </c>
      <c r="L251" s="40" t="n">
        <v>4</v>
      </c>
      <c r="M251" s="45" t="n">
        <v>20.5</v>
      </c>
      <c r="N251" s="48" t="n">
        <f aca="false">K251*L251*M251</f>
        <v>82</v>
      </c>
      <c r="O251" s="29" t="n">
        <f aca="false">IFERROR(INDEX(Исходные!$B$18:$B$29,MATCH(H251,Исходные!$A$18:$A$29,0)),0)</f>
        <v>4.834</v>
      </c>
      <c r="P251" s="49" t="n">
        <f aca="false">N251*O251</f>
        <v>396.388</v>
      </c>
      <c r="Q251" s="15" t="s">
        <v>657</v>
      </c>
      <c r="R251" s="50" t="s">
        <v>429</v>
      </c>
      <c r="S251" s="15" t="s">
        <v>601</v>
      </c>
      <c r="T251" s="15" t="s">
        <v>424</v>
      </c>
      <c r="U251" s="38" t="n">
        <v>0</v>
      </c>
      <c r="V251" s="47" t="s">
        <v>656</v>
      </c>
    </row>
    <row r="252" customFormat="false" ht="23.85" hidden="false" customHeight="false" outlineLevel="0" collapsed="false">
      <c r="A252" s="47" t="n">
        <v>245</v>
      </c>
      <c r="B252" s="15" t="s">
        <v>278</v>
      </c>
      <c r="C252" s="15" t="s">
        <v>424</v>
      </c>
      <c r="D252" s="15" t="s">
        <v>655</v>
      </c>
      <c r="E252" s="15" t="s">
        <v>656</v>
      </c>
      <c r="F252" s="47" t="s">
        <v>299</v>
      </c>
      <c r="G252" s="15" t="s">
        <v>431</v>
      </c>
      <c r="H252" s="40" t="n">
        <v>18</v>
      </c>
      <c r="I252" s="47" t="s">
        <v>282</v>
      </c>
      <c r="J252" s="47" t="s">
        <v>113</v>
      </c>
      <c r="K252" s="40" t="n">
        <v>1</v>
      </c>
      <c r="L252" s="40" t="n">
        <v>2</v>
      </c>
      <c r="M252" s="45" t="n">
        <v>20.5</v>
      </c>
      <c r="N252" s="48" t="n">
        <f aca="false">K252*L252*M252</f>
        <v>41</v>
      </c>
      <c r="O252" s="29" t="n">
        <f aca="false">IFERROR(INDEX(Исходные!$B$18:$B$29,MATCH(H252,Исходные!$A$18:$A$29,0)),0)</f>
        <v>1.998</v>
      </c>
      <c r="P252" s="49" t="n">
        <f aca="false">N252*O252</f>
        <v>81.918</v>
      </c>
      <c r="Q252" s="15" t="s">
        <v>432</v>
      </c>
      <c r="R252" s="50" t="s">
        <v>429</v>
      </c>
      <c r="S252" s="15"/>
      <c r="T252" s="15" t="s">
        <v>424</v>
      </c>
      <c r="U252" s="38" t="n">
        <v>0</v>
      </c>
      <c r="V252" s="47" t="s">
        <v>656</v>
      </c>
    </row>
    <row r="253" customFormat="false" ht="35.05" hidden="false" customHeight="false" outlineLevel="0" collapsed="false">
      <c r="A253" s="47" t="n">
        <v>246</v>
      </c>
      <c r="B253" s="15" t="s">
        <v>278</v>
      </c>
      <c r="C253" s="15" t="s">
        <v>424</v>
      </c>
      <c r="D253" s="15" t="s">
        <v>655</v>
      </c>
      <c r="E253" s="15" t="s">
        <v>656</v>
      </c>
      <c r="F253" s="47" t="s">
        <v>433</v>
      </c>
      <c r="G253" s="15" t="s">
        <v>602</v>
      </c>
      <c r="H253" s="40" t="n">
        <v>18</v>
      </c>
      <c r="I253" s="47" t="s">
        <v>282</v>
      </c>
      <c r="J253" s="47" t="s">
        <v>113</v>
      </c>
      <c r="K253" s="40" t="n">
        <v>2</v>
      </c>
      <c r="L253" s="40" t="n">
        <v>1</v>
      </c>
      <c r="M253" s="45" t="n">
        <v>0.144</v>
      </c>
      <c r="N253" s="48" t="n">
        <f aca="false">K253*L253*M253</f>
        <v>0.288</v>
      </c>
      <c r="O253" s="29" t="n">
        <f aca="false">IFERROR(INDEX(Исходные!$B$18:$B$29,MATCH(H253,Исходные!$A$18:$A$29,0)),0)</f>
        <v>1.998</v>
      </c>
      <c r="P253" s="49" t="n">
        <f aca="false">N253*O253</f>
        <v>0.575424</v>
      </c>
      <c r="Q253" s="15" t="s">
        <v>435</v>
      </c>
      <c r="R253" s="50" t="s">
        <v>436</v>
      </c>
      <c r="S253" s="15" t="s">
        <v>574</v>
      </c>
      <c r="T253" s="15" t="s">
        <v>424</v>
      </c>
      <c r="U253" s="38" t="n">
        <v>0</v>
      </c>
      <c r="V253" s="47" t="s">
        <v>656</v>
      </c>
    </row>
    <row r="254" customFormat="false" ht="23.85" hidden="false" customHeight="false" outlineLevel="0" collapsed="false">
      <c r="A254" s="47" t="n">
        <v>247</v>
      </c>
      <c r="B254" s="15" t="s">
        <v>278</v>
      </c>
      <c r="C254" s="15" t="s">
        <v>424</v>
      </c>
      <c r="D254" s="15" t="s">
        <v>655</v>
      </c>
      <c r="E254" s="15" t="s">
        <v>656</v>
      </c>
      <c r="F254" s="47" t="s">
        <v>438</v>
      </c>
      <c r="G254" s="15" t="s">
        <v>439</v>
      </c>
      <c r="H254" s="40" t="n">
        <v>16</v>
      </c>
      <c r="I254" s="47" t="s">
        <v>282</v>
      </c>
      <c r="J254" s="47" t="s">
        <v>113</v>
      </c>
      <c r="K254" s="40" t="n">
        <v>1</v>
      </c>
      <c r="L254" s="40" t="n">
        <v>2</v>
      </c>
      <c r="M254" s="45" t="n">
        <v>20.5</v>
      </c>
      <c r="N254" s="48" t="n">
        <f aca="false">K254*L254*M254</f>
        <v>41</v>
      </c>
      <c r="O254" s="29" t="n">
        <f aca="false">IFERROR(INDEX(Исходные!$B$18:$B$29,MATCH(H254,Исходные!$A$18:$A$29,0)),0)</f>
        <v>1.578</v>
      </c>
      <c r="P254" s="49" t="n">
        <f aca="false">N254*O254</f>
        <v>64.698</v>
      </c>
      <c r="Q254" s="15" t="s">
        <v>440</v>
      </c>
      <c r="R254" s="50" t="s">
        <v>429</v>
      </c>
      <c r="S254" s="15"/>
      <c r="T254" s="15" t="s">
        <v>424</v>
      </c>
      <c r="U254" s="38" t="n">
        <v>0</v>
      </c>
      <c r="V254" s="47" t="s">
        <v>656</v>
      </c>
    </row>
    <row r="255" customFormat="false" ht="35.05" hidden="false" customHeight="false" outlineLevel="0" collapsed="false">
      <c r="A255" s="47" t="n">
        <v>248</v>
      </c>
      <c r="B255" s="15" t="s">
        <v>278</v>
      </c>
      <c r="C255" s="15" t="s">
        <v>424</v>
      </c>
      <c r="D255" s="15" t="s">
        <v>655</v>
      </c>
      <c r="E255" s="15" t="s">
        <v>656</v>
      </c>
      <c r="F255" s="47" t="s">
        <v>441</v>
      </c>
      <c r="G255" s="15" t="s">
        <v>603</v>
      </c>
      <c r="H255" s="40" t="n">
        <v>16</v>
      </c>
      <c r="I255" s="47" t="s">
        <v>282</v>
      </c>
      <c r="J255" s="47" t="s">
        <v>113</v>
      </c>
      <c r="K255" s="40" t="n">
        <v>2</v>
      </c>
      <c r="L255" s="40" t="n">
        <v>1</v>
      </c>
      <c r="M255" s="45" t="n">
        <v>0.128</v>
      </c>
      <c r="N255" s="48" t="n">
        <f aca="false">K255*L255*M255</f>
        <v>0.256</v>
      </c>
      <c r="O255" s="29" t="n">
        <f aca="false">IFERROR(INDEX(Исходные!$B$18:$B$29,MATCH(H255,Исходные!$A$18:$A$29,0)),0)</f>
        <v>1.578</v>
      </c>
      <c r="P255" s="49" t="n">
        <f aca="false">N255*O255</f>
        <v>0.403968</v>
      </c>
      <c r="Q255" s="15" t="s">
        <v>443</v>
      </c>
      <c r="R255" s="50" t="s">
        <v>436</v>
      </c>
      <c r="S255" s="15" t="s">
        <v>576</v>
      </c>
      <c r="T255" s="15" t="s">
        <v>424</v>
      </c>
      <c r="U255" s="38" t="n">
        <v>0</v>
      </c>
      <c r="V255" s="47" t="s">
        <v>656</v>
      </c>
    </row>
    <row r="256" customFormat="false" ht="23.85" hidden="false" customHeight="false" outlineLevel="0" collapsed="false">
      <c r="A256" s="47" t="n">
        <v>249</v>
      </c>
      <c r="B256" s="15" t="s">
        <v>278</v>
      </c>
      <c r="C256" s="15" t="s">
        <v>424</v>
      </c>
      <c r="D256" s="15" t="s">
        <v>655</v>
      </c>
      <c r="E256" s="15" t="s">
        <v>656</v>
      </c>
      <c r="F256" s="47" t="s">
        <v>445</v>
      </c>
      <c r="G256" s="15" t="s">
        <v>658</v>
      </c>
      <c r="H256" s="40" t="n">
        <v>32</v>
      </c>
      <c r="I256" s="47" t="s">
        <v>282</v>
      </c>
      <c r="J256" s="47" t="s">
        <v>113</v>
      </c>
      <c r="K256" s="40" t="n">
        <v>1</v>
      </c>
      <c r="L256" s="40" t="n">
        <v>2</v>
      </c>
      <c r="M256" s="45" t="n">
        <v>2.4</v>
      </c>
      <c r="N256" s="48" t="n">
        <f aca="false">K256*L256*M256</f>
        <v>4.8</v>
      </c>
      <c r="O256" s="29" t="n">
        <f aca="false">IFERROR(INDEX(Исходные!$B$18:$B$29,MATCH(H256,Исходные!$A$18:$A$29,0)),0)</f>
        <v>6.313</v>
      </c>
      <c r="P256" s="49" t="n">
        <f aca="false">N256*O256</f>
        <v>30.3024</v>
      </c>
      <c r="Q256" s="15" t="s">
        <v>659</v>
      </c>
      <c r="R256" s="50" t="s">
        <v>429</v>
      </c>
      <c r="S256" s="15" t="s">
        <v>606</v>
      </c>
      <c r="T256" s="15" t="s">
        <v>424</v>
      </c>
      <c r="U256" s="38" t="n">
        <v>0</v>
      </c>
      <c r="V256" s="47" t="s">
        <v>656</v>
      </c>
    </row>
    <row r="257" customFormat="false" ht="23.85" hidden="false" customHeight="false" outlineLevel="0" collapsed="false">
      <c r="A257" s="47" t="n">
        <v>250</v>
      </c>
      <c r="B257" s="15" t="s">
        <v>278</v>
      </c>
      <c r="C257" s="15" t="s">
        <v>424</v>
      </c>
      <c r="D257" s="15" t="s">
        <v>655</v>
      </c>
      <c r="E257" s="15" t="s">
        <v>656</v>
      </c>
      <c r="F257" s="47" t="s">
        <v>445</v>
      </c>
      <c r="G257" s="15" t="s">
        <v>660</v>
      </c>
      <c r="H257" s="40" t="n">
        <v>32</v>
      </c>
      <c r="I257" s="47" t="s">
        <v>282</v>
      </c>
      <c r="J257" s="47" t="s">
        <v>113</v>
      </c>
      <c r="K257" s="40" t="n">
        <v>1</v>
      </c>
      <c r="L257" s="40" t="n">
        <v>2</v>
      </c>
      <c r="M257" s="45" t="n">
        <v>3.4</v>
      </c>
      <c r="N257" s="48" t="n">
        <f aca="false">K257*L257*M257</f>
        <v>6.8</v>
      </c>
      <c r="O257" s="29" t="n">
        <f aca="false">IFERROR(INDEX(Исходные!$B$18:$B$29,MATCH(H257,Исходные!$A$18:$A$29,0)),0)</f>
        <v>6.313</v>
      </c>
      <c r="P257" s="49" t="n">
        <f aca="false">N257*O257</f>
        <v>42.9284</v>
      </c>
      <c r="Q257" s="15" t="s">
        <v>659</v>
      </c>
      <c r="R257" s="50" t="s">
        <v>429</v>
      </c>
      <c r="S257" s="15" t="s">
        <v>661</v>
      </c>
      <c r="T257" s="15" t="s">
        <v>424</v>
      </c>
      <c r="U257" s="38" t="n">
        <v>0</v>
      </c>
      <c r="V257" s="47" t="s">
        <v>656</v>
      </c>
    </row>
    <row r="258" customFormat="false" ht="23.85" hidden="false" customHeight="false" outlineLevel="0" collapsed="false">
      <c r="A258" s="47" t="n">
        <v>251</v>
      </c>
      <c r="B258" s="15" t="s">
        <v>278</v>
      </c>
      <c r="C258" s="15" t="s">
        <v>424</v>
      </c>
      <c r="D258" s="15" t="s">
        <v>655</v>
      </c>
      <c r="E258" s="15" t="s">
        <v>656</v>
      </c>
      <c r="F258" s="47" t="s">
        <v>445</v>
      </c>
      <c r="G258" s="15" t="s">
        <v>662</v>
      </c>
      <c r="H258" s="40" t="n">
        <v>28</v>
      </c>
      <c r="I258" s="47" t="s">
        <v>282</v>
      </c>
      <c r="J258" s="47" t="s">
        <v>113</v>
      </c>
      <c r="K258" s="40" t="n">
        <v>1</v>
      </c>
      <c r="L258" s="40" t="n">
        <v>2</v>
      </c>
      <c r="M258" s="45" t="n">
        <v>3.6</v>
      </c>
      <c r="N258" s="48" t="n">
        <f aca="false">K258*L258*M258</f>
        <v>7.2</v>
      </c>
      <c r="O258" s="29" t="n">
        <f aca="false">IFERROR(INDEX(Исходные!$B$18:$B$29,MATCH(H258,Исходные!$A$18:$A$29,0)),0)</f>
        <v>4.834</v>
      </c>
      <c r="P258" s="49" t="n">
        <f aca="false">N258*O258</f>
        <v>34.8048</v>
      </c>
      <c r="Q258" s="15" t="s">
        <v>663</v>
      </c>
      <c r="R258" s="50" t="s">
        <v>429</v>
      </c>
      <c r="S258" s="15" t="s">
        <v>614</v>
      </c>
      <c r="T258" s="15" t="s">
        <v>424</v>
      </c>
      <c r="U258" s="38" t="n">
        <v>0</v>
      </c>
      <c r="V258" s="47" t="s">
        <v>656</v>
      </c>
    </row>
    <row r="259" customFormat="false" ht="23.85" hidden="false" customHeight="false" outlineLevel="0" collapsed="false">
      <c r="A259" s="47" t="n">
        <v>252</v>
      </c>
      <c r="B259" s="15" t="s">
        <v>278</v>
      </c>
      <c r="C259" s="15" t="s">
        <v>424</v>
      </c>
      <c r="D259" s="15" t="s">
        <v>655</v>
      </c>
      <c r="E259" s="15" t="s">
        <v>656</v>
      </c>
      <c r="F259" s="47" t="s">
        <v>445</v>
      </c>
      <c r="G259" s="15" t="s">
        <v>615</v>
      </c>
      <c r="H259" s="40" t="n">
        <v>32</v>
      </c>
      <c r="I259" s="47" t="s">
        <v>282</v>
      </c>
      <c r="J259" s="47" t="s">
        <v>113</v>
      </c>
      <c r="K259" s="40" t="n">
        <v>1</v>
      </c>
      <c r="L259" s="40" t="n">
        <v>2</v>
      </c>
      <c r="M259" s="45" t="n">
        <v>2.85</v>
      </c>
      <c r="N259" s="48" t="n">
        <f aca="false">K259*L259*M259</f>
        <v>5.7</v>
      </c>
      <c r="O259" s="29" t="n">
        <f aca="false">IFERROR(INDEX(Исходные!$B$18:$B$29,MATCH(H259,Исходные!$A$18:$A$29,0)),0)</f>
        <v>6.313</v>
      </c>
      <c r="P259" s="49" t="n">
        <f aca="false">N259*O259</f>
        <v>35.9841</v>
      </c>
      <c r="Q259" s="15" t="s">
        <v>659</v>
      </c>
      <c r="R259" s="50" t="s">
        <v>429</v>
      </c>
      <c r="S259" s="15" t="s">
        <v>616</v>
      </c>
      <c r="T259" s="15" t="s">
        <v>424</v>
      </c>
      <c r="U259" s="38" t="n">
        <v>0</v>
      </c>
      <c r="V259" s="47" t="s">
        <v>656</v>
      </c>
    </row>
    <row r="260" customFormat="false" ht="23.85" hidden="false" customHeight="false" outlineLevel="0" collapsed="false">
      <c r="A260" s="47" t="n">
        <v>253</v>
      </c>
      <c r="B260" s="15" t="s">
        <v>278</v>
      </c>
      <c r="C260" s="15" t="s">
        <v>424</v>
      </c>
      <c r="D260" s="15" t="s">
        <v>655</v>
      </c>
      <c r="E260" s="15" t="s">
        <v>656</v>
      </c>
      <c r="F260" s="47" t="s">
        <v>445</v>
      </c>
      <c r="G260" s="15" t="s">
        <v>664</v>
      </c>
      <c r="H260" s="40" t="n">
        <v>25</v>
      </c>
      <c r="I260" s="47" t="s">
        <v>282</v>
      </c>
      <c r="J260" s="47" t="s">
        <v>113</v>
      </c>
      <c r="K260" s="40" t="n">
        <v>1</v>
      </c>
      <c r="L260" s="40" t="n">
        <v>2</v>
      </c>
      <c r="M260" s="45" t="n">
        <v>6.2</v>
      </c>
      <c r="N260" s="48" t="n">
        <f aca="false">K260*L260*M260</f>
        <v>12.4</v>
      </c>
      <c r="O260" s="29" t="n">
        <f aca="false">IFERROR(INDEX(Исходные!$B$18:$B$29,MATCH(H260,Исходные!$A$18:$A$29,0)),0)</f>
        <v>3.853</v>
      </c>
      <c r="P260" s="49" t="n">
        <f aca="false">N260*O260</f>
        <v>47.7772</v>
      </c>
      <c r="Q260" s="15" t="s">
        <v>665</v>
      </c>
      <c r="R260" s="50" t="s">
        <v>429</v>
      </c>
      <c r="S260" s="15" t="s">
        <v>666</v>
      </c>
      <c r="T260" s="15" t="s">
        <v>424</v>
      </c>
      <c r="U260" s="38" t="n">
        <v>0</v>
      </c>
      <c r="V260" s="47" t="s">
        <v>656</v>
      </c>
    </row>
    <row r="261" customFormat="false" ht="23.85" hidden="false" customHeight="false" outlineLevel="0" collapsed="false">
      <c r="A261" s="47" t="n">
        <v>254</v>
      </c>
      <c r="B261" s="15" t="s">
        <v>278</v>
      </c>
      <c r="C261" s="15" t="s">
        <v>424</v>
      </c>
      <c r="D261" s="15" t="s">
        <v>655</v>
      </c>
      <c r="E261" s="15" t="s">
        <v>656</v>
      </c>
      <c r="F261" s="47" t="s">
        <v>445</v>
      </c>
      <c r="G261" s="15" t="s">
        <v>667</v>
      </c>
      <c r="H261" s="40" t="n">
        <v>20</v>
      </c>
      <c r="I261" s="47" t="s">
        <v>282</v>
      </c>
      <c r="J261" s="47" t="s">
        <v>113</v>
      </c>
      <c r="K261" s="40" t="n">
        <v>1</v>
      </c>
      <c r="L261" s="40" t="n">
        <v>2</v>
      </c>
      <c r="M261" s="45" t="n">
        <v>3</v>
      </c>
      <c r="N261" s="48" t="n">
        <f aca="false">K261*L261*M261</f>
        <v>6</v>
      </c>
      <c r="O261" s="29" t="n">
        <f aca="false">IFERROR(INDEX(Исходные!$B$18:$B$29,MATCH(H261,Исходные!$A$18:$A$29,0)),0)</f>
        <v>2.466</v>
      </c>
      <c r="P261" s="49" t="n">
        <f aca="false">N261*O261</f>
        <v>14.796</v>
      </c>
      <c r="Q261" s="15" t="s">
        <v>668</v>
      </c>
      <c r="R261" s="50" t="s">
        <v>429</v>
      </c>
      <c r="S261" s="15" t="s">
        <v>591</v>
      </c>
      <c r="T261" s="15" t="s">
        <v>424</v>
      </c>
      <c r="U261" s="38" t="n">
        <v>0</v>
      </c>
      <c r="V261" s="47" t="s">
        <v>656</v>
      </c>
    </row>
    <row r="262" customFormat="false" ht="23.85" hidden="false" customHeight="false" outlineLevel="0" collapsed="false">
      <c r="A262" s="47" t="n">
        <v>255</v>
      </c>
      <c r="B262" s="15" t="s">
        <v>278</v>
      </c>
      <c r="C262" s="15" t="s">
        <v>424</v>
      </c>
      <c r="D262" s="15" t="s">
        <v>655</v>
      </c>
      <c r="E262" s="15" t="s">
        <v>656</v>
      </c>
      <c r="F262" s="47" t="s">
        <v>445</v>
      </c>
      <c r="G262" s="15" t="s">
        <v>669</v>
      </c>
      <c r="H262" s="40" t="n">
        <v>16</v>
      </c>
      <c r="I262" s="47" t="s">
        <v>282</v>
      </c>
      <c r="J262" s="47" t="s">
        <v>113</v>
      </c>
      <c r="K262" s="40" t="n">
        <v>1</v>
      </c>
      <c r="L262" s="40" t="n">
        <v>2</v>
      </c>
      <c r="M262" s="45" t="n">
        <v>2.3</v>
      </c>
      <c r="N262" s="48" t="n">
        <f aca="false">K262*L262*M262</f>
        <v>4.6</v>
      </c>
      <c r="O262" s="29" t="n">
        <f aca="false">IFERROR(INDEX(Исходные!$B$18:$B$29,MATCH(H262,Исходные!$A$18:$A$29,0)),0)</f>
        <v>1.578</v>
      </c>
      <c r="P262" s="49" t="n">
        <f aca="false">N262*O262</f>
        <v>7.2588</v>
      </c>
      <c r="Q262" s="15" t="s">
        <v>670</v>
      </c>
      <c r="R262" s="50" t="s">
        <v>429</v>
      </c>
      <c r="S262" s="15" t="s">
        <v>671</v>
      </c>
      <c r="T262" s="15" t="s">
        <v>424</v>
      </c>
      <c r="U262" s="38" t="n">
        <v>0</v>
      </c>
      <c r="V262" s="47" t="s">
        <v>656</v>
      </c>
    </row>
    <row r="263" customFormat="false" ht="23.85" hidden="false" customHeight="false" outlineLevel="0" collapsed="false">
      <c r="A263" s="47" t="n">
        <v>256</v>
      </c>
      <c r="B263" s="15" t="s">
        <v>278</v>
      </c>
      <c r="C263" s="15" t="s">
        <v>424</v>
      </c>
      <c r="D263" s="15" t="s">
        <v>655</v>
      </c>
      <c r="E263" s="15" t="s">
        <v>656</v>
      </c>
      <c r="F263" s="47" t="s">
        <v>445</v>
      </c>
      <c r="G263" s="15" t="s">
        <v>672</v>
      </c>
      <c r="H263" s="40" t="n">
        <v>12</v>
      </c>
      <c r="I263" s="47" t="s">
        <v>282</v>
      </c>
      <c r="J263" s="47" t="s">
        <v>113</v>
      </c>
      <c r="K263" s="40" t="n">
        <v>1</v>
      </c>
      <c r="L263" s="40" t="n">
        <v>4</v>
      </c>
      <c r="M263" s="45" t="n">
        <v>2.4</v>
      </c>
      <c r="N263" s="48" t="n">
        <f aca="false">K263*L263*M263</f>
        <v>9.6</v>
      </c>
      <c r="O263" s="29" t="n">
        <f aca="false">IFERROR(INDEX(Исходные!$B$18:$B$29,MATCH(H263,Исходные!$A$18:$A$29,0)),0)</f>
        <v>0.888</v>
      </c>
      <c r="P263" s="49" t="n">
        <f aca="false">N263*O263</f>
        <v>8.5248</v>
      </c>
      <c r="Q263" s="15" t="s">
        <v>673</v>
      </c>
      <c r="R263" s="50" t="s">
        <v>429</v>
      </c>
      <c r="S263" s="15" t="s">
        <v>606</v>
      </c>
      <c r="T263" s="15" t="s">
        <v>424</v>
      </c>
      <c r="U263" s="38" t="n">
        <v>0</v>
      </c>
      <c r="V263" s="47" t="s">
        <v>656</v>
      </c>
    </row>
    <row r="264" customFormat="false" ht="23.85" hidden="false" customHeight="false" outlineLevel="0" collapsed="false">
      <c r="A264" s="47" t="n">
        <v>257</v>
      </c>
      <c r="B264" s="15" t="s">
        <v>278</v>
      </c>
      <c r="C264" s="15" t="s">
        <v>424</v>
      </c>
      <c r="D264" s="15" t="s">
        <v>655</v>
      </c>
      <c r="E264" s="15" t="s">
        <v>656</v>
      </c>
      <c r="F264" s="47" t="s">
        <v>445</v>
      </c>
      <c r="G264" s="15" t="s">
        <v>674</v>
      </c>
      <c r="H264" s="40" t="n">
        <v>12</v>
      </c>
      <c r="I264" s="47" t="s">
        <v>282</v>
      </c>
      <c r="J264" s="47" t="s">
        <v>113</v>
      </c>
      <c r="K264" s="40" t="n">
        <v>1</v>
      </c>
      <c r="L264" s="40" t="n">
        <v>4</v>
      </c>
      <c r="M264" s="45" t="n">
        <v>3.4</v>
      </c>
      <c r="N264" s="48" t="n">
        <f aca="false">K264*L264*M264</f>
        <v>13.6</v>
      </c>
      <c r="O264" s="29" t="n">
        <f aca="false">IFERROR(INDEX(Исходные!$B$18:$B$29,MATCH(H264,Исходные!$A$18:$A$29,0)),0)</f>
        <v>0.888</v>
      </c>
      <c r="P264" s="49" t="n">
        <f aca="false">N264*O264</f>
        <v>12.0768</v>
      </c>
      <c r="Q264" s="15" t="s">
        <v>673</v>
      </c>
      <c r="R264" s="50" t="s">
        <v>429</v>
      </c>
      <c r="S264" s="15" t="s">
        <v>661</v>
      </c>
      <c r="T264" s="15" t="s">
        <v>424</v>
      </c>
      <c r="U264" s="38" t="n">
        <v>0</v>
      </c>
      <c r="V264" s="47" t="s">
        <v>656</v>
      </c>
    </row>
    <row r="265" customFormat="false" ht="23.85" hidden="false" customHeight="false" outlineLevel="0" collapsed="false">
      <c r="A265" s="47" t="n">
        <v>258</v>
      </c>
      <c r="B265" s="15" t="s">
        <v>278</v>
      </c>
      <c r="C265" s="15" t="s">
        <v>424</v>
      </c>
      <c r="D265" s="15" t="s">
        <v>655</v>
      </c>
      <c r="E265" s="15" t="s">
        <v>656</v>
      </c>
      <c r="F265" s="47" t="s">
        <v>445</v>
      </c>
      <c r="G265" s="15" t="s">
        <v>675</v>
      </c>
      <c r="H265" s="40" t="n">
        <v>12</v>
      </c>
      <c r="I265" s="47" t="s">
        <v>282</v>
      </c>
      <c r="J265" s="47" t="s">
        <v>113</v>
      </c>
      <c r="K265" s="40" t="n">
        <v>1</v>
      </c>
      <c r="L265" s="40" t="n">
        <v>4</v>
      </c>
      <c r="M265" s="45" t="n">
        <v>3.6</v>
      </c>
      <c r="N265" s="48" t="n">
        <f aca="false">K265*L265*M265</f>
        <v>14.4</v>
      </c>
      <c r="O265" s="29" t="n">
        <f aca="false">IFERROR(INDEX(Исходные!$B$18:$B$29,MATCH(H265,Исходные!$A$18:$A$29,0)),0)</f>
        <v>0.888</v>
      </c>
      <c r="P265" s="49" t="n">
        <f aca="false">N265*O265</f>
        <v>12.7872</v>
      </c>
      <c r="Q265" s="15" t="s">
        <v>673</v>
      </c>
      <c r="R265" s="50" t="s">
        <v>429</v>
      </c>
      <c r="S265" s="15" t="s">
        <v>614</v>
      </c>
      <c r="T265" s="15" t="s">
        <v>424</v>
      </c>
      <c r="U265" s="38" t="n">
        <v>0</v>
      </c>
      <c r="V265" s="47" t="s">
        <v>656</v>
      </c>
    </row>
    <row r="266" customFormat="false" ht="23.85" hidden="false" customHeight="false" outlineLevel="0" collapsed="false">
      <c r="A266" s="47" t="n">
        <v>259</v>
      </c>
      <c r="B266" s="15" t="s">
        <v>278</v>
      </c>
      <c r="C266" s="15" t="s">
        <v>424</v>
      </c>
      <c r="D266" s="15" t="s">
        <v>655</v>
      </c>
      <c r="E266" s="15" t="s">
        <v>656</v>
      </c>
      <c r="F266" s="47" t="s">
        <v>445</v>
      </c>
      <c r="G266" s="15" t="s">
        <v>676</v>
      </c>
      <c r="H266" s="40" t="n">
        <v>12</v>
      </c>
      <c r="I266" s="47" t="s">
        <v>282</v>
      </c>
      <c r="J266" s="47" t="s">
        <v>113</v>
      </c>
      <c r="K266" s="40" t="n">
        <v>1</v>
      </c>
      <c r="L266" s="40" t="n">
        <v>4</v>
      </c>
      <c r="M266" s="45" t="n">
        <v>2.3</v>
      </c>
      <c r="N266" s="48" t="n">
        <f aca="false">K266*L266*M266</f>
        <v>9.2</v>
      </c>
      <c r="O266" s="29" t="n">
        <f aca="false">IFERROR(INDEX(Исходные!$B$18:$B$29,MATCH(H266,Исходные!$A$18:$A$29,0)),0)</f>
        <v>0.888</v>
      </c>
      <c r="P266" s="49" t="n">
        <f aca="false">N266*O266</f>
        <v>8.1696</v>
      </c>
      <c r="Q266" s="15" t="s">
        <v>673</v>
      </c>
      <c r="R266" s="50" t="s">
        <v>429</v>
      </c>
      <c r="S266" s="15" t="s">
        <v>671</v>
      </c>
      <c r="T266" s="15" t="s">
        <v>424</v>
      </c>
      <c r="U266" s="38" t="n">
        <v>0</v>
      </c>
      <c r="V266" s="47" t="s">
        <v>656</v>
      </c>
    </row>
    <row r="267" customFormat="false" ht="23.85" hidden="false" customHeight="false" outlineLevel="0" collapsed="false">
      <c r="A267" s="47" t="n">
        <v>260</v>
      </c>
      <c r="B267" s="15" t="s">
        <v>278</v>
      </c>
      <c r="C267" s="15" t="s">
        <v>424</v>
      </c>
      <c r="D267" s="15" t="s">
        <v>655</v>
      </c>
      <c r="E267" s="15" t="s">
        <v>656</v>
      </c>
      <c r="F267" s="47" t="s">
        <v>465</v>
      </c>
      <c r="G267" s="15" t="s">
        <v>466</v>
      </c>
      <c r="H267" s="40" t="n">
        <v>8</v>
      </c>
      <c r="I267" s="47" t="s">
        <v>316</v>
      </c>
      <c r="J267" s="47" t="s">
        <v>467</v>
      </c>
      <c r="K267" s="40" t="n">
        <v>1</v>
      </c>
      <c r="L267" s="40" t="n">
        <v>51</v>
      </c>
      <c r="M267" s="45" t="n">
        <v>2.06</v>
      </c>
      <c r="N267" s="48" t="n">
        <f aca="false">K267*L267*M267</f>
        <v>105.06</v>
      </c>
      <c r="O267" s="29" t="n">
        <f aca="false">IFERROR(INDEX(Исходные!$B$18:$B$29,MATCH(H267,Исходные!$A$18:$A$29,0)),0)</f>
        <v>0.395</v>
      </c>
      <c r="P267" s="49" t="n">
        <f aca="false">N267*O267</f>
        <v>41.4987</v>
      </c>
      <c r="Q267" s="15" t="s">
        <v>468</v>
      </c>
      <c r="R267" s="50" t="s">
        <v>284</v>
      </c>
      <c r="S267" s="15" t="s">
        <v>629</v>
      </c>
      <c r="T267" s="15" t="s">
        <v>424</v>
      </c>
      <c r="U267" s="38" t="n">
        <v>0</v>
      </c>
      <c r="V267" s="47" t="s">
        <v>656</v>
      </c>
    </row>
    <row r="268" customFormat="false" ht="23.85" hidden="false" customHeight="false" outlineLevel="0" collapsed="false">
      <c r="A268" s="47" t="n">
        <v>261</v>
      </c>
      <c r="B268" s="15" t="s">
        <v>278</v>
      </c>
      <c r="C268" s="15" t="s">
        <v>424</v>
      </c>
      <c r="D268" s="15" t="s">
        <v>655</v>
      </c>
      <c r="E268" s="15" t="s">
        <v>656</v>
      </c>
      <c r="F268" s="47" t="s">
        <v>331</v>
      </c>
      <c r="G268" s="15" t="s">
        <v>470</v>
      </c>
      <c r="H268" s="40" t="n">
        <v>10</v>
      </c>
      <c r="I268" s="47" t="s">
        <v>316</v>
      </c>
      <c r="J268" s="47" t="n">
        <v>100</v>
      </c>
      <c r="K268" s="40" t="n">
        <v>1</v>
      </c>
      <c r="L268" s="40" t="n">
        <v>86</v>
      </c>
      <c r="M268" s="45" t="n">
        <v>2.06</v>
      </c>
      <c r="N268" s="48" t="n">
        <f aca="false">K268*L268*M268</f>
        <v>177.16</v>
      </c>
      <c r="O268" s="29" t="n">
        <f aca="false">IFERROR(INDEX(Исходные!$B$18:$B$29,MATCH(H268,Исходные!$A$18:$A$29,0)),0)</f>
        <v>0.617</v>
      </c>
      <c r="P268" s="49" t="n">
        <f aca="false">N268*O268</f>
        <v>109.30772</v>
      </c>
      <c r="Q268" s="15" t="s">
        <v>677</v>
      </c>
      <c r="R268" s="50" t="s">
        <v>284</v>
      </c>
      <c r="S268" s="15" t="s">
        <v>678</v>
      </c>
      <c r="T268" s="15" t="s">
        <v>424</v>
      </c>
      <c r="U268" s="38" t="n">
        <v>0</v>
      </c>
      <c r="V268" s="47" t="s">
        <v>656</v>
      </c>
    </row>
    <row r="269" customFormat="false" ht="23.85" hidden="false" customHeight="false" outlineLevel="0" collapsed="false">
      <c r="A269" s="47" t="n">
        <v>262</v>
      </c>
      <c r="B269" s="15" t="s">
        <v>278</v>
      </c>
      <c r="C269" s="15" t="s">
        <v>424</v>
      </c>
      <c r="D269" s="15" t="s">
        <v>655</v>
      </c>
      <c r="E269" s="15" t="s">
        <v>656</v>
      </c>
      <c r="F269" s="47" t="s">
        <v>373</v>
      </c>
      <c r="G269" s="15" t="s">
        <v>473</v>
      </c>
      <c r="H269" s="40" t="n">
        <v>10</v>
      </c>
      <c r="I269" s="47" t="s">
        <v>316</v>
      </c>
      <c r="J269" s="47" t="n">
        <v>100</v>
      </c>
      <c r="K269" s="40" t="n">
        <v>1</v>
      </c>
      <c r="L269" s="40" t="n">
        <v>26</v>
      </c>
      <c r="M269" s="45" t="n">
        <v>1.6</v>
      </c>
      <c r="N269" s="48" t="n">
        <f aca="false">K269*L269*M269</f>
        <v>41.6</v>
      </c>
      <c r="O269" s="29" t="n">
        <f aca="false">IFERROR(INDEX(Исходные!$B$18:$B$29,MATCH(H269,Исходные!$A$18:$A$29,0)),0)</f>
        <v>0.617</v>
      </c>
      <c r="P269" s="49" t="n">
        <f aca="false">N269*O269</f>
        <v>25.6672</v>
      </c>
      <c r="Q269" s="15" t="s">
        <v>679</v>
      </c>
      <c r="R269" s="50" t="s">
        <v>284</v>
      </c>
      <c r="S269" s="15"/>
      <c r="T269" s="15" t="s">
        <v>424</v>
      </c>
      <c r="U269" s="38" t="n">
        <v>0</v>
      </c>
      <c r="V269" s="47" t="s">
        <v>656</v>
      </c>
    </row>
    <row r="270" customFormat="false" ht="23.85" hidden="false" customHeight="false" outlineLevel="0" collapsed="false">
      <c r="A270" s="47" t="n">
        <v>263</v>
      </c>
      <c r="B270" s="15" t="s">
        <v>278</v>
      </c>
      <c r="C270" s="15" t="s">
        <v>424</v>
      </c>
      <c r="D270" s="15" t="s">
        <v>655</v>
      </c>
      <c r="E270" s="15" t="s">
        <v>656</v>
      </c>
      <c r="F270" s="47" t="s">
        <v>475</v>
      </c>
      <c r="G270" s="15" t="s">
        <v>476</v>
      </c>
      <c r="H270" s="40" t="n">
        <v>8</v>
      </c>
      <c r="I270" s="47" t="s">
        <v>316</v>
      </c>
      <c r="J270" s="47" t="s">
        <v>477</v>
      </c>
      <c r="K270" s="40" t="n">
        <v>1</v>
      </c>
      <c r="L270" s="40" t="n">
        <v>71</v>
      </c>
      <c r="M270" s="45" t="n">
        <v>0.75</v>
      </c>
      <c r="N270" s="48" t="n">
        <f aca="false">K270*L270*M270</f>
        <v>53.25</v>
      </c>
      <c r="O270" s="29" t="n">
        <f aca="false">IFERROR(INDEX(Исходные!$B$18:$B$29,MATCH(H270,Исходные!$A$18:$A$29,0)),0)</f>
        <v>0.395</v>
      </c>
      <c r="P270" s="49" t="n">
        <f aca="false">N270*O270</f>
        <v>21.03375</v>
      </c>
      <c r="Q270" s="15" t="s">
        <v>478</v>
      </c>
      <c r="R270" s="50" t="s">
        <v>284</v>
      </c>
      <c r="S270" s="15"/>
      <c r="T270" s="15" t="s">
        <v>424</v>
      </c>
      <c r="U270" s="38" t="n">
        <v>0</v>
      </c>
      <c r="V270" s="47" t="s">
        <v>656</v>
      </c>
    </row>
    <row r="271" customFormat="false" ht="23.85" hidden="false" customHeight="false" outlineLevel="0" collapsed="false">
      <c r="A271" s="47" t="n">
        <v>264</v>
      </c>
      <c r="B271" s="15" t="s">
        <v>278</v>
      </c>
      <c r="C271" s="15" t="s">
        <v>424</v>
      </c>
      <c r="D271" s="15" t="s">
        <v>655</v>
      </c>
      <c r="E271" s="15" t="s">
        <v>656</v>
      </c>
      <c r="F271" s="47" t="s">
        <v>479</v>
      </c>
      <c r="G271" s="15" t="s">
        <v>480</v>
      </c>
      <c r="H271" s="40" t="n">
        <v>8</v>
      </c>
      <c r="I271" s="47" t="s">
        <v>316</v>
      </c>
      <c r="J271" s="47" t="n">
        <v>300</v>
      </c>
      <c r="K271" s="40" t="n">
        <v>1</v>
      </c>
      <c r="L271" s="40" t="n">
        <v>54</v>
      </c>
      <c r="M271" s="45" t="n">
        <v>0.58</v>
      </c>
      <c r="N271" s="48" t="n">
        <f aca="false">K271*L271*M271</f>
        <v>31.32</v>
      </c>
      <c r="O271" s="29" t="n">
        <f aca="false">IFERROR(INDEX(Исходные!$B$18:$B$29,MATCH(H271,Исходные!$A$18:$A$29,0)),0)</f>
        <v>0.395</v>
      </c>
      <c r="P271" s="49" t="n">
        <f aca="false">N271*O271</f>
        <v>12.3714</v>
      </c>
      <c r="Q271" s="15" t="s">
        <v>481</v>
      </c>
      <c r="R271" s="51" t="s">
        <v>407</v>
      </c>
      <c r="S271" s="15" t="s">
        <v>482</v>
      </c>
      <c r="T271" s="15" t="s">
        <v>424</v>
      </c>
      <c r="U271" s="38" t="n">
        <v>1</v>
      </c>
      <c r="V271" s="47" t="s">
        <v>656</v>
      </c>
    </row>
    <row r="272" customFormat="false" ht="15" hidden="false" customHeight="true" outlineLevel="0" collapsed="false">
      <c r="A272" s="2" t="s">
        <v>680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customFormat="false" ht="23.85" hidden="false" customHeight="false" outlineLevel="0" collapsed="false">
      <c r="A273" s="47" t="n">
        <v>265</v>
      </c>
      <c r="B273" s="15" t="s">
        <v>278</v>
      </c>
      <c r="C273" s="15" t="s">
        <v>681</v>
      </c>
      <c r="D273" s="15" t="s">
        <v>682</v>
      </c>
      <c r="E273" s="15" t="s">
        <v>683</v>
      </c>
      <c r="F273" s="47" t="s">
        <v>684</v>
      </c>
      <c r="G273" s="15" t="s">
        <v>685</v>
      </c>
      <c r="H273" s="40" t="n">
        <v>10</v>
      </c>
      <c r="I273" s="47" t="s">
        <v>282</v>
      </c>
      <c r="J273" s="47" t="n">
        <v>200</v>
      </c>
      <c r="K273" s="40" t="n">
        <v>1</v>
      </c>
      <c r="L273" s="40" t="n">
        <v>26</v>
      </c>
      <c r="M273" s="45" t="n">
        <v>27.35</v>
      </c>
      <c r="N273" s="48" t="n">
        <f aca="false">K273*L273*M273</f>
        <v>711.1</v>
      </c>
      <c r="O273" s="29" t="n">
        <f aca="false">IFERROR(INDEX(Исходные!$B$18:$B$29,MATCH(H273,Исходные!$A$18:$A$29,0)),0)</f>
        <v>0.617</v>
      </c>
      <c r="P273" s="49" t="n">
        <f aca="false">N273*O273</f>
        <v>438.7487</v>
      </c>
      <c r="Q273" s="15" t="s">
        <v>686</v>
      </c>
      <c r="R273" s="50" t="s">
        <v>429</v>
      </c>
      <c r="S273" s="15"/>
      <c r="T273" s="15" t="s">
        <v>687</v>
      </c>
      <c r="U273" s="38" t="n">
        <v>0</v>
      </c>
      <c r="V273" s="47" t="s">
        <v>688</v>
      </c>
    </row>
    <row r="274" customFormat="false" ht="35.05" hidden="false" customHeight="false" outlineLevel="0" collapsed="false">
      <c r="A274" s="47" t="n">
        <v>266</v>
      </c>
      <c r="B274" s="15" t="s">
        <v>278</v>
      </c>
      <c r="C274" s="15" t="s">
        <v>681</v>
      </c>
      <c r="D274" s="15" t="s">
        <v>682</v>
      </c>
      <c r="E274" s="15" t="s">
        <v>683</v>
      </c>
      <c r="F274" s="47" t="s">
        <v>689</v>
      </c>
      <c r="G274" s="15" t="s">
        <v>690</v>
      </c>
      <c r="H274" s="40" t="n">
        <v>10</v>
      </c>
      <c r="I274" s="47" t="s">
        <v>282</v>
      </c>
      <c r="J274" s="47" t="s">
        <v>113</v>
      </c>
      <c r="K274" s="40" t="n">
        <v>26</v>
      </c>
      <c r="L274" s="40" t="n">
        <v>2</v>
      </c>
      <c r="M274" s="45" t="n">
        <v>0.4</v>
      </c>
      <c r="N274" s="48" t="n">
        <f aca="false">K274*L274*M274</f>
        <v>20.8</v>
      </c>
      <c r="O274" s="29" t="n">
        <f aca="false">IFERROR(INDEX(Исходные!$B$18:$B$29,MATCH(H274,Исходные!$A$18:$A$29,0)),0)</f>
        <v>0.617</v>
      </c>
      <c r="P274" s="49" t="n">
        <f aca="false">N274*O274</f>
        <v>12.8336</v>
      </c>
      <c r="Q274" s="15" t="s">
        <v>691</v>
      </c>
      <c r="R274" s="50" t="s">
        <v>436</v>
      </c>
      <c r="S274" s="15" t="s">
        <v>692</v>
      </c>
      <c r="T274" s="15" t="s">
        <v>687</v>
      </c>
      <c r="U274" s="38" t="n">
        <v>0</v>
      </c>
      <c r="V274" s="47" t="s">
        <v>688</v>
      </c>
    </row>
    <row r="275" customFormat="false" ht="23.85" hidden="false" customHeight="false" outlineLevel="0" collapsed="false">
      <c r="A275" s="47" t="n">
        <v>267</v>
      </c>
      <c r="B275" s="15" t="s">
        <v>278</v>
      </c>
      <c r="C275" s="15" t="s">
        <v>681</v>
      </c>
      <c r="D275" s="15" t="s">
        <v>682</v>
      </c>
      <c r="E275" s="15" t="s">
        <v>683</v>
      </c>
      <c r="F275" s="47" t="s">
        <v>684</v>
      </c>
      <c r="G275" s="15" t="s">
        <v>685</v>
      </c>
      <c r="H275" s="40" t="n">
        <v>10</v>
      </c>
      <c r="I275" s="47" t="s">
        <v>282</v>
      </c>
      <c r="J275" s="47" t="n">
        <v>200</v>
      </c>
      <c r="K275" s="40" t="n">
        <v>1</v>
      </c>
      <c r="L275" s="40" t="n">
        <v>49</v>
      </c>
      <c r="M275" s="45" t="n">
        <v>25.62</v>
      </c>
      <c r="N275" s="48" t="n">
        <f aca="false">K275*L275*M275</f>
        <v>1255.38</v>
      </c>
      <c r="O275" s="29" t="n">
        <f aca="false">IFERROR(INDEX(Исходные!$B$18:$B$29,MATCH(H275,Исходные!$A$18:$A$29,0)),0)</f>
        <v>0.617</v>
      </c>
      <c r="P275" s="49" t="n">
        <f aca="false">N275*O275</f>
        <v>774.56946</v>
      </c>
      <c r="Q275" s="15" t="s">
        <v>686</v>
      </c>
      <c r="R275" s="50" t="s">
        <v>429</v>
      </c>
      <c r="S275" s="15"/>
      <c r="T275" s="15" t="s">
        <v>687</v>
      </c>
      <c r="U275" s="38" t="n">
        <v>0</v>
      </c>
      <c r="V275" s="47" t="s">
        <v>688</v>
      </c>
    </row>
    <row r="276" customFormat="false" ht="35.05" hidden="false" customHeight="false" outlineLevel="0" collapsed="false">
      <c r="A276" s="47" t="n">
        <v>268</v>
      </c>
      <c r="B276" s="15" t="s">
        <v>278</v>
      </c>
      <c r="C276" s="15" t="s">
        <v>681</v>
      </c>
      <c r="D276" s="15" t="s">
        <v>682</v>
      </c>
      <c r="E276" s="15" t="s">
        <v>683</v>
      </c>
      <c r="F276" s="47" t="s">
        <v>689</v>
      </c>
      <c r="G276" s="15" t="s">
        <v>693</v>
      </c>
      <c r="H276" s="40" t="n">
        <v>10</v>
      </c>
      <c r="I276" s="47" t="s">
        <v>282</v>
      </c>
      <c r="J276" s="47" t="s">
        <v>113</v>
      </c>
      <c r="K276" s="40" t="n">
        <v>49</v>
      </c>
      <c r="L276" s="40" t="n">
        <v>2</v>
      </c>
      <c r="M276" s="45" t="n">
        <v>0.4</v>
      </c>
      <c r="N276" s="48" t="n">
        <f aca="false">K276*L276*M276</f>
        <v>39.2</v>
      </c>
      <c r="O276" s="29" t="n">
        <f aca="false">IFERROR(INDEX(Исходные!$B$18:$B$29,MATCH(H276,Исходные!$A$18:$A$29,0)),0)</f>
        <v>0.617</v>
      </c>
      <c r="P276" s="49" t="n">
        <f aca="false">N276*O276</f>
        <v>24.1864</v>
      </c>
      <c r="Q276" s="15" t="s">
        <v>691</v>
      </c>
      <c r="R276" s="50" t="s">
        <v>436</v>
      </c>
      <c r="S276" s="15" t="s">
        <v>694</v>
      </c>
      <c r="T276" s="15" t="s">
        <v>687</v>
      </c>
      <c r="U276" s="38" t="n">
        <v>0</v>
      </c>
      <c r="V276" s="47" t="s">
        <v>688</v>
      </c>
    </row>
    <row r="277" customFormat="false" ht="23.85" hidden="false" customHeight="false" outlineLevel="0" collapsed="false">
      <c r="A277" s="47" t="n">
        <v>269</v>
      </c>
      <c r="B277" s="15" t="s">
        <v>278</v>
      </c>
      <c r="C277" s="15" t="s">
        <v>681</v>
      </c>
      <c r="D277" s="15" t="s">
        <v>682</v>
      </c>
      <c r="E277" s="15" t="s">
        <v>683</v>
      </c>
      <c r="F277" s="47" t="s">
        <v>684</v>
      </c>
      <c r="G277" s="15" t="s">
        <v>685</v>
      </c>
      <c r="H277" s="40" t="n">
        <v>10</v>
      </c>
      <c r="I277" s="47" t="s">
        <v>282</v>
      </c>
      <c r="J277" s="47" t="n">
        <v>200</v>
      </c>
      <c r="K277" s="40" t="n">
        <v>1</v>
      </c>
      <c r="L277" s="40" t="n">
        <v>1</v>
      </c>
      <c r="M277" s="45" t="n">
        <v>22.2</v>
      </c>
      <c r="N277" s="48" t="n">
        <f aca="false">K277*L277*M277</f>
        <v>22.2</v>
      </c>
      <c r="O277" s="29" t="n">
        <f aca="false">IFERROR(INDEX(Исходные!$B$18:$B$29,MATCH(H277,Исходные!$A$18:$A$29,0)),0)</f>
        <v>0.617</v>
      </c>
      <c r="P277" s="49" t="n">
        <f aca="false">N277*O277</f>
        <v>13.6974</v>
      </c>
      <c r="Q277" s="15" t="s">
        <v>686</v>
      </c>
      <c r="R277" s="50" t="s">
        <v>429</v>
      </c>
      <c r="S277" s="15"/>
      <c r="T277" s="15" t="s">
        <v>687</v>
      </c>
      <c r="U277" s="38" t="n">
        <v>0</v>
      </c>
      <c r="V277" s="47" t="s">
        <v>688</v>
      </c>
    </row>
    <row r="278" customFormat="false" ht="35.05" hidden="false" customHeight="false" outlineLevel="0" collapsed="false">
      <c r="A278" s="47" t="n">
        <v>270</v>
      </c>
      <c r="B278" s="15" t="s">
        <v>278</v>
      </c>
      <c r="C278" s="15" t="s">
        <v>681</v>
      </c>
      <c r="D278" s="15" t="s">
        <v>682</v>
      </c>
      <c r="E278" s="15" t="s">
        <v>683</v>
      </c>
      <c r="F278" s="47" t="s">
        <v>689</v>
      </c>
      <c r="G278" s="15" t="s">
        <v>695</v>
      </c>
      <c r="H278" s="40" t="n">
        <v>10</v>
      </c>
      <c r="I278" s="47" t="s">
        <v>282</v>
      </c>
      <c r="J278" s="47" t="s">
        <v>113</v>
      </c>
      <c r="K278" s="40" t="n">
        <v>1</v>
      </c>
      <c r="L278" s="40" t="n">
        <v>1</v>
      </c>
      <c r="M278" s="45" t="n">
        <v>0.4</v>
      </c>
      <c r="N278" s="48" t="n">
        <f aca="false">K278*L278*M278</f>
        <v>0.4</v>
      </c>
      <c r="O278" s="29" t="n">
        <f aca="false">IFERROR(INDEX(Исходные!$B$18:$B$29,MATCH(H278,Исходные!$A$18:$A$29,0)),0)</f>
        <v>0.617</v>
      </c>
      <c r="P278" s="49" t="n">
        <f aca="false">N278*O278</f>
        <v>0.2468</v>
      </c>
      <c r="Q278" s="15" t="s">
        <v>691</v>
      </c>
      <c r="R278" s="50" t="s">
        <v>436</v>
      </c>
      <c r="S278" s="15" t="s">
        <v>696</v>
      </c>
      <c r="T278" s="15" t="s">
        <v>687</v>
      </c>
      <c r="U278" s="38" t="n">
        <v>0</v>
      </c>
      <c r="V278" s="47" t="s">
        <v>688</v>
      </c>
    </row>
    <row r="279" customFormat="false" ht="23.85" hidden="false" customHeight="false" outlineLevel="0" collapsed="false">
      <c r="A279" s="47" t="n">
        <v>271</v>
      </c>
      <c r="B279" s="15" t="s">
        <v>278</v>
      </c>
      <c r="C279" s="15" t="s">
        <v>681</v>
      </c>
      <c r="D279" s="15" t="s">
        <v>682</v>
      </c>
      <c r="E279" s="15" t="s">
        <v>683</v>
      </c>
      <c r="F279" s="47" t="s">
        <v>684</v>
      </c>
      <c r="G279" s="15" t="s">
        <v>685</v>
      </c>
      <c r="H279" s="40" t="n">
        <v>10</v>
      </c>
      <c r="I279" s="47" t="s">
        <v>282</v>
      </c>
      <c r="J279" s="47" t="n">
        <v>200</v>
      </c>
      <c r="K279" s="40" t="n">
        <v>1</v>
      </c>
      <c r="L279" s="40" t="n">
        <v>16</v>
      </c>
      <c r="M279" s="45" t="n">
        <v>15.62</v>
      </c>
      <c r="N279" s="48" t="n">
        <f aca="false">K279*L279*M279</f>
        <v>249.92</v>
      </c>
      <c r="O279" s="29" t="n">
        <f aca="false">IFERROR(INDEX(Исходные!$B$18:$B$29,MATCH(H279,Исходные!$A$18:$A$29,0)),0)</f>
        <v>0.617</v>
      </c>
      <c r="P279" s="49" t="n">
        <f aca="false">N279*O279</f>
        <v>154.20064</v>
      </c>
      <c r="Q279" s="15" t="s">
        <v>686</v>
      </c>
      <c r="R279" s="50" t="s">
        <v>429</v>
      </c>
      <c r="S279" s="15"/>
      <c r="T279" s="15" t="s">
        <v>687</v>
      </c>
      <c r="U279" s="38" t="n">
        <v>0</v>
      </c>
      <c r="V279" s="47" t="s">
        <v>688</v>
      </c>
    </row>
    <row r="280" customFormat="false" ht="35.05" hidden="false" customHeight="false" outlineLevel="0" collapsed="false">
      <c r="A280" s="47" t="n">
        <v>272</v>
      </c>
      <c r="B280" s="15" t="s">
        <v>278</v>
      </c>
      <c r="C280" s="15" t="s">
        <v>681</v>
      </c>
      <c r="D280" s="15" t="s">
        <v>682</v>
      </c>
      <c r="E280" s="15" t="s">
        <v>683</v>
      </c>
      <c r="F280" s="47" t="s">
        <v>689</v>
      </c>
      <c r="G280" s="15" t="s">
        <v>697</v>
      </c>
      <c r="H280" s="40" t="n">
        <v>10</v>
      </c>
      <c r="I280" s="47" t="s">
        <v>282</v>
      </c>
      <c r="J280" s="47" t="s">
        <v>113</v>
      </c>
      <c r="K280" s="40" t="n">
        <v>16</v>
      </c>
      <c r="L280" s="40" t="n">
        <v>1</v>
      </c>
      <c r="M280" s="45" t="n">
        <v>0.4</v>
      </c>
      <c r="N280" s="48" t="n">
        <f aca="false">K280*L280*M280</f>
        <v>6.4</v>
      </c>
      <c r="O280" s="29" t="n">
        <f aca="false">IFERROR(INDEX(Исходные!$B$18:$B$29,MATCH(H280,Исходные!$A$18:$A$29,0)),0)</f>
        <v>0.617</v>
      </c>
      <c r="P280" s="49" t="n">
        <f aca="false">N280*O280</f>
        <v>3.9488</v>
      </c>
      <c r="Q280" s="15" t="s">
        <v>691</v>
      </c>
      <c r="R280" s="50" t="s">
        <v>436</v>
      </c>
      <c r="S280" s="15" t="s">
        <v>698</v>
      </c>
      <c r="T280" s="15" t="s">
        <v>687</v>
      </c>
      <c r="U280" s="38" t="n">
        <v>0</v>
      </c>
      <c r="V280" s="47" t="s">
        <v>688</v>
      </c>
    </row>
    <row r="281" customFormat="false" ht="23.85" hidden="false" customHeight="false" outlineLevel="0" collapsed="false">
      <c r="A281" s="47" t="n">
        <v>273</v>
      </c>
      <c r="B281" s="15" t="s">
        <v>278</v>
      </c>
      <c r="C281" s="15" t="s">
        <v>681</v>
      </c>
      <c r="D281" s="15" t="s">
        <v>682</v>
      </c>
      <c r="E281" s="15" t="s">
        <v>683</v>
      </c>
      <c r="F281" s="47" t="s">
        <v>684</v>
      </c>
      <c r="G281" s="15" t="s">
        <v>685</v>
      </c>
      <c r="H281" s="40" t="n">
        <v>10</v>
      </c>
      <c r="I281" s="47" t="s">
        <v>282</v>
      </c>
      <c r="J281" s="47" t="n">
        <v>200</v>
      </c>
      <c r="K281" s="40" t="n">
        <v>1</v>
      </c>
      <c r="L281" s="40" t="n">
        <v>12</v>
      </c>
      <c r="M281" s="45" t="n">
        <v>13.9</v>
      </c>
      <c r="N281" s="48" t="n">
        <f aca="false">K281*L281*M281</f>
        <v>166.8</v>
      </c>
      <c r="O281" s="29" t="n">
        <f aca="false">IFERROR(INDEX(Исходные!$B$18:$B$29,MATCH(H281,Исходные!$A$18:$A$29,0)),0)</f>
        <v>0.617</v>
      </c>
      <c r="P281" s="49" t="n">
        <f aca="false">N281*O281</f>
        <v>102.9156</v>
      </c>
      <c r="Q281" s="15" t="s">
        <v>686</v>
      </c>
      <c r="R281" s="50" t="s">
        <v>429</v>
      </c>
      <c r="S281" s="15"/>
      <c r="T281" s="15" t="s">
        <v>687</v>
      </c>
      <c r="U281" s="38" t="n">
        <v>0</v>
      </c>
      <c r="V281" s="47" t="s">
        <v>688</v>
      </c>
    </row>
    <row r="282" customFormat="false" ht="35.05" hidden="false" customHeight="false" outlineLevel="0" collapsed="false">
      <c r="A282" s="47" t="n">
        <v>274</v>
      </c>
      <c r="B282" s="15" t="s">
        <v>278</v>
      </c>
      <c r="C282" s="15" t="s">
        <v>681</v>
      </c>
      <c r="D282" s="15" t="s">
        <v>682</v>
      </c>
      <c r="E282" s="15" t="s">
        <v>683</v>
      </c>
      <c r="F282" s="47" t="s">
        <v>689</v>
      </c>
      <c r="G282" s="15" t="s">
        <v>699</v>
      </c>
      <c r="H282" s="40" t="n">
        <v>10</v>
      </c>
      <c r="I282" s="47" t="s">
        <v>282</v>
      </c>
      <c r="J282" s="47" t="s">
        <v>113</v>
      </c>
      <c r="K282" s="40" t="n">
        <v>12</v>
      </c>
      <c r="L282" s="40" t="n">
        <v>1</v>
      </c>
      <c r="M282" s="45" t="n">
        <v>0.4</v>
      </c>
      <c r="N282" s="48" t="n">
        <f aca="false">K282*L282*M282</f>
        <v>4.8</v>
      </c>
      <c r="O282" s="29" t="n">
        <f aca="false">IFERROR(INDEX(Исходные!$B$18:$B$29,MATCH(H282,Исходные!$A$18:$A$29,0)),0)</f>
        <v>0.617</v>
      </c>
      <c r="P282" s="49" t="n">
        <f aca="false">N282*O282</f>
        <v>2.9616</v>
      </c>
      <c r="Q282" s="15" t="s">
        <v>691</v>
      </c>
      <c r="R282" s="50" t="s">
        <v>436</v>
      </c>
      <c r="S282" s="15" t="s">
        <v>700</v>
      </c>
      <c r="T282" s="15" t="s">
        <v>687</v>
      </c>
      <c r="U282" s="38" t="n">
        <v>0</v>
      </c>
      <c r="V282" s="47" t="s">
        <v>688</v>
      </c>
    </row>
    <row r="283" customFormat="false" ht="23.85" hidden="false" customHeight="false" outlineLevel="0" collapsed="false">
      <c r="A283" s="47" t="n">
        <v>275</v>
      </c>
      <c r="B283" s="15" t="s">
        <v>278</v>
      </c>
      <c r="C283" s="15" t="s">
        <v>681</v>
      </c>
      <c r="D283" s="15" t="s">
        <v>682</v>
      </c>
      <c r="E283" s="15" t="s">
        <v>683</v>
      </c>
      <c r="F283" s="47" t="s">
        <v>684</v>
      </c>
      <c r="G283" s="15" t="s">
        <v>685</v>
      </c>
      <c r="H283" s="40" t="n">
        <v>10</v>
      </c>
      <c r="I283" s="47" t="s">
        <v>282</v>
      </c>
      <c r="J283" s="47" t="n">
        <v>200</v>
      </c>
      <c r="K283" s="40" t="n">
        <v>1</v>
      </c>
      <c r="L283" s="40" t="n">
        <v>1</v>
      </c>
      <c r="M283" s="45" t="n">
        <v>10.8</v>
      </c>
      <c r="N283" s="48" t="n">
        <f aca="false">K283*L283*M283</f>
        <v>10.8</v>
      </c>
      <c r="O283" s="29" t="n">
        <f aca="false">IFERROR(INDEX(Исходные!$B$18:$B$29,MATCH(H283,Исходные!$A$18:$A$29,0)),0)</f>
        <v>0.617</v>
      </c>
      <c r="P283" s="49" t="n">
        <f aca="false">N283*O283</f>
        <v>6.6636</v>
      </c>
      <c r="Q283" s="15" t="s">
        <v>686</v>
      </c>
      <c r="R283" s="50" t="s">
        <v>429</v>
      </c>
      <c r="S283" s="15"/>
      <c r="T283" s="15" t="s">
        <v>687</v>
      </c>
      <c r="U283" s="38" t="n">
        <v>0</v>
      </c>
      <c r="V283" s="47" t="s">
        <v>688</v>
      </c>
    </row>
    <row r="284" customFormat="false" ht="23.85" hidden="false" customHeight="false" outlineLevel="0" collapsed="false">
      <c r="A284" s="47" t="n">
        <v>276</v>
      </c>
      <c r="B284" s="15" t="s">
        <v>278</v>
      </c>
      <c r="C284" s="15" t="s">
        <v>681</v>
      </c>
      <c r="D284" s="15" t="s">
        <v>682</v>
      </c>
      <c r="E284" s="15" t="s">
        <v>683</v>
      </c>
      <c r="F284" s="47" t="s">
        <v>684</v>
      </c>
      <c r="G284" s="15" t="s">
        <v>685</v>
      </c>
      <c r="H284" s="40" t="n">
        <v>10</v>
      </c>
      <c r="I284" s="47" t="s">
        <v>282</v>
      </c>
      <c r="J284" s="47" t="n">
        <v>200</v>
      </c>
      <c r="K284" s="40" t="n">
        <v>1</v>
      </c>
      <c r="L284" s="40" t="n">
        <v>14</v>
      </c>
      <c r="M284" s="45" t="n">
        <v>8</v>
      </c>
      <c r="N284" s="48" t="n">
        <f aca="false">K284*L284*M284</f>
        <v>112</v>
      </c>
      <c r="O284" s="29" t="n">
        <f aca="false">IFERROR(INDEX(Исходные!$B$18:$B$29,MATCH(H284,Исходные!$A$18:$A$29,0)),0)</f>
        <v>0.617</v>
      </c>
      <c r="P284" s="49" t="n">
        <f aca="false">N284*O284</f>
        <v>69.104</v>
      </c>
      <c r="Q284" s="15" t="s">
        <v>686</v>
      </c>
      <c r="R284" s="50" t="s">
        <v>429</v>
      </c>
      <c r="S284" s="15"/>
      <c r="T284" s="15" t="s">
        <v>687</v>
      </c>
      <c r="U284" s="38" t="n">
        <v>0</v>
      </c>
      <c r="V284" s="47" t="s">
        <v>688</v>
      </c>
    </row>
    <row r="285" customFormat="false" ht="23.85" hidden="false" customHeight="false" outlineLevel="0" collapsed="false">
      <c r="A285" s="47" t="n">
        <v>277</v>
      </c>
      <c r="B285" s="15" t="s">
        <v>278</v>
      </c>
      <c r="C285" s="15" t="s">
        <v>681</v>
      </c>
      <c r="D285" s="15" t="s">
        <v>682</v>
      </c>
      <c r="E285" s="15" t="s">
        <v>683</v>
      </c>
      <c r="F285" s="47" t="s">
        <v>684</v>
      </c>
      <c r="G285" s="15" t="s">
        <v>685</v>
      </c>
      <c r="H285" s="40" t="n">
        <v>10</v>
      </c>
      <c r="I285" s="47" t="s">
        <v>282</v>
      </c>
      <c r="J285" s="47" t="n">
        <v>200</v>
      </c>
      <c r="K285" s="40" t="n">
        <v>1</v>
      </c>
      <c r="L285" s="40" t="n">
        <v>9</v>
      </c>
      <c r="M285" s="45" t="n">
        <v>7.95</v>
      </c>
      <c r="N285" s="48" t="n">
        <f aca="false">K285*L285*M285</f>
        <v>71.55</v>
      </c>
      <c r="O285" s="29" t="n">
        <f aca="false">IFERROR(INDEX(Исходные!$B$18:$B$29,MATCH(H285,Исходные!$A$18:$A$29,0)),0)</f>
        <v>0.617</v>
      </c>
      <c r="P285" s="49" t="n">
        <f aca="false">N285*O285</f>
        <v>44.14635</v>
      </c>
      <c r="Q285" s="15" t="s">
        <v>686</v>
      </c>
      <c r="R285" s="50" t="s">
        <v>429</v>
      </c>
      <c r="S285" s="15"/>
      <c r="T285" s="15" t="s">
        <v>687</v>
      </c>
      <c r="U285" s="38" t="n">
        <v>0</v>
      </c>
      <c r="V285" s="47" t="s">
        <v>688</v>
      </c>
    </row>
    <row r="286" customFormat="false" ht="23.85" hidden="false" customHeight="false" outlineLevel="0" collapsed="false">
      <c r="A286" s="47" t="n">
        <v>278</v>
      </c>
      <c r="B286" s="15" t="s">
        <v>278</v>
      </c>
      <c r="C286" s="15" t="s">
        <v>681</v>
      </c>
      <c r="D286" s="15" t="s">
        <v>682</v>
      </c>
      <c r="E286" s="15" t="s">
        <v>683</v>
      </c>
      <c r="F286" s="47" t="s">
        <v>684</v>
      </c>
      <c r="G286" s="15" t="s">
        <v>685</v>
      </c>
      <c r="H286" s="40" t="n">
        <v>10</v>
      </c>
      <c r="I286" s="47" t="s">
        <v>282</v>
      </c>
      <c r="J286" s="47" t="n">
        <v>200</v>
      </c>
      <c r="K286" s="40" t="n">
        <v>1</v>
      </c>
      <c r="L286" s="40" t="n">
        <v>13</v>
      </c>
      <c r="M286" s="45" t="n">
        <v>6.9</v>
      </c>
      <c r="N286" s="48" t="n">
        <f aca="false">K286*L286*M286</f>
        <v>89.7</v>
      </c>
      <c r="O286" s="29" t="n">
        <f aca="false">IFERROR(INDEX(Исходные!$B$18:$B$29,MATCH(H286,Исходные!$A$18:$A$29,0)),0)</f>
        <v>0.617</v>
      </c>
      <c r="P286" s="49" t="n">
        <f aca="false">N286*O286</f>
        <v>55.3449</v>
      </c>
      <c r="Q286" s="15" t="s">
        <v>686</v>
      </c>
      <c r="R286" s="50" t="s">
        <v>429</v>
      </c>
      <c r="S286" s="15"/>
      <c r="T286" s="15" t="s">
        <v>687</v>
      </c>
      <c r="U286" s="38" t="n">
        <v>0</v>
      </c>
      <c r="V286" s="47" t="s">
        <v>688</v>
      </c>
    </row>
    <row r="287" customFormat="false" ht="23.85" hidden="false" customHeight="false" outlineLevel="0" collapsed="false">
      <c r="A287" s="47" t="n">
        <v>279</v>
      </c>
      <c r="B287" s="15" t="s">
        <v>278</v>
      </c>
      <c r="C287" s="15" t="s">
        <v>681</v>
      </c>
      <c r="D287" s="15" t="s">
        <v>682</v>
      </c>
      <c r="E287" s="15" t="s">
        <v>683</v>
      </c>
      <c r="F287" s="47" t="s">
        <v>684</v>
      </c>
      <c r="G287" s="15" t="s">
        <v>685</v>
      </c>
      <c r="H287" s="40" t="n">
        <v>10</v>
      </c>
      <c r="I287" s="47" t="s">
        <v>282</v>
      </c>
      <c r="J287" s="47" t="n">
        <v>200</v>
      </c>
      <c r="K287" s="40" t="n">
        <v>1</v>
      </c>
      <c r="L287" s="40" t="n">
        <v>9</v>
      </c>
      <c r="M287" s="45" t="n">
        <v>3.78</v>
      </c>
      <c r="N287" s="48" t="n">
        <f aca="false">K287*L287*M287</f>
        <v>34.02</v>
      </c>
      <c r="O287" s="29" t="n">
        <f aca="false">IFERROR(INDEX(Исходные!$B$18:$B$29,MATCH(H287,Исходные!$A$18:$A$29,0)),0)</f>
        <v>0.617</v>
      </c>
      <c r="P287" s="49" t="n">
        <f aca="false">N287*O287</f>
        <v>20.99034</v>
      </c>
      <c r="Q287" s="15" t="s">
        <v>686</v>
      </c>
      <c r="R287" s="50" t="s">
        <v>429</v>
      </c>
      <c r="S287" s="15"/>
      <c r="T287" s="15" t="s">
        <v>687</v>
      </c>
      <c r="U287" s="38" t="n">
        <v>0</v>
      </c>
      <c r="V287" s="47" t="s">
        <v>688</v>
      </c>
    </row>
    <row r="288" customFormat="false" ht="23.85" hidden="false" customHeight="false" outlineLevel="0" collapsed="false">
      <c r="A288" s="47" t="n">
        <v>280</v>
      </c>
      <c r="B288" s="15" t="s">
        <v>278</v>
      </c>
      <c r="C288" s="15" t="s">
        <v>681</v>
      </c>
      <c r="D288" s="15" t="s">
        <v>682</v>
      </c>
      <c r="E288" s="15" t="s">
        <v>683</v>
      </c>
      <c r="F288" s="47" t="s">
        <v>701</v>
      </c>
      <c r="G288" s="15" t="s">
        <v>702</v>
      </c>
      <c r="H288" s="40" t="n">
        <v>10</v>
      </c>
      <c r="I288" s="47" t="s">
        <v>282</v>
      </c>
      <c r="J288" s="47" t="n">
        <v>200</v>
      </c>
      <c r="K288" s="40" t="n">
        <v>1</v>
      </c>
      <c r="L288" s="40" t="n">
        <v>40</v>
      </c>
      <c r="M288" s="45" t="n">
        <v>22.35</v>
      </c>
      <c r="N288" s="48" t="n">
        <f aca="false">K288*L288*M288</f>
        <v>894</v>
      </c>
      <c r="O288" s="29" t="n">
        <f aca="false">IFERROR(INDEX(Исходные!$B$18:$B$29,MATCH(H288,Исходные!$A$18:$A$29,0)),0)</f>
        <v>0.617</v>
      </c>
      <c r="P288" s="49" t="n">
        <f aca="false">N288*O288</f>
        <v>551.598</v>
      </c>
      <c r="Q288" s="15" t="s">
        <v>686</v>
      </c>
      <c r="R288" s="50" t="s">
        <v>429</v>
      </c>
      <c r="S288" s="15"/>
      <c r="T288" s="15" t="s">
        <v>687</v>
      </c>
      <c r="U288" s="38" t="n">
        <v>0</v>
      </c>
      <c r="V288" s="47" t="s">
        <v>688</v>
      </c>
    </row>
    <row r="289" customFormat="false" ht="35.05" hidden="false" customHeight="false" outlineLevel="0" collapsed="false">
      <c r="A289" s="47" t="n">
        <v>281</v>
      </c>
      <c r="B289" s="15" t="s">
        <v>278</v>
      </c>
      <c r="C289" s="15" t="s">
        <v>681</v>
      </c>
      <c r="D289" s="15" t="s">
        <v>682</v>
      </c>
      <c r="E289" s="15" t="s">
        <v>683</v>
      </c>
      <c r="F289" s="47" t="s">
        <v>703</v>
      </c>
      <c r="G289" s="15" t="s">
        <v>704</v>
      </c>
      <c r="H289" s="40" t="n">
        <v>10</v>
      </c>
      <c r="I289" s="47" t="s">
        <v>282</v>
      </c>
      <c r="J289" s="47" t="s">
        <v>113</v>
      </c>
      <c r="K289" s="40" t="n">
        <v>40</v>
      </c>
      <c r="L289" s="40" t="n">
        <v>1</v>
      </c>
      <c r="M289" s="45" t="n">
        <v>0.4</v>
      </c>
      <c r="N289" s="48" t="n">
        <f aca="false">K289*L289*M289</f>
        <v>16</v>
      </c>
      <c r="O289" s="29" t="n">
        <f aca="false">IFERROR(INDEX(Исходные!$B$18:$B$29,MATCH(H289,Исходные!$A$18:$A$29,0)),0)</f>
        <v>0.617</v>
      </c>
      <c r="P289" s="49" t="n">
        <f aca="false">N289*O289</f>
        <v>9.872</v>
      </c>
      <c r="Q289" s="15" t="s">
        <v>691</v>
      </c>
      <c r="R289" s="50" t="s">
        <v>436</v>
      </c>
      <c r="S289" s="15" t="s">
        <v>705</v>
      </c>
      <c r="T289" s="15" t="s">
        <v>687</v>
      </c>
      <c r="U289" s="38" t="n">
        <v>0</v>
      </c>
      <c r="V289" s="47" t="s">
        <v>688</v>
      </c>
    </row>
    <row r="290" customFormat="false" ht="23.85" hidden="false" customHeight="false" outlineLevel="0" collapsed="false">
      <c r="A290" s="47" t="n">
        <v>282</v>
      </c>
      <c r="B290" s="15" t="s">
        <v>278</v>
      </c>
      <c r="C290" s="15" t="s">
        <v>681</v>
      </c>
      <c r="D290" s="15" t="s">
        <v>682</v>
      </c>
      <c r="E290" s="15" t="s">
        <v>683</v>
      </c>
      <c r="F290" s="47" t="s">
        <v>701</v>
      </c>
      <c r="G290" s="15" t="s">
        <v>702</v>
      </c>
      <c r="H290" s="40" t="n">
        <v>10</v>
      </c>
      <c r="I290" s="47" t="s">
        <v>282</v>
      </c>
      <c r="J290" s="47" t="n">
        <v>200</v>
      </c>
      <c r="K290" s="40" t="n">
        <v>1</v>
      </c>
      <c r="L290" s="40" t="n">
        <v>39</v>
      </c>
      <c r="M290" s="45" t="n">
        <v>20.62</v>
      </c>
      <c r="N290" s="48" t="n">
        <f aca="false">K290*L290*M290</f>
        <v>804.18</v>
      </c>
      <c r="O290" s="29" t="n">
        <f aca="false">IFERROR(INDEX(Исходные!$B$18:$B$29,MATCH(H290,Исходные!$A$18:$A$29,0)),0)</f>
        <v>0.617</v>
      </c>
      <c r="P290" s="49" t="n">
        <f aca="false">N290*O290</f>
        <v>496.17906</v>
      </c>
      <c r="Q290" s="15" t="s">
        <v>686</v>
      </c>
      <c r="R290" s="50" t="s">
        <v>429</v>
      </c>
      <c r="S290" s="15"/>
      <c r="T290" s="15" t="s">
        <v>687</v>
      </c>
      <c r="U290" s="38" t="n">
        <v>0</v>
      </c>
      <c r="V290" s="47" t="s">
        <v>688</v>
      </c>
    </row>
    <row r="291" customFormat="false" ht="35.05" hidden="false" customHeight="false" outlineLevel="0" collapsed="false">
      <c r="A291" s="47" t="n">
        <v>283</v>
      </c>
      <c r="B291" s="15" t="s">
        <v>278</v>
      </c>
      <c r="C291" s="15" t="s">
        <v>681</v>
      </c>
      <c r="D291" s="15" t="s">
        <v>682</v>
      </c>
      <c r="E291" s="15" t="s">
        <v>683</v>
      </c>
      <c r="F291" s="47" t="s">
        <v>703</v>
      </c>
      <c r="G291" s="15" t="s">
        <v>706</v>
      </c>
      <c r="H291" s="40" t="n">
        <v>10</v>
      </c>
      <c r="I291" s="47" t="s">
        <v>282</v>
      </c>
      <c r="J291" s="47" t="s">
        <v>113</v>
      </c>
      <c r="K291" s="40" t="n">
        <v>39</v>
      </c>
      <c r="L291" s="40" t="n">
        <v>1</v>
      </c>
      <c r="M291" s="45" t="n">
        <v>0.4</v>
      </c>
      <c r="N291" s="48" t="n">
        <f aca="false">K291*L291*M291</f>
        <v>15.6</v>
      </c>
      <c r="O291" s="29" t="n">
        <f aca="false">IFERROR(INDEX(Исходные!$B$18:$B$29,MATCH(H291,Исходные!$A$18:$A$29,0)),0)</f>
        <v>0.617</v>
      </c>
      <c r="P291" s="49" t="n">
        <f aca="false">N291*O291</f>
        <v>9.6252</v>
      </c>
      <c r="Q291" s="15" t="s">
        <v>691</v>
      </c>
      <c r="R291" s="50" t="s">
        <v>436</v>
      </c>
      <c r="S291" s="15" t="s">
        <v>707</v>
      </c>
      <c r="T291" s="15" t="s">
        <v>687</v>
      </c>
      <c r="U291" s="38" t="n">
        <v>0</v>
      </c>
      <c r="V291" s="47" t="s">
        <v>688</v>
      </c>
    </row>
    <row r="292" customFormat="false" ht="23.85" hidden="false" customHeight="false" outlineLevel="0" collapsed="false">
      <c r="A292" s="47" t="n">
        <v>284</v>
      </c>
      <c r="B292" s="15" t="s">
        <v>278</v>
      </c>
      <c r="C292" s="15" t="s">
        <v>681</v>
      </c>
      <c r="D292" s="15" t="s">
        <v>682</v>
      </c>
      <c r="E292" s="15" t="s">
        <v>683</v>
      </c>
      <c r="F292" s="47" t="s">
        <v>701</v>
      </c>
      <c r="G292" s="15" t="s">
        <v>702</v>
      </c>
      <c r="H292" s="40" t="n">
        <v>10</v>
      </c>
      <c r="I292" s="47" t="s">
        <v>282</v>
      </c>
      <c r="J292" s="47" t="n">
        <v>200</v>
      </c>
      <c r="K292" s="40" t="n">
        <v>1</v>
      </c>
      <c r="L292" s="40" t="n">
        <v>26</v>
      </c>
      <c r="M292" s="45" t="n">
        <v>20.48</v>
      </c>
      <c r="N292" s="48" t="n">
        <f aca="false">K292*L292*M292</f>
        <v>532.48</v>
      </c>
      <c r="O292" s="29" t="n">
        <f aca="false">IFERROR(INDEX(Исходные!$B$18:$B$29,MATCH(H292,Исходные!$A$18:$A$29,0)),0)</f>
        <v>0.617</v>
      </c>
      <c r="P292" s="49" t="n">
        <f aca="false">N292*O292</f>
        <v>328.54016</v>
      </c>
      <c r="Q292" s="15" t="s">
        <v>686</v>
      </c>
      <c r="R292" s="50" t="s">
        <v>429</v>
      </c>
      <c r="S292" s="15"/>
      <c r="T292" s="15" t="s">
        <v>687</v>
      </c>
      <c r="U292" s="38" t="n">
        <v>0</v>
      </c>
      <c r="V292" s="47" t="s">
        <v>688</v>
      </c>
    </row>
    <row r="293" customFormat="false" ht="35.05" hidden="false" customHeight="false" outlineLevel="0" collapsed="false">
      <c r="A293" s="47" t="n">
        <v>285</v>
      </c>
      <c r="B293" s="15" t="s">
        <v>278</v>
      </c>
      <c r="C293" s="15" t="s">
        <v>681</v>
      </c>
      <c r="D293" s="15" t="s">
        <v>682</v>
      </c>
      <c r="E293" s="15" t="s">
        <v>683</v>
      </c>
      <c r="F293" s="47" t="s">
        <v>703</v>
      </c>
      <c r="G293" s="15" t="s">
        <v>708</v>
      </c>
      <c r="H293" s="40" t="n">
        <v>10</v>
      </c>
      <c r="I293" s="47" t="s">
        <v>282</v>
      </c>
      <c r="J293" s="47" t="s">
        <v>113</v>
      </c>
      <c r="K293" s="40" t="n">
        <v>26</v>
      </c>
      <c r="L293" s="40" t="n">
        <v>1</v>
      </c>
      <c r="M293" s="45" t="n">
        <v>0.4</v>
      </c>
      <c r="N293" s="48" t="n">
        <f aca="false">K293*L293*M293</f>
        <v>10.4</v>
      </c>
      <c r="O293" s="29" t="n">
        <f aca="false">IFERROR(INDEX(Исходные!$B$18:$B$29,MATCH(H293,Исходные!$A$18:$A$29,0)),0)</f>
        <v>0.617</v>
      </c>
      <c r="P293" s="49" t="n">
        <f aca="false">N293*O293</f>
        <v>6.4168</v>
      </c>
      <c r="Q293" s="15" t="s">
        <v>691</v>
      </c>
      <c r="R293" s="50" t="s">
        <v>436</v>
      </c>
      <c r="S293" s="15" t="s">
        <v>709</v>
      </c>
      <c r="T293" s="15" t="s">
        <v>687</v>
      </c>
      <c r="U293" s="38" t="n">
        <v>0</v>
      </c>
      <c r="V293" s="47" t="s">
        <v>688</v>
      </c>
    </row>
    <row r="294" customFormat="false" ht="23.85" hidden="false" customHeight="false" outlineLevel="0" collapsed="false">
      <c r="A294" s="47" t="n">
        <v>286</v>
      </c>
      <c r="B294" s="15" t="s">
        <v>278</v>
      </c>
      <c r="C294" s="15" t="s">
        <v>681</v>
      </c>
      <c r="D294" s="15" t="s">
        <v>682</v>
      </c>
      <c r="E294" s="15" t="s">
        <v>683</v>
      </c>
      <c r="F294" s="47" t="s">
        <v>701</v>
      </c>
      <c r="G294" s="15" t="s">
        <v>702</v>
      </c>
      <c r="H294" s="40" t="n">
        <v>10</v>
      </c>
      <c r="I294" s="47" t="s">
        <v>282</v>
      </c>
      <c r="J294" s="47" t="n">
        <v>200</v>
      </c>
      <c r="K294" s="40" t="n">
        <v>1</v>
      </c>
      <c r="L294" s="40" t="n">
        <v>2</v>
      </c>
      <c r="M294" s="45" t="n">
        <v>19.01</v>
      </c>
      <c r="N294" s="48" t="n">
        <f aca="false">K294*L294*M294</f>
        <v>38.02</v>
      </c>
      <c r="O294" s="29" t="n">
        <f aca="false">IFERROR(INDEX(Исходные!$B$18:$B$29,MATCH(H294,Исходные!$A$18:$A$29,0)),0)</f>
        <v>0.617</v>
      </c>
      <c r="P294" s="49" t="n">
        <f aca="false">N294*O294</f>
        <v>23.45834</v>
      </c>
      <c r="Q294" s="15" t="s">
        <v>686</v>
      </c>
      <c r="R294" s="50" t="s">
        <v>429</v>
      </c>
      <c r="S294" s="15"/>
      <c r="T294" s="15" t="s">
        <v>687</v>
      </c>
      <c r="U294" s="38" t="n">
        <v>0</v>
      </c>
      <c r="V294" s="47" t="s">
        <v>688</v>
      </c>
    </row>
    <row r="295" customFormat="false" ht="35.05" hidden="false" customHeight="false" outlineLevel="0" collapsed="false">
      <c r="A295" s="47" t="n">
        <v>287</v>
      </c>
      <c r="B295" s="15" t="s">
        <v>278</v>
      </c>
      <c r="C295" s="15" t="s">
        <v>681</v>
      </c>
      <c r="D295" s="15" t="s">
        <v>682</v>
      </c>
      <c r="E295" s="15" t="s">
        <v>683</v>
      </c>
      <c r="F295" s="47" t="s">
        <v>703</v>
      </c>
      <c r="G295" s="15" t="s">
        <v>710</v>
      </c>
      <c r="H295" s="40" t="n">
        <v>10</v>
      </c>
      <c r="I295" s="47" t="s">
        <v>282</v>
      </c>
      <c r="J295" s="47" t="s">
        <v>113</v>
      </c>
      <c r="K295" s="40" t="n">
        <v>2</v>
      </c>
      <c r="L295" s="40" t="n">
        <v>1</v>
      </c>
      <c r="M295" s="45" t="n">
        <v>0.4</v>
      </c>
      <c r="N295" s="48" t="n">
        <f aca="false">K295*L295*M295</f>
        <v>0.8</v>
      </c>
      <c r="O295" s="29" t="n">
        <f aca="false">IFERROR(INDEX(Исходные!$B$18:$B$29,MATCH(H295,Исходные!$A$18:$A$29,0)),0)</f>
        <v>0.617</v>
      </c>
      <c r="P295" s="49" t="n">
        <f aca="false">N295*O295</f>
        <v>0.4936</v>
      </c>
      <c r="Q295" s="15" t="s">
        <v>691</v>
      </c>
      <c r="R295" s="50" t="s">
        <v>436</v>
      </c>
      <c r="S295" s="15" t="s">
        <v>711</v>
      </c>
      <c r="T295" s="15" t="s">
        <v>687</v>
      </c>
      <c r="U295" s="38" t="n">
        <v>0</v>
      </c>
      <c r="V295" s="47" t="s">
        <v>688</v>
      </c>
    </row>
    <row r="296" customFormat="false" ht="23.85" hidden="false" customHeight="false" outlineLevel="0" collapsed="false">
      <c r="A296" s="47" t="n">
        <v>288</v>
      </c>
      <c r="B296" s="15" t="s">
        <v>278</v>
      </c>
      <c r="C296" s="15" t="s">
        <v>681</v>
      </c>
      <c r="D296" s="15" t="s">
        <v>682</v>
      </c>
      <c r="E296" s="15" t="s">
        <v>683</v>
      </c>
      <c r="F296" s="47" t="s">
        <v>701</v>
      </c>
      <c r="G296" s="15" t="s">
        <v>702</v>
      </c>
      <c r="H296" s="40" t="n">
        <v>10</v>
      </c>
      <c r="I296" s="47" t="s">
        <v>282</v>
      </c>
      <c r="J296" s="47" t="n">
        <v>200</v>
      </c>
      <c r="K296" s="40" t="n">
        <v>1</v>
      </c>
      <c r="L296" s="40" t="n">
        <v>5</v>
      </c>
      <c r="M296" s="45" t="n">
        <v>17.28</v>
      </c>
      <c r="N296" s="48" t="n">
        <f aca="false">K296*L296*M296</f>
        <v>86.4</v>
      </c>
      <c r="O296" s="29" t="n">
        <f aca="false">IFERROR(INDEX(Исходные!$B$18:$B$29,MATCH(H296,Исходные!$A$18:$A$29,0)),0)</f>
        <v>0.617</v>
      </c>
      <c r="P296" s="49" t="n">
        <f aca="false">N296*O296</f>
        <v>53.3088</v>
      </c>
      <c r="Q296" s="15" t="s">
        <v>686</v>
      </c>
      <c r="R296" s="50" t="s">
        <v>429</v>
      </c>
      <c r="S296" s="15"/>
      <c r="T296" s="15" t="s">
        <v>687</v>
      </c>
      <c r="U296" s="38" t="n">
        <v>0</v>
      </c>
      <c r="V296" s="47" t="s">
        <v>688</v>
      </c>
    </row>
    <row r="297" customFormat="false" ht="35.05" hidden="false" customHeight="false" outlineLevel="0" collapsed="false">
      <c r="A297" s="47" t="n">
        <v>289</v>
      </c>
      <c r="B297" s="15" t="s">
        <v>278</v>
      </c>
      <c r="C297" s="15" t="s">
        <v>681</v>
      </c>
      <c r="D297" s="15" t="s">
        <v>682</v>
      </c>
      <c r="E297" s="15" t="s">
        <v>683</v>
      </c>
      <c r="F297" s="47" t="s">
        <v>703</v>
      </c>
      <c r="G297" s="15" t="s">
        <v>712</v>
      </c>
      <c r="H297" s="40" t="n">
        <v>10</v>
      </c>
      <c r="I297" s="47" t="s">
        <v>282</v>
      </c>
      <c r="J297" s="47" t="s">
        <v>113</v>
      </c>
      <c r="K297" s="40" t="n">
        <v>5</v>
      </c>
      <c r="L297" s="40" t="n">
        <v>1</v>
      </c>
      <c r="M297" s="45" t="n">
        <v>0.4</v>
      </c>
      <c r="N297" s="48" t="n">
        <f aca="false">K297*L297*M297</f>
        <v>2</v>
      </c>
      <c r="O297" s="29" t="n">
        <f aca="false">IFERROR(INDEX(Исходные!$B$18:$B$29,MATCH(H297,Исходные!$A$18:$A$29,0)),0)</f>
        <v>0.617</v>
      </c>
      <c r="P297" s="49" t="n">
        <f aca="false">N297*O297</f>
        <v>1.234</v>
      </c>
      <c r="Q297" s="15" t="s">
        <v>691</v>
      </c>
      <c r="R297" s="50" t="s">
        <v>436</v>
      </c>
      <c r="S297" s="15" t="s">
        <v>713</v>
      </c>
      <c r="T297" s="15" t="s">
        <v>687</v>
      </c>
      <c r="U297" s="38" t="n">
        <v>0</v>
      </c>
      <c r="V297" s="47" t="s">
        <v>688</v>
      </c>
    </row>
    <row r="298" customFormat="false" ht="23.85" hidden="false" customHeight="false" outlineLevel="0" collapsed="false">
      <c r="A298" s="47" t="n">
        <v>290</v>
      </c>
      <c r="B298" s="15" t="s">
        <v>278</v>
      </c>
      <c r="C298" s="15" t="s">
        <v>681</v>
      </c>
      <c r="D298" s="15" t="s">
        <v>682</v>
      </c>
      <c r="E298" s="15" t="s">
        <v>683</v>
      </c>
      <c r="F298" s="47" t="s">
        <v>701</v>
      </c>
      <c r="G298" s="15" t="s">
        <v>702</v>
      </c>
      <c r="H298" s="40" t="n">
        <v>10</v>
      </c>
      <c r="I298" s="47" t="s">
        <v>282</v>
      </c>
      <c r="J298" s="47" t="n">
        <v>200</v>
      </c>
      <c r="K298" s="40" t="n">
        <v>1</v>
      </c>
      <c r="L298" s="40" t="n">
        <v>17</v>
      </c>
      <c r="M298" s="45" t="n">
        <v>15.6</v>
      </c>
      <c r="N298" s="48" t="n">
        <f aca="false">K298*L298*M298</f>
        <v>265.2</v>
      </c>
      <c r="O298" s="29" t="n">
        <f aca="false">IFERROR(INDEX(Исходные!$B$18:$B$29,MATCH(H298,Исходные!$A$18:$A$29,0)),0)</f>
        <v>0.617</v>
      </c>
      <c r="P298" s="49" t="n">
        <f aca="false">N298*O298</f>
        <v>163.6284</v>
      </c>
      <c r="Q298" s="15" t="s">
        <v>686</v>
      </c>
      <c r="R298" s="50" t="s">
        <v>429</v>
      </c>
      <c r="S298" s="15"/>
      <c r="T298" s="15" t="s">
        <v>687</v>
      </c>
      <c r="U298" s="38" t="n">
        <v>0</v>
      </c>
      <c r="V298" s="47" t="s">
        <v>688</v>
      </c>
    </row>
    <row r="299" customFormat="false" ht="35.05" hidden="false" customHeight="false" outlineLevel="0" collapsed="false">
      <c r="A299" s="47" t="n">
        <v>291</v>
      </c>
      <c r="B299" s="15" t="s">
        <v>278</v>
      </c>
      <c r="C299" s="15" t="s">
        <v>681</v>
      </c>
      <c r="D299" s="15" t="s">
        <v>682</v>
      </c>
      <c r="E299" s="15" t="s">
        <v>683</v>
      </c>
      <c r="F299" s="47" t="s">
        <v>703</v>
      </c>
      <c r="G299" s="15" t="s">
        <v>714</v>
      </c>
      <c r="H299" s="40" t="n">
        <v>10</v>
      </c>
      <c r="I299" s="47" t="s">
        <v>282</v>
      </c>
      <c r="J299" s="47" t="s">
        <v>113</v>
      </c>
      <c r="K299" s="40" t="n">
        <v>17</v>
      </c>
      <c r="L299" s="40" t="n">
        <v>1</v>
      </c>
      <c r="M299" s="45" t="n">
        <v>0.4</v>
      </c>
      <c r="N299" s="48" t="n">
        <f aca="false">K299*L299*M299</f>
        <v>6.8</v>
      </c>
      <c r="O299" s="29" t="n">
        <f aca="false">IFERROR(INDEX(Исходные!$B$18:$B$29,MATCH(H299,Исходные!$A$18:$A$29,0)),0)</f>
        <v>0.617</v>
      </c>
      <c r="P299" s="49" t="n">
        <f aca="false">N299*O299</f>
        <v>4.1956</v>
      </c>
      <c r="Q299" s="15" t="s">
        <v>691</v>
      </c>
      <c r="R299" s="50" t="s">
        <v>436</v>
      </c>
      <c r="S299" s="15" t="s">
        <v>715</v>
      </c>
      <c r="T299" s="15" t="s">
        <v>687</v>
      </c>
      <c r="U299" s="38" t="n">
        <v>0</v>
      </c>
      <c r="V299" s="47" t="s">
        <v>688</v>
      </c>
    </row>
    <row r="300" customFormat="false" ht="23.85" hidden="false" customHeight="false" outlineLevel="0" collapsed="false">
      <c r="A300" s="47" t="n">
        <v>292</v>
      </c>
      <c r="B300" s="15" t="s">
        <v>278</v>
      </c>
      <c r="C300" s="15" t="s">
        <v>681</v>
      </c>
      <c r="D300" s="15" t="s">
        <v>682</v>
      </c>
      <c r="E300" s="15" t="s">
        <v>683</v>
      </c>
      <c r="F300" s="47" t="s">
        <v>701</v>
      </c>
      <c r="G300" s="15" t="s">
        <v>702</v>
      </c>
      <c r="H300" s="40" t="n">
        <v>10</v>
      </c>
      <c r="I300" s="47" t="s">
        <v>282</v>
      </c>
      <c r="J300" s="47" t="n">
        <v>200</v>
      </c>
      <c r="K300" s="40" t="n">
        <v>1</v>
      </c>
      <c r="L300" s="40" t="n">
        <v>18</v>
      </c>
      <c r="M300" s="45" t="n">
        <v>4.15</v>
      </c>
      <c r="N300" s="48" t="n">
        <f aca="false">K300*L300*M300</f>
        <v>74.7</v>
      </c>
      <c r="O300" s="29" t="n">
        <f aca="false">IFERROR(INDEX(Исходные!$B$18:$B$29,MATCH(H300,Исходные!$A$18:$A$29,0)),0)</f>
        <v>0.617</v>
      </c>
      <c r="P300" s="49" t="n">
        <f aca="false">N300*O300</f>
        <v>46.0899</v>
      </c>
      <c r="Q300" s="15" t="s">
        <v>686</v>
      </c>
      <c r="R300" s="50" t="s">
        <v>429</v>
      </c>
      <c r="S300" s="15"/>
      <c r="T300" s="15" t="s">
        <v>687</v>
      </c>
      <c r="U300" s="38" t="n">
        <v>0</v>
      </c>
      <c r="V300" s="47" t="s">
        <v>688</v>
      </c>
    </row>
    <row r="301" customFormat="false" ht="23.85" hidden="false" customHeight="false" outlineLevel="0" collapsed="false">
      <c r="A301" s="47" t="n">
        <v>293</v>
      </c>
      <c r="B301" s="15" t="s">
        <v>278</v>
      </c>
      <c r="C301" s="15" t="s">
        <v>681</v>
      </c>
      <c r="D301" s="15" t="s">
        <v>682</v>
      </c>
      <c r="E301" s="15" t="s">
        <v>683</v>
      </c>
      <c r="F301" s="47" t="s">
        <v>701</v>
      </c>
      <c r="G301" s="15" t="s">
        <v>702</v>
      </c>
      <c r="H301" s="40" t="n">
        <v>10</v>
      </c>
      <c r="I301" s="47" t="s">
        <v>282</v>
      </c>
      <c r="J301" s="47" t="n">
        <v>200</v>
      </c>
      <c r="K301" s="40" t="n">
        <v>1</v>
      </c>
      <c r="L301" s="40" t="n">
        <v>24</v>
      </c>
      <c r="M301" s="45" t="n">
        <v>0.62</v>
      </c>
      <c r="N301" s="48" t="n">
        <f aca="false">K301*L301*M301</f>
        <v>14.88</v>
      </c>
      <c r="O301" s="29" t="n">
        <f aca="false">IFERROR(INDEX(Исходные!$B$18:$B$29,MATCH(H301,Исходные!$A$18:$A$29,0)),0)</f>
        <v>0.617</v>
      </c>
      <c r="P301" s="49" t="n">
        <f aca="false">N301*O301</f>
        <v>9.18096</v>
      </c>
      <c r="Q301" s="15" t="s">
        <v>686</v>
      </c>
      <c r="R301" s="50" t="s">
        <v>429</v>
      </c>
      <c r="S301" s="15"/>
      <c r="T301" s="15" t="s">
        <v>687</v>
      </c>
      <c r="U301" s="38" t="n">
        <v>0</v>
      </c>
      <c r="V301" s="47" t="s">
        <v>688</v>
      </c>
    </row>
    <row r="302" customFormat="false" ht="23.85" hidden="false" customHeight="false" outlineLevel="0" collapsed="false">
      <c r="A302" s="47" t="n">
        <v>294</v>
      </c>
      <c r="B302" s="15" t="s">
        <v>278</v>
      </c>
      <c r="C302" s="15" t="s">
        <v>681</v>
      </c>
      <c r="D302" s="15" t="s">
        <v>682</v>
      </c>
      <c r="E302" s="15" t="s">
        <v>683</v>
      </c>
      <c r="F302" s="47" t="s">
        <v>716</v>
      </c>
      <c r="G302" s="15" t="s">
        <v>717</v>
      </c>
      <c r="H302" s="40" t="n">
        <v>10</v>
      </c>
      <c r="I302" s="47" t="s">
        <v>282</v>
      </c>
      <c r="J302" s="47" t="n">
        <v>200</v>
      </c>
      <c r="K302" s="40" t="n">
        <v>1</v>
      </c>
      <c r="L302" s="40" t="n">
        <v>26</v>
      </c>
      <c r="M302" s="45" t="n">
        <v>27.35</v>
      </c>
      <c r="N302" s="48" t="n">
        <f aca="false">K302*L302*M302</f>
        <v>711.1</v>
      </c>
      <c r="O302" s="29" t="n">
        <f aca="false">IFERROR(INDEX(Исходные!$B$18:$B$29,MATCH(H302,Исходные!$A$18:$A$29,0)),0)</f>
        <v>0.617</v>
      </c>
      <c r="P302" s="49" t="n">
        <f aca="false">N302*O302</f>
        <v>438.7487</v>
      </c>
      <c r="Q302" s="15" t="s">
        <v>686</v>
      </c>
      <c r="R302" s="50" t="s">
        <v>429</v>
      </c>
      <c r="S302" s="15"/>
      <c r="T302" s="15" t="s">
        <v>687</v>
      </c>
      <c r="U302" s="38" t="n">
        <v>0</v>
      </c>
      <c r="V302" s="47" t="s">
        <v>688</v>
      </c>
    </row>
    <row r="303" customFormat="false" ht="35.05" hidden="false" customHeight="false" outlineLevel="0" collapsed="false">
      <c r="A303" s="47" t="n">
        <v>295</v>
      </c>
      <c r="B303" s="15" t="s">
        <v>278</v>
      </c>
      <c r="C303" s="15" t="s">
        <v>681</v>
      </c>
      <c r="D303" s="15" t="s">
        <v>682</v>
      </c>
      <c r="E303" s="15" t="s">
        <v>683</v>
      </c>
      <c r="F303" s="47" t="s">
        <v>718</v>
      </c>
      <c r="G303" s="15" t="s">
        <v>719</v>
      </c>
      <c r="H303" s="40" t="n">
        <v>10</v>
      </c>
      <c r="I303" s="47" t="s">
        <v>282</v>
      </c>
      <c r="J303" s="47" t="s">
        <v>113</v>
      </c>
      <c r="K303" s="40" t="n">
        <v>26</v>
      </c>
      <c r="L303" s="40" t="n">
        <v>2</v>
      </c>
      <c r="M303" s="45" t="n">
        <v>0.4</v>
      </c>
      <c r="N303" s="48" t="n">
        <f aca="false">K303*L303*M303</f>
        <v>20.8</v>
      </c>
      <c r="O303" s="29" t="n">
        <f aca="false">IFERROR(INDEX(Исходные!$B$18:$B$29,MATCH(H303,Исходные!$A$18:$A$29,0)),0)</f>
        <v>0.617</v>
      </c>
      <c r="P303" s="49" t="n">
        <f aca="false">N303*O303</f>
        <v>12.8336</v>
      </c>
      <c r="Q303" s="15" t="s">
        <v>691</v>
      </c>
      <c r="R303" s="50" t="s">
        <v>436</v>
      </c>
      <c r="S303" s="15" t="s">
        <v>692</v>
      </c>
      <c r="T303" s="15" t="s">
        <v>687</v>
      </c>
      <c r="U303" s="38" t="n">
        <v>0</v>
      </c>
      <c r="V303" s="47" t="s">
        <v>688</v>
      </c>
    </row>
    <row r="304" customFormat="false" ht="23.85" hidden="false" customHeight="false" outlineLevel="0" collapsed="false">
      <c r="A304" s="47" t="n">
        <v>296</v>
      </c>
      <c r="B304" s="15" t="s">
        <v>278</v>
      </c>
      <c r="C304" s="15" t="s">
        <v>681</v>
      </c>
      <c r="D304" s="15" t="s">
        <v>682</v>
      </c>
      <c r="E304" s="15" t="s">
        <v>683</v>
      </c>
      <c r="F304" s="47" t="s">
        <v>716</v>
      </c>
      <c r="G304" s="15" t="s">
        <v>717</v>
      </c>
      <c r="H304" s="40" t="n">
        <v>10</v>
      </c>
      <c r="I304" s="47" t="s">
        <v>282</v>
      </c>
      <c r="J304" s="47" t="n">
        <v>200</v>
      </c>
      <c r="K304" s="40" t="n">
        <v>1</v>
      </c>
      <c r="L304" s="40" t="n">
        <v>49</v>
      </c>
      <c r="M304" s="45" t="n">
        <v>25.62</v>
      </c>
      <c r="N304" s="48" t="n">
        <f aca="false">K304*L304*M304</f>
        <v>1255.38</v>
      </c>
      <c r="O304" s="29" t="n">
        <f aca="false">IFERROR(INDEX(Исходные!$B$18:$B$29,MATCH(H304,Исходные!$A$18:$A$29,0)),0)</f>
        <v>0.617</v>
      </c>
      <c r="P304" s="49" t="n">
        <f aca="false">N304*O304</f>
        <v>774.56946</v>
      </c>
      <c r="Q304" s="15" t="s">
        <v>686</v>
      </c>
      <c r="R304" s="50" t="s">
        <v>429</v>
      </c>
      <c r="S304" s="15"/>
      <c r="T304" s="15" t="s">
        <v>687</v>
      </c>
      <c r="U304" s="38" t="n">
        <v>0</v>
      </c>
      <c r="V304" s="47" t="s">
        <v>688</v>
      </c>
    </row>
    <row r="305" customFormat="false" ht="35.05" hidden="false" customHeight="false" outlineLevel="0" collapsed="false">
      <c r="A305" s="47" t="n">
        <v>297</v>
      </c>
      <c r="B305" s="15" t="s">
        <v>278</v>
      </c>
      <c r="C305" s="15" t="s">
        <v>681</v>
      </c>
      <c r="D305" s="15" t="s">
        <v>682</v>
      </c>
      <c r="E305" s="15" t="s">
        <v>683</v>
      </c>
      <c r="F305" s="47" t="s">
        <v>718</v>
      </c>
      <c r="G305" s="15" t="s">
        <v>720</v>
      </c>
      <c r="H305" s="40" t="n">
        <v>10</v>
      </c>
      <c r="I305" s="47" t="s">
        <v>282</v>
      </c>
      <c r="J305" s="47" t="s">
        <v>113</v>
      </c>
      <c r="K305" s="40" t="n">
        <v>49</v>
      </c>
      <c r="L305" s="40" t="n">
        <v>2</v>
      </c>
      <c r="M305" s="45" t="n">
        <v>0.4</v>
      </c>
      <c r="N305" s="48" t="n">
        <f aca="false">K305*L305*M305</f>
        <v>39.2</v>
      </c>
      <c r="O305" s="29" t="n">
        <f aca="false">IFERROR(INDEX(Исходные!$B$18:$B$29,MATCH(H305,Исходные!$A$18:$A$29,0)),0)</f>
        <v>0.617</v>
      </c>
      <c r="P305" s="49" t="n">
        <f aca="false">N305*O305</f>
        <v>24.1864</v>
      </c>
      <c r="Q305" s="15" t="s">
        <v>691</v>
      </c>
      <c r="R305" s="50" t="s">
        <v>436</v>
      </c>
      <c r="S305" s="15" t="s">
        <v>694</v>
      </c>
      <c r="T305" s="15" t="s">
        <v>687</v>
      </c>
      <c r="U305" s="38" t="n">
        <v>0</v>
      </c>
      <c r="V305" s="47" t="s">
        <v>688</v>
      </c>
    </row>
    <row r="306" customFormat="false" ht="23.85" hidden="false" customHeight="false" outlineLevel="0" collapsed="false">
      <c r="A306" s="47" t="n">
        <v>298</v>
      </c>
      <c r="B306" s="15" t="s">
        <v>278</v>
      </c>
      <c r="C306" s="15" t="s">
        <v>681</v>
      </c>
      <c r="D306" s="15" t="s">
        <v>682</v>
      </c>
      <c r="E306" s="15" t="s">
        <v>683</v>
      </c>
      <c r="F306" s="47" t="s">
        <v>716</v>
      </c>
      <c r="G306" s="15" t="s">
        <v>717</v>
      </c>
      <c r="H306" s="40" t="n">
        <v>10</v>
      </c>
      <c r="I306" s="47" t="s">
        <v>282</v>
      </c>
      <c r="J306" s="47" t="n">
        <v>200</v>
      </c>
      <c r="K306" s="40" t="n">
        <v>1</v>
      </c>
      <c r="L306" s="40" t="n">
        <v>1</v>
      </c>
      <c r="M306" s="45" t="n">
        <v>22.2</v>
      </c>
      <c r="N306" s="48" t="n">
        <f aca="false">K306*L306*M306</f>
        <v>22.2</v>
      </c>
      <c r="O306" s="29" t="n">
        <f aca="false">IFERROR(INDEX(Исходные!$B$18:$B$29,MATCH(H306,Исходные!$A$18:$A$29,0)),0)</f>
        <v>0.617</v>
      </c>
      <c r="P306" s="49" t="n">
        <f aca="false">N306*O306</f>
        <v>13.6974</v>
      </c>
      <c r="Q306" s="15" t="s">
        <v>686</v>
      </c>
      <c r="R306" s="50" t="s">
        <v>429</v>
      </c>
      <c r="S306" s="15"/>
      <c r="T306" s="15" t="s">
        <v>687</v>
      </c>
      <c r="U306" s="38" t="n">
        <v>0</v>
      </c>
      <c r="V306" s="47" t="s">
        <v>688</v>
      </c>
    </row>
    <row r="307" customFormat="false" ht="35.05" hidden="false" customHeight="false" outlineLevel="0" collapsed="false">
      <c r="A307" s="47" t="n">
        <v>299</v>
      </c>
      <c r="B307" s="15" t="s">
        <v>278</v>
      </c>
      <c r="C307" s="15" t="s">
        <v>681</v>
      </c>
      <c r="D307" s="15" t="s">
        <v>682</v>
      </c>
      <c r="E307" s="15" t="s">
        <v>683</v>
      </c>
      <c r="F307" s="47" t="s">
        <v>718</v>
      </c>
      <c r="G307" s="15" t="s">
        <v>721</v>
      </c>
      <c r="H307" s="40" t="n">
        <v>10</v>
      </c>
      <c r="I307" s="47" t="s">
        <v>282</v>
      </c>
      <c r="J307" s="47" t="s">
        <v>113</v>
      </c>
      <c r="K307" s="40" t="n">
        <v>1</v>
      </c>
      <c r="L307" s="40" t="n">
        <v>1</v>
      </c>
      <c r="M307" s="45" t="n">
        <v>0.4</v>
      </c>
      <c r="N307" s="48" t="n">
        <f aca="false">K307*L307*M307</f>
        <v>0.4</v>
      </c>
      <c r="O307" s="29" t="n">
        <f aca="false">IFERROR(INDEX(Исходные!$B$18:$B$29,MATCH(H307,Исходные!$A$18:$A$29,0)),0)</f>
        <v>0.617</v>
      </c>
      <c r="P307" s="49" t="n">
        <f aca="false">N307*O307</f>
        <v>0.2468</v>
      </c>
      <c r="Q307" s="15" t="s">
        <v>691</v>
      </c>
      <c r="R307" s="50" t="s">
        <v>436</v>
      </c>
      <c r="S307" s="15" t="s">
        <v>696</v>
      </c>
      <c r="T307" s="15" t="s">
        <v>687</v>
      </c>
      <c r="U307" s="38" t="n">
        <v>0</v>
      </c>
      <c r="V307" s="47" t="s">
        <v>688</v>
      </c>
    </row>
    <row r="308" customFormat="false" ht="23.85" hidden="false" customHeight="false" outlineLevel="0" collapsed="false">
      <c r="A308" s="47" t="n">
        <v>300</v>
      </c>
      <c r="B308" s="15" t="s">
        <v>278</v>
      </c>
      <c r="C308" s="15" t="s">
        <v>681</v>
      </c>
      <c r="D308" s="15" t="s">
        <v>682</v>
      </c>
      <c r="E308" s="15" t="s">
        <v>683</v>
      </c>
      <c r="F308" s="47" t="s">
        <v>716</v>
      </c>
      <c r="G308" s="15" t="s">
        <v>717</v>
      </c>
      <c r="H308" s="40" t="n">
        <v>10</v>
      </c>
      <c r="I308" s="47" t="s">
        <v>282</v>
      </c>
      <c r="J308" s="47" t="n">
        <v>200</v>
      </c>
      <c r="K308" s="40" t="n">
        <v>1</v>
      </c>
      <c r="L308" s="40" t="n">
        <v>16</v>
      </c>
      <c r="M308" s="45" t="n">
        <v>15.62</v>
      </c>
      <c r="N308" s="48" t="n">
        <f aca="false">K308*L308*M308</f>
        <v>249.92</v>
      </c>
      <c r="O308" s="29" t="n">
        <f aca="false">IFERROR(INDEX(Исходные!$B$18:$B$29,MATCH(H308,Исходные!$A$18:$A$29,0)),0)</f>
        <v>0.617</v>
      </c>
      <c r="P308" s="49" t="n">
        <f aca="false">N308*O308</f>
        <v>154.20064</v>
      </c>
      <c r="Q308" s="15" t="s">
        <v>686</v>
      </c>
      <c r="R308" s="50" t="s">
        <v>429</v>
      </c>
      <c r="S308" s="15"/>
      <c r="T308" s="15" t="s">
        <v>687</v>
      </c>
      <c r="U308" s="38" t="n">
        <v>0</v>
      </c>
      <c r="V308" s="47" t="s">
        <v>688</v>
      </c>
    </row>
    <row r="309" customFormat="false" ht="35.05" hidden="false" customHeight="false" outlineLevel="0" collapsed="false">
      <c r="A309" s="47" t="n">
        <v>301</v>
      </c>
      <c r="B309" s="15" t="s">
        <v>278</v>
      </c>
      <c r="C309" s="15" t="s">
        <v>681</v>
      </c>
      <c r="D309" s="15" t="s">
        <v>682</v>
      </c>
      <c r="E309" s="15" t="s">
        <v>683</v>
      </c>
      <c r="F309" s="47" t="s">
        <v>718</v>
      </c>
      <c r="G309" s="15" t="s">
        <v>722</v>
      </c>
      <c r="H309" s="40" t="n">
        <v>10</v>
      </c>
      <c r="I309" s="47" t="s">
        <v>282</v>
      </c>
      <c r="J309" s="47" t="s">
        <v>113</v>
      </c>
      <c r="K309" s="40" t="n">
        <v>16</v>
      </c>
      <c r="L309" s="40" t="n">
        <v>1</v>
      </c>
      <c r="M309" s="45" t="n">
        <v>0.4</v>
      </c>
      <c r="N309" s="48" t="n">
        <f aca="false">K309*L309*M309</f>
        <v>6.4</v>
      </c>
      <c r="O309" s="29" t="n">
        <f aca="false">IFERROR(INDEX(Исходные!$B$18:$B$29,MATCH(H309,Исходные!$A$18:$A$29,0)),0)</f>
        <v>0.617</v>
      </c>
      <c r="P309" s="49" t="n">
        <f aca="false">N309*O309</f>
        <v>3.9488</v>
      </c>
      <c r="Q309" s="15" t="s">
        <v>691</v>
      </c>
      <c r="R309" s="50" t="s">
        <v>436</v>
      </c>
      <c r="S309" s="15" t="s">
        <v>698</v>
      </c>
      <c r="T309" s="15" t="s">
        <v>687</v>
      </c>
      <c r="U309" s="38" t="n">
        <v>0</v>
      </c>
      <c r="V309" s="47" t="s">
        <v>688</v>
      </c>
    </row>
    <row r="310" customFormat="false" ht="23.85" hidden="false" customHeight="false" outlineLevel="0" collapsed="false">
      <c r="A310" s="47" t="n">
        <v>302</v>
      </c>
      <c r="B310" s="15" t="s">
        <v>278</v>
      </c>
      <c r="C310" s="15" t="s">
        <v>681</v>
      </c>
      <c r="D310" s="15" t="s">
        <v>682</v>
      </c>
      <c r="E310" s="15" t="s">
        <v>683</v>
      </c>
      <c r="F310" s="47" t="s">
        <v>716</v>
      </c>
      <c r="G310" s="15" t="s">
        <v>717</v>
      </c>
      <c r="H310" s="40" t="n">
        <v>10</v>
      </c>
      <c r="I310" s="47" t="s">
        <v>282</v>
      </c>
      <c r="J310" s="47" t="n">
        <v>200</v>
      </c>
      <c r="K310" s="40" t="n">
        <v>1</v>
      </c>
      <c r="L310" s="40" t="n">
        <v>12</v>
      </c>
      <c r="M310" s="45" t="n">
        <v>13.9</v>
      </c>
      <c r="N310" s="48" t="n">
        <f aca="false">K310*L310*M310</f>
        <v>166.8</v>
      </c>
      <c r="O310" s="29" t="n">
        <f aca="false">IFERROR(INDEX(Исходные!$B$18:$B$29,MATCH(H310,Исходные!$A$18:$A$29,0)),0)</f>
        <v>0.617</v>
      </c>
      <c r="P310" s="49" t="n">
        <f aca="false">N310*O310</f>
        <v>102.9156</v>
      </c>
      <c r="Q310" s="15" t="s">
        <v>686</v>
      </c>
      <c r="R310" s="50" t="s">
        <v>429</v>
      </c>
      <c r="S310" s="15"/>
      <c r="T310" s="15" t="s">
        <v>687</v>
      </c>
      <c r="U310" s="38" t="n">
        <v>0</v>
      </c>
      <c r="V310" s="47" t="s">
        <v>688</v>
      </c>
    </row>
    <row r="311" customFormat="false" ht="35.05" hidden="false" customHeight="false" outlineLevel="0" collapsed="false">
      <c r="A311" s="47" t="n">
        <v>303</v>
      </c>
      <c r="B311" s="15" t="s">
        <v>278</v>
      </c>
      <c r="C311" s="15" t="s">
        <v>681</v>
      </c>
      <c r="D311" s="15" t="s">
        <v>682</v>
      </c>
      <c r="E311" s="15" t="s">
        <v>683</v>
      </c>
      <c r="F311" s="47" t="s">
        <v>718</v>
      </c>
      <c r="G311" s="15" t="s">
        <v>723</v>
      </c>
      <c r="H311" s="40" t="n">
        <v>10</v>
      </c>
      <c r="I311" s="47" t="s">
        <v>282</v>
      </c>
      <c r="J311" s="47" t="s">
        <v>113</v>
      </c>
      <c r="K311" s="40" t="n">
        <v>12</v>
      </c>
      <c r="L311" s="40" t="n">
        <v>1</v>
      </c>
      <c r="M311" s="45" t="n">
        <v>0.4</v>
      </c>
      <c r="N311" s="48" t="n">
        <f aca="false">K311*L311*M311</f>
        <v>4.8</v>
      </c>
      <c r="O311" s="29" t="n">
        <f aca="false">IFERROR(INDEX(Исходные!$B$18:$B$29,MATCH(H311,Исходные!$A$18:$A$29,0)),0)</f>
        <v>0.617</v>
      </c>
      <c r="P311" s="49" t="n">
        <f aca="false">N311*O311</f>
        <v>2.9616</v>
      </c>
      <c r="Q311" s="15" t="s">
        <v>691</v>
      </c>
      <c r="R311" s="50" t="s">
        <v>436</v>
      </c>
      <c r="S311" s="15" t="s">
        <v>700</v>
      </c>
      <c r="T311" s="15" t="s">
        <v>687</v>
      </c>
      <c r="U311" s="38" t="n">
        <v>0</v>
      </c>
      <c r="V311" s="47" t="s">
        <v>688</v>
      </c>
    </row>
    <row r="312" customFormat="false" ht="23.85" hidden="false" customHeight="false" outlineLevel="0" collapsed="false">
      <c r="A312" s="47" t="n">
        <v>304</v>
      </c>
      <c r="B312" s="15" t="s">
        <v>278</v>
      </c>
      <c r="C312" s="15" t="s">
        <v>681</v>
      </c>
      <c r="D312" s="15" t="s">
        <v>682</v>
      </c>
      <c r="E312" s="15" t="s">
        <v>683</v>
      </c>
      <c r="F312" s="47" t="s">
        <v>716</v>
      </c>
      <c r="G312" s="15" t="s">
        <v>717</v>
      </c>
      <c r="H312" s="40" t="n">
        <v>10</v>
      </c>
      <c r="I312" s="47" t="s">
        <v>282</v>
      </c>
      <c r="J312" s="47" t="n">
        <v>200</v>
      </c>
      <c r="K312" s="40" t="n">
        <v>1</v>
      </c>
      <c r="L312" s="40" t="n">
        <v>1</v>
      </c>
      <c r="M312" s="45" t="n">
        <v>10.8</v>
      </c>
      <c r="N312" s="48" t="n">
        <f aca="false">K312*L312*M312</f>
        <v>10.8</v>
      </c>
      <c r="O312" s="29" t="n">
        <f aca="false">IFERROR(INDEX(Исходные!$B$18:$B$29,MATCH(H312,Исходные!$A$18:$A$29,0)),0)</f>
        <v>0.617</v>
      </c>
      <c r="P312" s="49" t="n">
        <f aca="false">N312*O312</f>
        <v>6.6636</v>
      </c>
      <c r="Q312" s="15" t="s">
        <v>686</v>
      </c>
      <c r="R312" s="50" t="s">
        <v>429</v>
      </c>
      <c r="S312" s="15"/>
      <c r="T312" s="15" t="s">
        <v>687</v>
      </c>
      <c r="U312" s="38" t="n">
        <v>0</v>
      </c>
      <c r="V312" s="47" t="s">
        <v>688</v>
      </c>
    </row>
    <row r="313" customFormat="false" ht="23.85" hidden="false" customHeight="false" outlineLevel="0" collapsed="false">
      <c r="A313" s="47" t="n">
        <v>305</v>
      </c>
      <c r="B313" s="15" t="s">
        <v>278</v>
      </c>
      <c r="C313" s="15" t="s">
        <v>681</v>
      </c>
      <c r="D313" s="15" t="s">
        <v>682</v>
      </c>
      <c r="E313" s="15" t="s">
        <v>683</v>
      </c>
      <c r="F313" s="47" t="s">
        <v>716</v>
      </c>
      <c r="G313" s="15" t="s">
        <v>717</v>
      </c>
      <c r="H313" s="40" t="n">
        <v>10</v>
      </c>
      <c r="I313" s="47" t="s">
        <v>282</v>
      </c>
      <c r="J313" s="47" t="n">
        <v>200</v>
      </c>
      <c r="K313" s="40" t="n">
        <v>1</v>
      </c>
      <c r="L313" s="40" t="n">
        <v>14</v>
      </c>
      <c r="M313" s="45" t="n">
        <v>8</v>
      </c>
      <c r="N313" s="48" t="n">
        <f aca="false">K313*L313*M313</f>
        <v>112</v>
      </c>
      <c r="O313" s="29" t="n">
        <f aca="false">IFERROR(INDEX(Исходные!$B$18:$B$29,MATCH(H313,Исходные!$A$18:$A$29,0)),0)</f>
        <v>0.617</v>
      </c>
      <c r="P313" s="49" t="n">
        <f aca="false">N313*O313</f>
        <v>69.104</v>
      </c>
      <c r="Q313" s="15" t="s">
        <v>686</v>
      </c>
      <c r="R313" s="50" t="s">
        <v>429</v>
      </c>
      <c r="S313" s="15"/>
      <c r="T313" s="15" t="s">
        <v>687</v>
      </c>
      <c r="U313" s="38" t="n">
        <v>0</v>
      </c>
      <c r="V313" s="47" t="s">
        <v>688</v>
      </c>
    </row>
    <row r="314" customFormat="false" ht="23.85" hidden="false" customHeight="false" outlineLevel="0" collapsed="false">
      <c r="A314" s="47" t="n">
        <v>306</v>
      </c>
      <c r="B314" s="15" t="s">
        <v>278</v>
      </c>
      <c r="C314" s="15" t="s">
        <v>681</v>
      </c>
      <c r="D314" s="15" t="s">
        <v>682</v>
      </c>
      <c r="E314" s="15" t="s">
        <v>683</v>
      </c>
      <c r="F314" s="47" t="s">
        <v>716</v>
      </c>
      <c r="G314" s="15" t="s">
        <v>717</v>
      </c>
      <c r="H314" s="40" t="n">
        <v>10</v>
      </c>
      <c r="I314" s="47" t="s">
        <v>282</v>
      </c>
      <c r="J314" s="47" t="n">
        <v>200</v>
      </c>
      <c r="K314" s="40" t="n">
        <v>1</v>
      </c>
      <c r="L314" s="40" t="n">
        <v>9</v>
      </c>
      <c r="M314" s="45" t="n">
        <v>7.95</v>
      </c>
      <c r="N314" s="48" t="n">
        <f aca="false">K314*L314*M314</f>
        <v>71.55</v>
      </c>
      <c r="O314" s="29" t="n">
        <f aca="false">IFERROR(INDEX(Исходные!$B$18:$B$29,MATCH(H314,Исходные!$A$18:$A$29,0)),0)</f>
        <v>0.617</v>
      </c>
      <c r="P314" s="49" t="n">
        <f aca="false">N314*O314</f>
        <v>44.14635</v>
      </c>
      <c r="Q314" s="15" t="s">
        <v>686</v>
      </c>
      <c r="R314" s="50" t="s">
        <v>429</v>
      </c>
      <c r="S314" s="15"/>
      <c r="T314" s="15" t="s">
        <v>687</v>
      </c>
      <c r="U314" s="38" t="n">
        <v>0</v>
      </c>
      <c r="V314" s="47" t="s">
        <v>688</v>
      </c>
    </row>
    <row r="315" customFormat="false" ht="23.85" hidden="false" customHeight="false" outlineLevel="0" collapsed="false">
      <c r="A315" s="47" t="n">
        <v>307</v>
      </c>
      <c r="B315" s="15" t="s">
        <v>278</v>
      </c>
      <c r="C315" s="15" t="s">
        <v>681</v>
      </c>
      <c r="D315" s="15" t="s">
        <v>682</v>
      </c>
      <c r="E315" s="15" t="s">
        <v>683</v>
      </c>
      <c r="F315" s="47" t="s">
        <v>716</v>
      </c>
      <c r="G315" s="15" t="s">
        <v>717</v>
      </c>
      <c r="H315" s="40" t="n">
        <v>10</v>
      </c>
      <c r="I315" s="47" t="s">
        <v>282</v>
      </c>
      <c r="J315" s="47" t="n">
        <v>200</v>
      </c>
      <c r="K315" s="40" t="n">
        <v>1</v>
      </c>
      <c r="L315" s="40" t="n">
        <v>13</v>
      </c>
      <c r="M315" s="45" t="n">
        <v>6.9</v>
      </c>
      <c r="N315" s="48" t="n">
        <f aca="false">K315*L315*M315</f>
        <v>89.7</v>
      </c>
      <c r="O315" s="29" t="n">
        <f aca="false">IFERROR(INDEX(Исходные!$B$18:$B$29,MATCH(H315,Исходные!$A$18:$A$29,0)),0)</f>
        <v>0.617</v>
      </c>
      <c r="P315" s="49" t="n">
        <f aca="false">N315*O315</f>
        <v>55.3449</v>
      </c>
      <c r="Q315" s="15" t="s">
        <v>686</v>
      </c>
      <c r="R315" s="50" t="s">
        <v>429</v>
      </c>
      <c r="S315" s="15"/>
      <c r="T315" s="15" t="s">
        <v>687</v>
      </c>
      <c r="U315" s="38" t="n">
        <v>0</v>
      </c>
      <c r="V315" s="47" t="s">
        <v>688</v>
      </c>
    </row>
    <row r="316" customFormat="false" ht="23.85" hidden="false" customHeight="false" outlineLevel="0" collapsed="false">
      <c r="A316" s="47" t="n">
        <v>308</v>
      </c>
      <c r="B316" s="15" t="s">
        <v>278</v>
      </c>
      <c r="C316" s="15" t="s">
        <v>681</v>
      </c>
      <c r="D316" s="15" t="s">
        <v>682</v>
      </c>
      <c r="E316" s="15" t="s">
        <v>683</v>
      </c>
      <c r="F316" s="47" t="s">
        <v>716</v>
      </c>
      <c r="G316" s="15" t="s">
        <v>717</v>
      </c>
      <c r="H316" s="40" t="n">
        <v>10</v>
      </c>
      <c r="I316" s="47" t="s">
        <v>282</v>
      </c>
      <c r="J316" s="47" t="n">
        <v>200</v>
      </c>
      <c r="K316" s="40" t="n">
        <v>1</v>
      </c>
      <c r="L316" s="40" t="n">
        <v>9</v>
      </c>
      <c r="M316" s="45" t="n">
        <v>3.78</v>
      </c>
      <c r="N316" s="48" t="n">
        <f aca="false">K316*L316*M316</f>
        <v>34.02</v>
      </c>
      <c r="O316" s="29" t="n">
        <f aca="false">IFERROR(INDEX(Исходные!$B$18:$B$29,MATCH(H316,Исходные!$A$18:$A$29,0)),0)</f>
        <v>0.617</v>
      </c>
      <c r="P316" s="49" t="n">
        <f aca="false">N316*O316</f>
        <v>20.99034</v>
      </c>
      <c r="Q316" s="15" t="s">
        <v>686</v>
      </c>
      <c r="R316" s="50" t="s">
        <v>429</v>
      </c>
      <c r="S316" s="15"/>
      <c r="T316" s="15" t="s">
        <v>687</v>
      </c>
      <c r="U316" s="38" t="n">
        <v>0</v>
      </c>
      <c r="V316" s="47" t="s">
        <v>688</v>
      </c>
    </row>
    <row r="317" customFormat="false" ht="23.85" hidden="false" customHeight="false" outlineLevel="0" collapsed="false">
      <c r="A317" s="47" t="n">
        <v>309</v>
      </c>
      <c r="B317" s="15" t="s">
        <v>278</v>
      </c>
      <c r="C317" s="15" t="s">
        <v>681</v>
      </c>
      <c r="D317" s="15" t="s">
        <v>682</v>
      </c>
      <c r="E317" s="15" t="s">
        <v>683</v>
      </c>
      <c r="F317" s="47" t="s">
        <v>724</v>
      </c>
      <c r="G317" s="15" t="s">
        <v>725</v>
      </c>
      <c r="H317" s="40" t="n">
        <v>10</v>
      </c>
      <c r="I317" s="47" t="s">
        <v>282</v>
      </c>
      <c r="J317" s="47" t="n">
        <v>200</v>
      </c>
      <c r="K317" s="40" t="n">
        <v>1</v>
      </c>
      <c r="L317" s="40" t="n">
        <v>40</v>
      </c>
      <c r="M317" s="45" t="n">
        <v>22.35</v>
      </c>
      <c r="N317" s="48" t="n">
        <f aca="false">K317*L317*M317</f>
        <v>894</v>
      </c>
      <c r="O317" s="29" t="n">
        <f aca="false">IFERROR(INDEX(Исходные!$B$18:$B$29,MATCH(H317,Исходные!$A$18:$A$29,0)),0)</f>
        <v>0.617</v>
      </c>
      <c r="P317" s="49" t="n">
        <f aca="false">N317*O317</f>
        <v>551.598</v>
      </c>
      <c r="Q317" s="15" t="s">
        <v>686</v>
      </c>
      <c r="R317" s="50" t="s">
        <v>429</v>
      </c>
      <c r="S317" s="15"/>
      <c r="T317" s="15" t="s">
        <v>687</v>
      </c>
      <c r="U317" s="38" t="n">
        <v>0</v>
      </c>
      <c r="V317" s="47" t="s">
        <v>688</v>
      </c>
    </row>
    <row r="318" customFormat="false" ht="35.05" hidden="false" customHeight="false" outlineLevel="0" collapsed="false">
      <c r="A318" s="47" t="n">
        <v>310</v>
      </c>
      <c r="B318" s="15" t="s">
        <v>278</v>
      </c>
      <c r="C318" s="15" t="s">
        <v>681</v>
      </c>
      <c r="D318" s="15" t="s">
        <v>682</v>
      </c>
      <c r="E318" s="15" t="s">
        <v>683</v>
      </c>
      <c r="F318" s="47" t="s">
        <v>726</v>
      </c>
      <c r="G318" s="15" t="s">
        <v>727</v>
      </c>
      <c r="H318" s="40" t="n">
        <v>10</v>
      </c>
      <c r="I318" s="47" t="s">
        <v>282</v>
      </c>
      <c r="J318" s="47" t="s">
        <v>113</v>
      </c>
      <c r="K318" s="40" t="n">
        <v>40</v>
      </c>
      <c r="L318" s="40" t="n">
        <v>1</v>
      </c>
      <c r="M318" s="45" t="n">
        <v>0.4</v>
      </c>
      <c r="N318" s="48" t="n">
        <f aca="false">K318*L318*M318</f>
        <v>16</v>
      </c>
      <c r="O318" s="29" t="n">
        <f aca="false">IFERROR(INDEX(Исходные!$B$18:$B$29,MATCH(H318,Исходные!$A$18:$A$29,0)),0)</f>
        <v>0.617</v>
      </c>
      <c r="P318" s="49" t="n">
        <f aca="false">N318*O318</f>
        <v>9.872</v>
      </c>
      <c r="Q318" s="15" t="s">
        <v>691</v>
      </c>
      <c r="R318" s="50" t="s">
        <v>436</v>
      </c>
      <c r="S318" s="15" t="s">
        <v>705</v>
      </c>
      <c r="T318" s="15" t="s">
        <v>687</v>
      </c>
      <c r="U318" s="38" t="n">
        <v>0</v>
      </c>
      <c r="V318" s="47" t="s">
        <v>688</v>
      </c>
    </row>
    <row r="319" customFormat="false" ht="23.85" hidden="false" customHeight="false" outlineLevel="0" collapsed="false">
      <c r="A319" s="47" t="n">
        <v>311</v>
      </c>
      <c r="B319" s="15" t="s">
        <v>278</v>
      </c>
      <c r="C319" s="15" t="s">
        <v>681</v>
      </c>
      <c r="D319" s="15" t="s">
        <v>682</v>
      </c>
      <c r="E319" s="15" t="s">
        <v>683</v>
      </c>
      <c r="F319" s="47" t="s">
        <v>724</v>
      </c>
      <c r="G319" s="15" t="s">
        <v>725</v>
      </c>
      <c r="H319" s="40" t="n">
        <v>10</v>
      </c>
      <c r="I319" s="47" t="s">
        <v>282</v>
      </c>
      <c r="J319" s="47" t="n">
        <v>200</v>
      </c>
      <c r="K319" s="40" t="n">
        <v>1</v>
      </c>
      <c r="L319" s="40" t="n">
        <v>39</v>
      </c>
      <c r="M319" s="45" t="n">
        <v>20.62</v>
      </c>
      <c r="N319" s="48" t="n">
        <f aca="false">K319*L319*M319</f>
        <v>804.18</v>
      </c>
      <c r="O319" s="29" t="n">
        <f aca="false">IFERROR(INDEX(Исходные!$B$18:$B$29,MATCH(H319,Исходные!$A$18:$A$29,0)),0)</f>
        <v>0.617</v>
      </c>
      <c r="P319" s="49" t="n">
        <f aca="false">N319*O319</f>
        <v>496.17906</v>
      </c>
      <c r="Q319" s="15" t="s">
        <v>686</v>
      </c>
      <c r="R319" s="50" t="s">
        <v>429</v>
      </c>
      <c r="S319" s="15"/>
      <c r="T319" s="15" t="s">
        <v>687</v>
      </c>
      <c r="U319" s="38" t="n">
        <v>0</v>
      </c>
      <c r="V319" s="47" t="s">
        <v>688</v>
      </c>
    </row>
    <row r="320" customFormat="false" ht="35.05" hidden="false" customHeight="false" outlineLevel="0" collapsed="false">
      <c r="A320" s="47" t="n">
        <v>312</v>
      </c>
      <c r="B320" s="15" t="s">
        <v>278</v>
      </c>
      <c r="C320" s="15" t="s">
        <v>681</v>
      </c>
      <c r="D320" s="15" t="s">
        <v>682</v>
      </c>
      <c r="E320" s="15" t="s">
        <v>683</v>
      </c>
      <c r="F320" s="47" t="s">
        <v>726</v>
      </c>
      <c r="G320" s="15" t="s">
        <v>728</v>
      </c>
      <c r="H320" s="40" t="n">
        <v>10</v>
      </c>
      <c r="I320" s="47" t="s">
        <v>282</v>
      </c>
      <c r="J320" s="47" t="s">
        <v>113</v>
      </c>
      <c r="K320" s="40" t="n">
        <v>39</v>
      </c>
      <c r="L320" s="40" t="n">
        <v>1</v>
      </c>
      <c r="M320" s="45" t="n">
        <v>0.4</v>
      </c>
      <c r="N320" s="48" t="n">
        <f aca="false">K320*L320*M320</f>
        <v>15.6</v>
      </c>
      <c r="O320" s="29" t="n">
        <f aca="false">IFERROR(INDEX(Исходные!$B$18:$B$29,MATCH(H320,Исходные!$A$18:$A$29,0)),0)</f>
        <v>0.617</v>
      </c>
      <c r="P320" s="49" t="n">
        <f aca="false">N320*O320</f>
        <v>9.6252</v>
      </c>
      <c r="Q320" s="15" t="s">
        <v>691</v>
      </c>
      <c r="R320" s="50" t="s">
        <v>436</v>
      </c>
      <c r="S320" s="15" t="s">
        <v>707</v>
      </c>
      <c r="T320" s="15" t="s">
        <v>687</v>
      </c>
      <c r="U320" s="38" t="n">
        <v>0</v>
      </c>
      <c r="V320" s="47" t="s">
        <v>688</v>
      </c>
    </row>
    <row r="321" customFormat="false" ht="23.85" hidden="false" customHeight="false" outlineLevel="0" collapsed="false">
      <c r="A321" s="47" t="n">
        <v>313</v>
      </c>
      <c r="B321" s="15" t="s">
        <v>278</v>
      </c>
      <c r="C321" s="15" t="s">
        <v>681</v>
      </c>
      <c r="D321" s="15" t="s">
        <v>682</v>
      </c>
      <c r="E321" s="15" t="s">
        <v>683</v>
      </c>
      <c r="F321" s="47" t="s">
        <v>724</v>
      </c>
      <c r="G321" s="15" t="s">
        <v>725</v>
      </c>
      <c r="H321" s="40" t="n">
        <v>10</v>
      </c>
      <c r="I321" s="47" t="s">
        <v>282</v>
      </c>
      <c r="J321" s="47" t="n">
        <v>200</v>
      </c>
      <c r="K321" s="40" t="n">
        <v>1</v>
      </c>
      <c r="L321" s="40" t="n">
        <v>26</v>
      </c>
      <c r="M321" s="45" t="n">
        <v>20.48</v>
      </c>
      <c r="N321" s="48" t="n">
        <f aca="false">K321*L321*M321</f>
        <v>532.48</v>
      </c>
      <c r="O321" s="29" t="n">
        <f aca="false">IFERROR(INDEX(Исходные!$B$18:$B$29,MATCH(H321,Исходные!$A$18:$A$29,0)),0)</f>
        <v>0.617</v>
      </c>
      <c r="P321" s="49" t="n">
        <f aca="false">N321*O321</f>
        <v>328.54016</v>
      </c>
      <c r="Q321" s="15" t="s">
        <v>686</v>
      </c>
      <c r="R321" s="50" t="s">
        <v>429</v>
      </c>
      <c r="S321" s="15"/>
      <c r="T321" s="15" t="s">
        <v>687</v>
      </c>
      <c r="U321" s="38" t="n">
        <v>0</v>
      </c>
      <c r="V321" s="47" t="s">
        <v>688</v>
      </c>
    </row>
    <row r="322" customFormat="false" ht="35.05" hidden="false" customHeight="false" outlineLevel="0" collapsed="false">
      <c r="A322" s="47" t="n">
        <v>314</v>
      </c>
      <c r="B322" s="15" t="s">
        <v>278</v>
      </c>
      <c r="C322" s="15" t="s">
        <v>681</v>
      </c>
      <c r="D322" s="15" t="s">
        <v>682</v>
      </c>
      <c r="E322" s="15" t="s">
        <v>683</v>
      </c>
      <c r="F322" s="47" t="s">
        <v>726</v>
      </c>
      <c r="G322" s="15" t="s">
        <v>729</v>
      </c>
      <c r="H322" s="40" t="n">
        <v>10</v>
      </c>
      <c r="I322" s="47" t="s">
        <v>282</v>
      </c>
      <c r="J322" s="47" t="s">
        <v>113</v>
      </c>
      <c r="K322" s="40" t="n">
        <v>26</v>
      </c>
      <c r="L322" s="40" t="n">
        <v>1</v>
      </c>
      <c r="M322" s="45" t="n">
        <v>0.4</v>
      </c>
      <c r="N322" s="48" t="n">
        <f aca="false">K322*L322*M322</f>
        <v>10.4</v>
      </c>
      <c r="O322" s="29" t="n">
        <f aca="false">IFERROR(INDEX(Исходные!$B$18:$B$29,MATCH(H322,Исходные!$A$18:$A$29,0)),0)</f>
        <v>0.617</v>
      </c>
      <c r="P322" s="49" t="n">
        <f aca="false">N322*O322</f>
        <v>6.4168</v>
      </c>
      <c r="Q322" s="15" t="s">
        <v>691</v>
      </c>
      <c r="R322" s="50" t="s">
        <v>436</v>
      </c>
      <c r="S322" s="15" t="s">
        <v>709</v>
      </c>
      <c r="T322" s="15" t="s">
        <v>687</v>
      </c>
      <c r="U322" s="38" t="n">
        <v>0</v>
      </c>
      <c r="V322" s="47" t="s">
        <v>688</v>
      </c>
    </row>
    <row r="323" customFormat="false" ht="23.85" hidden="false" customHeight="false" outlineLevel="0" collapsed="false">
      <c r="A323" s="47" t="n">
        <v>315</v>
      </c>
      <c r="B323" s="15" t="s">
        <v>278</v>
      </c>
      <c r="C323" s="15" t="s">
        <v>681</v>
      </c>
      <c r="D323" s="15" t="s">
        <v>682</v>
      </c>
      <c r="E323" s="15" t="s">
        <v>683</v>
      </c>
      <c r="F323" s="47" t="s">
        <v>724</v>
      </c>
      <c r="G323" s="15" t="s">
        <v>725</v>
      </c>
      <c r="H323" s="40" t="n">
        <v>10</v>
      </c>
      <c r="I323" s="47" t="s">
        <v>282</v>
      </c>
      <c r="J323" s="47" t="n">
        <v>200</v>
      </c>
      <c r="K323" s="40" t="n">
        <v>1</v>
      </c>
      <c r="L323" s="40" t="n">
        <v>2</v>
      </c>
      <c r="M323" s="45" t="n">
        <v>19.01</v>
      </c>
      <c r="N323" s="48" t="n">
        <f aca="false">K323*L323*M323</f>
        <v>38.02</v>
      </c>
      <c r="O323" s="29" t="n">
        <f aca="false">IFERROR(INDEX(Исходные!$B$18:$B$29,MATCH(H323,Исходные!$A$18:$A$29,0)),0)</f>
        <v>0.617</v>
      </c>
      <c r="P323" s="49" t="n">
        <f aca="false">N323*O323</f>
        <v>23.45834</v>
      </c>
      <c r="Q323" s="15" t="s">
        <v>686</v>
      </c>
      <c r="R323" s="50" t="s">
        <v>429</v>
      </c>
      <c r="S323" s="15"/>
      <c r="T323" s="15" t="s">
        <v>687</v>
      </c>
      <c r="U323" s="38" t="n">
        <v>0</v>
      </c>
      <c r="V323" s="47" t="s">
        <v>688</v>
      </c>
    </row>
    <row r="324" customFormat="false" ht="35.05" hidden="false" customHeight="false" outlineLevel="0" collapsed="false">
      <c r="A324" s="47" t="n">
        <v>316</v>
      </c>
      <c r="B324" s="15" t="s">
        <v>278</v>
      </c>
      <c r="C324" s="15" t="s">
        <v>681</v>
      </c>
      <c r="D324" s="15" t="s">
        <v>682</v>
      </c>
      <c r="E324" s="15" t="s">
        <v>683</v>
      </c>
      <c r="F324" s="47" t="s">
        <v>726</v>
      </c>
      <c r="G324" s="15" t="s">
        <v>730</v>
      </c>
      <c r="H324" s="40" t="n">
        <v>10</v>
      </c>
      <c r="I324" s="47" t="s">
        <v>282</v>
      </c>
      <c r="J324" s="47" t="s">
        <v>113</v>
      </c>
      <c r="K324" s="40" t="n">
        <v>2</v>
      </c>
      <c r="L324" s="40" t="n">
        <v>1</v>
      </c>
      <c r="M324" s="45" t="n">
        <v>0.4</v>
      </c>
      <c r="N324" s="48" t="n">
        <f aca="false">K324*L324*M324</f>
        <v>0.8</v>
      </c>
      <c r="O324" s="29" t="n">
        <f aca="false">IFERROR(INDEX(Исходные!$B$18:$B$29,MATCH(H324,Исходные!$A$18:$A$29,0)),0)</f>
        <v>0.617</v>
      </c>
      <c r="P324" s="49" t="n">
        <f aca="false">N324*O324</f>
        <v>0.4936</v>
      </c>
      <c r="Q324" s="15" t="s">
        <v>691</v>
      </c>
      <c r="R324" s="50" t="s">
        <v>436</v>
      </c>
      <c r="S324" s="15" t="s">
        <v>711</v>
      </c>
      <c r="T324" s="15" t="s">
        <v>687</v>
      </c>
      <c r="U324" s="38" t="n">
        <v>0</v>
      </c>
      <c r="V324" s="47" t="s">
        <v>688</v>
      </c>
    </row>
    <row r="325" customFormat="false" ht="23.85" hidden="false" customHeight="false" outlineLevel="0" collapsed="false">
      <c r="A325" s="47" t="n">
        <v>317</v>
      </c>
      <c r="B325" s="15" t="s">
        <v>278</v>
      </c>
      <c r="C325" s="15" t="s">
        <v>681</v>
      </c>
      <c r="D325" s="15" t="s">
        <v>682</v>
      </c>
      <c r="E325" s="15" t="s">
        <v>683</v>
      </c>
      <c r="F325" s="47" t="s">
        <v>724</v>
      </c>
      <c r="G325" s="15" t="s">
        <v>725</v>
      </c>
      <c r="H325" s="40" t="n">
        <v>10</v>
      </c>
      <c r="I325" s="47" t="s">
        <v>282</v>
      </c>
      <c r="J325" s="47" t="n">
        <v>200</v>
      </c>
      <c r="K325" s="40" t="n">
        <v>1</v>
      </c>
      <c r="L325" s="40" t="n">
        <v>5</v>
      </c>
      <c r="M325" s="45" t="n">
        <v>17.28</v>
      </c>
      <c r="N325" s="48" t="n">
        <f aca="false">K325*L325*M325</f>
        <v>86.4</v>
      </c>
      <c r="O325" s="29" t="n">
        <f aca="false">IFERROR(INDEX(Исходные!$B$18:$B$29,MATCH(H325,Исходные!$A$18:$A$29,0)),0)</f>
        <v>0.617</v>
      </c>
      <c r="P325" s="49" t="n">
        <f aca="false">N325*O325</f>
        <v>53.3088</v>
      </c>
      <c r="Q325" s="15" t="s">
        <v>686</v>
      </c>
      <c r="R325" s="50" t="s">
        <v>429</v>
      </c>
      <c r="S325" s="15"/>
      <c r="T325" s="15" t="s">
        <v>687</v>
      </c>
      <c r="U325" s="38" t="n">
        <v>0</v>
      </c>
      <c r="V325" s="47" t="s">
        <v>688</v>
      </c>
    </row>
    <row r="326" customFormat="false" ht="35.05" hidden="false" customHeight="false" outlineLevel="0" collapsed="false">
      <c r="A326" s="47" t="n">
        <v>318</v>
      </c>
      <c r="B326" s="15" t="s">
        <v>278</v>
      </c>
      <c r="C326" s="15" t="s">
        <v>681</v>
      </c>
      <c r="D326" s="15" t="s">
        <v>682</v>
      </c>
      <c r="E326" s="15" t="s">
        <v>683</v>
      </c>
      <c r="F326" s="47" t="s">
        <v>726</v>
      </c>
      <c r="G326" s="15" t="s">
        <v>731</v>
      </c>
      <c r="H326" s="40" t="n">
        <v>10</v>
      </c>
      <c r="I326" s="47" t="s">
        <v>282</v>
      </c>
      <c r="J326" s="47" t="s">
        <v>113</v>
      </c>
      <c r="K326" s="40" t="n">
        <v>5</v>
      </c>
      <c r="L326" s="40" t="n">
        <v>1</v>
      </c>
      <c r="M326" s="45" t="n">
        <v>0.4</v>
      </c>
      <c r="N326" s="48" t="n">
        <f aca="false">K326*L326*M326</f>
        <v>2</v>
      </c>
      <c r="O326" s="29" t="n">
        <f aca="false">IFERROR(INDEX(Исходные!$B$18:$B$29,MATCH(H326,Исходные!$A$18:$A$29,0)),0)</f>
        <v>0.617</v>
      </c>
      <c r="P326" s="49" t="n">
        <f aca="false">N326*O326</f>
        <v>1.234</v>
      </c>
      <c r="Q326" s="15" t="s">
        <v>691</v>
      </c>
      <c r="R326" s="50" t="s">
        <v>436</v>
      </c>
      <c r="S326" s="15" t="s">
        <v>713</v>
      </c>
      <c r="T326" s="15" t="s">
        <v>687</v>
      </c>
      <c r="U326" s="38" t="n">
        <v>0</v>
      </c>
      <c r="V326" s="47" t="s">
        <v>688</v>
      </c>
    </row>
    <row r="327" customFormat="false" ht="23.85" hidden="false" customHeight="false" outlineLevel="0" collapsed="false">
      <c r="A327" s="47" t="n">
        <v>319</v>
      </c>
      <c r="B327" s="15" t="s">
        <v>278</v>
      </c>
      <c r="C327" s="15" t="s">
        <v>681</v>
      </c>
      <c r="D327" s="15" t="s">
        <v>682</v>
      </c>
      <c r="E327" s="15" t="s">
        <v>683</v>
      </c>
      <c r="F327" s="47" t="s">
        <v>724</v>
      </c>
      <c r="G327" s="15" t="s">
        <v>725</v>
      </c>
      <c r="H327" s="40" t="n">
        <v>10</v>
      </c>
      <c r="I327" s="47" t="s">
        <v>282</v>
      </c>
      <c r="J327" s="47" t="n">
        <v>200</v>
      </c>
      <c r="K327" s="40" t="n">
        <v>1</v>
      </c>
      <c r="L327" s="40" t="n">
        <v>17</v>
      </c>
      <c r="M327" s="45" t="n">
        <v>15.6</v>
      </c>
      <c r="N327" s="48" t="n">
        <f aca="false">K327*L327*M327</f>
        <v>265.2</v>
      </c>
      <c r="O327" s="29" t="n">
        <f aca="false">IFERROR(INDEX(Исходные!$B$18:$B$29,MATCH(H327,Исходные!$A$18:$A$29,0)),0)</f>
        <v>0.617</v>
      </c>
      <c r="P327" s="49" t="n">
        <f aca="false">N327*O327</f>
        <v>163.6284</v>
      </c>
      <c r="Q327" s="15" t="s">
        <v>686</v>
      </c>
      <c r="R327" s="50" t="s">
        <v>429</v>
      </c>
      <c r="S327" s="15"/>
      <c r="T327" s="15" t="s">
        <v>687</v>
      </c>
      <c r="U327" s="38" t="n">
        <v>0</v>
      </c>
      <c r="V327" s="47" t="s">
        <v>688</v>
      </c>
    </row>
    <row r="328" customFormat="false" ht="35.05" hidden="false" customHeight="false" outlineLevel="0" collapsed="false">
      <c r="A328" s="47" t="n">
        <v>320</v>
      </c>
      <c r="B328" s="15" t="s">
        <v>278</v>
      </c>
      <c r="C328" s="15" t="s">
        <v>681</v>
      </c>
      <c r="D328" s="15" t="s">
        <v>682</v>
      </c>
      <c r="E328" s="15" t="s">
        <v>683</v>
      </c>
      <c r="F328" s="47" t="s">
        <v>726</v>
      </c>
      <c r="G328" s="15" t="s">
        <v>732</v>
      </c>
      <c r="H328" s="40" t="n">
        <v>10</v>
      </c>
      <c r="I328" s="47" t="s">
        <v>282</v>
      </c>
      <c r="J328" s="47" t="s">
        <v>113</v>
      </c>
      <c r="K328" s="40" t="n">
        <v>17</v>
      </c>
      <c r="L328" s="40" t="n">
        <v>1</v>
      </c>
      <c r="M328" s="45" t="n">
        <v>0.4</v>
      </c>
      <c r="N328" s="48" t="n">
        <f aca="false">K328*L328*M328</f>
        <v>6.8</v>
      </c>
      <c r="O328" s="29" t="n">
        <f aca="false">IFERROR(INDEX(Исходные!$B$18:$B$29,MATCH(H328,Исходные!$A$18:$A$29,0)),0)</f>
        <v>0.617</v>
      </c>
      <c r="P328" s="49" t="n">
        <f aca="false">N328*O328</f>
        <v>4.1956</v>
      </c>
      <c r="Q328" s="15" t="s">
        <v>691</v>
      </c>
      <c r="R328" s="50" t="s">
        <v>436</v>
      </c>
      <c r="S328" s="15" t="s">
        <v>715</v>
      </c>
      <c r="T328" s="15" t="s">
        <v>687</v>
      </c>
      <c r="U328" s="38" t="n">
        <v>0</v>
      </c>
      <c r="V328" s="47" t="s">
        <v>688</v>
      </c>
    </row>
    <row r="329" customFormat="false" ht="23.85" hidden="false" customHeight="false" outlineLevel="0" collapsed="false">
      <c r="A329" s="47" t="n">
        <v>321</v>
      </c>
      <c r="B329" s="15" t="s">
        <v>278</v>
      </c>
      <c r="C329" s="15" t="s">
        <v>681</v>
      </c>
      <c r="D329" s="15" t="s">
        <v>682</v>
      </c>
      <c r="E329" s="15" t="s">
        <v>683</v>
      </c>
      <c r="F329" s="47" t="s">
        <v>724</v>
      </c>
      <c r="G329" s="15" t="s">
        <v>725</v>
      </c>
      <c r="H329" s="40" t="n">
        <v>10</v>
      </c>
      <c r="I329" s="47" t="s">
        <v>282</v>
      </c>
      <c r="J329" s="47" t="n">
        <v>200</v>
      </c>
      <c r="K329" s="40" t="n">
        <v>1</v>
      </c>
      <c r="L329" s="40" t="n">
        <v>18</v>
      </c>
      <c r="M329" s="45" t="n">
        <v>4.15</v>
      </c>
      <c r="N329" s="48" t="n">
        <f aca="false">K329*L329*M329</f>
        <v>74.7</v>
      </c>
      <c r="O329" s="29" t="n">
        <f aca="false">IFERROR(INDEX(Исходные!$B$18:$B$29,MATCH(H329,Исходные!$A$18:$A$29,0)),0)</f>
        <v>0.617</v>
      </c>
      <c r="P329" s="49" t="n">
        <f aca="false">N329*O329</f>
        <v>46.0899</v>
      </c>
      <c r="Q329" s="15" t="s">
        <v>686</v>
      </c>
      <c r="R329" s="50" t="s">
        <v>429</v>
      </c>
      <c r="S329" s="15"/>
      <c r="T329" s="15" t="s">
        <v>687</v>
      </c>
      <c r="U329" s="38" t="n">
        <v>0</v>
      </c>
      <c r="V329" s="47" t="s">
        <v>688</v>
      </c>
    </row>
    <row r="330" customFormat="false" ht="23.85" hidden="false" customHeight="false" outlineLevel="0" collapsed="false">
      <c r="A330" s="47" t="n">
        <v>322</v>
      </c>
      <c r="B330" s="15" t="s">
        <v>278</v>
      </c>
      <c r="C330" s="15" t="s">
        <v>681</v>
      </c>
      <c r="D330" s="15" t="s">
        <v>682</v>
      </c>
      <c r="E330" s="15" t="s">
        <v>683</v>
      </c>
      <c r="F330" s="47" t="s">
        <v>724</v>
      </c>
      <c r="G330" s="15" t="s">
        <v>725</v>
      </c>
      <c r="H330" s="40" t="n">
        <v>10</v>
      </c>
      <c r="I330" s="47" t="s">
        <v>282</v>
      </c>
      <c r="J330" s="47" t="n">
        <v>200</v>
      </c>
      <c r="K330" s="40" t="n">
        <v>1</v>
      </c>
      <c r="L330" s="40" t="n">
        <v>24</v>
      </c>
      <c r="M330" s="45" t="n">
        <v>0.62</v>
      </c>
      <c r="N330" s="48" t="n">
        <f aca="false">K330*L330*M330</f>
        <v>14.88</v>
      </c>
      <c r="O330" s="29" t="n">
        <f aca="false">IFERROR(INDEX(Исходные!$B$18:$B$29,MATCH(H330,Исходные!$A$18:$A$29,0)),0)</f>
        <v>0.617</v>
      </c>
      <c r="P330" s="49" t="n">
        <f aca="false">N330*O330</f>
        <v>9.18096</v>
      </c>
      <c r="Q330" s="15" t="s">
        <v>686</v>
      </c>
      <c r="R330" s="50" t="s">
        <v>429</v>
      </c>
      <c r="S330" s="15"/>
      <c r="T330" s="15" t="s">
        <v>687</v>
      </c>
      <c r="U330" s="38" t="n">
        <v>0</v>
      </c>
      <c r="V330" s="47" t="s">
        <v>688</v>
      </c>
    </row>
    <row r="331" customFormat="false" ht="23.85" hidden="false" customHeight="false" outlineLevel="0" collapsed="false">
      <c r="A331" s="47" t="n">
        <v>323</v>
      </c>
      <c r="B331" s="15" t="s">
        <v>278</v>
      </c>
      <c r="C331" s="15" t="s">
        <v>681</v>
      </c>
      <c r="D331" s="15" t="s">
        <v>733</v>
      </c>
      <c r="E331" s="15" t="s">
        <v>683</v>
      </c>
      <c r="F331" s="47" t="s">
        <v>734</v>
      </c>
      <c r="G331" s="15" t="s">
        <v>735</v>
      </c>
      <c r="H331" s="40" t="n">
        <v>10</v>
      </c>
      <c r="I331" s="47" t="s">
        <v>282</v>
      </c>
      <c r="J331" s="47" t="n">
        <v>200</v>
      </c>
      <c r="K331" s="40" t="n">
        <v>1</v>
      </c>
      <c r="L331" s="40" t="n">
        <v>22</v>
      </c>
      <c r="M331" s="45" t="n">
        <v>5.05</v>
      </c>
      <c r="N331" s="48" t="n">
        <f aca="false">K331*L331*M331</f>
        <v>111.1</v>
      </c>
      <c r="O331" s="29" t="n">
        <f aca="false">IFERROR(INDEX(Исходные!$B$18:$B$29,MATCH(H331,Исходные!$A$18:$A$29,0)),0)</f>
        <v>0.617</v>
      </c>
      <c r="P331" s="49" t="n">
        <f aca="false">N331*O331</f>
        <v>68.5487</v>
      </c>
      <c r="Q331" s="15" t="s">
        <v>736</v>
      </c>
      <c r="R331" s="50" t="s">
        <v>284</v>
      </c>
      <c r="S331" s="15"/>
      <c r="T331" s="15" t="s">
        <v>687</v>
      </c>
      <c r="U331" s="38" t="n">
        <v>0</v>
      </c>
      <c r="V331" s="47" t="s">
        <v>737</v>
      </c>
    </row>
    <row r="332" customFormat="false" ht="23.85" hidden="false" customHeight="false" outlineLevel="0" collapsed="false">
      <c r="A332" s="47" t="n">
        <v>324</v>
      </c>
      <c r="B332" s="15" t="s">
        <v>278</v>
      </c>
      <c r="C332" s="15" t="s">
        <v>681</v>
      </c>
      <c r="D332" s="15" t="s">
        <v>733</v>
      </c>
      <c r="E332" s="15" t="s">
        <v>683</v>
      </c>
      <c r="F332" s="47" t="s">
        <v>734</v>
      </c>
      <c r="G332" s="15" t="s">
        <v>738</v>
      </c>
      <c r="H332" s="40" t="n">
        <v>10</v>
      </c>
      <c r="I332" s="47" t="s">
        <v>282</v>
      </c>
      <c r="J332" s="47" t="n">
        <v>200</v>
      </c>
      <c r="K332" s="40" t="n">
        <v>1</v>
      </c>
      <c r="L332" s="40" t="n">
        <v>25</v>
      </c>
      <c r="M332" s="45" t="n">
        <v>4.5</v>
      </c>
      <c r="N332" s="48" t="n">
        <f aca="false">K332*L332*M332</f>
        <v>112.5</v>
      </c>
      <c r="O332" s="29" t="n">
        <f aca="false">IFERROR(INDEX(Исходные!$B$18:$B$29,MATCH(H332,Исходные!$A$18:$A$29,0)),0)</f>
        <v>0.617</v>
      </c>
      <c r="P332" s="49" t="n">
        <f aca="false">N332*O332</f>
        <v>69.4125</v>
      </c>
      <c r="Q332" s="15" t="s">
        <v>736</v>
      </c>
      <c r="R332" s="50" t="s">
        <v>284</v>
      </c>
      <c r="S332" s="15"/>
      <c r="T332" s="15" t="s">
        <v>687</v>
      </c>
      <c r="U332" s="38" t="n">
        <v>0</v>
      </c>
      <c r="V332" s="47" t="s">
        <v>737</v>
      </c>
    </row>
    <row r="333" customFormat="false" ht="23.85" hidden="false" customHeight="false" outlineLevel="0" collapsed="false">
      <c r="A333" s="47" t="n">
        <v>325</v>
      </c>
      <c r="B333" s="15" t="s">
        <v>278</v>
      </c>
      <c r="C333" s="15" t="s">
        <v>681</v>
      </c>
      <c r="D333" s="15" t="s">
        <v>733</v>
      </c>
      <c r="E333" s="15" t="s">
        <v>683</v>
      </c>
      <c r="F333" s="47" t="s">
        <v>734</v>
      </c>
      <c r="G333" s="15" t="s">
        <v>739</v>
      </c>
      <c r="H333" s="40" t="n">
        <v>10</v>
      </c>
      <c r="I333" s="47" t="s">
        <v>282</v>
      </c>
      <c r="J333" s="47" t="n">
        <v>200</v>
      </c>
      <c r="K333" s="40" t="n">
        <v>1</v>
      </c>
      <c r="L333" s="40" t="n">
        <v>20</v>
      </c>
      <c r="M333" s="45" t="n">
        <v>3.625</v>
      </c>
      <c r="N333" s="48" t="n">
        <f aca="false">K333*L333*M333</f>
        <v>72.5</v>
      </c>
      <c r="O333" s="29" t="n">
        <f aca="false">IFERROR(INDEX(Исходные!$B$18:$B$29,MATCH(H333,Исходные!$A$18:$A$29,0)),0)</f>
        <v>0.617</v>
      </c>
      <c r="P333" s="49" t="n">
        <f aca="false">N333*O333</f>
        <v>44.7325</v>
      </c>
      <c r="Q333" s="15" t="s">
        <v>736</v>
      </c>
      <c r="R333" s="50" t="s">
        <v>284</v>
      </c>
      <c r="S333" s="15"/>
      <c r="T333" s="15" t="s">
        <v>687</v>
      </c>
      <c r="U333" s="38" t="n">
        <v>0</v>
      </c>
      <c r="V333" s="47" t="s">
        <v>737</v>
      </c>
    </row>
    <row r="334" customFormat="false" ht="23.85" hidden="false" customHeight="false" outlineLevel="0" collapsed="false">
      <c r="A334" s="47" t="n">
        <v>326</v>
      </c>
      <c r="B334" s="15" t="s">
        <v>278</v>
      </c>
      <c r="C334" s="15" t="s">
        <v>681</v>
      </c>
      <c r="D334" s="15" t="s">
        <v>733</v>
      </c>
      <c r="E334" s="15" t="s">
        <v>683</v>
      </c>
      <c r="F334" s="47" t="s">
        <v>734</v>
      </c>
      <c r="G334" s="15" t="s">
        <v>740</v>
      </c>
      <c r="H334" s="40" t="n">
        <v>10</v>
      </c>
      <c r="I334" s="47" t="s">
        <v>282</v>
      </c>
      <c r="J334" s="47" t="n">
        <v>200</v>
      </c>
      <c r="K334" s="40" t="n">
        <v>1</v>
      </c>
      <c r="L334" s="40" t="n">
        <v>17</v>
      </c>
      <c r="M334" s="45" t="n">
        <v>4.5</v>
      </c>
      <c r="N334" s="48" t="n">
        <f aca="false">K334*L334*M334</f>
        <v>76.5</v>
      </c>
      <c r="O334" s="29" t="n">
        <f aca="false">IFERROR(INDEX(Исходные!$B$18:$B$29,MATCH(H334,Исходные!$A$18:$A$29,0)),0)</f>
        <v>0.617</v>
      </c>
      <c r="P334" s="49" t="n">
        <f aca="false">N334*O334</f>
        <v>47.2005</v>
      </c>
      <c r="Q334" s="15" t="s">
        <v>736</v>
      </c>
      <c r="R334" s="50" t="s">
        <v>284</v>
      </c>
      <c r="S334" s="15"/>
      <c r="T334" s="15" t="s">
        <v>687</v>
      </c>
      <c r="U334" s="38" t="n">
        <v>0</v>
      </c>
      <c r="V334" s="47" t="s">
        <v>737</v>
      </c>
    </row>
    <row r="335" customFormat="false" ht="23.85" hidden="false" customHeight="false" outlineLevel="0" collapsed="false">
      <c r="A335" s="47" t="n">
        <v>327</v>
      </c>
      <c r="B335" s="15" t="s">
        <v>278</v>
      </c>
      <c r="C335" s="15" t="s">
        <v>681</v>
      </c>
      <c r="D335" s="15" t="s">
        <v>733</v>
      </c>
      <c r="E335" s="15" t="s">
        <v>683</v>
      </c>
      <c r="F335" s="47" t="s">
        <v>734</v>
      </c>
      <c r="G335" s="15" t="s">
        <v>741</v>
      </c>
      <c r="H335" s="40" t="n">
        <v>10</v>
      </c>
      <c r="I335" s="47" t="s">
        <v>282</v>
      </c>
      <c r="J335" s="47" t="n">
        <v>200</v>
      </c>
      <c r="K335" s="40" t="n">
        <v>1</v>
      </c>
      <c r="L335" s="40" t="n">
        <v>17</v>
      </c>
      <c r="M335" s="45" t="n">
        <v>1.2</v>
      </c>
      <c r="N335" s="48" t="n">
        <f aca="false">K335*L335*M335</f>
        <v>20.4</v>
      </c>
      <c r="O335" s="29" t="n">
        <f aca="false">IFERROR(INDEX(Исходные!$B$18:$B$29,MATCH(H335,Исходные!$A$18:$A$29,0)),0)</f>
        <v>0.617</v>
      </c>
      <c r="P335" s="49" t="n">
        <f aca="false">N335*O335</f>
        <v>12.5868</v>
      </c>
      <c r="Q335" s="15" t="s">
        <v>736</v>
      </c>
      <c r="R335" s="50" t="s">
        <v>284</v>
      </c>
      <c r="S335" s="15"/>
      <c r="T335" s="15" t="s">
        <v>687</v>
      </c>
      <c r="U335" s="38" t="n">
        <v>0</v>
      </c>
      <c r="V335" s="47" t="s">
        <v>737</v>
      </c>
    </row>
    <row r="336" customFormat="false" ht="23.85" hidden="false" customHeight="false" outlineLevel="0" collapsed="false">
      <c r="A336" s="47" t="n">
        <v>328</v>
      </c>
      <c r="B336" s="15" t="s">
        <v>278</v>
      </c>
      <c r="C336" s="15" t="s">
        <v>681</v>
      </c>
      <c r="D336" s="15" t="s">
        <v>733</v>
      </c>
      <c r="E336" s="15" t="s">
        <v>683</v>
      </c>
      <c r="F336" s="47" t="s">
        <v>742</v>
      </c>
      <c r="G336" s="15" t="s">
        <v>743</v>
      </c>
      <c r="H336" s="40" t="n">
        <v>10</v>
      </c>
      <c r="I336" s="47" t="s">
        <v>282</v>
      </c>
      <c r="J336" s="47" t="n">
        <v>200</v>
      </c>
      <c r="K336" s="40" t="n">
        <v>1</v>
      </c>
      <c r="L336" s="40" t="n">
        <v>18</v>
      </c>
      <c r="M336" s="45" t="n">
        <v>1.2</v>
      </c>
      <c r="N336" s="48" t="n">
        <f aca="false">K336*L336*M336</f>
        <v>21.6</v>
      </c>
      <c r="O336" s="29" t="n">
        <f aca="false">IFERROR(INDEX(Исходные!$B$18:$B$29,MATCH(H336,Исходные!$A$18:$A$29,0)),0)</f>
        <v>0.617</v>
      </c>
      <c r="P336" s="49" t="n">
        <f aca="false">N336*O336</f>
        <v>13.3272</v>
      </c>
      <c r="Q336" s="15" t="s">
        <v>744</v>
      </c>
      <c r="R336" s="50" t="s">
        <v>284</v>
      </c>
      <c r="S336" s="15"/>
      <c r="T336" s="15" t="s">
        <v>687</v>
      </c>
      <c r="U336" s="38" t="n">
        <v>0</v>
      </c>
      <c r="V336" s="47" t="s">
        <v>745</v>
      </c>
    </row>
    <row r="337" customFormat="false" ht="23.85" hidden="false" customHeight="false" outlineLevel="0" collapsed="false">
      <c r="A337" s="47" t="n">
        <v>329</v>
      </c>
      <c r="B337" s="15" t="s">
        <v>278</v>
      </c>
      <c r="C337" s="15" t="s">
        <v>681</v>
      </c>
      <c r="D337" s="15" t="s">
        <v>733</v>
      </c>
      <c r="E337" s="15" t="s">
        <v>683</v>
      </c>
      <c r="F337" s="47" t="s">
        <v>742</v>
      </c>
      <c r="G337" s="15" t="s">
        <v>746</v>
      </c>
      <c r="H337" s="40" t="n">
        <v>10</v>
      </c>
      <c r="I337" s="47" t="s">
        <v>282</v>
      </c>
      <c r="J337" s="47" t="n">
        <v>200</v>
      </c>
      <c r="K337" s="40" t="n">
        <v>1</v>
      </c>
      <c r="L337" s="40" t="n">
        <v>11</v>
      </c>
      <c r="M337" s="45" t="n">
        <v>1.2</v>
      </c>
      <c r="N337" s="48" t="n">
        <f aca="false">K337*L337*M337</f>
        <v>13.2</v>
      </c>
      <c r="O337" s="29" t="n">
        <f aca="false">IFERROR(INDEX(Исходные!$B$18:$B$29,MATCH(H337,Исходные!$A$18:$A$29,0)),0)</f>
        <v>0.617</v>
      </c>
      <c r="P337" s="49" t="n">
        <f aca="false">N337*O337</f>
        <v>8.1444</v>
      </c>
      <c r="Q337" s="15" t="s">
        <v>744</v>
      </c>
      <c r="R337" s="50" t="s">
        <v>284</v>
      </c>
      <c r="S337" s="15"/>
      <c r="T337" s="15" t="s">
        <v>687</v>
      </c>
      <c r="U337" s="38" t="n">
        <v>0</v>
      </c>
      <c r="V337" s="47" t="s">
        <v>745</v>
      </c>
    </row>
    <row r="338" customFormat="false" ht="23.85" hidden="false" customHeight="false" outlineLevel="0" collapsed="false">
      <c r="A338" s="47" t="n">
        <v>330</v>
      </c>
      <c r="B338" s="15" t="s">
        <v>278</v>
      </c>
      <c r="C338" s="15" t="s">
        <v>681</v>
      </c>
      <c r="D338" s="15" t="s">
        <v>733</v>
      </c>
      <c r="E338" s="15" t="s">
        <v>683</v>
      </c>
      <c r="F338" s="47" t="s">
        <v>742</v>
      </c>
      <c r="G338" s="15" t="s">
        <v>747</v>
      </c>
      <c r="H338" s="40" t="n">
        <v>10</v>
      </c>
      <c r="I338" s="47" t="s">
        <v>282</v>
      </c>
      <c r="J338" s="47" t="n">
        <v>200</v>
      </c>
      <c r="K338" s="40" t="n">
        <v>1</v>
      </c>
      <c r="L338" s="40" t="n">
        <v>18</v>
      </c>
      <c r="M338" s="45" t="n">
        <v>1.2</v>
      </c>
      <c r="N338" s="48" t="n">
        <f aca="false">K338*L338*M338</f>
        <v>21.6</v>
      </c>
      <c r="O338" s="29" t="n">
        <f aca="false">IFERROR(INDEX(Исходные!$B$18:$B$29,MATCH(H338,Исходные!$A$18:$A$29,0)),0)</f>
        <v>0.617</v>
      </c>
      <c r="P338" s="49" t="n">
        <f aca="false">N338*O338</f>
        <v>13.3272</v>
      </c>
      <c r="Q338" s="15" t="s">
        <v>744</v>
      </c>
      <c r="R338" s="50" t="s">
        <v>284</v>
      </c>
      <c r="S338" s="15"/>
      <c r="T338" s="15" t="s">
        <v>687</v>
      </c>
      <c r="U338" s="38" t="n">
        <v>0</v>
      </c>
      <c r="V338" s="47" t="s">
        <v>745</v>
      </c>
    </row>
    <row r="339" customFormat="false" ht="23.85" hidden="false" customHeight="false" outlineLevel="0" collapsed="false">
      <c r="A339" s="47" t="n">
        <v>331</v>
      </c>
      <c r="B339" s="15" t="s">
        <v>278</v>
      </c>
      <c r="C339" s="15" t="s">
        <v>681</v>
      </c>
      <c r="D339" s="15" t="s">
        <v>733</v>
      </c>
      <c r="E339" s="15" t="s">
        <v>683</v>
      </c>
      <c r="F339" s="47" t="s">
        <v>742</v>
      </c>
      <c r="G339" s="15" t="s">
        <v>748</v>
      </c>
      <c r="H339" s="40" t="n">
        <v>12</v>
      </c>
      <c r="I339" s="47" t="s">
        <v>282</v>
      </c>
      <c r="J339" s="47" t="n">
        <v>200</v>
      </c>
      <c r="K339" s="40" t="n">
        <v>1</v>
      </c>
      <c r="L339" s="40" t="n">
        <v>12</v>
      </c>
      <c r="M339" s="45" t="n">
        <v>1.4</v>
      </c>
      <c r="N339" s="48" t="n">
        <f aca="false">K339*L339*M339</f>
        <v>16.8</v>
      </c>
      <c r="O339" s="29" t="n">
        <f aca="false">IFERROR(INDEX(Исходные!$B$18:$B$29,MATCH(H339,Исходные!$A$18:$A$29,0)),0)</f>
        <v>0.888</v>
      </c>
      <c r="P339" s="49" t="n">
        <f aca="false">N339*O339</f>
        <v>14.9184</v>
      </c>
      <c r="Q339" s="15" t="s">
        <v>744</v>
      </c>
      <c r="R339" s="50" t="s">
        <v>284</v>
      </c>
      <c r="S339" s="15"/>
      <c r="T339" s="15" t="s">
        <v>687</v>
      </c>
      <c r="U339" s="38" t="n">
        <v>0</v>
      </c>
      <c r="V339" s="47" t="s">
        <v>745</v>
      </c>
    </row>
    <row r="340" customFormat="false" ht="23.85" hidden="false" customHeight="false" outlineLevel="0" collapsed="false">
      <c r="A340" s="47" t="n">
        <v>332</v>
      </c>
      <c r="B340" s="15" t="s">
        <v>278</v>
      </c>
      <c r="C340" s="15" t="s">
        <v>681</v>
      </c>
      <c r="D340" s="15" t="s">
        <v>733</v>
      </c>
      <c r="E340" s="15" t="s">
        <v>683</v>
      </c>
      <c r="F340" s="47" t="s">
        <v>742</v>
      </c>
      <c r="G340" s="15" t="s">
        <v>749</v>
      </c>
      <c r="H340" s="40" t="n">
        <v>10</v>
      </c>
      <c r="I340" s="47" t="s">
        <v>282</v>
      </c>
      <c r="J340" s="47" t="n">
        <v>200</v>
      </c>
      <c r="K340" s="40" t="n">
        <v>1</v>
      </c>
      <c r="L340" s="40" t="n">
        <v>18</v>
      </c>
      <c r="M340" s="45" t="n">
        <v>1.4</v>
      </c>
      <c r="N340" s="48" t="n">
        <f aca="false">K340*L340*M340</f>
        <v>25.2</v>
      </c>
      <c r="O340" s="29" t="n">
        <f aca="false">IFERROR(INDEX(Исходные!$B$18:$B$29,MATCH(H340,Исходные!$A$18:$A$29,0)),0)</f>
        <v>0.617</v>
      </c>
      <c r="P340" s="49" t="n">
        <f aca="false">N340*O340</f>
        <v>15.5484</v>
      </c>
      <c r="Q340" s="15" t="s">
        <v>744</v>
      </c>
      <c r="R340" s="50" t="s">
        <v>284</v>
      </c>
      <c r="S340" s="15"/>
      <c r="T340" s="15" t="s">
        <v>687</v>
      </c>
      <c r="U340" s="38" t="n">
        <v>0</v>
      </c>
      <c r="V340" s="47" t="s">
        <v>745</v>
      </c>
    </row>
    <row r="341" customFormat="false" ht="23.85" hidden="false" customHeight="false" outlineLevel="0" collapsed="false">
      <c r="A341" s="47" t="n">
        <v>333</v>
      </c>
      <c r="B341" s="15" t="s">
        <v>278</v>
      </c>
      <c r="C341" s="15" t="s">
        <v>681</v>
      </c>
      <c r="D341" s="15" t="s">
        <v>733</v>
      </c>
      <c r="E341" s="15" t="s">
        <v>683</v>
      </c>
      <c r="F341" s="47" t="s">
        <v>742</v>
      </c>
      <c r="G341" s="15" t="s">
        <v>750</v>
      </c>
      <c r="H341" s="40" t="n">
        <v>12</v>
      </c>
      <c r="I341" s="47" t="s">
        <v>282</v>
      </c>
      <c r="J341" s="47" t="n">
        <v>200</v>
      </c>
      <c r="K341" s="40" t="n">
        <v>1</v>
      </c>
      <c r="L341" s="40" t="n">
        <v>12</v>
      </c>
      <c r="M341" s="45" t="n">
        <v>2.2</v>
      </c>
      <c r="N341" s="48" t="n">
        <f aca="false">K341*L341*M341</f>
        <v>26.4</v>
      </c>
      <c r="O341" s="29" t="n">
        <f aca="false">IFERROR(INDEX(Исходные!$B$18:$B$29,MATCH(H341,Исходные!$A$18:$A$29,0)),0)</f>
        <v>0.888</v>
      </c>
      <c r="P341" s="49" t="n">
        <f aca="false">N341*O341</f>
        <v>23.4432</v>
      </c>
      <c r="Q341" s="15" t="s">
        <v>744</v>
      </c>
      <c r="R341" s="50" t="s">
        <v>284</v>
      </c>
      <c r="S341" s="15"/>
      <c r="T341" s="15" t="s">
        <v>687</v>
      </c>
      <c r="U341" s="38" t="n">
        <v>0</v>
      </c>
      <c r="V341" s="47" t="s">
        <v>745</v>
      </c>
    </row>
    <row r="342" customFormat="false" ht="23.85" hidden="false" customHeight="false" outlineLevel="0" collapsed="false">
      <c r="A342" s="47" t="n">
        <v>334</v>
      </c>
      <c r="B342" s="15" t="s">
        <v>278</v>
      </c>
      <c r="C342" s="15" t="s">
        <v>681</v>
      </c>
      <c r="D342" s="15" t="s">
        <v>733</v>
      </c>
      <c r="E342" s="15" t="s">
        <v>683</v>
      </c>
      <c r="F342" s="47" t="s">
        <v>742</v>
      </c>
      <c r="G342" s="15" t="s">
        <v>751</v>
      </c>
      <c r="H342" s="40" t="n">
        <v>10</v>
      </c>
      <c r="I342" s="47" t="s">
        <v>282</v>
      </c>
      <c r="J342" s="47" t="n">
        <v>200</v>
      </c>
      <c r="K342" s="40" t="n">
        <v>1</v>
      </c>
      <c r="L342" s="40" t="n">
        <v>18</v>
      </c>
      <c r="M342" s="45" t="n">
        <v>2.2</v>
      </c>
      <c r="N342" s="48" t="n">
        <f aca="false">K342*L342*M342</f>
        <v>39.6</v>
      </c>
      <c r="O342" s="29" t="n">
        <f aca="false">IFERROR(INDEX(Исходные!$B$18:$B$29,MATCH(H342,Исходные!$A$18:$A$29,0)),0)</f>
        <v>0.617</v>
      </c>
      <c r="P342" s="49" t="n">
        <f aca="false">N342*O342</f>
        <v>24.4332</v>
      </c>
      <c r="Q342" s="15" t="s">
        <v>744</v>
      </c>
      <c r="R342" s="50" t="s">
        <v>284</v>
      </c>
      <c r="S342" s="15"/>
      <c r="T342" s="15" t="s">
        <v>687</v>
      </c>
      <c r="U342" s="38" t="n">
        <v>0</v>
      </c>
      <c r="V342" s="47" t="s">
        <v>745</v>
      </c>
    </row>
    <row r="343" customFormat="false" ht="23.85" hidden="false" customHeight="false" outlineLevel="0" collapsed="false">
      <c r="A343" s="47" t="n">
        <v>335</v>
      </c>
      <c r="B343" s="15" t="s">
        <v>278</v>
      </c>
      <c r="C343" s="15" t="s">
        <v>681</v>
      </c>
      <c r="D343" s="15" t="s">
        <v>733</v>
      </c>
      <c r="E343" s="15" t="s">
        <v>683</v>
      </c>
      <c r="F343" s="47" t="s">
        <v>742</v>
      </c>
      <c r="G343" s="15" t="s">
        <v>752</v>
      </c>
      <c r="H343" s="40" t="n">
        <v>10</v>
      </c>
      <c r="I343" s="47" t="s">
        <v>282</v>
      </c>
      <c r="J343" s="47" t="n">
        <v>200</v>
      </c>
      <c r="K343" s="40" t="n">
        <v>1</v>
      </c>
      <c r="L343" s="40" t="n">
        <v>24</v>
      </c>
      <c r="M343" s="45" t="n">
        <v>1.2</v>
      </c>
      <c r="N343" s="48" t="n">
        <f aca="false">K343*L343*M343</f>
        <v>28.8</v>
      </c>
      <c r="O343" s="29" t="n">
        <f aca="false">IFERROR(INDEX(Исходные!$B$18:$B$29,MATCH(H343,Исходные!$A$18:$A$29,0)),0)</f>
        <v>0.617</v>
      </c>
      <c r="P343" s="49" t="n">
        <f aca="false">N343*O343</f>
        <v>17.7696</v>
      </c>
      <c r="Q343" s="15" t="s">
        <v>744</v>
      </c>
      <c r="R343" s="50" t="s">
        <v>284</v>
      </c>
      <c r="S343" s="15"/>
      <c r="T343" s="15" t="s">
        <v>687</v>
      </c>
      <c r="U343" s="38" t="n">
        <v>0</v>
      </c>
      <c r="V343" s="47" t="s">
        <v>745</v>
      </c>
    </row>
    <row r="344" customFormat="false" ht="23.85" hidden="false" customHeight="false" outlineLevel="0" collapsed="false">
      <c r="A344" s="47" t="n">
        <v>336</v>
      </c>
      <c r="B344" s="15" t="s">
        <v>278</v>
      </c>
      <c r="C344" s="15" t="s">
        <v>681</v>
      </c>
      <c r="D344" s="15" t="s">
        <v>733</v>
      </c>
      <c r="E344" s="15" t="s">
        <v>683</v>
      </c>
      <c r="F344" s="47" t="s">
        <v>742</v>
      </c>
      <c r="G344" s="15" t="s">
        <v>753</v>
      </c>
      <c r="H344" s="40" t="n">
        <v>10</v>
      </c>
      <c r="I344" s="47" t="s">
        <v>282</v>
      </c>
      <c r="J344" s="47" t="n">
        <v>200</v>
      </c>
      <c r="K344" s="40" t="n">
        <v>1</v>
      </c>
      <c r="L344" s="40" t="n">
        <v>25</v>
      </c>
      <c r="M344" s="45" t="n">
        <v>2</v>
      </c>
      <c r="N344" s="48" t="n">
        <f aca="false">K344*L344*M344</f>
        <v>50</v>
      </c>
      <c r="O344" s="29" t="n">
        <f aca="false">IFERROR(INDEX(Исходные!$B$18:$B$29,MATCH(H344,Исходные!$A$18:$A$29,0)),0)</f>
        <v>0.617</v>
      </c>
      <c r="P344" s="49" t="n">
        <f aca="false">N344*O344</f>
        <v>30.85</v>
      </c>
      <c r="Q344" s="15" t="s">
        <v>744</v>
      </c>
      <c r="R344" s="50" t="s">
        <v>284</v>
      </c>
      <c r="S344" s="15"/>
      <c r="T344" s="15" t="s">
        <v>687</v>
      </c>
      <c r="U344" s="38" t="n">
        <v>0</v>
      </c>
      <c r="V344" s="47" t="s">
        <v>745</v>
      </c>
    </row>
    <row r="345" customFormat="false" ht="23.85" hidden="false" customHeight="false" outlineLevel="0" collapsed="false">
      <c r="A345" s="47" t="n">
        <v>337</v>
      </c>
      <c r="B345" s="15" t="s">
        <v>278</v>
      </c>
      <c r="C345" s="15" t="s">
        <v>681</v>
      </c>
      <c r="D345" s="15" t="s">
        <v>733</v>
      </c>
      <c r="E345" s="15" t="s">
        <v>683</v>
      </c>
      <c r="F345" s="47" t="s">
        <v>742</v>
      </c>
      <c r="G345" s="15" t="s">
        <v>754</v>
      </c>
      <c r="H345" s="40" t="n">
        <v>10</v>
      </c>
      <c r="I345" s="47" t="s">
        <v>282</v>
      </c>
      <c r="J345" s="47" t="n">
        <v>200</v>
      </c>
      <c r="K345" s="40" t="n">
        <v>1</v>
      </c>
      <c r="L345" s="40" t="n">
        <v>25</v>
      </c>
      <c r="M345" s="45" t="n">
        <v>1.2</v>
      </c>
      <c r="N345" s="48" t="n">
        <f aca="false">K345*L345*M345</f>
        <v>30</v>
      </c>
      <c r="O345" s="29" t="n">
        <f aca="false">IFERROR(INDEX(Исходные!$B$18:$B$29,MATCH(H345,Исходные!$A$18:$A$29,0)),0)</f>
        <v>0.617</v>
      </c>
      <c r="P345" s="49" t="n">
        <f aca="false">N345*O345</f>
        <v>18.51</v>
      </c>
      <c r="Q345" s="15" t="s">
        <v>744</v>
      </c>
      <c r="R345" s="50" t="s">
        <v>284</v>
      </c>
      <c r="S345" s="15"/>
      <c r="T345" s="15" t="s">
        <v>687</v>
      </c>
      <c r="U345" s="38" t="n">
        <v>0</v>
      </c>
      <c r="V345" s="47" t="s">
        <v>745</v>
      </c>
    </row>
    <row r="346" customFormat="false" ht="23.85" hidden="false" customHeight="false" outlineLevel="0" collapsed="false">
      <c r="A346" s="47" t="n">
        <v>338</v>
      </c>
      <c r="B346" s="15" t="s">
        <v>278</v>
      </c>
      <c r="C346" s="15" t="s">
        <v>681</v>
      </c>
      <c r="D346" s="15" t="s">
        <v>733</v>
      </c>
      <c r="E346" s="15" t="s">
        <v>683</v>
      </c>
      <c r="F346" s="47" t="s">
        <v>742</v>
      </c>
      <c r="G346" s="15" t="s">
        <v>755</v>
      </c>
      <c r="H346" s="40" t="n">
        <v>10</v>
      </c>
      <c r="I346" s="47" t="s">
        <v>282</v>
      </c>
      <c r="J346" s="47" t="n">
        <v>200</v>
      </c>
      <c r="K346" s="40" t="n">
        <v>1</v>
      </c>
      <c r="L346" s="40" t="n">
        <v>17</v>
      </c>
      <c r="M346" s="45" t="n">
        <v>1.2</v>
      </c>
      <c r="N346" s="48" t="n">
        <f aca="false">K346*L346*M346</f>
        <v>20.4</v>
      </c>
      <c r="O346" s="29" t="n">
        <f aca="false">IFERROR(INDEX(Исходные!$B$18:$B$29,MATCH(H346,Исходные!$A$18:$A$29,0)),0)</f>
        <v>0.617</v>
      </c>
      <c r="P346" s="49" t="n">
        <f aca="false">N346*O346</f>
        <v>12.5868</v>
      </c>
      <c r="Q346" s="15" t="s">
        <v>744</v>
      </c>
      <c r="R346" s="50" t="s">
        <v>284</v>
      </c>
      <c r="S346" s="15"/>
      <c r="T346" s="15" t="s">
        <v>687</v>
      </c>
      <c r="U346" s="38" t="n">
        <v>0</v>
      </c>
      <c r="V346" s="47" t="s">
        <v>745</v>
      </c>
    </row>
    <row r="347" customFormat="false" ht="23.85" hidden="false" customHeight="false" outlineLevel="0" collapsed="false">
      <c r="A347" s="47" t="n">
        <v>339</v>
      </c>
      <c r="B347" s="15" t="s">
        <v>278</v>
      </c>
      <c r="C347" s="15" t="s">
        <v>681</v>
      </c>
      <c r="D347" s="15" t="s">
        <v>733</v>
      </c>
      <c r="E347" s="15" t="s">
        <v>683</v>
      </c>
      <c r="F347" s="47" t="s">
        <v>742</v>
      </c>
      <c r="G347" s="15" t="s">
        <v>756</v>
      </c>
      <c r="H347" s="40" t="n">
        <v>10</v>
      </c>
      <c r="I347" s="47" t="s">
        <v>282</v>
      </c>
      <c r="J347" s="47" t="n">
        <v>200</v>
      </c>
      <c r="K347" s="40" t="n">
        <v>1</v>
      </c>
      <c r="L347" s="40" t="n">
        <v>36</v>
      </c>
      <c r="M347" s="45" t="n">
        <v>1.2</v>
      </c>
      <c r="N347" s="48" t="n">
        <f aca="false">K347*L347*M347</f>
        <v>43.2</v>
      </c>
      <c r="O347" s="29" t="n">
        <f aca="false">IFERROR(INDEX(Исходные!$B$18:$B$29,MATCH(H347,Исходные!$A$18:$A$29,0)),0)</f>
        <v>0.617</v>
      </c>
      <c r="P347" s="49" t="n">
        <f aca="false">N347*O347</f>
        <v>26.6544</v>
      </c>
      <c r="Q347" s="15" t="s">
        <v>744</v>
      </c>
      <c r="R347" s="50" t="s">
        <v>284</v>
      </c>
      <c r="S347" s="15"/>
      <c r="T347" s="15" t="s">
        <v>687</v>
      </c>
      <c r="U347" s="38" t="n">
        <v>0</v>
      </c>
      <c r="V347" s="47" t="s">
        <v>745</v>
      </c>
    </row>
    <row r="348" customFormat="false" ht="23.85" hidden="false" customHeight="false" outlineLevel="0" collapsed="false">
      <c r="A348" s="47" t="n">
        <v>340</v>
      </c>
      <c r="B348" s="15" t="s">
        <v>278</v>
      </c>
      <c r="C348" s="15" t="s">
        <v>681</v>
      </c>
      <c r="D348" s="15" t="s">
        <v>733</v>
      </c>
      <c r="E348" s="15" t="s">
        <v>683</v>
      </c>
      <c r="F348" s="47" t="s">
        <v>742</v>
      </c>
      <c r="G348" s="15" t="s">
        <v>757</v>
      </c>
      <c r="H348" s="40" t="n">
        <v>10</v>
      </c>
      <c r="I348" s="47" t="s">
        <v>282</v>
      </c>
      <c r="J348" s="47" t="n">
        <v>200</v>
      </c>
      <c r="K348" s="40" t="n">
        <v>1</v>
      </c>
      <c r="L348" s="40" t="n">
        <v>15</v>
      </c>
      <c r="M348" s="45" t="n">
        <v>1.4</v>
      </c>
      <c r="N348" s="48" t="n">
        <f aca="false">K348*L348*M348</f>
        <v>21</v>
      </c>
      <c r="O348" s="29" t="n">
        <f aca="false">IFERROR(INDEX(Исходные!$B$18:$B$29,MATCH(H348,Исходные!$A$18:$A$29,0)),0)</f>
        <v>0.617</v>
      </c>
      <c r="P348" s="49" t="n">
        <f aca="false">N348*O348</f>
        <v>12.957</v>
      </c>
      <c r="Q348" s="15" t="s">
        <v>744</v>
      </c>
      <c r="R348" s="50" t="s">
        <v>284</v>
      </c>
      <c r="S348" s="15"/>
      <c r="T348" s="15" t="s">
        <v>687</v>
      </c>
      <c r="U348" s="38" t="n">
        <v>0</v>
      </c>
      <c r="V348" s="47" t="s">
        <v>745</v>
      </c>
    </row>
    <row r="349" customFormat="false" ht="23.85" hidden="false" customHeight="false" outlineLevel="0" collapsed="false">
      <c r="A349" s="47" t="n">
        <v>341</v>
      </c>
      <c r="B349" s="15" t="s">
        <v>278</v>
      </c>
      <c r="C349" s="15" t="s">
        <v>681</v>
      </c>
      <c r="D349" s="15" t="s">
        <v>733</v>
      </c>
      <c r="E349" s="15" t="s">
        <v>683</v>
      </c>
      <c r="F349" s="47" t="s">
        <v>742</v>
      </c>
      <c r="G349" s="15" t="s">
        <v>758</v>
      </c>
      <c r="H349" s="40" t="n">
        <v>10</v>
      </c>
      <c r="I349" s="47" t="s">
        <v>282</v>
      </c>
      <c r="J349" s="47" t="n">
        <v>200</v>
      </c>
      <c r="K349" s="40" t="n">
        <v>1</v>
      </c>
      <c r="L349" s="40" t="n">
        <v>17</v>
      </c>
      <c r="M349" s="45" t="n">
        <v>2.2</v>
      </c>
      <c r="N349" s="48" t="n">
        <f aca="false">K349*L349*M349</f>
        <v>37.4</v>
      </c>
      <c r="O349" s="29" t="n">
        <f aca="false">IFERROR(INDEX(Исходные!$B$18:$B$29,MATCH(H349,Исходные!$A$18:$A$29,0)),0)</f>
        <v>0.617</v>
      </c>
      <c r="P349" s="49" t="n">
        <f aca="false">N349*O349</f>
        <v>23.0758</v>
      </c>
      <c r="Q349" s="15" t="s">
        <v>744</v>
      </c>
      <c r="R349" s="50" t="s">
        <v>284</v>
      </c>
      <c r="S349" s="15"/>
      <c r="T349" s="15" t="s">
        <v>687</v>
      </c>
      <c r="U349" s="38" t="n">
        <v>0</v>
      </c>
      <c r="V349" s="47" t="s">
        <v>745</v>
      </c>
    </row>
    <row r="350" customFormat="false" ht="23.85" hidden="false" customHeight="false" outlineLevel="0" collapsed="false">
      <c r="A350" s="47" t="n">
        <v>342</v>
      </c>
      <c r="B350" s="15" t="s">
        <v>278</v>
      </c>
      <c r="C350" s="15" t="s">
        <v>681</v>
      </c>
      <c r="D350" s="15" t="s">
        <v>733</v>
      </c>
      <c r="E350" s="15" t="s">
        <v>683</v>
      </c>
      <c r="F350" s="47" t="s">
        <v>742</v>
      </c>
      <c r="G350" s="15" t="s">
        <v>759</v>
      </c>
      <c r="H350" s="40" t="n">
        <v>10</v>
      </c>
      <c r="I350" s="47" t="s">
        <v>282</v>
      </c>
      <c r="J350" s="47" t="n">
        <v>200</v>
      </c>
      <c r="K350" s="40" t="n">
        <v>1</v>
      </c>
      <c r="L350" s="40" t="n">
        <v>29</v>
      </c>
      <c r="M350" s="45" t="n">
        <v>1.4</v>
      </c>
      <c r="N350" s="48" t="n">
        <f aca="false">K350*L350*M350</f>
        <v>40.6</v>
      </c>
      <c r="O350" s="29" t="n">
        <f aca="false">IFERROR(INDEX(Исходные!$B$18:$B$29,MATCH(H350,Исходные!$A$18:$A$29,0)),0)</f>
        <v>0.617</v>
      </c>
      <c r="P350" s="49" t="n">
        <f aca="false">N350*O350</f>
        <v>25.0502</v>
      </c>
      <c r="Q350" s="15" t="s">
        <v>744</v>
      </c>
      <c r="R350" s="50" t="s">
        <v>284</v>
      </c>
      <c r="S350" s="15"/>
      <c r="T350" s="15" t="s">
        <v>687</v>
      </c>
      <c r="U350" s="38" t="n">
        <v>0</v>
      </c>
      <c r="V350" s="47" t="s">
        <v>745</v>
      </c>
    </row>
    <row r="351" customFormat="false" ht="23.85" hidden="false" customHeight="false" outlineLevel="0" collapsed="false">
      <c r="A351" s="47" t="n">
        <v>343</v>
      </c>
      <c r="B351" s="15" t="s">
        <v>278</v>
      </c>
      <c r="C351" s="15" t="s">
        <v>681</v>
      </c>
      <c r="D351" s="15" t="s">
        <v>733</v>
      </c>
      <c r="E351" s="15" t="s">
        <v>683</v>
      </c>
      <c r="F351" s="47" t="s">
        <v>742</v>
      </c>
      <c r="G351" s="15" t="s">
        <v>760</v>
      </c>
      <c r="H351" s="40" t="n">
        <v>10</v>
      </c>
      <c r="I351" s="47" t="s">
        <v>282</v>
      </c>
      <c r="J351" s="47" t="n">
        <v>200</v>
      </c>
      <c r="K351" s="40" t="n">
        <v>1</v>
      </c>
      <c r="L351" s="40" t="n">
        <v>62</v>
      </c>
      <c r="M351" s="45" t="n">
        <v>2.2</v>
      </c>
      <c r="N351" s="48" t="n">
        <f aca="false">K351*L351*M351</f>
        <v>136.4</v>
      </c>
      <c r="O351" s="29" t="n">
        <f aca="false">IFERROR(INDEX(Исходные!$B$18:$B$29,MATCH(H351,Исходные!$A$18:$A$29,0)),0)</f>
        <v>0.617</v>
      </c>
      <c r="P351" s="49" t="n">
        <f aca="false">N351*O351</f>
        <v>84.1588</v>
      </c>
      <c r="Q351" s="15" t="s">
        <v>744</v>
      </c>
      <c r="R351" s="50" t="s">
        <v>284</v>
      </c>
      <c r="S351" s="15"/>
      <c r="T351" s="15" t="s">
        <v>687</v>
      </c>
      <c r="U351" s="38" t="n">
        <v>0</v>
      </c>
      <c r="V351" s="47" t="s">
        <v>745</v>
      </c>
    </row>
    <row r="352" customFormat="false" ht="23.85" hidden="false" customHeight="false" outlineLevel="0" collapsed="false">
      <c r="A352" s="47" t="n">
        <v>344</v>
      </c>
      <c r="B352" s="15" t="s">
        <v>278</v>
      </c>
      <c r="C352" s="15" t="s">
        <v>681</v>
      </c>
      <c r="D352" s="15" t="s">
        <v>761</v>
      </c>
      <c r="E352" s="15" t="s">
        <v>683</v>
      </c>
      <c r="F352" s="47" t="s">
        <v>742</v>
      </c>
      <c r="G352" s="15" t="s">
        <v>762</v>
      </c>
      <c r="H352" s="40" t="n">
        <v>20</v>
      </c>
      <c r="I352" s="47" t="s">
        <v>282</v>
      </c>
      <c r="J352" s="47" t="s">
        <v>113</v>
      </c>
      <c r="K352" s="40" t="n">
        <v>4</v>
      </c>
      <c r="L352" s="40" t="n">
        <v>1</v>
      </c>
      <c r="M352" s="45" t="n">
        <v>3</v>
      </c>
      <c r="N352" s="48" t="n">
        <f aca="false">K352*L352*M352</f>
        <v>12</v>
      </c>
      <c r="O352" s="29" t="n">
        <f aca="false">IFERROR(INDEX(Исходные!$B$18:$B$29,MATCH(H352,Исходные!$A$18:$A$29,0)),0)</f>
        <v>2.466</v>
      </c>
      <c r="P352" s="49" t="n">
        <f aca="false">N352*O352</f>
        <v>29.592</v>
      </c>
      <c r="Q352" s="15" t="s">
        <v>763</v>
      </c>
      <c r="R352" s="50" t="s">
        <v>284</v>
      </c>
      <c r="S352" s="15"/>
      <c r="T352" s="15" t="s">
        <v>687</v>
      </c>
      <c r="U352" s="38" t="n">
        <v>0</v>
      </c>
      <c r="V352" s="47" t="s">
        <v>745</v>
      </c>
    </row>
    <row r="353" customFormat="false" ht="23.85" hidden="false" customHeight="false" outlineLevel="0" collapsed="false">
      <c r="A353" s="47" t="n">
        <v>345</v>
      </c>
      <c r="B353" s="15" t="s">
        <v>278</v>
      </c>
      <c r="C353" s="15" t="s">
        <v>681</v>
      </c>
      <c r="D353" s="15" t="s">
        <v>764</v>
      </c>
      <c r="E353" s="15" t="s">
        <v>683</v>
      </c>
      <c r="F353" s="47" t="s">
        <v>765</v>
      </c>
      <c r="G353" s="15" t="s">
        <v>766</v>
      </c>
      <c r="H353" s="40" t="n">
        <v>14</v>
      </c>
      <c r="I353" s="47" t="s">
        <v>282</v>
      </c>
      <c r="J353" s="47" t="s">
        <v>113</v>
      </c>
      <c r="K353" s="40" t="n">
        <v>1</v>
      </c>
      <c r="L353" s="40" t="n">
        <v>2</v>
      </c>
      <c r="M353" s="45" t="n">
        <v>25.825</v>
      </c>
      <c r="N353" s="48" t="n">
        <f aca="false">K353*L353*M353</f>
        <v>51.65</v>
      </c>
      <c r="O353" s="29" t="n">
        <f aca="false">IFERROR(INDEX(Исходные!$B$18:$B$29,MATCH(H353,Исходные!$A$18:$A$29,0)),0)</f>
        <v>1.208</v>
      </c>
      <c r="P353" s="49" t="n">
        <f aca="false">N353*O353</f>
        <v>62.3932</v>
      </c>
      <c r="Q353" s="15" t="s">
        <v>767</v>
      </c>
      <c r="R353" s="50" t="s">
        <v>429</v>
      </c>
      <c r="S353" s="15"/>
      <c r="T353" s="15" t="s">
        <v>687</v>
      </c>
      <c r="U353" s="38" t="n">
        <v>0</v>
      </c>
      <c r="V353" s="47" t="s">
        <v>768</v>
      </c>
    </row>
    <row r="354" customFormat="false" ht="35.05" hidden="false" customHeight="false" outlineLevel="0" collapsed="false">
      <c r="A354" s="47" t="n">
        <v>346</v>
      </c>
      <c r="B354" s="15" t="s">
        <v>278</v>
      </c>
      <c r="C354" s="15" t="s">
        <v>681</v>
      </c>
      <c r="D354" s="15" t="s">
        <v>764</v>
      </c>
      <c r="E354" s="15" t="s">
        <v>683</v>
      </c>
      <c r="F354" s="47" t="s">
        <v>769</v>
      </c>
      <c r="G354" s="15" t="s">
        <v>770</v>
      </c>
      <c r="H354" s="40" t="n">
        <v>14</v>
      </c>
      <c r="I354" s="47" t="s">
        <v>282</v>
      </c>
      <c r="J354" s="47" t="s">
        <v>113</v>
      </c>
      <c r="K354" s="40" t="n">
        <v>2</v>
      </c>
      <c r="L354" s="40" t="n">
        <v>2</v>
      </c>
      <c r="M354" s="45" t="n">
        <v>0.56</v>
      </c>
      <c r="N354" s="48" t="n">
        <f aca="false">K354*L354*M354</f>
        <v>2.24</v>
      </c>
      <c r="O354" s="29" t="n">
        <f aca="false">IFERROR(INDEX(Исходные!$B$18:$B$29,MATCH(H354,Исходные!$A$18:$A$29,0)),0)</f>
        <v>1.208</v>
      </c>
      <c r="P354" s="49" t="n">
        <f aca="false">N354*O354</f>
        <v>2.70592</v>
      </c>
      <c r="Q354" s="15" t="s">
        <v>771</v>
      </c>
      <c r="R354" s="50" t="s">
        <v>436</v>
      </c>
      <c r="S354" s="15" t="s">
        <v>772</v>
      </c>
      <c r="T354" s="15" t="s">
        <v>687</v>
      </c>
      <c r="U354" s="38" t="n">
        <v>0</v>
      </c>
      <c r="V354" s="47" t="s">
        <v>768</v>
      </c>
    </row>
    <row r="355" customFormat="false" ht="23.85" hidden="false" customHeight="false" outlineLevel="0" collapsed="false">
      <c r="A355" s="47" t="n">
        <v>347</v>
      </c>
      <c r="B355" s="15" t="s">
        <v>278</v>
      </c>
      <c r="C355" s="15" t="s">
        <v>681</v>
      </c>
      <c r="D355" s="15" t="s">
        <v>764</v>
      </c>
      <c r="E355" s="15" t="s">
        <v>683</v>
      </c>
      <c r="F355" s="47" t="s">
        <v>765</v>
      </c>
      <c r="G355" s="15" t="s">
        <v>773</v>
      </c>
      <c r="H355" s="40" t="n">
        <v>14</v>
      </c>
      <c r="I355" s="47" t="s">
        <v>282</v>
      </c>
      <c r="J355" s="47" t="s">
        <v>113</v>
      </c>
      <c r="K355" s="40" t="n">
        <v>1</v>
      </c>
      <c r="L355" s="40" t="n">
        <v>2</v>
      </c>
      <c r="M355" s="45" t="n">
        <v>20.525</v>
      </c>
      <c r="N355" s="48" t="n">
        <f aca="false">K355*L355*M355</f>
        <v>41.05</v>
      </c>
      <c r="O355" s="29" t="n">
        <f aca="false">IFERROR(INDEX(Исходные!$B$18:$B$29,MATCH(H355,Исходные!$A$18:$A$29,0)),0)</f>
        <v>1.208</v>
      </c>
      <c r="P355" s="49" t="n">
        <f aca="false">N355*O355</f>
        <v>49.5884</v>
      </c>
      <c r="Q355" s="15" t="s">
        <v>774</v>
      </c>
      <c r="R355" s="50" t="s">
        <v>429</v>
      </c>
      <c r="S355" s="15"/>
      <c r="T355" s="15" t="s">
        <v>687</v>
      </c>
      <c r="U355" s="38" t="n">
        <v>0</v>
      </c>
      <c r="V355" s="47" t="s">
        <v>768</v>
      </c>
    </row>
    <row r="356" customFormat="false" ht="35.05" hidden="false" customHeight="false" outlineLevel="0" collapsed="false">
      <c r="A356" s="47" t="n">
        <v>348</v>
      </c>
      <c r="B356" s="15" t="s">
        <v>278</v>
      </c>
      <c r="C356" s="15" t="s">
        <v>681</v>
      </c>
      <c r="D356" s="15" t="s">
        <v>764</v>
      </c>
      <c r="E356" s="15" t="s">
        <v>683</v>
      </c>
      <c r="F356" s="47" t="s">
        <v>769</v>
      </c>
      <c r="G356" s="15" t="s">
        <v>775</v>
      </c>
      <c r="H356" s="40" t="n">
        <v>14</v>
      </c>
      <c r="I356" s="47" t="s">
        <v>282</v>
      </c>
      <c r="J356" s="47" t="s">
        <v>113</v>
      </c>
      <c r="K356" s="40" t="n">
        <v>2</v>
      </c>
      <c r="L356" s="40" t="n">
        <v>1</v>
      </c>
      <c r="M356" s="45" t="n">
        <v>0.56</v>
      </c>
      <c r="N356" s="48" t="n">
        <f aca="false">K356*L356*M356</f>
        <v>1.12</v>
      </c>
      <c r="O356" s="29" t="n">
        <f aca="false">IFERROR(INDEX(Исходные!$B$18:$B$29,MATCH(H356,Исходные!$A$18:$A$29,0)),0)</f>
        <v>1.208</v>
      </c>
      <c r="P356" s="49" t="n">
        <f aca="false">N356*O356</f>
        <v>1.35296</v>
      </c>
      <c r="Q356" s="15" t="s">
        <v>771</v>
      </c>
      <c r="R356" s="50" t="s">
        <v>436</v>
      </c>
      <c r="S356" s="15" t="s">
        <v>776</v>
      </c>
      <c r="T356" s="15" t="s">
        <v>687</v>
      </c>
      <c r="U356" s="38" t="n">
        <v>0</v>
      </c>
      <c r="V356" s="47" t="s">
        <v>768</v>
      </c>
    </row>
    <row r="357" customFormat="false" ht="23.85" hidden="false" customHeight="false" outlineLevel="0" collapsed="false">
      <c r="A357" s="47" t="n">
        <v>349</v>
      </c>
      <c r="B357" s="15" t="s">
        <v>278</v>
      </c>
      <c r="C357" s="15" t="s">
        <v>681</v>
      </c>
      <c r="D357" s="15" t="s">
        <v>764</v>
      </c>
      <c r="E357" s="15" t="s">
        <v>683</v>
      </c>
      <c r="F357" s="47" t="s">
        <v>314</v>
      </c>
      <c r="G357" s="15" t="s">
        <v>777</v>
      </c>
      <c r="H357" s="40" t="n">
        <v>10</v>
      </c>
      <c r="I357" s="47" t="s">
        <v>316</v>
      </c>
      <c r="J357" s="47" t="n">
        <v>400</v>
      </c>
      <c r="K357" s="40" t="n">
        <v>1</v>
      </c>
      <c r="L357" s="40" t="n">
        <v>119</v>
      </c>
      <c r="M357" s="45" t="n">
        <v>0.7</v>
      </c>
      <c r="N357" s="48" t="n">
        <f aca="false">K357*L357*M357</f>
        <v>83.3</v>
      </c>
      <c r="O357" s="29" t="n">
        <f aca="false">IFERROR(INDEX(Исходные!$B$18:$B$29,MATCH(H357,Исходные!$A$18:$A$29,0)),0)</f>
        <v>0.617</v>
      </c>
      <c r="P357" s="49" t="n">
        <f aca="false">N357*O357</f>
        <v>51.3961</v>
      </c>
      <c r="Q357" s="15" t="s">
        <v>778</v>
      </c>
      <c r="R357" s="50" t="s">
        <v>284</v>
      </c>
      <c r="S357" s="15"/>
      <c r="T357" s="15" t="s">
        <v>687</v>
      </c>
      <c r="U357" s="38" t="n">
        <v>0</v>
      </c>
      <c r="V357" s="47" t="s">
        <v>768</v>
      </c>
    </row>
    <row r="358" customFormat="false" ht="23.85" hidden="false" customHeight="false" outlineLevel="0" collapsed="false">
      <c r="A358" s="47" t="n">
        <v>350</v>
      </c>
      <c r="B358" s="15" t="s">
        <v>278</v>
      </c>
      <c r="C358" s="15" t="s">
        <v>681</v>
      </c>
      <c r="D358" s="15" t="s">
        <v>779</v>
      </c>
      <c r="E358" s="15" t="s">
        <v>780</v>
      </c>
      <c r="F358" s="47" t="s">
        <v>780</v>
      </c>
      <c r="G358" s="15" t="s">
        <v>781</v>
      </c>
      <c r="H358" s="40" t="n">
        <v>10</v>
      </c>
      <c r="I358" s="47" t="s">
        <v>316</v>
      </c>
      <c r="J358" s="47" t="s">
        <v>782</v>
      </c>
      <c r="K358" s="40" t="n">
        <v>1</v>
      </c>
      <c r="L358" s="40" t="n">
        <v>847</v>
      </c>
      <c r="M358" s="45" t="n">
        <v>0.42</v>
      </c>
      <c r="N358" s="48" t="n">
        <f aca="false">K358*L358*M358</f>
        <v>355.74</v>
      </c>
      <c r="O358" s="29" t="n">
        <f aca="false">IFERROR(INDEX(Исходные!$B$18:$B$29,MATCH(H358,Исходные!$A$18:$A$29,0)),0)</f>
        <v>0.617</v>
      </c>
      <c r="P358" s="49" t="n">
        <f aca="false">N358*O358</f>
        <v>219.49158</v>
      </c>
      <c r="Q358" s="15" t="s">
        <v>783</v>
      </c>
      <c r="R358" s="52" t="s">
        <v>784</v>
      </c>
      <c r="S358" s="15"/>
      <c r="T358" s="15" t="s">
        <v>687</v>
      </c>
      <c r="U358" s="38" t="n">
        <v>1</v>
      </c>
      <c r="V358" s="47" t="s">
        <v>785</v>
      </c>
    </row>
    <row r="359" customFormat="false" ht="23.85" hidden="false" customHeight="false" outlineLevel="0" collapsed="false">
      <c r="A359" s="47" t="n">
        <v>351</v>
      </c>
      <c r="B359" s="15" t="s">
        <v>278</v>
      </c>
      <c r="C359" s="15" t="s">
        <v>681</v>
      </c>
      <c r="D359" s="15" t="s">
        <v>779</v>
      </c>
      <c r="E359" s="15" t="s">
        <v>786</v>
      </c>
      <c r="F359" s="47" t="s">
        <v>786</v>
      </c>
      <c r="G359" s="15" t="s">
        <v>787</v>
      </c>
      <c r="H359" s="40" t="n">
        <v>8</v>
      </c>
      <c r="I359" s="47" t="s">
        <v>316</v>
      </c>
      <c r="J359" s="47" t="s">
        <v>788</v>
      </c>
      <c r="K359" s="40" t="n">
        <v>1</v>
      </c>
      <c r="L359" s="40" t="n">
        <v>847</v>
      </c>
      <c r="M359" s="45" t="n">
        <v>0.22</v>
      </c>
      <c r="N359" s="48" t="n">
        <f aca="false">K359*L359*M359</f>
        <v>186.34</v>
      </c>
      <c r="O359" s="29" t="n">
        <f aca="false">IFERROR(INDEX(Исходные!$B$18:$B$29,MATCH(H359,Исходные!$A$18:$A$29,0)),0)</f>
        <v>0.395</v>
      </c>
      <c r="P359" s="49" t="n">
        <f aca="false">N359*O359</f>
        <v>73.6043</v>
      </c>
      <c r="Q359" s="15" t="s">
        <v>789</v>
      </c>
      <c r="R359" s="52" t="s">
        <v>784</v>
      </c>
      <c r="S359" s="15"/>
      <c r="T359" s="15" t="s">
        <v>687</v>
      </c>
      <c r="U359" s="38" t="n">
        <v>1</v>
      </c>
      <c r="V359" s="47" t="s">
        <v>785</v>
      </c>
    </row>
    <row r="360" customFormat="false" ht="15" hidden="false" customHeight="true" outlineLevel="0" collapsed="false">
      <c r="A360" s="2" t="s">
        <v>790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customFormat="false" ht="35.05" hidden="false" customHeight="false" outlineLevel="0" collapsed="false">
      <c r="A361" s="47" t="n">
        <v>352</v>
      </c>
      <c r="B361" s="15" t="s">
        <v>278</v>
      </c>
      <c r="C361" s="15" t="s">
        <v>791</v>
      </c>
      <c r="D361" s="15" t="s">
        <v>792</v>
      </c>
      <c r="E361" s="15" t="s">
        <v>793</v>
      </c>
      <c r="F361" s="47" t="s">
        <v>292</v>
      </c>
      <c r="G361" s="15" t="s">
        <v>794</v>
      </c>
      <c r="H361" s="40" t="n">
        <v>25</v>
      </c>
      <c r="I361" s="47" t="s">
        <v>282</v>
      </c>
      <c r="J361" s="47" t="s">
        <v>113</v>
      </c>
      <c r="K361" s="40" t="n">
        <v>1</v>
      </c>
      <c r="L361" s="40" t="n">
        <v>4</v>
      </c>
      <c r="M361" s="45" t="n">
        <v>20.4</v>
      </c>
      <c r="N361" s="48" t="n">
        <f aca="false">K361*L361*M361</f>
        <v>81.6</v>
      </c>
      <c r="O361" s="29" t="n">
        <f aca="false">IFERROR(INDEX(Исходные!$B$18:$B$29,MATCH(H361,Исходные!$A$18:$A$29,0)),0)</f>
        <v>3.853</v>
      </c>
      <c r="P361" s="49" t="n">
        <f aca="false">N361*O361</f>
        <v>314.4048</v>
      </c>
      <c r="Q361" s="15" t="s">
        <v>795</v>
      </c>
      <c r="R361" s="50" t="s">
        <v>429</v>
      </c>
      <c r="S361" s="15" t="s">
        <v>601</v>
      </c>
      <c r="T361" s="15" t="s">
        <v>687</v>
      </c>
      <c r="U361" s="38" t="n">
        <v>0</v>
      </c>
      <c r="V361" s="47" t="s">
        <v>796</v>
      </c>
    </row>
    <row r="362" customFormat="false" ht="35.05" hidden="false" customHeight="false" outlineLevel="0" collapsed="false">
      <c r="A362" s="47" t="n">
        <v>353</v>
      </c>
      <c r="B362" s="15" t="s">
        <v>278</v>
      </c>
      <c r="C362" s="15" t="s">
        <v>791</v>
      </c>
      <c r="D362" s="15" t="s">
        <v>797</v>
      </c>
      <c r="E362" s="15" t="s">
        <v>793</v>
      </c>
      <c r="F362" s="47" t="s">
        <v>292</v>
      </c>
      <c r="G362" s="15" t="s">
        <v>798</v>
      </c>
      <c r="H362" s="40" t="n">
        <v>25</v>
      </c>
      <c r="I362" s="47" t="s">
        <v>282</v>
      </c>
      <c r="J362" s="47" t="s">
        <v>113</v>
      </c>
      <c r="K362" s="40" t="n">
        <v>1</v>
      </c>
      <c r="L362" s="40" t="n">
        <v>4</v>
      </c>
      <c r="M362" s="45" t="n">
        <v>20.4</v>
      </c>
      <c r="N362" s="48" t="n">
        <f aca="false">K362*L362*M362</f>
        <v>81.6</v>
      </c>
      <c r="O362" s="29" t="n">
        <f aca="false">IFERROR(INDEX(Исходные!$B$18:$B$29,MATCH(H362,Исходные!$A$18:$A$29,0)),0)</f>
        <v>3.853</v>
      </c>
      <c r="P362" s="49" t="n">
        <f aca="false">N362*O362</f>
        <v>314.4048</v>
      </c>
      <c r="Q362" s="15" t="s">
        <v>795</v>
      </c>
      <c r="R362" s="50" t="s">
        <v>429</v>
      </c>
      <c r="S362" s="15" t="s">
        <v>601</v>
      </c>
      <c r="T362" s="15" t="s">
        <v>687</v>
      </c>
      <c r="U362" s="38" t="n">
        <v>0</v>
      </c>
      <c r="V362" s="47" t="s">
        <v>796</v>
      </c>
    </row>
    <row r="363" customFormat="false" ht="35.05" hidden="false" customHeight="false" outlineLevel="0" collapsed="false">
      <c r="A363" s="47" t="n">
        <v>354</v>
      </c>
      <c r="B363" s="15" t="s">
        <v>278</v>
      </c>
      <c r="C363" s="15" t="s">
        <v>791</v>
      </c>
      <c r="D363" s="15" t="s">
        <v>799</v>
      </c>
      <c r="E363" s="15" t="s">
        <v>793</v>
      </c>
      <c r="F363" s="47" t="s">
        <v>292</v>
      </c>
      <c r="G363" s="15" t="s">
        <v>800</v>
      </c>
      <c r="H363" s="40" t="n">
        <v>25</v>
      </c>
      <c r="I363" s="47" t="s">
        <v>282</v>
      </c>
      <c r="J363" s="47" t="s">
        <v>113</v>
      </c>
      <c r="K363" s="40" t="n">
        <v>1</v>
      </c>
      <c r="L363" s="40" t="n">
        <v>4</v>
      </c>
      <c r="M363" s="45" t="n">
        <v>13.9</v>
      </c>
      <c r="N363" s="48" t="n">
        <f aca="false">K363*L363*M363</f>
        <v>55.6</v>
      </c>
      <c r="O363" s="29" t="n">
        <f aca="false">IFERROR(INDEX(Исходные!$B$18:$B$29,MATCH(H363,Исходные!$A$18:$A$29,0)),0)</f>
        <v>3.853</v>
      </c>
      <c r="P363" s="49" t="n">
        <f aca="false">N363*O363</f>
        <v>214.2268</v>
      </c>
      <c r="Q363" s="15" t="s">
        <v>795</v>
      </c>
      <c r="R363" s="50" t="s">
        <v>429</v>
      </c>
      <c r="S363" s="15" t="s">
        <v>601</v>
      </c>
      <c r="T363" s="15" t="s">
        <v>687</v>
      </c>
      <c r="U363" s="38" t="n">
        <v>0</v>
      </c>
      <c r="V363" s="47" t="s">
        <v>796</v>
      </c>
    </row>
    <row r="364" customFormat="false" ht="35.05" hidden="false" customHeight="false" outlineLevel="0" collapsed="false">
      <c r="A364" s="47" t="n">
        <v>355</v>
      </c>
      <c r="B364" s="15" t="s">
        <v>278</v>
      </c>
      <c r="C364" s="15" t="s">
        <v>791</v>
      </c>
      <c r="D364" s="15" t="s">
        <v>801</v>
      </c>
      <c r="E364" s="15" t="s">
        <v>793</v>
      </c>
      <c r="F364" s="47" t="s">
        <v>292</v>
      </c>
      <c r="G364" s="15" t="s">
        <v>802</v>
      </c>
      <c r="H364" s="40" t="n">
        <v>25</v>
      </c>
      <c r="I364" s="47" t="s">
        <v>282</v>
      </c>
      <c r="J364" s="47" t="s">
        <v>113</v>
      </c>
      <c r="K364" s="40" t="n">
        <v>1</v>
      </c>
      <c r="L364" s="40" t="n">
        <v>4</v>
      </c>
      <c r="M364" s="45" t="n">
        <v>20.4</v>
      </c>
      <c r="N364" s="48" t="n">
        <f aca="false">K364*L364*M364</f>
        <v>81.6</v>
      </c>
      <c r="O364" s="29" t="n">
        <f aca="false">IFERROR(INDEX(Исходные!$B$18:$B$29,MATCH(H364,Исходные!$A$18:$A$29,0)),0)</f>
        <v>3.853</v>
      </c>
      <c r="P364" s="49" t="n">
        <f aca="false">N364*O364</f>
        <v>314.4048</v>
      </c>
      <c r="Q364" s="15" t="s">
        <v>795</v>
      </c>
      <c r="R364" s="50" t="s">
        <v>429</v>
      </c>
      <c r="S364" s="15" t="s">
        <v>601</v>
      </c>
      <c r="T364" s="15" t="s">
        <v>687</v>
      </c>
      <c r="U364" s="38" t="n">
        <v>0</v>
      </c>
      <c r="V364" s="47" t="s">
        <v>796</v>
      </c>
    </row>
    <row r="365" customFormat="false" ht="35.05" hidden="false" customHeight="false" outlineLevel="0" collapsed="false">
      <c r="A365" s="47" t="n">
        <v>356</v>
      </c>
      <c r="B365" s="15" t="s">
        <v>278</v>
      </c>
      <c r="C365" s="15" t="s">
        <v>791</v>
      </c>
      <c r="D365" s="15" t="s">
        <v>803</v>
      </c>
      <c r="E365" s="15" t="s">
        <v>793</v>
      </c>
      <c r="F365" s="47" t="s">
        <v>292</v>
      </c>
      <c r="G365" s="15" t="s">
        <v>804</v>
      </c>
      <c r="H365" s="40" t="n">
        <v>25</v>
      </c>
      <c r="I365" s="47" t="s">
        <v>282</v>
      </c>
      <c r="J365" s="47" t="s">
        <v>113</v>
      </c>
      <c r="K365" s="40" t="n">
        <v>1</v>
      </c>
      <c r="L365" s="40" t="n">
        <v>4</v>
      </c>
      <c r="M365" s="45" t="n">
        <v>25.4</v>
      </c>
      <c r="N365" s="48" t="n">
        <f aca="false">K365*L365*M365</f>
        <v>101.6</v>
      </c>
      <c r="O365" s="29" t="n">
        <f aca="false">IFERROR(INDEX(Исходные!$B$18:$B$29,MATCH(H365,Исходные!$A$18:$A$29,0)),0)</f>
        <v>3.853</v>
      </c>
      <c r="P365" s="49" t="n">
        <f aca="false">N365*O365</f>
        <v>391.4648</v>
      </c>
      <c r="Q365" s="15" t="s">
        <v>795</v>
      </c>
      <c r="R365" s="50" t="s">
        <v>429</v>
      </c>
      <c r="S365" s="15" t="s">
        <v>430</v>
      </c>
      <c r="T365" s="15" t="s">
        <v>687</v>
      </c>
      <c r="U365" s="38" t="n">
        <v>0</v>
      </c>
      <c r="V365" s="47" t="s">
        <v>796</v>
      </c>
    </row>
    <row r="366" customFormat="false" ht="35.05" hidden="false" customHeight="false" outlineLevel="0" collapsed="false">
      <c r="A366" s="47" t="n">
        <v>357</v>
      </c>
      <c r="B366" s="15" t="s">
        <v>278</v>
      </c>
      <c r="C366" s="15" t="s">
        <v>791</v>
      </c>
      <c r="D366" s="15" t="s">
        <v>805</v>
      </c>
      <c r="E366" s="15" t="s">
        <v>793</v>
      </c>
      <c r="F366" s="47" t="s">
        <v>292</v>
      </c>
      <c r="G366" s="15" t="s">
        <v>806</v>
      </c>
      <c r="H366" s="40" t="n">
        <v>25</v>
      </c>
      <c r="I366" s="47" t="s">
        <v>282</v>
      </c>
      <c r="J366" s="47" t="s">
        <v>113</v>
      </c>
      <c r="K366" s="40" t="n">
        <v>1</v>
      </c>
      <c r="L366" s="40" t="n">
        <v>4</v>
      </c>
      <c r="M366" s="45" t="n">
        <v>25.4</v>
      </c>
      <c r="N366" s="48" t="n">
        <f aca="false">K366*L366*M366</f>
        <v>101.6</v>
      </c>
      <c r="O366" s="29" t="n">
        <f aca="false">IFERROR(INDEX(Исходные!$B$18:$B$29,MATCH(H366,Исходные!$A$18:$A$29,0)),0)</f>
        <v>3.853</v>
      </c>
      <c r="P366" s="49" t="n">
        <f aca="false">N366*O366</f>
        <v>391.4648</v>
      </c>
      <c r="Q366" s="15" t="s">
        <v>795</v>
      </c>
      <c r="R366" s="50" t="s">
        <v>429</v>
      </c>
      <c r="S366" s="15" t="s">
        <v>430</v>
      </c>
      <c r="T366" s="15" t="s">
        <v>687</v>
      </c>
      <c r="U366" s="38" t="n">
        <v>0</v>
      </c>
      <c r="V366" s="47" t="s">
        <v>796</v>
      </c>
    </row>
    <row r="367" customFormat="false" ht="35.05" hidden="false" customHeight="false" outlineLevel="0" collapsed="false">
      <c r="A367" s="47" t="n">
        <v>358</v>
      </c>
      <c r="B367" s="15" t="s">
        <v>278</v>
      </c>
      <c r="C367" s="15" t="s">
        <v>791</v>
      </c>
      <c r="D367" s="15" t="s">
        <v>807</v>
      </c>
      <c r="E367" s="15" t="s">
        <v>793</v>
      </c>
      <c r="F367" s="47" t="s">
        <v>292</v>
      </c>
      <c r="G367" s="15" t="s">
        <v>808</v>
      </c>
      <c r="H367" s="40" t="n">
        <v>25</v>
      </c>
      <c r="I367" s="47" t="s">
        <v>282</v>
      </c>
      <c r="J367" s="47" t="s">
        <v>113</v>
      </c>
      <c r="K367" s="40" t="n">
        <v>1</v>
      </c>
      <c r="L367" s="40" t="n">
        <v>4</v>
      </c>
      <c r="M367" s="45" t="n">
        <v>13.9</v>
      </c>
      <c r="N367" s="48" t="n">
        <f aca="false">K367*L367*M367</f>
        <v>55.6</v>
      </c>
      <c r="O367" s="29" t="n">
        <f aca="false">IFERROR(INDEX(Исходные!$B$18:$B$29,MATCH(H367,Исходные!$A$18:$A$29,0)),0)</f>
        <v>3.853</v>
      </c>
      <c r="P367" s="49" t="n">
        <f aca="false">N367*O367</f>
        <v>214.2268</v>
      </c>
      <c r="Q367" s="15" t="s">
        <v>795</v>
      </c>
      <c r="R367" s="50" t="s">
        <v>429</v>
      </c>
      <c r="S367" s="15" t="s">
        <v>601</v>
      </c>
      <c r="T367" s="15" t="s">
        <v>687</v>
      </c>
      <c r="U367" s="38" t="n">
        <v>0</v>
      </c>
      <c r="V367" s="47" t="s">
        <v>796</v>
      </c>
    </row>
    <row r="368" customFormat="false" ht="35.05" hidden="false" customHeight="false" outlineLevel="0" collapsed="false">
      <c r="A368" s="47" t="n">
        <v>359</v>
      </c>
      <c r="B368" s="15" t="s">
        <v>278</v>
      </c>
      <c r="C368" s="15" t="s">
        <v>791</v>
      </c>
      <c r="D368" s="15" t="s">
        <v>809</v>
      </c>
      <c r="E368" s="15" t="s">
        <v>810</v>
      </c>
      <c r="F368" s="47" t="s">
        <v>292</v>
      </c>
      <c r="G368" s="15" t="s">
        <v>811</v>
      </c>
      <c r="H368" s="40" t="n">
        <v>25</v>
      </c>
      <c r="I368" s="47" t="s">
        <v>282</v>
      </c>
      <c r="J368" s="47" t="s">
        <v>113</v>
      </c>
      <c r="K368" s="40" t="n">
        <v>1</v>
      </c>
      <c r="L368" s="40" t="n">
        <v>4</v>
      </c>
      <c r="M368" s="45" t="n">
        <v>11.9</v>
      </c>
      <c r="N368" s="48" t="n">
        <f aca="false">K368*L368*M368</f>
        <v>47.6</v>
      </c>
      <c r="O368" s="29" t="n">
        <f aca="false">IFERROR(INDEX(Исходные!$B$18:$B$29,MATCH(H368,Исходные!$A$18:$A$29,0)),0)</f>
        <v>3.853</v>
      </c>
      <c r="P368" s="49" t="n">
        <f aca="false">N368*O368</f>
        <v>183.4028</v>
      </c>
      <c r="Q368" s="15" t="s">
        <v>812</v>
      </c>
      <c r="R368" s="50" t="s">
        <v>429</v>
      </c>
      <c r="S368" s="15" t="s">
        <v>601</v>
      </c>
      <c r="T368" s="15" t="s">
        <v>687</v>
      </c>
      <c r="U368" s="38" t="n">
        <v>0</v>
      </c>
      <c r="V368" s="47" t="s">
        <v>796</v>
      </c>
    </row>
    <row r="369" customFormat="false" ht="35.05" hidden="false" customHeight="false" outlineLevel="0" collapsed="false">
      <c r="A369" s="47" t="n">
        <v>360</v>
      </c>
      <c r="B369" s="15" t="s">
        <v>278</v>
      </c>
      <c r="C369" s="15" t="s">
        <v>791</v>
      </c>
      <c r="D369" s="15" t="s">
        <v>813</v>
      </c>
      <c r="E369" s="15" t="s">
        <v>814</v>
      </c>
      <c r="F369" s="47" t="s">
        <v>292</v>
      </c>
      <c r="G369" s="15" t="s">
        <v>815</v>
      </c>
      <c r="H369" s="40" t="n">
        <v>25</v>
      </c>
      <c r="I369" s="47" t="s">
        <v>282</v>
      </c>
      <c r="J369" s="47" t="s">
        <v>113</v>
      </c>
      <c r="K369" s="40" t="n">
        <v>1</v>
      </c>
      <c r="L369" s="40" t="n">
        <v>4</v>
      </c>
      <c r="M369" s="45" t="n">
        <v>3.785</v>
      </c>
      <c r="N369" s="48" t="n">
        <f aca="false">K369*L369*M369</f>
        <v>15.14</v>
      </c>
      <c r="O369" s="29" t="n">
        <f aca="false">IFERROR(INDEX(Исходные!$B$18:$B$29,MATCH(H369,Исходные!$A$18:$A$29,0)),0)</f>
        <v>3.853</v>
      </c>
      <c r="P369" s="49" t="n">
        <f aca="false">N369*O369</f>
        <v>58.33442</v>
      </c>
      <c r="Q369" s="15" t="s">
        <v>816</v>
      </c>
      <c r="R369" s="50" t="s">
        <v>429</v>
      </c>
      <c r="S369" s="15"/>
      <c r="T369" s="15" t="s">
        <v>687</v>
      </c>
      <c r="U369" s="38" t="n">
        <v>0</v>
      </c>
      <c r="V369" s="47" t="s">
        <v>796</v>
      </c>
    </row>
    <row r="370" customFormat="false" ht="35.05" hidden="false" customHeight="false" outlineLevel="0" collapsed="false">
      <c r="A370" s="47" t="n">
        <v>361</v>
      </c>
      <c r="B370" s="15" t="s">
        <v>278</v>
      </c>
      <c r="C370" s="15" t="s">
        <v>791</v>
      </c>
      <c r="D370" s="15" t="s">
        <v>817</v>
      </c>
      <c r="E370" s="15" t="s">
        <v>814</v>
      </c>
      <c r="F370" s="47" t="s">
        <v>292</v>
      </c>
      <c r="G370" s="15" t="s">
        <v>818</v>
      </c>
      <c r="H370" s="40" t="n">
        <v>25</v>
      </c>
      <c r="I370" s="47" t="s">
        <v>282</v>
      </c>
      <c r="J370" s="47" t="s">
        <v>113</v>
      </c>
      <c r="K370" s="40" t="n">
        <v>1</v>
      </c>
      <c r="L370" s="40" t="n">
        <v>4</v>
      </c>
      <c r="M370" s="45" t="n">
        <v>3.365</v>
      </c>
      <c r="N370" s="48" t="n">
        <f aca="false">K370*L370*M370</f>
        <v>13.46</v>
      </c>
      <c r="O370" s="29" t="n">
        <f aca="false">IFERROR(INDEX(Исходные!$B$18:$B$29,MATCH(H370,Исходные!$A$18:$A$29,0)),0)</f>
        <v>3.853</v>
      </c>
      <c r="P370" s="49" t="n">
        <f aca="false">N370*O370</f>
        <v>51.86138</v>
      </c>
      <c r="Q370" s="15" t="s">
        <v>816</v>
      </c>
      <c r="R370" s="50" t="s">
        <v>429</v>
      </c>
      <c r="S370" s="15"/>
      <c r="T370" s="15" t="s">
        <v>687</v>
      </c>
      <c r="U370" s="38" t="n">
        <v>0</v>
      </c>
      <c r="V370" s="47" t="s">
        <v>796</v>
      </c>
    </row>
    <row r="371" customFormat="false" ht="35.05" hidden="false" customHeight="false" outlineLevel="0" collapsed="false">
      <c r="A371" s="47" t="n">
        <v>362</v>
      </c>
      <c r="B371" s="15" t="s">
        <v>278</v>
      </c>
      <c r="C371" s="15" t="s">
        <v>791</v>
      </c>
      <c r="D371" s="15" t="s">
        <v>819</v>
      </c>
      <c r="E371" s="15" t="s">
        <v>820</v>
      </c>
      <c r="F371" s="47" t="s">
        <v>286</v>
      </c>
      <c r="G371" s="15" t="s">
        <v>821</v>
      </c>
      <c r="H371" s="40" t="n">
        <v>20</v>
      </c>
      <c r="I371" s="47" t="s">
        <v>282</v>
      </c>
      <c r="J371" s="47" t="s">
        <v>113</v>
      </c>
      <c r="K371" s="40" t="n">
        <v>1</v>
      </c>
      <c r="L371" s="40" t="n">
        <v>4</v>
      </c>
      <c r="M371" s="45" t="n">
        <v>3.05</v>
      </c>
      <c r="N371" s="48" t="n">
        <f aca="false">K371*L371*M371</f>
        <v>12.2</v>
      </c>
      <c r="O371" s="29" t="n">
        <f aca="false">IFERROR(INDEX(Исходные!$B$18:$B$29,MATCH(H371,Исходные!$A$18:$A$29,0)),0)</f>
        <v>2.466</v>
      </c>
      <c r="P371" s="49" t="n">
        <f aca="false">N371*O371</f>
        <v>30.0852</v>
      </c>
      <c r="Q371" s="15" t="s">
        <v>822</v>
      </c>
      <c r="R371" s="50" t="s">
        <v>429</v>
      </c>
      <c r="S371" s="15"/>
      <c r="T371" s="15" t="s">
        <v>687</v>
      </c>
      <c r="U371" s="38" t="n">
        <v>0</v>
      </c>
      <c r="V371" s="47" t="s">
        <v>796</v>
      </c>
    </row>
    <row r="372" customFormat="false" ht="35.05" hidden="false" customHeight="false" outlineLevel="0" collapsed="false">
      <c r="A372" s="47" t="n">
        <v>363</v>
      </c>
      <c r="B372" s="15" t="s">
        <v>278</v>
      </c>
      <c r="C372" s="15" t="s">
        <v>791</v>
      </c>
      <c r="D372" s="15" t="s">
        <v>823</v>
      </c>
      <c r="E372" s="15" t="s">
        <v>820</v>
      </c>
      <c r="F372" s="47" t="s">
        <v>286</v>
      </c>
      <c r="G372" s="15" t="s">
        <v>824</v>
      </c>
      <c r="H372" s="40" t="n">
        <v>20</v>
      </c>
      <c r="I372" s="47" t="s">
        <v>282</v>
      </c>
      <c r="J372" s="47" t="s">
        <v>113</v>
      </c>
      <c r="K372" s="40" t="n">
        <v>1</v>
      </c>
      <c r="L372" s="40" t="n">
        <v>4</v>
      </c>
      <c r="M372" s="45" t="n">
        <v>3.785</v>
      </c>
      <c r="N372" s="48" t="n">
        <f aca="false">K372*L372*M372</f>
        <v>15.14</v>
      </c>
      <c r="O372" s="29" t="n">
        <f aca="false">IFERROR(INDEX(Исходные!$B$18:$B$29,MATCH(H372,Исходные!$A$18:$A$29,0)),0)</f>
        <v>2.466</v>
      </c>
      <c r="P372" s="49" t="n">
        <f aca="false">N372*O372</f>
        <v>37.33524</v>
      </c>
      <c r="Q372" s="15" t="s">
        <v>822</v>
      </c>
      <c r="R372" s="50" t="s">
        <v>429</v>
      </c>
      <c r="S372" s="15"/>
      <c r="T372" s="15" t="s">
        <v>687</v>
      </c>
      <c r="U372" s="38" t="n">
        <v>0</v>
      </c>
      <c r="V372" s="47" t="s">
        <v>796</v>
      </c>
    </row>
    <row r="373" customFormat="false" ht="35.05" hidden="false" customHeight="false" outlineLevel="0" collapsed="false">
      <c r="A373" s="47" t="n">
        <v>364</v>
      </c>
      <c r="B373" s="15" t="s">
        <v>278</v>
      </c>
      <c r="C373" s="15" t="s">
        <v>791</v>
      </c>
      <c r="D373" s="15" t="s">
        <v>825</v>
      </c>
      <c r="E373" s="15" t="s">
        <v>820</v>
      </c>
      <c r="F373" s="47" t="s">
        <v>286</v>
      </c>
      <c r="G373" s="15" t="s">
        <v>826</v>
      </c>
      <c r="H373" s="40" t="n">
        <v>20</v>
      </c>
      <c r="I373" s="47" t="s">
        <v>282</v>
      </c>
      <c r="J373" s="47" t="s">
        <v>113</v>
      </c>
      <c r="K373" s="40" t="n">
        <v>1</v>
      </c>
      <c r="L373" s="40" t="n">
        <v>4</v>
      </c>
      <c r="M373" s="45" t="n">
        <v>4.1</v>
      </c>
      <c r="N373" s="48" t="n">
        <f aca="false">K373*L373*M373</f>
        <v>16.4</v>
      </c>
      <c r="O373" s="29" t="n">
        <f aca="false">IFERROR(INDEX(Исходные!$B$18:$B$29,MATCH(H373,Исходные!$A$18:$A$29,0)),0)</f>
        <v>2.466</v>
      </c>
      <c r="P373" s="49" t="n">
        <f aca="false">N373*O373</f>
        <v>40.4424</v>
      </c>
      <c r="Q373" s="15" t="s">
        <v>822</v>
      </c>
      <c r="R373" s="50" t="s">
        <v>429</v>
      </c>
      <c r="S373" s="15"/>
      <c r="T373" s="15" t="s">
        <v>687</v>
      </c>
      <c r="U373" s="38" t="n">
        <v>0</v>
      </c>
      <c r="V373" s="47" t="s">
        <v>796</v>
      </c>
    </row>
    <row r="374" customFormat="false" ht="35.05" hidden="false" customHeight="false" outlineLevel="0" collapsed="false">
      <c r="A374" s="47" t="n">
        <v>365</v>
      </c>
      <c r="B374" s="15" t="s">
        <v>278</v>
      </c>
      <c r="C374" s="15" t="s">
        <v>791</v>
      </c>
      <c r="D374" s="15" t="s">
        <v>827</v>
      </c>
      <c r="E374" s="15" t="s">
        <v>820</v>
      </c>
      <c r="F374" s="47" t="s">
        <v>286</v>
      </c>
      <c r="G374" s="15" t="s">
        <v>828</v>
      </c>
      <c r="H374" s="40" t="n">
        <v>20</v>
      </c>
      <c r="I374" s="47" t="s">
        <v>282</v>
      </c>
      <c r="J374" s="47" t="s">
        <v>113</v>
      </c>
      <c r="K374" s="40" t="n">
        <v>1</v>
      </c>
      <c r="L374" s="40" t="n">
        <v>4</v>
      </c>
      <c r="M374" s="45" t="n">
        <v>3.325</v>
      </c>
      <c r="N374" s="48" t="n">
        <f aca="false">K374*L374*M374</f>
        <v>13.3</v>
      </c>
      <c r="O374" s="29" t="n">
        <f aca="false">IFERROR(INDEX(Исходные!$B$18:$B$29,MATCH(H374,Исходные!$A$18:$A$29,0)),0)</f>
        <v>2.466</v>
      </c>
      <c r="P374" s="49" t="n">
        <f aca="false">N374*O374</f>
        <v>32.7978</v>
      </c>
      <c r="Q374" s="15" t="s">
        <v>822</v>
      </c>
      <c r="R374" s="50" t="s">
        <v>429</v>
      </c>
      <c r="S374" s="15"/>
      <c r="T374" s="15" t="s">
        <v>687</v>
      </c>
      <c r="U374" s="38" t="n">
        <v>0</v>
      </c>
      <c r="V374" s="47" t="s">
        <v>796</v>
      </c>
    </row>
    <row r="375" customFormat="false" ht="35.05" hidden="false" customHeight="false" outlineLevel="0" collapsed="false">
      <c r="A375" s="47" t="n">
        <v>366</v>
      </c>
      <c r="B375" s="15" t="s">
        <v>278</v>
      </c>
      <c r="C375" s="15" t="s">
        <v>791</v>
      </c>
      <c r="D375" s="15" t="s">
        <v>829</v>
      </c>
      <c r="E375" s="15" t="s">
        <v>830</v>
      </c>
      <c r="F375" s="47" t="s">
        <v>345</v>
      </c>
      <c r="G375" s="15" t="s">
        <v>831</v>
      </c>
      <c r="H375" s="40" t="n">
        <v>22</v>
      </c>
      <c r="I375" s="47" t="s">
        <v>282</v>
      </c>
      <c r="J375" s="47" t="s">
        <v>113</v>
      </c>
      <c r="K375" s="40" t="n">
        <v>1</v>
      </c>
      <c r="L375" s="40" t="n">
        <v>4</v>
      </c>
      <c r="M375" s="45" t="n">
        <v>2.175</v>
      </c>
      <c r="N375" s="48" t="n">
        <f aca="false">K375*L375*M375</f>
        <v>8.7</v>
      </c>
      <c r="O375" s="29" t="n">
        <f aca="false">IFERROR(INDEX(Исходные!$B$18:$B$29,MATCH(H375,Исходные!$A$18:$A$29,0)),0)</f>
        <v>2.984</v>
      </c>
      <c r="P375" s="49" t="n">
        <f aca="false">N375*O375</f>
        <v>25.9608</v>
      </c>
      <c r="Q375" s="15" t="s">
        <v>832</v>
      </c>
      <c r="R375" s="50" t="s">
        <v>429</v>
      </c>
      <c r="S375" s="15"/>
      <c r="T375" s="15" t="s">
        <v>687</v>
      </c>
      <c r="U375" s="38" t="n">
        <v>0</v>
      </c>
      <c r="V375" s="47" t="s">
        <v>796</v>
      </c>
    </row>
    <row r="376" customFormat="false" ht="35.05" hidden="false" customHeight="false" outlineLevel="0" collapsed="false">
      <c r="A376" s="47" t="n">
        <v>367</v>
      </c>
      <c r="B376" s="15" t="s">
        <v>278</v>
      </c>
      <c r="C376" s="15" t="s">
        <v>791</v>
      </c>
      <c r="D376" s="15" t="s">
        <v>829</v>
      </c>
      <c r="E376" s="15" t="s">
        <v>830</v>
      </c>
      <c r="F376" s="47" t="s">
        <v>345</v>
      </c>
      <c r="G376" s="15" t="s">
        <v>833</v>
      </c>
      <c r="H376" s="40" t="n">
        <v>22</v>
      </c>
      <c r="I376" s="47" t="s">
        <v>282</v>
      </c>
      <c r="J376" s="47" t="s">
        <v>113</v>
      </c>
      <c r="K376" s="40" t="n">
        <v>1</v>
      </c>
      <c r="L376" s="40" t="n">
        <v>4</v>
      </c>
      <c r="M376" s="45" t="n">
        <v>4.15</v>
      </c>
      <c r="N376" s="48" t="n">
        <f aca="false">K376*L376*M376</f>
        <v>16.6</v>
      </c>
      <c r="O376" s="29" t="n">
        <f aca="false">IFERROR(INDEX(Исходные!$B$18:$B$29,MATCH(H376,Исходные!$A$18:$A$29,0)),0)</f>
        <v>2.984</v>
      </c>
      <c r="P376" s="49" t="n">
        <f aca="false">N376*O376</f>
        <v>49.5344</v>
      </c>
      <c r="Q376" s="15" t="s">
        <v>832</v>
      </c>
      <c r="R376" s="50" t="s">
        <v>429</v>
      </c>
      <c r="S376" s="15"/>
      <c r="T376" s="15" t="s">
        <v>687</v>
      </c>
      <c r="U376" s="38" t="n">
        <v>0</v>
      </c>
      <c r="V376" s="47" t="s">
        <v>796</v>
      </c>
    </row>
    <row r="377" customFormat="false" ht="35.05" hidden="false" customHeight="false" outlineLevel="0" collapsed="false">
      <c r="A377" s="47" t="n">
        <v>368</v>
      </c>
      <c r="B377" s="15" t="s">
        <v>278</v>
      </c>
      <c r="C377" s="15" t="s">
        <v>791</v>
      </c>
      <c r="D377" s="15" t="s">
        <v>829</v>
      </c>
      <c r="E377" s="15" t="s">
        <v>830</v>
      </c>
      <c r="F377" s="47" t="s">
        <v>345</v>
      </c>
      <c r="G377" s="15" t="s">
        <v>834</v>
      </c>
      <c r="H377" s="40" t="n">
        <v>22</v>
      </c>
      <c r="I377" s="47" t="s">
        <v>282</v>
      </c>
      <c r="J377" s="47" t="s">
        <v>113</v>
      </c>
      <c r="K377" s="40" t="n">
        <v>1</v>
      </c>
      <c r="L377" s="40" t="n">
        <v>4</v>
      </c>
      <c r="M377" s="45" t="n">
        <v>2.175</v>
      </c>
      <c r="N377" s="48" t="n">
        <f aca="false">K377*L377*M377</f>
        <v>8.7</v>
      </c>
      <c r="O377" s="29" t="n">
        <f aca="false">IFERROR(INDEX(Исходные!$B$18:$B$29,MATCH(H377,Исходные!$A$18:$A$29,0)),0)</f>
        <v>2.984</v>
      </c>
      <c r="P377" s="49" t="n">
        <f aca="false">N377*O377</f>
        <v>25.9608</v>
      </c>
      <c r="Q377" s="15" t="s">
        <v>832</v>
      </c>
      <c r="R377" s="50" t="s">
        <v>429</v>
      </c>
      <c r="S377" s="15"/>
      <c r="T377" s="15" t="s">
        <v>687</v>
      </c>
      <c r="U377" s="38" t="n">
        <v>0</v>
      </c>
      <c r="V377" s="47" t="s">
        <v>796</v>
      </c>
    </row>
    <row r="378" customFormat="false" ht="35.05" hidden="false" customHeight="false" outlineLevel="0" collapsed="false">
      <c r="A378" s="47" t="n">
        <v>369</v>
      </c>
      <c r="B378" s="15" t="s">
        <v>278</v>
      </c>
      <c r="C378" s="15" t="s">
        <v>791</v>
      </c>
      <c r="D378" s="15" t="s">
        <v>835</v>
      </c>
      <c r="E378" s="15" t="s">
        <v>830</v>
      </c>
      <c r="F378" s="47" t="s">
        <v>345</v>
      </c>
      <c r="G378" s="15" t="s">
        <v>831</v>
      </c>
      <c r="H378" s="40" t="n">
        <v>22</v>
      </c>
      <c r="I378" s="47" t="s">
        <v>282</v>
      </c>
      <c r="J378" s="47" t="s">
        <v>113</v>
      </c>
      <c r="K378" s="40" t="n">
        <v>1</v>
      </c>
      <c r="L378" s="40" t="n">
        <v>4</v>
      </c>
      <c r="M378" s="45" t="n">
        <v>2.175</v>
      </c>
      <c r="N378" s="48" t="n">
        <f aca="false">K378*L378*M378</f>
        <v>8.7</v>
      </c>
      <c r="O378" s="29" t="n">
        <f aca="false">IFERROR(INDEX(Исходные!$B$18:$B$29,MATCH(H378,Исходные!$A$18:$A$29,0)),0)</f>
        <v>2.984</v>
      </c>
      <c r="P378" s="49" t="n">
        <f aca="false">N378*O378</f>
        <v>25.9608</v>
      </c>
      <c r="Q378" s="15" t="s">
        <v>832</v>
      </c>
      <c r="R378" s="50" t="s">
        <v>429</v>
      </c>
      <c r="S378" s="15"/>
      <c r="T378" s="15" t="s">
        <v>687</v>
      </c>
      <c r="U378" s="38" t="n">
        <v>0</v>
      </c>
      <c r="V378" s="47" t="s">
        <v>796</v>
      </c>
    </row>
    <row r="379" customFormat="false" ht="35.05" hidden="false" customHeight="false" outlineLevel="0" collapsed="false">
      <c r="A379" s="47" t="n">
        <v>370</v>
      </c>
      <c r="B379" s="15" t="s">
        <v>278</v>
      </c>
      <c r="C379" s="15" t="s">
        <v>791</v>
      </c>
      <c r="D379" s="15" t="s">
        <v>835</v>
      </c>
      <c r="E379" s="15" t="s">
        <v>830</v>
      </c>
      <c r="F379" s="47" t="s">
        <v>345</v>
      </c>
      <c r="G379" s="15" t="s">
        <v>833</v>
      </c>
      <c r="H379" s="40" t="n">
        <v>22</v>
      </c>
      <c r="I379" s="47" t="s">
        <v>282</v>
      </c>
      <c r="J379" s="47" t="s">
        <v>113</v>
      </c>
      <c r="K379" s="40" t="n">
        <v>1</v>
      </c>
      <c r="L379" s="40" t="n">
        <v>4</v>
      </c>
      <c r="M379" s="45" t="n">
        <v>4.15</v>
      </c>
      <c r="N379" s="48" t="n">
        <f aca="false">K379*L379*M379</f>
        <v>16.6</v>
      </c>
      <c r="O379" s="29" t="n">
        <f aca="false">IFERROR(INDEX(Исходные!$B$18:$B$29,MATCH(H379,Исходные!$A$18:$A$29,0)),0)</f>
        <v>2.984</v>
      </c>
      <c r="P379" s="49" t="n">
        <f aca="false">N379*O379</f>
        <v>49.5344</v>
      </c>
      <c r="Q379" s="15" t="s">
        <v>832</v>
      </c>
      <c r="R379" s="50" t="s">
        <v>429</v>
      </c>
      <c r="S379" s="15"/>
      <c r="T379" s="15" t="s">
        <v>687</v>
      </c>
      <c r="U379" s="38" t="n">
        <v>0</v>
      </c>
      <c r="V379" s="47" t="s">
        <v>796</v>
      </c>
    </row>
    <row r="380" customFormat="false" ht="35.05" hidden="false" customHeight="false" outlineLevel="0" collapsed="false">
      <c r="A380" s="47" t="n">
        <v>371</v>
      </c>
      <c r="B380" s="15" t="s">
        <v>278</v>
      </c>
      <c r="C380" s="15" t="s">
        <v>791</v>
      </c>
      <c r="D380" s="15" t="s">
        <v>835</v>
      </c>
      <c r="E380" s="15" t="s">
        <v>830</v>
      </c>
      <c r="F380" s="47" t="s">
        <v>345</v>
      </c>
      <c r="G380" s="15" t="s">
        <v>834</v>
      </c>
      <c r="H380" s="40" t="n">
        <v>22</v>
      </c>
      <c r="I380" s="47" t="s">
        <v>282</v>
      </c>
      <c r="J380" s="47" t="s">
        <v>113</v>
      </c>
      <c r="K380" s="40" t="n">
        <v>1</v>
      </c>
      <c r="L380" s="40" t="n">
        <v>4</v>
      </c>
      <c r="M380" s="45" t="n">
        <v>2.175</v>
      </c>
      <c r="N380" s="48" t="n">
        <f aca="false">K380*L380*M380</f>
        <v>8.7</v>
      </c>
      <c r="O380" s="29" t="n">
        <f aca="false">IFERROR(INDEX(Исходные!$B$18:$B$29,MATCH(H380,Исходные!$A$18:$A$29,0)),0)</f>
        <v>2.984</v>
      </c>
      <c r="P380" s="49" t="n">
        <f aca="false">N380*O380</f>
        <v>25.9608</v>
      </c>
      <c r="Q380" s="15" t="s">
        <v>832</v>
      </c>
      <c r="R380" s="50" t="s">
        <v>429</v>
      </c>
      <c r="S380" s="15"/>
      <c r="T380" s="15" t="s">
        <v>687</v>
      </c>
      <c r="U380" s="38" t="n">
        <v>0</v>
      </c>
      <c r="V380" s="47" t="s">
        <v>796</v>
      </c>
    </row>
    <row r="381" customFormat="false" ht="35.05" hidden="false" customHeight="false" outlineLevel="0" collapsed="false">
      <c r="A381" s="47" t="n">
        <v>372</v>
      </c>
      <c r="B381" s="15" t="s">
        <v>278</v>
      </c>
      <c r="C381" s="15" t="s">
        <v>791</v>
      </c>
      <c r="D381" s="15" t="s">
        <v>836</v>
      </c>
      <c r="E381" s="15" t="s">
        <v>830</v>
      </c>
      <c r="F381" s="47" t="s">
        <v>345</v>
      </c>
      <c r="G381" s="15" t="s">
        <v>831</v>
      </c>
      <c r="H381" s="40" t="n">
        <v>22</v>
      </c>
      <c r="I381" s="47" t="s">
        <v>282</v>
      </c>
      <c r="J381" s="47" t="s">
        <v>113</v>
      </c>
      <c r="K381" s="40" t="n">
        <v>1</v>
      </c>
      <c r="L381" s="40" t="n">
        <v>4</v>
      </c>
      <c r="M381" s="45" t="n">
        <v>2.15</v>
      </c>
      <c r="N381" s="48" t="n">
        <f aca="false">K381*L381*M381</f>
        <v>8.6</v>
      </c>
      <c r="O381" s="29" t="n">
        <f aca="false">IFERROR(INDEX(Исходные!$B$18:$B$29,MATCH(H381,Исходные!$A$18:$A$29,0)),0)</f>
        <v>2.984</v>
      </c>
      <c r="P381" s="49" t="n">
        <f aca="false">N381*O381</f>
        <v>25.6624</v>
      </c>
      <c r="Q381" s="15" t="s">
        <v>832</v>
      </c>
      <c r="R381" s="50" t="s">
        <v>429</v>
      </c>
      <c r="S381" s="15"/>
      <c r="T381" s="15" t="s">
        <v>687</v>
      </c>
      <c r="U381" s="38" t="n">
        <v>0</v>
      </c>
      <c r="V381" s="47" t="s">
        <v>796</v>
      </c>
    </row>
    <row r="382" customFormat="false" ht="35.05" hidden="false" customHeight="false" outlineLevel="0" collapsed="false">
      <c r="A382" s="47" t="n">
        <v>373</v>
      </c>
      <c r="B382" s="15" t="s">
        <v>278</v>
      </c>
      <c r="C382" s="15" t="s">
        <v>791</v>
      </c>
      <c r="D382" s="15" t="s">
        <v>836</v>
      </c>
      <c r="E382" s="15" t="s">
        <v>830</v>
      </c>
      <c r="F382" s="47" t="s">
        <v>345</v>
      </c>
      <c r="G382" s="15" t="s">
        <v>833</v>
      </c>
      <c r="H382" s="40" t="n">
        <v>22</v>
      </c>
      <c r="I382" s="47" t="s">
        <v>282</v>
      </c>
      <c r="J382" s="47" t="s">
        <v>113</v>
      </c>
      <c r="K382" s="40" t="n">
        <v>1</v>
      </c>
      <c r="L382" s="40" t="n">
        <v>4</v>
      </c>
      <c r="M382" s="45" t="n">
        <v>3.775</v>
      </c>
      <c r="N382" s="48" t="n">
        <f aca="false">K382*L382*M382</f>
        <v>15.1</v>
      </c>
      <c r="O382" s="29" t="n">
        <f aca="false">IFERROR(INDEX(Исходные!$B$18:$B$29,MATCH(H382,Исходные!$A$18:$A$29,0)),0)</f>
        <v>2.984</v>
      </c>
      <c r="P382" s="49" t="n">
        <f aca="false">N382*O382</f>
        <v>45.0584</v>
      </c>
      <c r="Q382" s="15" t="s">
        <v>832</v>
      </c>
      <c r="R382" s="50" t="s">
        <v>429</v>
      </c>
      <c r="S382" s="15"/>
      <c r="T382" s="15" t="s">
        <v>687</v>
      </c>
      <c r="U382" s="38" t="n">
        <v>0</v>
      </c>
      <c r="V382" s="47" t="s">
        <v>796</v>
      </c>
    </row>
    <row r="383" customFormat="false" ht="35.05" hidden="false" customHeight="false" outlineLevel="0" collapsed="false">
      <c r="A383" s="47" t="n">
        <v>374</v>
      </c>
      <c r="B383" s="15" t="s">
        <v>278</v>
      </c>
      <c r="C383" s="15" t="s">
        <v>791</v>
      </c>
      <c r="D383" s="15" t="s">
        <v>836</v>
      </c>
      <c r="E383" s="15" t="s">
        <v>830</v>
      </c>
      <c r="F383" s="47" t="s">
        <v>345</v>
      </c>
      <c r="G383" s="15" t="s">
        <v>834</v>
      </c>
      <c r="H383" s="40" t="n">
        <v>22</v>
      </c>
      <c r="I383" s="47" t="s">
        <v>282</v>
      </c>
      <c r="J383" s="47" t="s">
        <v>113</v>
      </c>
      <c r="K383" s="40" t="n">
        <v>1</v>
      </c>
      <c r="L383" s="40" t="n">
        <v>4</v>
      </c>
      <c r="M383" s="45" t="n">
        <v>2.15</v>
      </c>
      <c r="N383" s="48" t="n">
        <f aca="false">K383*L383*M383</f>
        <v>8.6</v>
      </c>
      <c r="O383" s="29" t="n">
        <f aca="false">IFERROR(INDEX(Исходные!$B$18:$B$29,MATCH(H383,Исходные!$A$18:$A$29,0)),0)</f>
        <v>2.984</v>
      </c>
      <c r="P383" s="49" t="n">
        <f aca="false">N383*O383</f>
        <v>25.6624</v>
      </c>
      <c r="Q383" s="15" t="s">
        <v>832</v>
      </c>
      <c r="R383" s="50" t="s">
        <v>429</v>
      </c>
      <c r="S383" s="15"/>
      <c r="T383" s="15" t="s">
        <v>687</v>
      </c>
      <c r="U383" s="38" t="n">
        <v>0</v>
      </c>
      <c r="V383" s="47" t="s">
        <v>796</v>
      </c>
    </row>
    <row r="384" customFormat="false" ht="35.05" hidden="false" customHeight="false" outlineLevel="0" collapsed="false">
      <c r="A384" s="47" t="n">
        <v>375</v>
      </c>
      <c r="B384" s="15" t="s">
        <v>278</v>
      </c>
      <c r="C384" s="15" t="s">
        <v>791</v>
      </c>
      <c r="D384" s="15" t="s">
        <v>837</v>
      </c>
      <c r="E384" s="15" t="s">
        <v>830</v>
      </c>
      <c r="F384" s="47" t="s">
        <v>345</v>
      </c>
      <c r="G384" s="15" t="s">
        <v>831</v>
      </c>
      <c r="H384" s="40" t="n">
        <v>22</v>
      </c>
      <c r="I384" s="47" t="s">
        <v>282</v>
      </c>
      <c r="J384" s="47" t="s">
        <v>113</v>
      </c>
      <c r="K384" s="40" t="n">
        <v>1</v>
      </c>
      <c r="L384" s="40" t="n">
        <v>4</v>
      </c>
      <c r="M384" s="45" t="n">
        <v>2.15</v>
      </c>
      <c r="N384" s="48" t="n">
        <f aca="false">K384*L384*M384</f>
        <v>8.6</v>
      </c>
      <c r="O384" s="29" t="n">
        <f aca="false">IFERROR(INDEX(Исходные!$B$18:$B$29,MATCH(H384,Исходные!$A$18:$A$29,0)),0)</f>
        <v>2.984</v>
      </c>
      <c r="P384" s="49" t="n">
        <f aca="false">N384*O384</f>
        <v>25.6624</v>
      </c>
      <c r="Q384" s="15" t="s">
        <v>832</v>
      </c>
      <c r="R384" s="50" t="s">
        <v>429</v>
      </c>
      <c r="S384" s="15"/>
      <c r="T384" s="15" t="s">
        <v>687</v>
      </c>
      <c r="U384" s="38" t="n">
        <v>0</v>
      </c>
      <c r="V384" s="47" t="s">
        <v>796</v>
      </c>
    </row>
    <row r="385" customFormat="false" ht="35.05" hidden="false" customHeight="false" outlineLevel="0" collapsed="false">
      <c r="A385" s="47" t="n">
        <v>376</v>
      </c>
      <c r="B385" s="15" t="s">
        <v>278</v>
      </c>
      <c r="C385" s="15" t="s">
        <v>791</v>
      </c>
      <c r="D385" s="15" t="s">
        <v>837</v>
      </c>
      <c r="E385" s="15" t="s">
        <v>830</v>
      </c>
      <c r="F385" s="47" t="s">
        <v>345</v>
      </c>
      <c r="G385" s="15" t="s">
        <v>833</v>
      </c>
      <c r="H385" s="40" t="n">
        <v>22</v>
      </c>
      <c r="I385" s="47" t="s">
        <v>282</v>
      </c>
      <c r="J385" s="47" t="s">
        <v>113</v>
      </c>
      <c r="K385" s="40" t="n">
        <v>1</v>
      </c>
      <c r="L385" s="40" t="n">
        <v>4</v>
      </c>
      <c r="M385" s="45" t="n">
        <v>7.95</v>
      </c>
      <c r="N385" s="48" t="n">
        <f aca="false">K385*L385*M385</f>
        <v>31.8</v>
      </c>
      <c r="O385" s="29" t="n">
        <f aca="false">IFERROR(INDEX(Исходные!$B$18:$B$29,MATCH(H385,Исходные!$A$18:$A$29,0)),0)</f>
        <v>2.984</v>
      </c>
      <c r="P385" s="49" t="n">
        <f aca="false">N385*O385</f>
        <v>94.8912</v>
      </c>
      <c r="Q385" s="15" t="s">
        <v>832</v>
      </c>
      <c r="R385" s="50" t="s">
        <v>429</v>
      </c>
      <c r="S385" s="15"/>
      <c r="T385" s="15" t="s">
        <v>687</v>
      </c>
      <c r="U385" s="38" t="n">
        <v>0</v>
      </c>
      <c r="V385" s="47" t="s">
        <v>796</v>
      </c>
    </row>
    <row r="386" customFormat="false" ht="35.05" hidden="false" customHeight="false" outlineLevel="0" collapsed="false">
      <c r="A386" s="47" t="n">
        <v>377</v>
      </c>
      <c r="B386" s="15" t="s">
        <v>278</v>
      </c>
      <c r="C386" s="15" t="s">
        <v>791</v>
      </c>
      <c r="D386" s="15" t="s">
        <v>837</v>
      </c>
      <c r="E386" s="15" t="s">
        <v>830</v>
      </c>
      <c r="F386" s="47" t="s">
        <v>345</v>
      </c>
      <c r="G386" s="15" t="s">
        <v>834</v>
      </c>
      <c r="H386" s="40" t="n">
        <v>22</v>
      </c>
      <c r="I386" s="47" t="s">
        <v>282</v>
      </c>
      <c r="J386" s="47" t="s">
        <v>113</v>
      </c>
      <c r="K386" s="40" t="n">
        <v>1</v>
      </c>
      <c r="L386" s="40" t="n">
        <v>4</v>
      </c>
      <c r="M386" s="45" t="n">
        <v>2.15</v>
      </c>
      <c r="N386" s="48" t="n">
        <f aca="false">K386*L386*M386</f>
        <v>8.6</v>
      </c>
      <c r="O386" s="29" t="n">
        <f aca="false">IFERROR(INDEX(Исходные!$B$18:$B$29,MATCH(H386,Исходные!$A$18:$A$29,0)),0)</f>
        <v>2.984</v>
      </c>
      <c r="P386" s="49" t="n">
        <f aca="false">N386*O386</f>
        <v>25.6624</v>
      </c>
      <c r="Q386" s="15" t="s">
        <v>832</v>
      </c>
      <c r="R386" s="50" t="s">
        <v>429</v>
      </c>
      <c r="S386" s="15"/>
      <c r="T386" s="15" t="s">
        <v>687</v>
      </c>
      <c r="U386" s="38" t="n">
        <v>0</v>
      </c>
      <c r="V386" s="47" t="s">
        <v>796</v>
      </c>
    </row>
    <row r="387" customFormat="false" ht="35.05" hidden="false" customHeight="false" outlineLevel="0" collapsed="false">
      <c r="A387" s="47" t="n">
        <v>378</v>
      </c>
      <c r="B387" s="15" t="s">
        <v>278</v>
      </c>
      <c r="C387" s="15" t="s">
        <v>791</v>
      </c>
      <c r="D387" s="15" t="s">
        <v>837</v>
      </c>
      <c r="E387" s="15" t="s">
        <v>830</v>
      </c>
      <c r="F387" s="47" t="s">
        <v>345</v>
      </c>
      <c r="G387" s="15" t="s">
        <v>838</v>
      </c>
      <c r="H387" s="40" t="n">
        <v>22</v>
      </c>
      <c r="I387" s="47" t="s">
        <v>282</v>
      </c>
      <c r="J387" s="47" t="s">
        <v>113</v>
      </c>
      <c r="K387" s="40" t="n">
        <v>1</v>
      </c>
      <c r="L387" s="40" t="n">
        <v>4</v>
      </c>
      <c r="M387" s="45" t="n">
        <v>2.375</v>
      </c>
      <c r="N387" s="48" t="n">
        <f aca="false">K387*L387*M387</f>
        <v>9.5</v>
      </c>
      <c r="O387" s="29" t="n">
        <f aca="false">IFERROR(INDEX(Исходные!$B$18:$B$29,MATCH(H387,Исходные!$A$18:$A$29,0)),0)</f>
        <v>2.984</v>
      </c>
      <c r="P387" s="49" t="n">
        <f aca="false">N387*O387</f>
        <v>28.348</v>
      </c>
      <c r="Q387" s="15" t="s">
        <v>832</v>
      </c>
      <c r="R387" s="50" t="s">
        <v>429</v>
      </c>
      <c r="S387" s="15"/>
      <c r="T387" s="15" t="s">
        <v>687</v>
      </c>
      <c r="U387" s="38" t="n">
        <v>0</v>
      </c>
      <c r="V387" s="47" t="s">
        <v>796</v>
      </c>
    </row>
    <row r="388" customFormat="false" ht="35.05" hidden="false" customHeight="false" outlineLevel="0" collapsed="false">
      <c r="A388" s="47" t="n">
        <v>379</v>
      </c>
      <c r="B388" s="15" t="s">
        <v>278</v>
      </c>
      <c r="C388" s="15" t="s">
        <v>791</v>
      </c>
      <c r="D388" s="15" t="s">
        <v>839</v>
      </c>
      <c r="E388" s="15" t="s">
        <v>840</v>
      </c>
      <c r="F388" s="47" t="s">
        <v>113</v>
      </c>
      <c r="G388" s="15" t="s">
        <v>841</v>
      </c>
      <c r="H388" s="40" t="n">
        <v>18</v>
      </c>
      <c r="I388" s="47" t="s">
        <v>282</v>
      </c>
      <c r="J388" s="47" t="s">
        <v>113</v>
      </c>
      <c r="K388" s="40" t="n">
        <v>1</v>
      </c>
      <c r="L388" s="40" t="n">
        <v>42</v>
      </c>
      <c r="M388" s="45" t="n">
        <v>1.2</v>
      </c>
      <c r="N388" s="48" t="n">
        <f aca="false">K388*L388*M388</f>
        <v>50.4</v>
      </c>
      <c r="O388" s="29" t="n">
        <f aca="false">IFERROR(INDEX(Исходные!$B$18:$B$29,MATCH(H388,Исходные!$A$18:$A$29,0)),0)</f>
        <v>1.998</v>
      </c>
      <c r="P388" s="49" t="n">
        <f aca="false">N388*O388</f>
        <v>100.6992</v>
      </c>
      <c r="Q388" s="15" t="s">
        <v>842</v>
      </c>
      <c r="R388" s="51" t="s">
        <v>407</v>
      </c>
      <c r="S388" s="15"/>
      <c r="T388" s="15" t="s">
        <v>687</v>
      </c>
      <c r="U388" s="38" t="n">
        <v>1</v>
      </c>
      <c r="V388" s="47" t="s">
        <v>843</v>
      </c>
    </row>
    <row r="389" customFormat="false" ht="35.05" hidden="false" customHeight="false" outlineLevel="0" collapsed="false">
      <c r="A389" s="47" t="n">
        <v>380</v>
      </c>
      <c r="B389" s="15" t="s">
        <v>278</v>
      </c>
      <c r="C389" s="15" t="s">
        <v>791</v>
      </c>
      <c r="D389" s="15" t="s">
        <v>844</v>
      </c>
      <c r="E389" s="15" t="s">
        <v>845</v>
      </c>
      <c r="F389" s="47" t="s">
        <v>325</v>
      </c>
      <c r="G389" s="15" t="s">
        <v>846</v>
      </c>
      <c r="H389" s="40" t="n">
        <v>8</v>
      </c>
      <c r="I389" s="47" t="s">
        <v>316</v>
      </c>
      <c r="J389" s="47" t="s">
        <v>413</v>
      </c>
      <c r="K389" s="40" t="n">
        <v>1</v>
      </c>
      <c r="L389" s="40" t="n">
        <v>925</v>
      </c>
      <c r="M389" s="45" t="n">
        <v>1.24</v>
      </c>
      <c r="N389" s="48" t="n">
        <f aca="false">K389*L389*M389</f>
        <v>1147</v>
      </c>
      <c r="O389" s="29" t="n">
        <f aca="false">IFERROR(INDEX(Исходные!$B$18:$B$29,MATCH(H389,Исходные!$A$18:$A$29,0)),0)</f>
        <v>0.395</v>
      </c>
      <c r="P389" s="49" t="n">
        <f aca="false">N389*O389</f>
        <v>453.065</v>
      </c>
      <c r="Q389" s="15" t="s">
        <v>847</v>
      </c>
      <c r="R389" s="50" t="s">
        <v>284</v>
      </c>
      <c r="S389" s="15"/>
      <c r="T389" s="15" t="s">
        <v>687</v>
      </c>
      <c r="U389" s="38" t="n">
        <v>0</v>
      </c>
      <c r="V389" s="47" t="s">
        <v>848</v>
      </c>
    </row>
    <row r="390" customFormat="false" ht="35.05" hidden="false" customHeight="false" outlineLevel="0" collapsed="false">
      <c r="A390" s="47" t="n">
        <v>381</v>
      </c>
      <c r="B390" s="15" t="s">
        <v>278</v>
      </c>
      <c r="C390" s="15" t="s">
        <v>791</v>
      </c>
      <c r="D390" s="15" t="s">
        <v>849</v>
      </c>
      <c r="E390" s="15" t="s">
        <v>850</v>
      </c>
      <c r="F390" s="47" t="s">
        <v>325</v>
      </c>
      <c r="G390" s="15" t="s">
        <v>851</v>
      </c>
      <c r="H390" s="40" t="n">
        <v>8</v>
      </c>
      <c r="I390" s="47" t="s">
        <v>316</v>
      </c>
      <c r="J390" s="47" t="s">
        <v>413</v>
      </c>
      <c r="K390" s="40" t="n">
        <v>1</v>
      </c>
      <c r="L390" s="40" t="n">
        <v>44</v>
      </c>
      <c r="M390" s="45" t="n">
        <v>1.24</v>
      </c>
      <c r="N390" s="48" t="n">
        <f aca="false">K390*L390*M390</f>
        <v>54.56</v>
      </c>
      <c r="O390" s="29" t="n">
        <f aca="false">IFERROR(INDEX(Исходные!$B$18:$B$29,MATCH(H390,Исходные!$A$18:$A$29,0)),0)</f>
        <v>0.395</v>
      </c>
      <c r="P390" s="49" t="n">
        <f aca="false">N390*O390</f>
        <v>21.5512</v>
      </c>
      <c r="Q390" s="15" t="s">
        <v>852</v>
      </c>
      <c r="R390" s="50" t="s">
        <v>284</v>
      </c>
      <c r="S390" s="15"/>
      <c r="T390" s="15" t="s">
        <v>687</v>
      </c>
      <c r="U390" s="38" t="n">
        <v>0</v>
      </c>
      <c r="V390" s="47" t="s">
        <v>848</v>
      </c>
    </row>
    <row r="391" customFormat="false" ht="35.05" hidden="false" customHeight="false" outlineLevel="0" collapsed="false">
      <c r="A391" s="47" t="n">
        <v>382</v>
      </c>
      <c r="B391" s="15" t="s">
        <v>278</v>
      </c>
      <c r="C391" s="15" t="s">
        <v>791</v>
      </c>
      <c r="D391" s="15" t="s">
        <v>853</v>
      </c>
      <c r="E391" s="15" t="s">
        <v>854</v>
      </c>
      <c r="F391" s="47" t="s">
        <v>465</v>
      </c>
      <c r="G391" s="15" t="s">
        <v>855</v>
      </c>
      <c r="H391" s="40" t="n">
        <v>8</v>
      </c>
      <c r="I391" s="47" t="s">
        <v>316</v>
      </c>
      <c r="J391" s="47" t="s">
        <v>413</v>
      </c>
      <c r="K391" s="40" t="n">
        <v>1</v>
      </c>
      <c r="L391" s="40" t="n">
        <v>44</v>
      </c>
      <c r="M391" s="45" t="n">
        <v>1.44</v>
      </c>
      <c r="N391" s="48" t="n">
        <f aca="false">K391*L391*M391</f>
        <v>63.36</v>
      </c>
      <c r="O391" s="29" t="n">
        <f aca="false">IFERROR(INDEX(Исходные!$B$18:$B$29,MATCH(H391,Исходные!$A$18:$A$29,0)),0)</f>
        <v>0.395</v>
      </c>
      <c r="P391" s="49" t="n">
        <f aca="false">N391*O391</f>
        <v>25.0272</v>
      </c>
      <c r="Q391" s="15" t="s">
        <v>856</v>
      </c>
      <c r="R391" s="50" t="s">
        <v>284</v>
      </c>
      <c r="S391" s="15"/>
      <c r="T391" s="15" t="s">
        <v>687</v>
      </c>
      <c r="U391" s="38" t="n">
        <v>0</v>
      </c>
      <c r="V391" s="47" t="s">
        <v>848</v>
      </c>
    </row>
    <row r="392" customFormat="false" ht="35.05" hidden="false" customHeight="false" outlineLevel="0" collapsed="false">
      <c r="A392" s="47" t="n">
        <v>383</v>
      </c>
      <c r="B392" s="15" t="s">
        <v>278</v>
      </c>
      <c r="C392" s="15" t="s">
        <v>791</v>
      </c>
      <c r="D392" s="15" t="s">
        <v>857</v>
      </c>
      <c r="E392" s="15" t="s">
        <v>858</v>
      </c>
      <c r="F392" s="47" t="s">
        <v>331</v>
      </c>
      <c r="G392" s="15" t="s">
        <v>859</v>
      </c>
      <c r="H392" s="40" t="n">
        <v>8</v>
      </c>
      <c r="I392" s="47" t="s">
        <v>316</v>
      </c>
      <c r="J392" s="47" t="s">
        <v>413</v>
      </c>
      <c r="K392" s="40" t="n">
        <v>1</v>
      </c>
      <c r="L392" s="40" t="n">
        <v>88</v>
      </c>
      <c r="M392" s="45" t="n">
        <v>1.04</v>
      </c>
      <c r="N392" s="48" t="n">
        <f aca="false">K392*L392*M392</f>
        <v>91.52</v>
      </c>
      <c r="O392" s="29" t="n">
        <f aca="false">IFERROR(INDEX(Исходные!$B$18:$B$29,MATCH(H392,Исходные!$A$18:$A$29,0)),0)</f>
        <v>0.395</v>
      </c>
      <c r="P392" s="49" t="n">
        <f aca="false">N392*O392</f>
        <v>36.1504</v>
      </c>
      <c r="Q392" s="15" t="s">
        <v>860</v>
      </c>
      <c r="R392" s="50" t="s">
        <v>284</v>
      </c>
      <c r="S392" s="15"/>
      <c r="T392" s="15" t="s">
        <v>687</v>
      </c>
      <c r="U392" s="38" t="n">
        <v>0</v>
      </c>
      <c r="V392" s="47" t="s">
        <v>848</v>
      </c>
    </row>
    <row r="393" customFormat="false" ht="35.05" hidden="false" customHeight="false" outlineLevel="0" collapsed="false">
      <c r="A393" s="47" t="n">
        <v>384</v>
      </c>
      <c r="B393" s="15" t="s">
        <v>278</v>
      </c>
      <c r="C393" s="15" t="s">
        <v>791</v>
      </c>
      <c r="D393" s="15" t="s">
        <v>861</v>
      </c>
      <c r="E393" s="15" t="s">
        <v>862</v>
      </c>
      <c r="F393" s="47" t="s">
        <v>328</v>
      </c>
      <c r="G393" s="15" t="s">
        <v>863</v>
      </c>
      <c r="H393" s="40" t="n">
        <v>8</v>
      </c>
      <c r="I393" s="47" t="s">
        <v>316</v>
      </c>
      <c r="J393" s="47" t="s">
        <v>413</v>
      </c>
      <c r="K393" s="40" t="n">
        <v>1</v>
      </c>
      <c r="L393" s="40" t="n">
        <v>272</v>
      </c>
      <c r="M393" s="45" t="n">
        <v>1.14</v>
      </c>
      <c r="N393" s="48" t="n">
        <f aca="false">K393*L393*M393</f>
        <v>310.08</v>
      </c>
      <c r="O393" s="29" t="n">
        <f aca="false">IFERROR(INDEX(Исходные!$B$18:$B$29,MATCH(H393,Исходные!$A$18:$A$29,0)),0)</f>
        <v>0.395</v>
      </c>
      <c r="P393" s="49" t="n">
        <f aca="false">N393*O393</f>
        <v>122.4816</v>
      </c>
      <c r="Q393" s="15" t="s">
        <v>864</v>
      </c>
      <c r="R393" s="50" t="s">
        <v>284</v>
      </c>
      <c r="S393" s="15"/>
      <c r="T393" s="15" t="s">
        <v>687</v>
      </c>
      <c r="U393" s="38" t="n">
        <v>0</v>
      </c>
      <c r="V393" s="47" t="s">
        <v>848</v>
      </c>
    </row>
    <row r="394" customFormat="false" ht="15" hidden="false" customHeight="true" outlineLevel="0" collapsed="false">
      <c r="A394" s="2" t="s">
        <v>865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customFormat="false" ht="35.05" hidden="false" customHeight="false" outlineLevel="0" collapsed="false">
      <c r="A395" s="47" t="n">
        <v>385</v>
      </c>
      <c r="B395" s="15" t="s">
        <v>278</v>
      </c>
      <c r="C395" s="15" t="s">
        <v>10</v>
      </c>
      <c r="D395" s="15" t="s">
        <v>866</v>
      </c>
      <c r="E395" s="15" t="s">
        <v>93</v>
      </c>
      <c r="F395" s="47" t="s">
        <v>280</v>
      </c>
      <c r="G395" s="15" t="s">
        <v>867</v>
      </c>
      <c r="H395" s="40" t="n">
        <v>10</v>
      </c>
      <c r="I395" s="47" t="s">
        <v>282</v>
      </c>
      <c r="J395" s="47" t="n">
        <v>90</v>
      </c>
      <c r="K395" s="40" t="n">
        <v>240</v>
      </c>
      <c r="L395" s="40" t="n">
        <v>7</v>
      </c>
      <c r="M395" s="45" t="n">
        <v>0.57</v>
      </c>
      <c r="N395" s="48" t="n">
        <f aca="false">K395*L395*M395</f>
        <v>957.6</v>
      </c>
      <c r="O395" s="29" t="n">
        <f aca="false">IFERROR(INDEX(Исходные!$B$18:$B$29,MATCH(H395,Исходные!$A$18:$A$29,0)),0)</f>
        <v>0.617</v>
      </c>
      <c r="P395" s="49" t="n">
        <f aca="false">N395*O395</f>
        <v>590.8392</v>
      </c>
      <c r="Q395" s="15" t="s">
        <v>868</v>
      </c>
      <c r="R395" s="51" t="s">
        <v>407</v>
      </c>
      <c r="S395" s="15"/>
      <c r="T395" s="15" t="s">
        <v>93</v>
      </c>
      <c r="U395" s="38" t="n">
        <v>1</v>
      </c>
      <c r="V395" s="47" t="s">
        <v>93</v>
      </c>
    </row>
    <row r="396" customFormat="false" ht="15" hidden="false" customHeight="true" outlineLevel="0" collapsed="false">
      <c r="A396" s="2" t="s">
        <v>869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customFormat="false" ht="23.85" hidden="false" customHeight="false" outlineLevel="0" collapsed="false">
      <c r="A397" s="47" t="n">
        <v>386</v>
      </c>
      <c r="B397" s="15" t="s">
        <v>278</v>
      </c>
      <c r="C397" s="15" t="s">
        <v>870</v>
      </c>
      <c r="D397" s="15" t="s">
        <v>113</v>
      </c>
      <c r="E397" s="15" t="s">
        <v>92</v>
      </c>
      <c r="F397" s="47" t="s">
        <v>113</v>
      </c>
      <c r="G397" s="15" t="s">
        <v>871</v>
      </c>
      <c r="H397" s="40"/>
      <c r="I397" s="47" t="s">
        <v>113</v>
      </c>
      <c r="J397" s="47" t="s">
        <v>113</v>
      </c>
      <c r="K397" s="40" t="n">
        <v>0</v>
      </c>
      <c r="L397" s="40" t="n">
        <v>0</v>
      </c>
      <c r="M397" s="45" t="n">
        <v>0</v>
      </c>
      <c r="N397" s="53" t="n">
        <v>0</v>
      </c>
      <c r="O397" s="53" t="n">
        <v>0</v>
      </c>
      <c r="P397" s="53" t="n">
        <v>0</v>
      </c>
      <c r="Q397" s="15" t="s">
        <v>872</v>
      </c>
      <c r="R397" s="52" t="s">
        <v>873</v>
      </c>
      <c r="S397" s="15"/>
      <c r="T397" s="15" t="s">
        <v>92</v>
      </c>
      <c r="U397" s="38" t="n">
        <v>0</v>
      </c>
      <c r="V397" s="47" t="s">
        <v>92</v>
      </c>
    </row>
    <row r="398" customFormat="false" ht="15" hidden="false" customHeight="false" outlineLevel="0" collapsed="false">
      <c r="G398" s="3" t="s">
        <v>874</v>
      </c>
      <c r="N398" s="54" t="n">
        <f aca="false">SUM(N5:N397)</f>
        <v>29256.846</v>
      </c>
      <c r="P398" s="33" t="n">
        <f aca="false">SUM(P5:P397)</f>
        <v>31788.108498</v>
      </c>
    </row>
  </sheetData>
  <autoFilter ref="A4:V397"/>
  <mergeCells count="7">
    <mergeCell ref="A5:S5"/>
    <mergeCell ref="A87:S87"/>
    <mergeCell ref="A104:S104"/>
    <mergeCell ref="A272:S272"/>
    <mergeCell ref="A360:S360"/>
    <mergeCell ref="A394:S394"/>
    <mergeCell ref="A396:S3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0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8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43" t="s">
        <v>875</v>
      </c>
    </row>
    <row r="2" customFormat="false" ht="15" hidden="false" customHeight="false" outlineLevel="0" collapsed="false">
      <c r="A2" s="23" t="s">
        <v>876</v>
      </c>
    </row>
    <row r="4" customFormat="false" ht="42" hidden="false" customHeight="true" outlineLevel="0" collapsed="false">
      <c r="A4" s="4" t="s">
        <v>263</v>
      </c>
      <c r="B4" s="4" t="s">
        <v>264</v>
      </c>
      <c r="C4" s="4" t="s">
        <v>877</v>
      </c>
      <c r="D4" s="4" t="s">
        <v>878</v>
      </c>
      <c r="E4" s="4" t="s">
        <v>879</v>
      </c>
      <c r="F4" s="4" t="s">
        <v>880</v>
      </c>
      <c r="G4" s="4" t="s">
        <v>879</v>
      </c>
      <c r="H4" s="4" t="s">
        <v>881</v>
      </c>
      <c r="I4" s="4" t="s">
        <v>879</v>
      </c>
      <c r="J4" s="4" t="s">
        <v>882</v>
      </c>
      <c r="K4" s="4" t="s">
        <v>879</v>
      </c>
      <c r="L4" s="4" t="s">
        <v>883</v>
      </c>
      <c r="M4" s="4" t="s">
        <v>884</v>
      </c>
      <c r="N4" s="4" t="s">
        <v>885</v>
      </c>
      <c r="O4" s="4" t="s">
        <v>886</v>
      </c>
      <c r="P4" s="4" t="s">
        <v>887</v>
      </c>
      <c r="Q4" s="4" t="s">
        <v>888</v>
      </c>
    </row>
    <row r="5" customFormat="false" ht="15" hidden="false" customHeight="false" outlineLevel="0" collapsed="false">
      <c r="A5" s="38" t="n">
        <v>32</v>
      </c>
      <c r="B5" s="47" t="s">
        <v>282</v>
      </c>
      <c r="C5" s="38" t="n">
        <v>1</v>
      </c>
      <c r="D5" s="45" t="n">
        <v>4</v>
      </c>
      <c r="E5" s="40" t="n">
        <v>2</v>
      </c>
      <c r="F5" s="45" t="n">
        <v>3.7</v>
      </c>
      <c r="G5" s="40" t="n">
        <v>1</v>
      </c>
      <c r="H5" s="15"/>
      <c r="I5" s="15"/>
      <c r="J5" s="15"/>
      <c r="K5" s="15"/>
      <c r="L5" s="29" t="n">
        <f aca="false">D5*E5+F5*G5+H5*I5+J5*K5</f>
        <v>11.7</v>
      </c>
      <c r="M5" s="29" t="n">
        <f aca="false">Исходные!$B$12-L5</f>
        <v>0</v>
      </c>
      <c r="N5" s="40" t="n">
        <v>6</v>
      </c>
      <c r="O5" s="38" t="n">
        <f aca="false">(E5+G5+I5+K5)*N5</f>
        <v>18</v>
      </c>
      <c r="P5" s="48" t="n">
        <f aca="false">L5*N5</f>
        <v>70.2</v>
      </c>
      <c r="Q5" s="48" t="n">
        <f aca="false">M5*N5</f>
        <v>0</v>
      </c>
    </row>
    <row r="6" customFormat="false" ht="15" hidden="false" customHeight="false" outlineLevel="0" collapsed="false">
      <c r="A6" s="38" t="n">
        <v>32</v>
      </c>
      <c r="B6" s="47" t="s">
        <v>282</v>
      </c>
      <c r="C6" s="38" t="n">
        <v>2</v>
      </c>
      <c r="D6" s="45" t="n">
        <v>4</v>
      </c>
      <c r="E6" s="40" t="n">
        <v>2</v>
      </c>
      <c r="F6" s="45" t="n">
        <v>3.6</v>
      </c>
      <c r="G6" s="40" t="n">
        <v>1</v>
      </c>
      <c r="H6" s="15"/>
      <c r="I6" s="15"/>
      <c r="J6" s="15"/>
      <c r="K6" s="15"/>
      <c r="L6" s="29" t="n">
        <f aca="false">D6*E6+F6*G6+H6*I6+J6*K6</f>
        <v>11.6</v>
      </c>
      <c r="M6" s="29" t="n">
        <f aca="false">Исходные!$B$12-L6</f>
        <v>0.0999999999999996</v>
      </c>
      <c r="N6" s="40" t="n">
        <v>2</v>
      </c>
      <c r="O6" s="38" t="n">
        <f aca="false">(E6+G6+I6+K6)*N6</f>
        <v>6</v>
      </c>
      <c r="P6" s="48" t="n">
        <f aca="false">L6*N6</f>
        <v>23.2</v>
      </c>
      <c r="Q6" s="48" t="n">
        <f aca="false">M6*N6</f>
        <v>0.199999999999999</v>
      </c>
    </row>
    <row r="7" customFormat="false" ht="15" hidden="false" customHeight="false" outlineLevel="0" collapsed="false">
      <c r="A7" s="38" t="n">
        <v>32</v>
      </c>
      <c r="B7" s="47" t="s">
        <v>282</v>
      </c>
      <c r="C7" s="38" t="n">
        <v>3</v>
      </c>
      <c r="D7" s="45" t="n">
        <v>7.5</v>
      </c>
      <c r="E7" s="40" t="n">
        <v>1</v>
      </c>
      <c r="F7" s="45" t="n">
        <v>4</v>
      </c>
      <c r="G7" s="40" t="n">
        <v>1</v>
      </c>
      <c r="H7" s="15"/>
      <c r="I7" s="15"/>
      <c r="J7" s="15"/>
      <c r="K7" s="15"/>
      <c r="L7" s="29" t="n">
        <f aca="false">D7*E7+F7*G7+H7*I7+J7*K7</f>
        <v>11.5</v>
      </c>
      <c r="M7" s="29" t="n">
        <f aca="false">Исходные!$B$12-L7</f>
        <v>0.199999999999999</v>
      </c>
      <c r="N7" s="40" t="n">
        <v>2</v>
      </c>
      <c r="O7" s="38" t="n">
        <f aca="false">(E7+G7+I7+K7)*N7</f>
        <v>4</v>
      </c>
      <c r="P7" s="48" t="n">
        <f aca="false">L7*N7</f>
        <v>23</v>
      </c>
      <c r="Q7" s="48" t="n">
        <f aca="false">M7*N7</f>
        <v>0.399999999999999</v>
      </c>
    </row>
    <row r="8" customFormat="false" ht="15" hidden="false" customHeight="false" outlineLevel="0" collapsed="false">
      <c r="A8" s="38" t="n">
        <v>32</v>
      </c>
      <c r="B8" s="47" t="s">
        <v>282</v>
      </c>
      <c r="C8" s="38" t="n">
        <v>4</v>
      </c>
      <c r="D8" s="45" t="n">
        <v>4.3</v>
      </c>
      <c r="E8" s="40" t="n">
        <v>2</v>
      </c>
      <c r="F8" s="45" t="n">
        <v>2.85</v>
      </c>
      <c r="G8" s="40" t="n">
        <v>1</v>
      </c>
      <c r="H8" s="15"/>
      <c r="I8" s="15"/>
      <c r="J8" s="15"/>
      <c r="K8" s="15"/>
      <c r="L8" s="29" t="n">
        <f aca="false">D8*E8+F8*G8+H8*I8+J8*K8</f>
        <v>11.45</v>
      </c>
      <c r="M8" s="29" t="n">
        <f aca="false">Исходные!$B$12-L8</f>
        <v>0.25</v>
      </c>
      <c r="N8" s="40" t="n">
        <v>1</v>
      </c>
      <c r="O8" s="38" t="n">
        <f aca="false">(E8+G8+I8+K8)*N8</f>
        <v>3</v>
      </c>
      <c r="P8" s="48" t="n">
        <f aca="false">L8*N8</f>
        <v>11.45</v>
      </c>
      <c r="Q8" s="48" t="n">
        <f aca="false">M8*N8</f>
        <v>0.25</v>
      </c>
    </row>
    <row r="9" customFormat="false" ht="15" hidden="false" customHeight="false" outlineLevel="0" collapsed="false">
      <c r="A9" s="38" t="n">
        <v>32</v>
      </c>
      <c r="B9" s="47" t="s">
        <v>282</v>
      </c>
      <c r="C9" s="38" t="n">
        <v>5</v>
      </c>
      <c r="D9" s="45" t="n">
        <v>4</v>
      </c>
      <c r="E9" s="40" t="n">
        <v>2</v>
      </c>
      <c r="F9" s="45" t="n">
        <v>3.4</v>
      </c>
      <c r="G9" s="40" t="n">
        <v>1</v>
      </c>
      <c r="H9" s="15"/>
      <c r="I9" s="15"/>
      <c r="J9" s="15"/>
      <c r="K9" s="15"/>
      <c r="L9" s="29" t="n">
        <f aca="false">D9*E9+F9*G9+H9*I9+J9*K9</f>
        <v>11.4</v>
      </c>
      <c r="M9" s="29" t="n">
        <f aca="false">Исходные!$B$12-L9</f>
        <v>0.299999999999999</v>
      </c>
      <c r="N9" s="40" t="n">
        <v>2</v>
      </c>
      <c r="O9" s="38" t="n">
        <f aca="false">(E9+G9+I9+K9)*N9</f>
        <v>6</v>
      </c>
      <c r="P9" s="48" t="n">
        <f aca="false">L9*N9</f>
        <v>22.8</v>
      </c>
      <c r="Q9" s="48" t="n">
        <f aca="false">M9*N9</f>
        <v>0.599999999999998</v>
      </c>
    </row>
    <row r="10" customFormat="false" ht="15" hidden="false" customHeight="false" outlineLevel="0" collapsed="false">
      <c r="A10" s="38" t="n">
        <v>32</v>
      </c>
      <c r="B10" s="47" t="s">
        <v>282</v>
      </c>
      <c r="C10" s="38" t="n">
        <v>6</v>
      </c>
      <c r="D10" s="45" t="n">
        <v>3.8</v>
      </c>
      <c r="E10" s="40" t="n">
        <v>3</v>
      </c>
      <c r="F10" s="15"/>
      <c r="G10" s="15"/>
      <c r="H10" s="15"/>
      <c r="I10" s="15"/>
      <c r="J10" s="15"/>
      <c r="K10" s="15"/>
      <c r="L10" s="29" t="n">
        <f aca="false">D10*E10+F10*G10+H10*I10+J10*K10</f>
        <v>11.4</v>
      </c>
      <c r="M10" s="29" t="n">
        <f aca="false">Исходные!$B$12-L10</f>
        <v>0.300000000000001</v>
      </c>
      <c r="N10" s="40" t="n">
        <v>1</v>
      </c>
      <c r="O10" s="38" t="n">
        <f aca="false">(E10+G10+I10+K10)*N10</f>
        <v>3</v>
      </c>
      <c r="P10" s="48" t="n">
        <f aca="false">L10*N10</f>
        <v>11.4</v>
      </c>
      <c r="Q10" s="48" t="n">
        <f aca="false">M10*N10</f>
        <v>0.300000000000001</v>
      </c>
    </row>
    <row r="11" customFormat="false" ht="15" hidden="false" customHeight="false" outlineLevel="0" collapsed="false">
      <c r="A11" s="38" t="n">
        <v>32</v>
      </c>
      <c r="B11" s="47" t="s">
        <v>282</v>
      </c>
      <c r="C11" s="38" t="n">
        <v>7</v>
      </c>
      <c r="D11" s="45" t="n">
        <v>4</v>
      </c>
      <c r="E11" s="40" t="n">
        <v>2</v>
      </c>
      <c r="F11" s="45" t="n">
        <v>3.3</v>
      </c>
      <c r="G11" s="40" t="n">
        <v>1</v>
      </c>
      <c r="H11" s="15"/>
      <c r="I11" s="15"/>
      <c r="J11" s="15"/>
      <c r="K11" s="15"/>
      <c r="L11" s="29" t="n">
        <f aca="false">D11*E11+F11*G11+H11*I11+J11*K11</f>
        <v>11.3</v>
      </c>
      <c r="M11" s="29" t="n">
        <f aca="false">Исходные!$B$12-L11</f>
        <v>0.399999999999999</v>
      </c>
      <c r="N11" s="40" t="n">
        <v>2</v>
      </c>
      <c r="O11" s="38" t="n">
        <f aca="false">(E11+G11+I11+K11)*N11</f>
        <v>6</v>
      </c>
      <c r="P11" s="48" t="n">
        <f aca="false">L11*N11</f>
        <v>22.6</v>
      </c>
      <c r="Q11" s="48" t="n">
        <f aca="false">M11*N11</f>
        <v>0.799999999999997</v>
      </c>
    </row>
    <row r="12" customFormat="false" ht="15" hidden="false" customHeight="false" outlineLevel="0" collapsed="false">
      <c r="A12" s="38" t="n">
        <v>32</v>
      </c>
      <c r="B12" s="47" t="s">
        <v>282</v>
      </c>
      <c r="C12" s="38" t="n">
        <v>8</v>
      </c>
      <c r="D12" s="45" t="n">
        <v>4</v>
      </c>
      <c r="E12" s="40" t="n">
        <v>2</v>
      </c>
      <c r="F12" s="45" t="n">
        <v>2.85</v>
      </c>
      <c r="G12" s="40" t="n">
        <v>1</v>
      </c>
      <c r="H12" s="15"/>
      <c r="I12" s="15"/>
      <c r="J12" s="15"/>
      <c r="K12" s="15"/>
      <c r="L12" s="29" t="n">
        <f aca="false">D12*E12+F12*G12+H12*I12+J12*K12</f>
        <v>10.85</v>
      </c>
      <c r="M12" s="29" t="n">
        <f aca="false">Исходные!$B$12-L12</f>
        <v>0.85</v>
      </c>
      <c r="N12" s="40" t="n">
        <v>3</v>
      </c>
      <c r="O12" s="38" t="n">
        <f aca="false">(E12+G12+I12+K12)*N12</f>
        <v>9</v>
      </c>
      <c r="P12" s="48" t="n">
        <f aca="false">L12*N12</f>
        <v>32.55</v>
      </c>
      <c r="Q12" s="48" t="n">
        <f aca="false">M12*N12</f>
        <v>2.55</v>
      </c>
    </row>
    <row r="13" customFormat="false" ht="15" hidden="false" customHeight="false" outlineLevel="0" collapsed="false">
      <c r="A13" s="38" t="n">
        <v>32</v>
      </c>
      <c r="B13" s="47" t="s">
        <v>282</v>
      </c>
      <c r="C13" s="38" t="n">
        <v>9</v>
      </c>
      <c r="D13" s="45" t="n">
        <v>4</v>
      </c>
      <c r="E13" s="40" t="n">
        <v>2</v>
      </c>
      <c r="F13" s="45" t="n">
        <v>2.4</v>
      </c>
      <c r="G13" s="40" t="n">
        <v>1</v>
      </c>
      <c r="H13" s="15"/>
      <c r="I13" s="15"/>
      <c r="J13" s="15"/>
      <c r="K13" s="15"/>
      <c r="L13" s="29" t="n">
        <f aca="false">D13*E13+F13*G13+H13*I13+J13*K13</f>
        <v>10.4</v>
      </c>
      <c r="M13" s="29" t="n">
        <f aca="false">Исходные!$B$12-L13</f>
        <v>1.3</v>
      </c>
      <c r="N13" s="40" t="n">
        <v>2</v>
      </c>
      <c r="O13" s="38" t="n">
        <f aca="false">(E13+G13+I13+K13)*N13</f>
        <v>6</v>
      </c>
      <c r="P13" s="48" t="n">
        <f aca="false">L13*N13</f>
        <v>20.8</v>
      </c>
      <c r="Q13" s="48" t="n">
        <f aca="false">M13*N13</f>
        <v>2.6</v>
      </c>
    </row>
    <row r="14" customFormat="false" ht="15" hidden="false" customHeight="false" outlineLevel="0" collapsed="false">
      <c r="A14" s="38" t="n">
        <v>32</v>
      </c>
      <c r="B14" s="47" t="s">
        <v>282</v>
      </c>
      <c r="C14" s="38" t="n">
        <v>10</v>
      </c>
      <c r="D14" s="45" t="n">
        <v>4</v>
      </c>
      <c r="E14" s="40" t="n">
        <v>2</v>
      </c>
      <c r="F14" s="45" t="n">
        <v>2.05</v>
      </c>
      <c r="G14" s="40" t="n">
        <v>1</v>
      </c>
      <c r="H14" s="15"/>
      <c r="I14" s="15"/>
      <c r="J14" s="15"/>
      <c r="K14" s="15"/>
      <c r="L14" s="29" t="n">
        <f aca="false">D14*E14+F14*G14+H14*I14+J14*K14</f>
        <v>10.05</v>
      </c>
      <c r="M14" s="29" t="n">
        <f aca="false">Исходные!$B$12-L14</f>
        <v>1.65</v>
      </c>
      <c r="N14" s="40" t="n">
        <v>2</v>
      </c>
      <c r="O14" s="38" t="n">
        <f aca="false">(E14+G14+I14+K14)*N14</f>
        <v>6</v>
      </c>
      <c r="P14" s="48" t="n">
        <f aca="false">L14*N14</f>
        <v>20.1</v>
      </c>
      <c r="Q14" s="48" t="n">
        <f aca="false">M14*N14</f>
        <v>3.3</v>
      </c>
    </row>
    <row r="15" customFormat="false" ht="15" hidden="false" customHeight="false" outlineLevel="0" collapsed="false">
      <c r="A15" s="38" t="n">
        <v>32</v>
      </c>
      <c r="B15" s="47" t="s">
        <v>282</v>
      </c>
      <c r="C15" s="38" t="n">
        <v>11</v>
      </c>
      <c r="D15" s="45" t="n">
        <v>4</v>
      </c>
      <c r="E15" s="40" t="n">
        <v>2</v>
      </c>
      <c r="F15" s="15"/>
      <c r="G15" s="15"/>
      <c r="H15" s="15"/>
      <c r="I15" s="15"/>
      <c r="J15" s="15"/>
      <c r="K15" s="15"/>
      <c r="L15" s="29" t="n">
        <f aca="false">D15*E15+F15*G15+H15*I15+J15*K15</f>
        <v>8</v>
      </c>
      <c r="M15" s="29" t="n">
        <f aca="false">Исходные!$B$12-L15</f>
        <v>3.7</v>
      </c>
      <c r="N15" s="40" t="n">
        <v>20</v>
      </c>
      <c r="O15" s="38" t="n">
        <f aca="false">(E15+G15+I15+K15)*N15</f>
        <v>40</v>
      </c>
      <c r="P15" s="48" t="n">
        <f aca="false">L15*N15</f>
        <v>160</v>
      </c>
      <c r="Q15" s="48" t="n">
        <f aca="false">M15*N15</f>
        <v>74</v>
      </c>
    </row>
    <row r="16" customFormat="false" ht="15" hidden="false" customHeight="false" outlineLevel="0" collapsed="false">
      <c r="A16" s="38" t="n">
        <v>32</v>
      </c>
      <c r="B16" s="47" t="s">
        <v>282</v>
      </c>
      <c r="C16" s="38" t="n">
        <v>12</v>
      </c>
      <c r="D16" s="45" t="n">
        <v>3.8</v>
      </c>
      <c r="E16" s="40" t="n">
        <v>1</v>
      </c>
      <c r="F16" s="15"/>
      <c r="G16" s="15"/>
      <c r="H16" s="15"/>
      <c r="I16" s="15"/>
      <c r="J16" s="15"/>
      <c r="K16" s="15"/>
      <c r="L16" s="29" t="n">
        <f aca="false">D16*E16+F16*G16+H16*I16+J16*K16</f>
        <v>3.8</v>
      </c>
      <c r="M16" s="29" t="n">
        <f aca="false">Исходные!$B$12-L16</f>
        <v>7.9</v>
      </c>
      <c r="N16" s="40" t="n">
        <v>1</v>
      </c>
      <c r="O16" s="38" t="n">
        <f aca="false">(E16+G16+I16+K16)*N16</f>
        <v>1</v>
      </c>
      <c r="P16" s="48" t="n">
        <f aca="false">L16*N16</f>
        <v>3.8</v>
      </c>
      <c r="Q16" s="48" t="n">
        <f aca="false">M16*N16</f>
        <v>7.9</v>
      </c>
    </row>
    <row r="17" customFormat="false" ht="15" hidden="false" customHeight="false" outlineLevel="0" collapsed="false">
      <c r="A17" s="38" t="n">
        <v>28</v>
      </c>
      <c r="B17" s="47" t="s">
        <v>282</v>
      </c>
      <c r="C17" s="38" t="n">
        <v>1</v>
      </c>
      <c r="D17" s="45" t="n">
        <v>11.7</v>
      </c>
      <c r="E17" s="40" t="n">
        <v>1</v>
      </c>
      <c r="F17" s="15"/>
      <c r="G17" s="15"/>
      <c r="H17" s="15"/>
      <c r="I17" s="15"/>
      <c r="J17" s="15"/>
      <c r="K17" s="15"/>
      <c r="L17" s="29" t="n">
        <f aca="false">D17*E17+F17*G17+H17*I17+J17*K17</f>
        <v>11.7</v>
      </c>
      <c r="M17" s="29" t="n">
        <f aca="false">Исходные!$B$12-L17</f>
        <v>0</v>
      </c>
      <c r="N17" s="40" t="n">
        <v>52</v>
      </c>
      <c r="O17" s="38" t="n">
        <f aca="false">(E17+G17+I17+K17)*N17</f>
        <v>52</v>
      </c>
      <c r="P17" s="48" t="n">
        <f aca="false">L17*N17</f>
        <v>608.4</v>
      </c>
      <c r="Q17" s="48" t="n">
        <f aca="false">M17*N17</f>
        <v>0</v>
      </c>
    </row>
    <row r="18" customFormat="false" ht="15" hidden="false" customHeight="false" outlineLevel="0" collapsed="false">
      <c r="A18" s="38" t="n">
        <v>28</v>
      </c>
      <c r="B18" s="47" t="s">
        <v>282</v>
      </c>
      <c r="C18" s="38" t="n">
        <v>2</v>
      </c>
      <c r="D18" s="45" t="n">
        <v>4</v>
      </c>
      <c r="E18" s="40" t="n">
        <v>2</v>
      </c>
      <c r="F18" s="45" t="n">
        <v>3.7</v>
      </c>
      <c r="G18" s="40" t="n">
        <v>1</v>
      </c>
      <c r="H18" s="15"/>
      <c r="I18" s="15"/>
      <c r="J18" s="15"/>
      <c r="K18" s="15"/>
      <c r="L18" s="29" t="n">
        <f aca="false">D18*E18+F18*G18+H18*I18+J18*K18</f>
        <v>11.7</v>
      </c>
      <c r="M18" s="29" t="n">
        <f aca="false">Исходные!$B$12-L18</f>
        <v>0</v>
      </c>
      <c r="N18" s="40" t="n">
        <v>2</v>
      </c>
      <c r="O18" s="38" t="n">
        <f aca="false">(E18+G18+I18+K18)*N18</f>
        <v>6</v>
      </c>
      <c r="P18" s="48" t="n">
        <f aca="false">L18*N18</f>
        <v>23.4</v>
      </c>
      <c r="Q18" s="48" t="n">
        <f aca="false">M18*N18</f>
        <v>0</v>
      </c>
    </row>
    <row r="19" customFormat="false" ht="15" hidden="false" customHeight="false" outlineLevel="0" collapsed="false">
      <c r="A19" s="38" t="n">
        <v>28</v>
      </c>
      <c r="B19" s="47" t="s">
        <v>282</v>
      </c>
      <c r="C19" s="38" t="n">
        <v>3</v>
      </c>
      <c r="D19" s="45" t="n">
        <v>4</v>
      </c>
      <c r="E19" s="40" t="n">
        <v>2</v>
      </c>
      <c r="F19" s="45" t="n">
        <v>1.85</v>
      </c>
      <c r="G19" s="40" t="n">
        <v>2</v>
      </c>
      <c r="H19" s="15"/>
      <c r="I19" s="15"/>
      <c r="J19" s="15"/>
      <c r="K19" s="15"/>
      <c r="L19" s="29" t="n">
        <f aca="false">D19*E19+F19*G19+H19*I19+J19*K19</f>
        <v>11.7</v>
      </c>
      <c r="M19" s="29" t="n">
        <f aca="false">Исходные!$B$12-L19</f>
        <v>0</v>
      </c>
      <c r="N19" s="40" t="n">
        <v>1</v>
      </c>
      <c r="O19" s="38" t="n">
        <f aca="false">(E19+G19+I19+K19)*N19</f>
        <v>4</v>
      </c>
      <c r="P19" s="48" t="n">
        <f aca="false">L19*N19</f>
        <v>11.7</v>
      </c>
      <c r="Q19" s="48" t="n">
        <f aca="false">M19*N19</f>
        <v>0</v>
      </c>
    </row>
    <row r="20" customFormat="false" ht="15" hidden="false" customHeight="false" outlineLevel="0" collapsed="false">
      <c r="A20" s="38" t="n">
        <v>28</v>
      </c>
      <c r="B20" s="47" t="s">
        <v>282</v>
      </c>
      <c r="C20" s="38" t="n">
        <v>4</v>
      </c>
      <c r="D20" s="45" t="n">
        <v>7.85</v>
      </c>
      <c r="E20" s="40" t="n">
        <v>1</v>
      </c>
      <c r="F20" s="45" t="n">
        <v>3.8</v>
      </c>
      <c r="G20" s="40" t="n">
        <v>1</v>
      </c>
      <c r="H20" s="15"/>
      <c r="I20" s="15"/>
      <c r="J20" s="15"/>
      <c r="K20" s="15"/>
      <c r="L20" s="29" t="n">
        <f aca="false">D20*E20+F20*G20+H20*I20+J20*K20</f>
        <v>11.65</v>
      </c>
      <c r="M20" s="29" t="n">
        <f aca="false">Исходные!$B$12-L20</f>
        <v>0.0500000000000007</v>
      </c>
      <c r="N20" s="40" t="n">
        <v>2</v>
      </c>
      <c r="O20" s="38" t="n">
        <f aca="false">(E20+G20+I20+K20)*N20</f>
        <v>4</v>
      </c>
      <c r="P20" s="48" t="n">
        <f aca="false">L20*N20</f>
        <v>23.3</v>
      </c>
      <c r="Q20" s="48" t="n">
        <f aca="false">M20*N20</f>
        <v>0.100000000000001</v>
      </c>
    </row>
    <row r="21" customFormat="false" ht="15" hidden="false" customHeight="false" outlineLevel="0" collapsed="false">
      <c r="A21" s="38" t="n">
        <v>28</v>
      </c>
      <c r="B21" s="47" t="s">
        <v>282</v>
      </c>
      <c r="C21" s="38" t="n">
        <v>5</v>
      </c>
      <c r="D21" s="45" t="n">
        <v>4.3</v>
      </c>
      <c r="E21" s="40" t="n">
        <v>2</v>
      </c>
      <c r="F21" s="45" t="n">
        <v>3</v>
      </c>
      <c r="G21" s="40" t="n">
        <v>1</v>
      </c>
      <c r="H21" s="15"/>
      <c r="I21" s="15"/>
      <c r="J21" s="15"/>
      <c r="K21" s="15"/>
      <c r="L21" s="29" t="n">
        <f aca="false">D21*E21+F21*G21+H21*I21+J21*K21</f>
        <v>11.6</v>
      </c>
      <c r="M21" s="29" t="n">
        <f aca="false">Исходные!$B$12-L21</f>
        <v>0.0999999999999996</v>
      </c>
      <c r="N21" s="40" t="n">
        <v>1</v>
      </c>
      <c r="O21" s="38" t="n">
        <f aca="false">(E21+G21+I21+K21)*N21</f>
        <v>3</v>
      </c>
      <c r="P21" s="48" t="n">
        <f aca="false">L21*N21</f>
        <v>11.6</v>
      </c>
      <c r="Q21" s="48" t="n">
        <f aca="false">M21*N21</f>
        <v>0.0999999999999996</v>
      </c>
    </row>
    <row r="22" customFormat="false" ht="15" hidden="false" customHeight="false" outlineLevel="0" collapsed="false">
      <c r="A22" s="38" t="n">
        <v>28</v>
      </c>
      <c r="B22" s="47" t="s">
        <v>282</v>
      </c>
      <c r="C22" s="38" t="n">
        <v>6</v>
      </c>
      <c r="D22" s="45" t="n">
        <v>4</v>
      </c>
      <c r="E22" s="40" t="n">
        <v>2</v>
      </c>
      <c r="F22" s="45" t="n">
        <v>3.6</v>
      </c>
      <c r="G22" s="40" t="n">
        <v>1</v>
      </c>
      <c r="H22" s="15"/>
      <c r="I22" s="15"/>
      <c r="J22" s="15"/>
      <c r="K22" s="15"/>
      <c r="L22" s="29" t="n">
        <f aca="false">D22*E22+F22*G22+H22*I22+J22*K22</f>
        <v>11.6</v>
      </c>
      <c r="M22" s="29" t="n">
        <f aca="false">Исходные!$B$12-L22</f>
        <v>0.0999999999999996</v>
      </c>
      <c r="N22" s="40" t="n">
        <v>6</v>
      </c>
      <c r="O22" s="38" t="n">
        <f aca="false">(E22+G22+I22+K22)*N22</f>
        <v>18</v>
      </c>
      <c r="P22" s="48" t="n">
        <f aca="false">L22*N22</f>
        <v>69.6</v>
      </c>
      <c r="Q22" s="48" t="n">
        <f aca="false">M22*N22</f>
        <v>0.599999999999998</v>
      </c>
    </row>
    <row r="23" customFormat="false" ht="15" hidden="false" customHeight="false" outlineLevel="0" collapsed="false">
      <c r="A23" s="38" t="n">
        <v>28</v>
      </c>
      <c r="B23" s="47" t="s">
        <v>282</v>
      </c>
      <c r="C23" s="38" t="n">
        <v>7</v>
      </c>
      <c r="D23" s="45" t="n">
        <v>4.7</v>
      </c>
      <c r="E23" s="40" t="n">
        <v>2</v>
      </c>
      <c r="F23" s="45" t="n">
        <v>2.1</v>
      </c>
      <c r="G23" s="40" t="n">
        <v>1</v>
      </c>
      <c r="H23" s="15"/>
      <c r="I23" s="15"/>
      <c r="J23" s="15"/>
      <c r="K23" s="15"/>
      <c r="L23" s="29" t="n">
        <f aca="false">D23*E23+F23*G23+H23*I23+J23*K23</f>
        <v>11.5</v>
      </c>
      <c r="M23" s="29" t="n">
        <f aca="false">Исходные!$B$12-L23</f>
        <v>0.199999999999999</v>
      </c>
      <c r="N23" s="40" t="n">
        <v>2</v>
      </c>
      <c r="O23" s="38" t="n">
        <f aca="false">(E23+G23+I23+K23)*N23</f>
        <v>6</v>
      </c>
      <c r="P23" s="48" t="n">
        <f aca="false">L23*N23</f>
        <v>23</v>
      </c>
      <c r="Q23" s="48" t="n">
        <f aca="false">M23*N23</f>
        <v>0.399999999999999</v>
      </c>
    </row>
    <row r="24" customFormat="false" ht="15" hidden="false" customHeight="false" outlineLevel="0" collapsed="false">
      <c r="A24" s="38" t="n">
        <v>28</v>
      </c>
      <c r="B24" s="47" t="s">
        <v>282</v>
      </c>
      <c r="C24" s="38" t="n">
        <v>8</v>
      </c>
      <c r="D24" s="45" t="n">
        <v>3.8</v>
      </c>
      <c r="E24" s="40" t="n">
        <v>3</v>
      </c>
      <c r="F24" s="15"/>
      <c r="G24" s="15"/>
      <c r="H24" s="15"/>
      <c r="I24" s="15"/>
      <c r="J24" s="15"/>
      <c r="K24" s="15"/>
      <c r="L24" s="29" t="n">
        <f aca="false">D24*E24+F24*G24+H24*I24+J24*K24</f>
        <v>11.4</v>
      </c>
      <c r="M24" s="29" t="n">
        <f aca="false">Исходные!$B$12-L24</f>
        <v>0.300000000000001</v>
      </c>
      <c r="N24" s="40" t="n">
        <v>1</v>
      </c>
      <c r="O24" s="38" t="n">
        <f aca="false">(E24+G24+I24+K24)*N24</f>
        <v>3</v>
      </c>
      <c r="P24" s="48" t="n">
        <f aca="false">L24*N24</f>
        <v>11.4</v>
      </c>
      <c r="Q24" s="48" t="n">
        <f aca="false">M24*N24</f>
        <v>0.300000000000001</v>
      </c>
    </row>
    <row r="25" customFormat="false" ht="15" hidden="false" customHeight="false" outlineLevel="0" collapsed="false">
      <c r="A25" s="38" t="n">
        <v>28</v>
      </c>
      <c r="B25" s="47" t="s">
        <v>282</v>
      </c>
      <c r="C25" s="38" t="n">
        <v>9</v>
      </c>
      <c r="D25" s="45" t="n">
        <v>5.5</v>
      </c>
      <c r="E25" s="40" t="n">
        <v>2</v>
      </c>
      <c r="F25" s="15"/>
      <c r="G25" s="15"/>
      <c r="H25" s="15"/>
      <c r="I25" s="15"/>
      <c r="J25" s="15"/>
      <c r="K25" s="15"/>
      <c r="L25" s="29" t="n">
        <f aca="false">D25*E25+F25*G25+H25*I25+J25*K25</f>
        <v>11</v>
      </c>
      <c r="M25" s="29" t="n">
        <f aca="false">Исходные!$B$12-L25</f>
        <v>0.699999999999999</v>
      </c>
      <c r="N25" s="40" t="n">
        <v>1</v>
      </c>
      <c r="O25" s="38" t="n">
        <f aca="false">(E25+G25+I25+K25)*N25</f>
        <v>2</v>
      </c>
      <c r="P25" s="48" t="n">
        <f aca="false">L25*N25</f>
        <v>11</v>
      </c>
      <c r="Q25" s="48" t="n">
        <f aca="false">M25*N25</f>
        <v>0.699999999999999</v>
      </c>
    </row>
    <row r="26" customFormat="false" ht="15" hidden="false" customHeight="false" outlineLevel="0" collapsed="false">
      <c r="A26" s="38" t="n">
        <v>28</v>
      </c>
      <c r="B26" s="47" t="s">
        <v>282</v>
      </c>
      <c r="C26" s="38" t="n">
        <v>10</v>
      </c>
      <c r="D26" s="45" t="n">
        <v>4</v>
      </c>
      <c r="E26" s="40" t="n">
        <v>2</v>
      </c>
      <c r="F26" s="45" t="n">
        <v>3</v>
      </c>
      <c r="G26" s="40" t="n">
        <v>1</v>
      </c>
      <c r="H26" s="15"/>
      <c r="I26" s="15"/>
      <c r="J26" s="15"/>
      <c r="K26" s="15"/>
      <c r="L26" s="29" t="n">
        <f aca="false">D26*E26+F26*G26+H26*I26+J26*K26</f>
        <v>11</v>
      </c>
      <c r="M26" s="29" t="n">
        <f aca="false">Исходные!$B$12-L26</f>
        <v>0.699999999999999</v>
      </c>
      <c r="N26" s="40" t="n">
        <v>1</v>
      </c>
      <c r="O26" s="38" t="n">
        <f aca="false">(E26+G26+I26+K26)*N26</f>
        <v>3</v>
      </c>
      <c r="P26" s="48" t="n">
        <f aca="false">L26*N26</f>
        <v>11</v>
      </c>
      <c r="Q26" s="48" t="n">
        <f aca="false">M26*N26</f>
        <v>0.699999999999999</v>
      </c>
    </row>
    <row r="27" customFormat="false" ht="15" hidden="false" customHeight="false" outlineLevel="0" collapsed="false">
      <c r="A27" s="38" t="n">
        <v>28</v>
      </c>
      <c r="B27" s="47" t="s">
        <v>282</v>
      </c>
      <c r="C27" s="38" t="n">
        <v>11</v>
      </c>
      <c r="D27" s="45" t="n">
        <v>8.8</v>
      </c>
      <c r="E27" s="40" t="n">
        <v>1</v>
      </c>
      <c r="F27" s="45" t="n">
        <v>2.1</v>
      </c>
      <c r="G27" s="40" t="n">
        <v>1</v>
      </c>
      <c r="H27" s="15"/>
      <c r="I27" s="15"/>
      <c r="J27" s="15"/>
      <c r="K27" s="15"/>
      <c r="L27" s="29" t="n">
        <f aca="false">D27*E27+F27*G27+H27*I27+J27*K27</f>
        <v>10.9</v>
      </c>
      <c r="M27" s="29" t="n">
        <f aca="false">Исходные!$B$12-L27</f>
        <v>0.799999999999999</v>
      </c>
      <c r="N27" s="40" t="n">
        <v>14</v>
      </c>
      <c r="O27" s="38" t="n">
        <f aca="false">(E27+G27+I27+K27)*N27</f>
        <v>28</v>
      </c>
      <c r="P27" s="48" t="n">
        <f aca="false">L27*N27</f>
        <v>152.6</v>
      </c>
      <c r="Q27" s="48" t="n">
        <f aca="false">M27*N27</f>
        <v>11.2</v>
      </c>
    </row>
    <row r="28" customFormat="false" ht="15" hidden="false" customHeight="false" outlineLevel="0" collapsed="false">
      <c r="A28" s="38" t="n">
        <v>28</v>
      </c>
      <c r="B28" s="47" t="s">
        <v>282</v>
      </c>
      <c r="C28" s="38" t="n">
        <v>12</v>
      </c>
      <c r="D28" s="45" t="n">
        <v>8.8</v>
      </c>
      <c r="E28" s="40" t="n">
        <v>1</v>
      </c>
      <c r="F28" s="45" t="n">
        <v>2.05</v>
      </c>
      <c r="G28" s="40" t="n">
        <v>1</v>
      </c>
      <c r="H28" s="15"/>
      <c r="I28" s="15"/>
      <c r="J28" s="15"/>
      <c r="K28" s="15"/>
      <c r="L28" s="29" t="n">
        <f aca="false">D28*E28+F28*G28+H28*I28+J28*K28</f>
        <v>10.85</v>
      </c>
      <c r="M28" s="29" t="n">
        <f aca="false">Исходные!$B$12-L28</f>
        <v>0.849999999999998</v>
      </c>
      <c r="N28" s="40" t="n">
        <v>6</v>
      </c>
      <c r="O28" s="38" t="n">
        <f aca="false">(E28+G28+I28+K28)*N28</f>
        <v>12</v>
      </c>
      <c r="P28" s="48" t="n">
        <f aca="false">L28*N28</f>
        <v>65.1</v>
      </c>
      <c r="Q28" s="48" t="n">
        <f aca="false">M28*N28</f>
        <v>5.09999999999999</v>
      </c>
    </row>
    <row r="29" customFormat="false" ht="15" hidden="false" customHeight="false" outlineLevel="0" collapsed="false">
      <c r="A29" s="38" t="n">
        <v>28</v>
      </c>
      <c r="B29" s="47" t="s">
        <v>282</v>
      </c>
      <c r="C29" s="38" t="n">
        <v>13</v>
      </c>
      <c r="D29" s="45" t="n">
        <v>4</v>
      </c>
      <c r="E29" s="40" t="n">
        <v>2</v>
      </c>
      <c r="F29" s="45" t="n">
        <v>2.05</v>
      </c>
      <c r="G29" s="40" t="n">
        <v>1</v>
      </c>
      <c r="H29" s="15"/>
      <c r="I29" s="15"/>
      <c r="J29" s="15"/>
      <c r="K29" s="15"/>
      <c r="L29" s="29" t="n">
        <f aca="false">D29*E29+F29*G29+H29*I29+J29*K29</f>
        <v>10.05</v>
      </c>
      <c r="M29" s="29" t="n">
        <f aca="false">Исходные!$B$12-L29</f>
        <v>1.65</v>
      </c>
      <c r="N29" s="40" t="n">
        <v>4</v>
      </c>
      <c r="O29" s="38" t="n">
        <f aca="false">(E29+G29+I29+K29)*N29</f>
        <v>12</v>
      </c>
      <c r="P29" s="48" t="n">
        <f aca="false">L29*N29</f>
        <v>40.2</v>
      </c>
      <c r="Q29" s="48" t="n">
        <f aca="false">M29*N29</f>
        <v>6.59999999999999</v>
      </c>
    </row>
    <row r="30" customFormat="false" ht="15" hidden="false" customHeight="false" outlineLevel="0" collapsed="false">
      <c r="A30" s="38" t="n">
        <v>28</v>
      </c>
      <c r="B30" s="47" t="s">
        <v>282</v>
      </c>
      <c r="C30" s="38" t="n">
        <v>14</v>
      </c>
      <c r="D30" s="45" t="n">
        <v>4</v>
      </c>
      <c r="E30" s="40" t="n">
        <v>2</v>
      </c>
      <c r="F30" s="15"/>
      <c r="G30" s="15"/>
      <c r="H30" s="15"/>
      <c r="I30" s="15"/>
      <c r="J30" s="15"/>
      <c r="K30" s="15"/>
      <c r="L30" s="29" t="n">
        <f aca="false">D30*E30+F30*G30+H30*I30+J30*K30</f>
        <v>8</v>
      </c>
      <c r="M30" s="29" t="n">
        <f aca="false">Исходные!$B$12-L30</f>
        <v>3.7</v>
      </c>
      <c r="N30" s="40" t="n">
        <v>38</v>
      </c>
      <c r="O30" s="38" t="n">
        <f aca="false">(E30+G30+I30+K30)*N30</f>
        <v>76</v>
      </c>
      <c r="P30" s="48" t="n">
        <f aca="false">L30*N30</f>
        <v>304</v>
      </c>
      <c r="Q30" s="48" t="n">
        <f aca="false">M30*N30</f>
        <v>140.6</v>
      </c>
    </row>
    <row r="31" customFormat="false" ht="15" hidden="false" customHeight="false" outlineLevel="0" collapsed="false">
      <c r="A31" s="38" t="n">
        <v>28</v>
      </c>
      <c r="B31" s="47" t="s">
        <v>282</v>
      </c>
      <c r="C31" s="38" t="n">
        <v>15</v>
      </c>
      <c r="D31" s="45" t="n">
        <v>3.8</v>
      </c>
      <c r="E31" s="40" t="n">
        <v>1</v>
      </c>
      <c r="F31" s="15"/>
      <c r="G31" s="15"/>
      <c r="H31" s="15"/>
      <c r="I31" s="15"/>
      <c r="J31" s="15"/>
      <c r="K31" s="15"/>
      <c r="L31" s="29" t="n">
        <f aca="false">D31*E31+F31*G31+H31*I31+J31*K31</f>
        <v>3.8</v>
      </c>
      <c r="M31" s="29" t="n">
        <f aca="false">Исходные!$B$12-L31</f>
        <v>7.9</v>
      </c>
      <c r="N31" s="40" t="n">
        <v>1</v>
      </c>
      <c r="O31" s="38" t="n">
        <f aca="false">(E31+G31+I31+K31)*N31</f>
        <v>1</v>
      </c>
      <c r="P31" s="48" t="n">
        <f aca="false">L31*N31</f>
        <v>3.8</v>
      </c>
      <c r="Q31" s="48" t="n">
        <f aca="false">M31*N31</f>
        <v>7.9</v>
      </c>
    </row>
    <row r="32" customFormat="false" ht="15" hidden="false" customHeight="false" outlineLevel="0" collapsed="false">
      <c r="A32" s="38" t="n">
        <v>25</v>
      </c>
      <c r="B32" s="47" t="s">
        <v>282</v>
      </c>
      <c r="C32" s="38" t="n">
        <v>1</v>
      </c>
      <c r="D32" s="45" t="n">
        <v>11.7</v>
      </c>
      <c r="E32" s="40" t="n">
        <v>1</v>
      </c>
      <c r="F32" s="15"/>
      <c r="G32" s="15"/>
      <c r="H32" s="15"/>
      <c r="I32" s="15"/>
      <c r="J32" s="15"/>
      <c r="K32" s="15"/>
      <c r="L32" s="29" t="n">
        <f aca="false">D32*E32+F32*G32+H32*I32+J32*K32</f>
        <v>11.7</v>
      </c>
      <c r="M32" s="29" t="n">
        <f aca="false">Исходные!$B$12-L32</f>
        <v>0</v>
      </c>
      <c r="N32" s="40" t="n">
        <v>40</v>
      </c>
      <c r="O32" s="38" t="n">
        <f aca="false">(E32+G32+I32+K32)*N32</f>
        <v>40</v>
      </c>
      <c r="P32" s="48" t="n">
        <f aca="false">L32*N32</f>
        <v>468</v>
      </c>
      <c r="Q32" s="48" t="n">
        <f aca="false">M32*N32</f>
        <v>0</v>
      </c>
    </row>
    <row r="33" customFormat="false" ht="15" hidden="false" customHeight="false" outlineLevel="0" collapsed="false">
      <c r="A33" s="38" t="n">
        <v>25</v>
      </c>
      <c r="B33" s="47" t="s">
        <v>282</v>
      </c>
      <c r="C33" s="38" t="n">
        <v>2</v>
      </c>
      <c r="D33" s="45" t="n">
        <v>7.85</v>
      </c>
      <c r="E33" s="40" t="n">
        <v>1</v>
      </c>
      <c r="F33" s="45" t="n">
        <v>3.8</v>
      </c>
      <c r="G33" s="40" t="n">
        <v>1</v>
      </c>
      <c r="H33" s="15"/>
      <c r="I33" s="15"/>
      <c r="J33" s="15"/>
      <c r="K33" s="15"/>
      <c r="L33" s="29" t="n">
        <f aca="false">D33*E33+F33*G33+H33*I33+J33*K33</f>
        <v>11.65</v>
      </c>
      <c r="M33" s="29" t="n">
        <f aca="false">Исходные!$B$12-L33</f>
        <v>0.0500000000000007</v>
      </c>
      <c r="N33" s="40" t="n">
        <v>4</v>
      </c>
      <c r="O33" s="38" t="n">
        <f aca="false">(E33+G33+I33+K33)*N33</f>
        <v>8</v>
      </c>
      <c r="P33" s="48" t="n">
        <f aca="false">L33*N33</f>
        <v>46.6</v>
      </c>
      <c r="Q33" s="48" t="n">
        <f aca="false">M33*N33</f>
        <v>0.200000000000003</v>
      </c>
    </row>
    <row r="34" customFormat="false" ht="15" hidden="false" customHeight="false" outlineLevel="0" collapsed="false">
      <c r="A34" s="38" t="n">
        <v>25</v>
      </c>
      <c r="B34" s="47" t="s">
        <v>282</v>
      </c>
      <c r="C34" s="38" t="n">
        <v>3</v>
      </c>
      <c r="D34" s="45" t="n">
        <v>3.8</v>
      </c>
      <c r="E34" s="40" t="n">
        <v>2</v>
      </c>
      <c r="F34" s="45" t="n">
        <v>3.785</v>
      </c>
      <c r="G34" s="40" t="n">
        <v>1</v>
      </c>
      <c r="H34" s="45" t="n">
        <v>0.2</v>
      </c>
      <c r="I34" s="40" t="n">
        <v>1</v>
      </c>
      <c r="J34" s="15"/>
      <c r="K34" s="15"/>
      <c r="L34" s="29" t="n">
        <f aca="false">D34*E34+F34*G34+H34*I34+J34*K34</f>
        <v>11.585</v>
      </c>
      <c r="M34" s="29" t="n">
        <f aca="false">Исходные!$B$12-L34</f>
        <v>0.115</v>
      </c>
      <c r="N34" s="40" t="n">
        <v>1</v>
      </c>
      <c r="O34" s="38" t="n">
        <f aca="false">(E34+G34+I34+K34)*N34</f>
        <v>4</v>
      </c>
      <c r="P34" s="48" t="n">
        <f aca="false">L34*N34</f>
        <v>11.585</v>
      </c>
      <c r="Q34" s="48" t="n">
        <f aca="false">M34*N34</f>
        <v>0.115</v>
      </c>
    </row>
    <row r="35" customFormat="false" ht="15" hidden="false" customHeight="false" outlineLevel="0" collapsed="false">
      <c r="A35" s="38" t="n">
        <v>25</v>
      </c>
      <c r="B35" s="47" t="s">
        <v>282</v>
      </c>
      <c r="C35" s="38" t="n">
        <v>4</v>
      </c>
      <c r="D35" s="45" t="n">
        <v>4</v>
      </c>
      <c r="E35" s="40" t="n">
        <v>2</v>
      </c>
      <c r="F35" s="45" t="n">
        <v>3.365</v>
      </c>
      <c r="G35" s="40" t="n">
        <v>1</v>
      </c>
      <c r="H35" s="45" t="n">
        <v>0.2</v>
      </c>
      <c r="I35" s="40" t="n">
        <v>1</v>
      </c>
      <c r="J35" s="15"/>
      <c r="K35" s="15"/>
      <c r="L35" s="29" t="n">
        <f aca="false">D35*E35+F35*G35+H35*I35+J35*K35</f>
        <v>11.565</v>
      </c>
      <c r="M35" s="29" t="n">
        <f aca="false">Исходные!$B$12-L35</f>
        <v>0.135</v>
      </c>
      <c r="N35" s="40" t="n">
        <v>3</v>
      </c>
      <c r="O35" s="38" t="n">
        <f aca="false">(E35+G35+I35+K35)*N35</f>
        <v>12</v>
      </c>
      <c r="P35" s="48" t="n">
        <f aca="false">L35*N35</f>
        <v>34.695</v>
      </c>
      <c r="Q35" s="48" t="n">
        <f aca="false">M35*N35</f>
        <v>0.404999999999999</v>
      </c>
    </row>
    <row r="36" customFormat="false" ht="15" hidden="false" customHeight="false" outlineLevel="0" collapsed="false">
      <c r="A36" s="38" t="n">
        <v>25</v>
      </c>
      <c r="B36" s="47" t="s">
        <v>282</v>
      </c>
      <c r="C36" s="38" t="n">
        <v>5</v>
      </c>
      <c r="D36" s="45" t="n">
        <v>4</v>
      </c>
      <c r="E36" s="40" t="n">
        <v>2</v>
      </c>
      <c r="F36" s="45" t="n">
        <v>3.365</v>
      </c>
      <c r="G36" s="40" t="n">
        <v>1</v>
      </c>
      <c r="H36" s="15"/>
      <c r="I36" s="15"/>
      <c r="J36" s="15"/>
      <c r="K36" s="15"/>
      <c r="L36" s="29" t="n">
        <f aca="false">D36*E36+F36*G36+H36*I36+J36*K36</f>
        <v>11.365</v>
      </c>
      <c r="M36" s="29" t="n">
        <f aca="false">Исходные!$B$12-L36</f>
        <v>0.334999999999999</v>
      </c>
      <c r="N36" s="40" t="n">
        <v>1</v>
      </c>
      <c r="O36" s="38" t="n">
        <f aca="false">(E36+G36+I36+K36)*N36</f>
        <v>3</v>
      </c>
      <c r="P36" s="48" t="n">
        <f aca="false">L36*N36</f>
        <v>11.365</v>
      </c>
      <c r="Q36" s="48" t="n">
        <f aca="false">M36*N36</f>
        <v>0.334999999999999</v>
      </c>
    </row>
    <row r="37" customFormat="false" ht="15" hidden="false" customHeight="false" outlineLevel="0" collapsed="false">
      <c r="A37" s="38" t="n">
        <v>25</v>
      </c>
      <c r="B37" s="47" t="s">
        <v>282</v>
      </c>
      <c r="C37" s="38" t="n">
        <v>6</v>
      </c>
      <c r="D37" s="45" t="n">
        <v>3.785</v>
      </c>
      <c r="E37" s="40" t="n">
        <v>3</v>
      </c>
      <c r="F37" s="15"/>
      <c r="G37" s="15"/>
      <c r="H37" s="15"/>
      <c r="I37" s="15"/>
      <c r="J37" s="15"/>
      <c r="K37" s="15"/>
      <c r="L37" s="29" t="n">
        <f aca="false">D37*E37+F37*G37+H37*I37+J37*K37</f>
        <v>11.355</v>
      </c>
      <c r="M37" s="29" t="n">
        <f aca="false">Исходные!$B$12-L37</f>
        <v>0.344999999999999</v>
      </c>
      <c r="N37" s="40" t="n">
        <v>1</v>
      </c>
      <c r="O37" s="38" t="n">
        <f aca="false">(E37+G37+I37+K37)*N37</f>
        <v>3</v>
      </c>
      <c r="P37" s="48" t="n">
        <f aca="false">L37*N37</f>
        <v>11.355</v>
      </c>
      <c r="Q37" s="48" t="n">
        <f aca="false">M37*N37</f>
        <v>0.344999999999999</v>
      </c>
    </row>
    <row r="38" customFormat="false" ht="15" hidden="false" customHeight="false" outlineLevel="0" collapsed="false">
      <c r="A38" s="38" t="n">
        <v>25</v>
      </c>
      <c r="B38" s="47" t="s">
        <v>282</v>
      </c>
      <c r="C38" s="38" t="n">
        <v>7</v>
      </c>
      <c r="D38" s="45" t="n">
        <v>8.7</v>
      </c>
      <c r="E38" s="40" t="n">
        <v>1</v>
      </c>
      <c r="F38" s="45" t="n">
        <v>2.2</v>
      </c>
      <c r="G38" s="40" t="n">
        <v>1</v>
      </c>
      <c r="H38" s="15"/>
      <c r="I38" s="15"/>
      <c r="J38" s="15"/>
      <c r="K38" s="15"/>
      <c r="L38" s="29" t="n">
        <f aca="false">D38*E38+F38*G38+H38*I38+J38*K38</f>
        <v>10.9</v>
      </c>
      <c r="M38" s="29" t="n">
        <f aca="false">Исходные!$B$12-L38</f>
        <v>0.800000000000001</v>
      </c>
      <c r="N38" s="40" t="n">
        <v>8</v>
      </c>
      <c r="O38" s="38" t="n">
        <f aca="false">(E38+G38+I38+K38)*N38</f>
        <v>16</v>
      </c>
      <c r="P38" s="48" t="n">
        <f aca="false">L38*N38</f>
        <v>87.2</v>
      </c>
      <c r="Q38" s="48" t="n">
        <f aca="false">M38*N38</f>
        <v>6.40000000000001</v>
      </c>
    </row>
    <row r="39" customFormat="false" ht="15" hidden="false" customHeight="false" outlineLevel="0" collapsed="false">
      <c r="A39" s="38" t="n">
        <v>25</v>
      </c>
      <c r="B39" s="47" t="s">
        <v>282</v>
      </c>
      <c r="C39" s="38" t="n">
        <v>8</v>
      </c>
      <c r="D39" s="45" t="n">
        <v>8.7</v>
      </c>
      <c r="E39" s="40" t="n">
        <v>1</v>
      </c>
      <c r="F39" s="45" t="n">
        <v>2.05</v>
      </c>
      <c r="G39" s="40" t="n">
        <v>1</v>
      </c>
      <c r="H39" s="15"/>
      <c r="I39" s="15"/>
      <c r="J39" s="15"/>
      <c r="K39" s="15"/>
      <c r="L39" s="29" t="n">
        <f aca="false">D39*E39+F39*G39+H39*I39+J39*K39</f>
        <v>10.75</v>
      </c>
      <c r="M39" s="29" t="n">
        <f aca="false">Исходные!$B$12-L39</f>
        <v>0.949999999999999</v>
      </c>
      <c r="N39" s="40" t="n">
        <v>4</v>
      </c>
      <c r="O39" s="38" t="n">
        <f aca="false">(E39+G39+I39+K39)*N39</f>
        <v>8</v>
      </c>
      <c r="P39" s="48" t="n">
        <f aca="false">L39*N39</f>
        <v>43</v>
      </c>
      <c r="Q39" s="48" t="n">
        <f aca="false">M39*N39</f>
        <v>3.8</v>
      </c>
    </row>
    <row r="40" customFormat="false" ht="15" hidden="false" customHeight="false" outlineLevel="0" collapsed="false">
      <c r="A40" s="38" t="n">
        <v>25</v>
      </c>
      <c r="B40" s="47" t="s">
        <v>282</v>
      </c>
      <c r="C40" s="38" t="n">
        <v>9</v>
      </c>
      <c r="D40" s="45" t="n">
        <v>6.2</v>
      </c>
      <c r="E40" s="40" t="n">
        <v>1</v>
      </c>
      <c r="F40" s="45" t="n">
        <v>4.5</v>
      </c>
      <c r="G40" s="40" t="n">
        <v>1</v>
      </c>
      <c r="H40" s="15"/>
      <c r="I40" s="15"/>
      <c r="J40" s="15"/>
      <c r="K40" s="15"/>
      <c r="L40" s="29" t="n">
        <f aca="false">D40*E40+F40*G40+H40*I40+J40*K40</f>
        <v>10.7</v>
      </c>
      <c r="M40" s="29" t="n">
        <f aca="false">Исходные!$B$12-L40</f>
        <v>1</v>
      </c>
      <c r="N40" s="40" t="n">
        <v>2</v>
      </c>
      <c r="O40" s="38" t="n">
        <f aca="false">(E40+G40+I40+K40)*N40</f>
        <v>4</v>
      </c>
      <c r="P40" s="48" t="n">
        <f aca="false">L40*N40</f>
        <v>21.4</v>
      </c>
      <c r="Q40" s="48" t="n">
        <f aca="false">M40*N40</f>
        <v>2</v>
      </c>
    </row>
    <row r="41" customFormat="false" ht="15" hidden="false" customHeight="false" outlineLevel="0" collapsed="false">
      <c r="A41" s="38" t="n">
        <v>25</v>
      </c>
      <c r="B41" s="47" t="s">
        <v>282</v>
      </c>
      <c r="C41" s="38" t="n">
        <v>10</v>
      </c>
      <c r="D41" s="45" t="n">
        <v>10.5</v>
      </c>
      <c r="E41" s="40" t="n">
        <v>1</v>
      </c>
      <c r="F41" s="15"/>
      <c r="G41" s="15"/>
      <c r="H41" s="15"/>
      <c r="I41" s="15"/>
      <c r="J41" s="15"/>
      <c r="K41" s="15"/>
      <c r="L41" s="29" t="n">
        <f aca="false">D41*E41+F41*G41+H41*I41+J41*K41</f>
        <v>10.5</v>
      </c>
      <c r="M41" s="29" t="n">
        <f aca="false">Исходные!$B$12-L41</f>
        <v>1.2</v>
      </c>
      <c r="N41" s="40" t="n">
        <v>2</v>
      </c>
      <c r="O41" s="38" t="n">
        <f aca="false">(E41+G41+I41+K41)*N41</f>
        <v>2</v>
      </c>
      <c r="P41" s="48" t="n">
        <f aca="false">L41*N41</f>
        <v>21</v>
      </c>
      <c r="Q41" s="48" t="n">
        <f aca="false">M41*N41</f>
        <v>2.4</v>
      </c>
    </row>
    <row r="42" customFormat="false" ht="15" hidden="false" customHeight="false" outlineLevel="0" collapsed="false">
      <c r="A42" s="38" t="n">
        <v>25</v>
      </c>
      <c r="B42" s="47" t="s">
        <v>282</v>
      </c>
      <c r="C42" s="38" t="n">
        <v>11</v>
      </c>
      <c r="D42" s="45" t="n">
        <v>4</v>
      </c>
      <c r="E42" s="40" t="n">
        <v>2</v>
      </c>
      <c r="F42" s="45" t="n">
        <v>2.05</v>
      </c>
      <c r="G42" s="40" t="n">
        <v>1</v>
      </c>
      <c r="H42" s="15"/>
      <c r="I42" s="15"/>
      <c r="J42" s="15"/>
      <c r="K42" s="15"/>
      <c r="L42" s="29" t="n">
        <f aca="false">D42*E42+F42*G42+H42*I42+J42*K42</f>
        <v>10.05</v>
      </c>
      <c r="M42" s="29" t="n">
        <f aca="false">Исходные!$B$12-L42</f>
        <v>1.65</v>
      </c>
      <c r="N42" s="40" t="n">
        <v>8</v>
      </c>
      <c r="O42" s="38" t="n">
        <f aca="false">(E42+G42+I42+K42)*N42</f>
        <v>24</v>
      </c>
      <c r="P42" s="48" t="n">
        <f aca="false">L42*N42</f>
        <v>80.4</v>
      </c>
      <c r="Q42" s="48" t="n">
        <f aca="false">M42*N42</f>
        <v>13.2</v>
      </c>
    </row>
    <row r="43" customFormat="false" ht="15" hidden="false" customHeight="false" outlineLevel="0" collapsed="false">
      <c r="A43" s="38" t="n">
        <v>25</v>
      </c>
      <c r="B43" s="47" t="s">
        <v>282</v>
      </c>
      <c r="C43" s="38" t="n">
        <v>12</v>
      </c>
      <c r="D43" s="45" t="n">
        <v>4</v>
      </c>
      <c r="E43" s="40" t="n">
        <v>2</v>
      </c>
      <c r="F43" s="45" t="n">
        <v>2</v>
      </c>
      <c r="G43" s="40" t="n">
        <v>1</v>
      </c>
      <c r="H43" s="15"/>
      <c r="I43" s="15"/>
      <c r="J43" s="15"/>
      <c r="K43" s="15"/>
      <c r="L43" s="29" t="n">
        <f aca="false">D43*E43+F43*G43+H43*I43+J43*K43</f>
        <v>10</v>
      </c>
      <c r="M43" s="29" t="n">
        <f aca="false">Исходные!$B$12-L43</f>
        <v>1.7</v>
      </c>
      <c r="N43" s="40" t="n">
        <v>6</v>
      </c>
      <c r="O43" s="38" t="n">
        <f aca="false">(E43+G43+I43+K43)*N43</f>
        <v>18</v>
      </c>
      <c r="P43" s="48" t="n">
        <f aca="false">L43*N43</f>
        <v>60</v>
      </c>
      <c r="Q43" s="48" t="n">
        <f aca="false">M43*N43</f>
        <v>10.2</v>
      </c>
    </row>
    <row r="44" customFormat="false" ht="15" hidden="false" customHeight="false" outlineLevel="0" collapsed="false">
      <c r="A44" s="38" t="n">
        <v>25</v>
      </c>
      <c r="B44" s="47" t="s">
        <v>282</v>
      </c>
      <c r="C44" s="38" t="n">
        <v>13</v>
      </c>
      <c r="D44" s="45" t="n">
        <v>2</v>
      </c>
      <c r="E44" s="40" t="n">
        <v>2</v>
      </c>
      <c r="F44" s="15"/>
      <c r="G44" s="15"/>
      <c r="H44" s="15"/>
      <c r="I44" s="15"/>
      <c r="J44" s="15"/>
      <c r="K44" s="15"/>
      <c r="L44" s="29" t="n">
        <f aca="false">D44*E44+F44*G44+H44*I44+J44*K44</f>
        <v>4</v>
      </c>
      <c r="M44" s="29" t="n">
        <f aca="false">Исходные!$B$12-L44</f>
        <v>7.7</v>
      </c>
      <c r="N44" s="40" t="n">
        <v>1</v>
      </c>
      <c r="O44" s="38" t="n">
        <f aca="false">(E44+G44+I44+K44)*N44</f>
        <v>2</v>
      </c>
      <c r="P44" s="48" t="n">
        <f aca="false">L44*N44</f>
        <v>4</v>
      </c>
      <c r="Q44" s="48" t="n">
        <f aca="false">M44*N44</f>
        <v>7.7</v>
      </c>
    </row>
    <row r="45" customFormat="false" ht="15" hidden="false" customHeight="false" outlineLevel="0" collapsed="false">
      <c r="A45" s="38" t="n">
        <v>22</v>
      </c>
      <c r="B45" s="47" t="s">
        <v>282</v>
      </c>
      <c r="C45" s="38" t="n">
        <v>1</v>
      </c>
      <c r="D45" s="45" t="n">
        <v>4</v>
      </c>
      <c r="E45" s="40" t="n">
        <v>2</v>
      </c>
      <c r="F45" s="45" t="n">
        <v>2.375</v>
      </c>
      <c r="G45" s="40" t="n">
        <v>1</v>
      </c>
      <c r="H45" s="45" t="n">
        <v>1.3</v>
      </c>
      <c r="I45" s="40" t="n">
        <v>1</v>
      </c>
      <c r="J45" s="15"/>
      <c r="K45" s="15"/>
      <c r="L45" s="29" t="n">
        <f aca="false">D45*E45+F45*G45+H45*I45+J45*K45</f>
        <v>11.675</v>
      </c>
      <c r="M45" s="29" t="n">
        <f aca="false">Исходные!$B$12-L45</f>
        <v>0.0249999999999986</v>
      </c>
      <c r="N45" s="40" t="n">
        <v>3</v>
      </c>
      <c r="O45" s="38" t="n">
        <f aca="false">(E45+G45+I45+K45)*N45</f>
        <v>12</v>
      </c>
      <c r="P45" s="48" t="n">
        <f aca="false">L45*N45</f>
        <v>35.025</v>
      </c>
      <c r="Q45" s="48" t="n">
        <f aca="false">M45*N45</f>
        <v>0.0749999999999957</v>
      </c>
    </row>
    <row r="46" customFormat="false" ht="15" hidden="false" customHeight="false" outlineLevel="0" collapsed="false">
      <c r="A46" s="38" t="n">
        <v>22</v>
      </c>
      <c r="B46" s="47" t="s">
        <v>282</v>
      </c>
      <c r="C46" s="38" t="n">
        <v>2</v>
      </c>
      <c r="D46" s="45" t="n">
        <v>4.7</v>
      </c>
      <c r="E46" s="40" t="n">
        <v>2</v>
      </c>
      <c r="F46" s="45" t="n">
        <v>2.175</v>
      </c>
      <c r="G46" s="40" t="n">
        <v>1</v>
      </c>
      <c r="H46" s="15"/>
      <c r="I46" s="15"/>
      <c r="J46" s="15"/>
      <c r="K46" s="15"/>
      <c r="L46" s="29" t="n">
        <f aca="false">D46*E46+F46*G46+H46*I46+J46*K46</f>
        <v>11.575</v>
      </c>
      <c r="M46" s="29" t="n">
        <f aca="false">Исходные!$B$12-L46</f>
        <v>0.125</v>
      </c>
      <c r="N46" s="40" t="n">
        <v>1</v>
      </c>
      <c r="O46" s="38" t="n">
        <f aca="false">(E46+G46+I46+K46)*N46</f>
        <v>3</v>
      </c>
      <c r="P46" s="48" t="n">
        <f aca="false">L46*N46</f>
        <v>11.575</v>
      </c>
      <c r="Q46" s="48" t="n">
        <f aca="false">M46*N46</f>
        <v>0.125</v>
      </c>
    </row>
    <row r="47" customFormat="false" ht="15" hidden="false" customHeight="false" outlineLevel="0" collapsed="false">
      <c r="A47" s="38" t="n">
        <v>22</v>
      </c>
      <c r="B47" s="47" t="s">
        <v>282</v>
      </c>
      <c r="C47" s="38" t="n">
        <v>3</v>
      </c>
      <c r="D47" s="45" t="n">
        <v>3.775</v>
      </c>
      <c r="E47" s="40" t="n">
        <v>1</v>
      </c>
      <c r="F47" s="45" t="n">
        <v>2.15</v>
      </c>
      <c r="G47" s="40" t="n">
        <v>3</v>
      </c>
      <c r="H47" s="45" t="n">
        <v>1.3</v>
      </c>
      <c r="I47" s="40" t="n">
        <v>1</v>
      </c>
      <c r="J47" s="15"/>
      <c r="K47" s="15"/>
      <c r="L47" s="29" t="n">
        <f aca="false">D47*E47+F47*G47+H47*I47+J47*K47</f>
        <v>11.525</v>
      </c>
      <c r="M47" s="29" t="n">
        <f aca="false">Исходные!$B$12-L47</f>
        <v>0.174999999999999</v>
      </c>
      <c r="N47" s="40" t="n">
        <v>1</v>
      </c>
      <c r="O47" s="38" t="n">
        <f aca="false">(E47+G47+I47+K47)*N47</f>
        <v>5</v>
      </c>
      <c r="P47" s="48" t="n">
        <f aca="false">L47*N47</f>
        <v>11.525</v>
      </c>
      <c r="Q47" s="48" t="n">
        <f aca="false">M47*N47</f>
        <v>0.174999999999999</v>
      </c>
    </row>
    <row r="48" customFormat="false" ht="15" hidden="false" customHeight="false" outlineLevel="0" collapsed="false">
      <c r="A48" s="38" t="n">
        <v>22</v>
      </c>
      <c r="B48" s="47" t="s">
        <v>282</v>
      </c>
      <c r="C48" s="38" t="n">
        <v>4</v>
      </c>
      <c r="D48" s="45" t="n">
        <v>4.15</v>
      </c>
      <c r="E48" s="40" t="n">
        <v>2</v>
      </c>
      <c r="F48" s="45" t="n">
        <v>3.2</v>
      </c>
      <c r="G48" s="40" t="n">
        <v>1</v>
      </c>
      <c r="H48" s="15"/>
      <c r="I48" s="15"/>
      <c r="J48" s="15"/>
      <c r="K48" s="15"/>
      <c r="L48" s="29" t="n">
        <f aca="false">D48*E48+F48*G48+H48*I48+J48*K48</f>
        <v>11.5</v>
      </c>
      <c r="M48" s="29" t="n">
        <f aca="false">Исходные!$B$12-L48</f>
        <v>0.199999999999999</v>
      </c>
      <c r="N48" s="40" t="n">
        <v>4</v>
      </c>
      <c r="O48" s="38" t="n">
        <f aca="false">(E48+G48+I48+K48)*N48</f>
        <v>12</v>
      </c>
      <c r="P48" s="48" t="n">
        <f aca="false">L48*N48</f>
        <v>46</v>
      </c>
      <c r="Q48" s="48" t="n">
        <f aca="false">M48*N48</f>
        <v>0.799999999999997</v>
      </c>
    </row>
    <row r="49" customFormat="false" ht="15" hidden="false" customHeight="false" outlineLevel="0" collapsed="false">
      <c r="A49" s="38" t="n">
        <v>22</v>
      </c>
      <c r="B49" s="47" t="s">
        <v>282</v>
      </c>
      <c r="C49" s="38" t="n">
        <v>5</v>
      </c>
      <c r="D49" s="45" t="n">
        <v>4</v>
      </c>
      <c r="E49" s="40" t="n">
        <v>2</v>
      </c>
      <c r="F49" s="45" t="n">
        <v>2.175</v>
      </c>
      <c r="G49" s="40" t="n">
        <v>1</v>
      </c>
      <c r="H49" s="45" t="n">
        <v>1.3</v>
      </c>
      <c r="I49" s="40" t="n">
        <v>1</v>
      </c>
      <c r="J49" s="15"/>
      <c r="K49" s="15"/>
      <c r="L49" s="29" t="n">
        <f aca="false">D49*E49+F49*G49+H49*I49+J49*K49</f>
        <v>11.475</v>
      </c>
      <c r="M49" s="29" t="n">
        <f aca="false">Исходные!$B$12-L49</f>
        <v>0.224999999999998</v>
      </c>
      <c r="N49" s="40" t="n">
        <v>6</v>
      </c>
      <c r="O49" s="38" t="n">
        <f aca="false">(E49+G49+I49+K49)*N49</f>
        <v>24</v>
      </c>
      <c r="P49" s="48" t="n">
        <f aca="false">L49*N49</f>
        <v>68.85</v>
      </c>
      <c r="Q49" s="48" t="n">
        <f aca="false">M49*N49</f>
        <v>1.34999999999999</v>
      </c>
    </row>
    <row r="50" customFormat="false" ht="15" hidden="false" customHeight="false" outlineLevel="0" collapsed="false">
      <c r="A50" s="38" t="n">
        <v>22</v>
      </c>
      <c r="B50" s="47" t="s">
        <v>282</v>
      </c>
      <c r="C50" s="38" t="n">
        <v>6</v>
      </c>
      <c r="D50" s="45" t="n">
        <v>4.5</v>
      </c>
      <c r="E50" s="40" t="n">
        <v>2</v>
      </c>
      <c r="F50" s="45" t="n">
        <v>2.375</v>
      </c>
      <c r="G50" s="40" t="n">
        <v>1</v>
      </c>
      <c r="H50" s="15"/>
      <c r="I50" s="15"/>
      <c r="J50" s="15"/>
      <c r="K50" s="15"/>
      <c r="L50" s="29" t="n">
        <f aca="false">D50*E50+F50*G50+H50*I50+J50*K50</f>
        <v>11.375</v>
      </c>
      <c r="M50" s="29" t="n">
        <f aca="false">Исходные!$B$12-L50</f>
        <v>0.324999999999999</v>
      </c>
      <c r="N50" s="40" t="n">
        <v>1</v>
      </c>
      <c r="O50" s="38" t="n">
        <f aca="false">(E50+G50+I50+K50)*N50</f>
        <v>3</v>
      </c>
      <c r="P50" s="48" t="n">
        <f aca="false">L50*N50</f>
        <v>11.375</v>
      </c>
      <c r="Q50" s="48" t="n">
        <f aca="false">M50*N50</f>
        <v>0.324999999999999</v>
      </c>
    </row>
    <row r="51" customFormat="false" ht="15" hidden="false" customHeight="false" outlineLevel="0" collapsed="false">
      <c r="A51" s="38" t="n">
        <v>22</v>
      </c>
      <c r="B51" s="47" t="s">
        <v>282</v>
      </c>
      <c r="C51" s="38" t="n">
        <v>7</v>
      </c>
      <c r="D51" s="45" t="n">
        <v>3.775</v>
      </c>
      <c r="E51" s="40" t="n">
        <v>3</v>
      </c>
      <c r="F51" s="15"/>
      <c r="G51" s="15"/>
      <c r="H51" s="15"/>
      <c r="I51" s="15"/>
      <c r="J51" s="15"/>
      <c r="K51" s="15"/>
      <c r="L51" s="29" t="n">
        <f aca="false">D51*E51+F51*G51+H51*I51+J51*K51</f>
        <v>11.325</v>
      </c>
      <c r="M51" s="29" t="n">
        <f aca="false">Исходные!$B$12-L51</f>
        <v>0.375</v>
      </c>
      <c r="N51" s="40" t="n">
        <v>1</v>
      </c>
      <c r="O51" s="38" t="n">
        <f aca="false">(E51+G51+I51+K51)*N51</f>
        <v>3</v>
      </c>
      <c r="P51" s="48" t="n">
        <f aca="false">L51*N51</f>
        <v>11.325</v>
      </c>
      <c r="Q51" s="48" t="n">
        <f aca="false">M51*N51</f>
        <v>0.375</v>
      </c>
    </row>
    <row r="52" customFormat="false" ht="15" hidden="false" customHeight="false" outlineLevel="0" collapsed="false">
      <c r="A52" s="38" t="n">
        <v>22</v>
      </c>
      <c r="B52" s="47" t="s">
        <v>282</v>
      </c>
      <c r="C52" s="38" t="n">
        <v>8</v>
      </c>
      <c r="D52" s="45" t="n">
        <v>5.5</v>
      </c>
      <c r="E52" s="40" t="n">
        <v>2</v>
      </c>
      <c r="F52" s="15"/>
      <c r="G52" s="15"/>
      <c r="H52" s="15"/>
      <c r="I52" s="15"/>
      <c r="J52" s="15"/>
      <c r="K52" s="15"/>
      <c r="L52" s="29" t="n">
        <f aca="false">D52*E52+F52*G52+H52*I52+J52*K52</f>
        <v>11</v>
      </c>
      <c r="M52" s="29" t="n">
        <f aca="false">Исходные!$B$12-L52</f>
        <v>0.699999999999999</v>
      </c>
      <c r="N52" s="40" t="n">
        <v>2</v>
      </c>
      <c r="O52" s="38" t="n">
        <f aca="false">(E52+G52+I52+K52)*N52</f>
        <v>4</v>
      </c>
      <c r="P52" s="48" t="n">
        <f aca="false">L52*N52</f>
        <v>22</v>
      </c>
      <c r="Q52" s="48" t="n">
        <f aca="false">M52*N52</f>
        <v>1.4</v>
      </c>
    </row>
    <row r="53" customFormat="false" ht="15" hidden="false" customHeight="false" outlineLevel="0" collapsed="false">
      <c r="A53" s="38" t="n">
        <v>22</v>
      </c>
      <c r="B53" s="47" t="s">
        <v>282</v>
      </c>
      <c r="C53" s="38" t="n">
        <v>9</v>
      </c>
      <c r="D53" s="45" t="n">
        <v>2.15</v>
      </c>
      <c r="E53" s="40" t="n">
        <v>5</v>
      </c>
      <c r="F53" s="15"/>
      <c r="G53" s="15"/>
      <c r="H53" s="15"/>
      <c r="I53" s="15"/>
      <c r="J53" s="15"/>
      <c r="K53" s="15"/>
      <c r="L53" s="29" t="n">
        <f aca="false">D53*E53+F53*G53+H53*I53+J53*K53</f>
        <v>10.75</v>
      </c>
      <c r="M53" s="29" t="n">
        <f aca="false">Исходные!$B$12-L53</f>
        <v>0.949999999999999</v>
      </c>
      <c r="N53" s="40" t="n">
        <v>1</v>
      </c>
      <c r="O53" s="38" t="n">
        <f aca="false">(E53+G53+I53+K53)*N53</f>
        <v>5</v>
      </c>
      <c r="P53" s="48" t="n">
        <f aca="false">L53*N53</f>
        <v>10.75</v>
      </c>
      <c r="Q53" s="48" t="n">
        <f aca="false">M53*N53</f>
        <v>0.949999999999999</v>
      </c>
    </row>
    <row r="54" customFormat="false" ht="15" hidden="false" customHeight="false" outlineLevel="0" collapsed="false">
      <c r="A54" s="38" t="n">
        <v>22</v>
      </c>
      <c r="B54" s="47" t="s">
        <v>282</v>
      </c>
      <c r="C54" s="38" t="n">
        <v>10</v>
      </c>
      <c r="D54" s="45" t="n">
        <v>2.15</v>
      </c>
      <c r="E54" s="40" t="n">
        <v>4</v>
      </c>
      <c r="F54" s="45" t="n">
        <v>2.05</v>
      </c>
      <c r="G54" s="40" t="n">
        <v>1</v>
      </c>
      <c r="H54" s="15"/>
      <c r="I54" s="15"/>
      <c r="J54" s="15"/>
      <c r="K54" s="15"/>
      <c r="L54" s="29" t="n">
        <f aca="false">D54*E54+F54*G54+H54*I54+J54*K54</f>
        <v>10.65</v>
      </c>
      <c r="M54" s="29" t="n">
        <f aca="false">Исходные!$B$12-L54</f>
        <v>1.05</v>
      </c>
      <c r="N54" s="40" t="n">
        <v>1</v>
      </c>
      <c r="O54" s="38" t="n">
        <f aca="false">(E54+G54+I54+K54)*N54</f>
        <v>5</v>
      </c>
      <c r="P54" s="48" t="n">
        <f aca="false">L54*N54</f>
        <v>10.65</v>
      </c>
      <c r="Q54" s="48" t="n">
        <f aca="false">M54*N54</f>
        <v>1.05</v>
      </c>
    </row>
    <row r="55" customFormat="false" ht="15" hidden="false" customHeight="false" outlineLevel="0" collapsed="false">
      <c r="A55" s="38" t="n">
        <v>22</v>
      </c>
      <c r="B55" s="47" t="s">
        <v>282</v>
      </c>
      <c r="C55" s="38" t="n">
        <v>11</v>
      </c>
      <c r="D55" s="45" t="n">
        <v>4</v>
      </c>
      <c r="E55" s="40" t="n">
        <v>2</v>
      </c>
      <c r="F55" s="45" t="n">
        <v>2.175</v>
      </c>
      <c r="G55" s="40" t="n">
        <v>1</v>
      </c>
      <c r="H55" s="15"/>
      <c r="I55" s="15"/>
      <c r="J55" s="15"/>
      <c r="K55" s="15"/>
      <c r="L55" s="29" t="n">
        <f aca="false">D55*E55+F55*G55+H55*I55+J55*K55</f>
        <v>10.175</v>
      </c>
      <c r="M55" s="29" t="n">
        <f aca="false">Исходные!$B$12-L55</f>
        <v>1.525</v>
      </c>
      <c r="N55" s="40" t="n">
        <v>9</v>
      </c>
      <c r="O55" s="38" t="n">
        <f aca="false">(E55+G55+I55+K55)*N55</f>
        <v>27</v>
      </c>
      <c r="P55" s="48" t="n">
        <f aca="false">L55*N55</f>
        <v>91.575</v>
      </c>
      <c r="Q55" s="48" t="n">
        <f aca="false">M55*N55</f>
        <v>13.725</v>
      </c>
    </row>
    <row r="56" customFormat="false" ht="15" hidden="false" customHeight="false" outlineLevel="0" collapsed="false">
      <c r="A56" s="38" t="n">
        <v>22</v>
      </c>
      <c r="B56" s="47" t="s">
        <v>282</v>
      </c>
      <c r="C56" s="38" t="n">
        <v>12</v>
      </c>
      <c r="D56" s="45" t="n">
        <v>7.95</v>
      </c>
      <c r="E56" s="40" t="n">
        <v>1</v>
      </c>
      <c r="F56" s="45" t="n">
        <v>2.15</v>
      </c>
      <c r="G56" s="40" t="n">
        <v>1</v>
      </c>
      <c r="H56" s="15"/>
      <c r="I56" s="15"/>
      <c r="J56" s="15"/>
      <c r="K56" s="15"/>
      <c r="L56" s="29" t="n">
        <f aca="false">D56*E56+F56*G56+H56*I56+J56*K56</f>
        <v>10.1</v>
      </c>
      <c r="M56" s="29" t="n">
        <f aca="false">Исходные!$B$12-L56</f>
        <v>1.6</v>
      </c>
      <c r="N56" s="40" t="n">
        <v>4</v>
      </c>
      <c r="O56" s="38" t="n">
        <f aca="false">(E56+G56+I56+K56)*N56</f>
        <v>8</v>
      </c>
      <c r="P56" s="48" t="n">
        <f aca="false">L56*N56</f>
        <v>40.4</v>
      </c>
      <c r="Q56" s="48" t="n">
        <f aca="false">M56*N56</f>
        <v>6.4</v>
      </c>
    </row>
    <row r="57" customFormat="false" ht="15" hidden="false" customHeight="false" outlineLevel="0" collapsed="false">
      <c r="A57" s="38" t="n">
        <v>22</v>
      </c>
      <c r="B57" s="47" t="s">
        <v>282</v>
      </c>
      <c r="C57" s="38" t="n">
        <v>13</v>
      </c>
      <c r="D57" s="45" t="n">
        <v>2.05</v>
      </c>
      <c r="E57" s="40" t="n">
        <v>1</v>
      </c>
      <c r="F57" s="15"/>
      <c r="G57" s="15"/>
      <c r="H57" s="15"/>
      <c r="I57" s="15"/>
      <c r="J57" s="15"/>
      <c r="K57" s="15"/>
      <c r="L57" s="29" t="n">
        <f aca="false">D57*E57+F57*G57+H57*I57+J57*K57</f>
        <v>2.05</v>
      </c>
      <c r="M57" s="29" t="n">
        <f aca="false">Исходные!$B$12-L57</f>
        <v>9.65</v>
      </c>
      <c r="N57" s="40" t="n">
        <v>1</v>
      </c>
      <c r="O57" s="38" t="n">
        <f aca="false">(E57+G57+I57+K57)*N57</f>
        <v>1</v>
      </c>
      <c r="P57" s="48" t="n">
        <f aca="false">L57*N57</f>
        <v>2.05</v>
      </c>
      <c r="Q57" s="48" t="n">
        <f aca="false">M57*N57</f>
        <v>9.65</v>
      </c>
    </row>
    <row r="58" customFormat="false" ht="15" hidden="false" customHeight="false" outlineLevel="0" collapsed="false">
      <c r="A58" s="38" t="n">
        <v>20</v>
      </c>
      <c r="B58" s="47" t="s">
        <v>282</v>
      </c>
      <c r="C58" s="38" t="n">
        <v>1</v>
      </c>
      <c r="D58" s="45" t="n">
        <v>4</v>
      </c>
      <c r="E58" s="40" t="n">
        <v>2</v>
      </c>
      <c r="F58" s="45" t="n">
        <v>2.4</v>
      </c>
      <c r="G58" s="40" t="n">
        <v>1</v>
      </c>
      <c r="H58" s="45" t="n">
        <v>1.2</v>
      </c>
      <c r="I58" s="40" t="n">
        <v>1</v>
      </c>
      <c r="J58" s="15"/>
      <c r="K58" s="15"/>
      <c r="L58" s="29" t="n">
        <f aca="false">D58*E58+F58*G58+H58*I58+J58*K58</f>
        <v>11.6</v>
      </c>
      <c r="M58" s="29" t="n">
        <f aca="false">Исходные!$B$12-L58</f>
        <v>0.0999999999999996</v>
      </c>
      <c r="N58" s="40" t="n">
        <v>1</v>
      </c>
      <c r="O58" s="38" t="n">
        <f aca="false">(E58+G58+I58+K58)*N58</f>
        <v>4</v>
      </c>
      <c r="P58" s="48" t="n">
        <f aca="false">L58*N58</f>
        <v>11.6</v>
      </c>
      <c r="Q58" s="48" t="n">
        <f aca="false">M58*N58</f>
        <v>0.0999999999999996</v>
      </c>
    </row>
    <row r="59" customFormat="false" ht="15" hidden="false" customHeight="false" outlineLevel="0" collapsed="false">
      <c r="A59" s="38" t="n">
        <v>20</v>
      </c>
      <c r="B59" s="47" t="s">
        <v>282</v>
      </c>
      <c r="C59" s="38" t="n">
        <v>2</v>
      </c>
      <c r="D59" s="45" t="n">
        <v>4</v>
      </c>
      <c r="E59" s="40" t="n">
        <v>2</v>
      </c>
      <c r="F59" s="45" t="n">
        <v>1.2</v>
      </c>
      <c r="G59" s="40" t="n">
        <v>3</v>
      </c>
      <c r="H59" s="15"/>
      <c r="I59" s="15"/>
      <c r="J59" s="15"/>
      <c r="K59" s="15"/>
      <c r="L59" s="29" t="n">
        <f aca="false">D59*E59+F59*G59+H59*I59+J59*K59</f>
        <v>11.6</v>
      </c>
      <c r="M59" s="29" t="n">
        <f aca="false">Исходные!$B$12-L59</f>
        <v>0.0999999999999996</v>
      </c>
      <c r="N59" s="40" t="n">
        <v>1</v>
      </c>
      <c r="O59" s="38" t="n">
        <f aca="false">(E59+G59+I59+K59)*N59</f>
        <v>5</v>
      </c>
      <c r="P59" s="48" t="n">
        <f aca="false">L59*N59</f>
        <v>11.6</v>
      </c>
      <c r="Q59" s="48" t="n">
        <f aca="false">M59*N59</f>
        <v>0.0999999999999996</v>
      </c>
    </row>
    <row r="60" customFormat="false" ht="15" hidden="false" customHeight="false" outlineLevel="0" collapsed="false">
      <c r="A60" s="38" t="n">
        <v>20</v>
      </c>
      <c r="B60" s="47" t="s">
        <v>282</v>
      </c>
      <c r="C60" s="38" t="n">
        <v>3</v>
      </c>
      <c r="D60" s="45" t="n">
        <v>4.1</v>
      </c>
      <c r="E60" s="40" t="n">
        <v>2</v>
      </c>
      <c r="F60" s="45" t="n">
        <v>3.325</v>
      </c>
      <c r="G60" s="40" t="n">
        <v>1</v>
      </c>
      <c r="H60" s="15"/>
      <c r="I60" s="15"/>
      <c r="J60" s="15"/>
      <c r="K60" s="15"/>
      <c r="L60" s="29" t="n">
        <f aca="false">D60*E60+F60*G60+H60*I60+J60*K60</f>
        <v>11.525</v>
      </c>
      <c r="M60" s="29" t="n">
        <f aca="false">Исходные!$B$12-L60</f>
        <v>0.175000000000001</v>
      </c>
      <c r="N60" s="40" t="n">
        <v>2</v>
      </c>
      <c r="O60" s="38" t="n">
        <f aca="false">(E60+G60+I60+K60)*N60</f>
        <v>6</v>
      </c>
      <c r="P60" s="48" t="n">
        <f aca="false">L60*N60</f>
        <v>23.05</v>
      </c>
      <c r="Q60" s="48" t="n">
        <f aca="false">M60*N60</f>
        <v>0.350000000000001</v>
      </c>
    </row>
    <row r="61" customFormat="false" ht="15" hidden="false" customHeight="false" outlineLevel="0" collapsed="false">
      <c r="A61" s="38" t="n">
        <v>20</v>
      </c>
      <c r="B61" s="47" t="s">
        <v>282</v>
      </c>
      <c r="C61" s="38" t="n">
        <v>4</v>
      </c>
      <c r="D61" s="45" t="n">
        <v>3.785</v>
      </c>
      <c r="E61" s="40" t="n">
        <v>3</v>
      </c>
      <c r="F61" s="15"/>
      <c r="G61" s="15"/>
      <c r="H61" s="15"/>
      <c r="I61" s="15"/>
      <c r="J61" s="15"/>
      <c r="K61" s="15"/>
      <c r="L61" s="29" t="n">
        <f aca="false">D61*E61+F61*G61+H61*I61+J61*K61</f>
        <v>11.355</v>
      </c>
      <c r="M61" s="29" t="n">
        <f aca="false">Исходные!$B$12-L61</f>
        <v>0.344999999999999</v>
      </c>
      <c r="N61" s="40" t="n">
        <v>1</v>
      </c>
      <c r="O61" s="38" t="n">
        <f aca="false">(E61+G61+I61+K61)*N61</f>
        <v>3</v>
      </c>
      <c r="P61" s="48" t="n">
        <f aca="false">L61*N61</f>
        <v>11.355</v>
      </c>
      <c r="Q61" s="48" t="n">
        <f aca="false">M61*N61</f>
        <v>0.344999999999999</v>
      </c>
    </row>
    <row r="62" customFormat="false" ht="15" hidden="false" customHeight="false" outlineLevel="0" collapsed="false">
      <c r="A62" s="38" t="n">
        <v>20</v>
      </c>
      <c r="B62" s="47" t="s">
        <v>282</v>
      </c>
      <c r="C62" s="38" t="n">
        <v>5</v>
      </c>
      <c r="D62" s="45" t="n">
        <v>4</v>
      </c>
      <c r="E62" s="40" t="n">
        <v>2</v>
      </c>
      <c r="F62" s="45" t="n">
        <v>3.325</v>
      </c>
      <c r="G62" s="40" t="n">
        <v>1</v>
      </c>
      <c r="H62" s="15"/>
      <c r="I62" s="15"/>
      <c r="J62" s="15"/>
      <c r="K62" s="15"/>
      <c r="L62" s="29" t="n">
        <f aca="false">D62*E62+F62*G62+H62*I62+J62*K62</f>
        <v>11.325</v>
      </c>
      <c r="M62" s="29" t="n">
        <f aca="false">Исходные!$B$12-L62</f>
        <v>0.375</v>
      </c>
      <c r="N62" s="40" t="n">
        <v>2</v>
      </c>
      <c r="O62" s="38" t="n">
        <f aca="false">(E62+G62+I62+K62)*N62</f>
        <v>6</v>
      </c>
      <c r="P62" s="48" t="n">
        <f aca="false">L62*N62</f>
        <v>22.65</v>
      </c>
      <c r="Q62" s="48" t="n">
        <f aca="false">M62*N62</f>
        <v>0.75</v>
      </c>
    </row>
    <row r="63" customFormat="false" ht="15" hidden="false" customHeight="false" outlineLevel="0" collapsed="false">
      <c r="A63" s="38" t="n">
        <v>20</v>
      </c>
      <c r="B63" s="47" t="s">
        <v>282</v>
      </c>
      <c r="C63" s="38" t="n">
        <v>6</v>
      </c>
      <c r="D63" s="45" t="n">
        <v>4</v>
      </c>
      <c r="E63" s="40" t="n">
        <v>2</v>
      </c>
      <c r="F63" s="45" t="n">
        <v>1.95</v>
      </c>
      <c r="G63" s="40" t="n">
        <v>1</v>
      </c>
      <c r="H63" s="45" t="n">
        <v>1.2</v>
      </c>
      <c r="I63" s="40" t="n">
        <v>1</v>
      </c>
      <c r="J63" s="15"/>
      <c r="K63" s="15"/>
      <c r="L63" s="29" t="n">
        <f aca="false">D63*E63+F63*G63+H63*I63+J63*K63</f>
        <v>11.15</v>
      </c>
      <c r="M63" s="29" t="n">
        <f aca="false">Исходные!$B$12-L63</f>
        <v>0.550000000000001</v>
      </c>
      <c r="N63" s="40" t="n">
        <v>10</v>
      </c>
      <c r="O63" s="38" t="n">
        <f aca="false">(E63+G63+I63+K63)*N63</f>
        <v>40</v>
      </c>
      <c r="P63" s="48" t="n">
        <f aca="false">L63*N63</f>
        <v>111.5</v>
      </c>
      <c r="Q63" s="48" t="n">
        <f aca="false">M63*N63</f>
        <v>5.50000000000001</v>
      </c>
    </row>
    <row r="64" customFormat="false" ht="15" hidden="false" customHeight="false" outlineLevel="0" collapsed="false">
      <c r="A64" s="38" t="n">
        <v>20</v>
      </c>
      <c r="B64" s="47" t="s">
        <v>282</v>
      </c>
      <c r="C64" s="38" t="n">
        <v>7</v>
      </c>
      <c r="D64" s="45" t="n">
        <v>4</v>
      </c>
      <c r="E64" s="40" t="n">
        <v>2</v>
      </c>
      <c r="F64" s="45" t="n">
        <v>3.05</v>
      </c>
      <c r="G64" s="40" t="n">
        <v>1</v>
      </c>
      <c r="H64" s="15"/>
      <c r="I64" s="15"/>
      <c r="J64" s="15"/>
      <c r="K64" s="15"/>
      <c r="L64" s="29" t="n">
        <f aca="false">D64*E64+F64*G64+H64*I64+J64*K64</f>
        <v>11.05</v>
      </c>
      <c r="M64" s="29" t="n">
        <f aca="false">Исходные!$B$12-L64</f>
        <v>0.649999999999999</v>
      </c>
      <c r="N64" s="40" t="n">
        <v>4</v>
      </c>
      <c r="O64" s="38" t="n">
        <f aca="false">(E64+G64+I64+K64)*N64</f>
        <v>12</v>
      </c>
      <c r="P64" s="48" t="n">
        <f aca="false">L64*N64</f>
        <v>44.2</v>
      </c>
      <c r="Q64" s="48" t="n">
        <f aca="false">M64*N64</f>
        <v>2.59999999999999</v>
      </c>
    </row>
    <row r="65" customFormat="false" ht="15" hidden="false" customHeight="false" outlineLevel="0" collapsed="false">
      <c r="A65" s="38" t="n">
        <v>20</v>
      </c>
      <c r="B65" s="47" t="s">
        <v>282</v>
      </c>
      <c r="C65" s="38" t="n">
        <v>8</v>
      </c>
      <c r="D65" s="45" t="n">
        <v>4</v>
      </c>
      <c r="E65" s="40" t="n">
        <v>2</v>
      </c>
      <c r="F65" s="45" t="n">
        <v>3</v>
      </c>
      <c r="G65" s="40" t="n">
        <v>1</v>
      </c>
      <c r="H65" s="15"/>
      <c r="I65" s="15"/>
      <c r="J65" s="15"/>
      <c r="K65" s="15"/>
      <c r="L65" s="29" t="n">
        <f aca="false">D65*E65+F65*G65+H65*I65+J65*K65</f>
        <v>11</v>
      </c>
      <c r="M65" s="29" t="n">
        <f aca="false">Исходные!$B$12-L65</f>
        <v>0.699999999999999</v>
      </c>
      <c r="N65" s="40" t="n">
        <v>6</v>
      </c>
      <c r="O65" s="38" t="n">
        <f aca="false">(E65+G65+I65+K65)*N65</f>
        <v>18</v>
      </c>
      <c r="P65" s="48" t="n">
        <f aca="false">L65*N65</f>
        <v>66</v>
      </c>
      <c r="Q65" s="48" t="n">
        <f aca="false">M65*N65</f>
        <v>4.2</v>
      </c>
    </row>
    <row r="66" customFormat="false" ht="15" hidden="false" customHeight="false" outlineLevel="0" collapsed="false">
      <c r="A66" s="38" t="n">
        <v>20</v>
      </c>
      <c r="B66" s="47" t="s">
        <v>282</v>
      </c>
      <c r="C66" s="38" t="n">
        <v>9</v>
      </c>
      <c r="D66" s="45" t="n">
        <v>4</v>
      </c>
      <c r="E66" s="40" t="n">
        <v>2</v>
      </c>
      <c r="F66" s="45" t="n">
        <v>2.85</v>
      </c>
      <c r="G66" s="40" t="n">
        <v>1</v>
      </c>
      <c r="H66" s="15"/>
      <c r="I66" s="15"/>
      <c r="J66" s="15"/>
      <c r="K66" s="15"/>
      <c r="L66" s="29" t="n">
        <f aca="false">D66*E66+F66*G66+H66*I66+J66*K66</f>
        <v>10.85</v>
      </c>
      <c r="M66" s="29" t="n">
        <f aca="false">Исходные!$B$12-L66</f>
        <v>0.85</v>
      </c>
      <c r="N66" s="40" t="n">
        <v>2</v>
      </c>
      <c r="O66" s="38" t="n">
        <f aca="false">(E66+G66+I66+K66)*N66</f>
        <v>6</v>
      </c>
      <c r="P66" s="48" t="n">
        <f aca="false">L66*N66</f>
        <v>21.7</v>
      </c>
      <c r="Q66" s="48" t="n">
        <f aca="false">M66*N66</f>
        <v>1.7</v>
      </c>
    </row>
    <row r="67" customFormat="false" ht="15" hidden="false" customHeight="false" outlineLevel="0" collapsed="false">
      <c r="A67" s="38" t="n">
        <v>20</v>
      </c>
      <c r="B67" s="47" t="s">
        <v>282</v>
      </c>
      <c r="C67" s="38" t="n">
        <v>10</v>
      </c>
      <c r="D67" s="45" t="n">
        <v>4</v>
      </c>
      <c r="E67" s="40" t="n">
        <v>2</v>
      </c>
      <c r="F67" s="45" t="n">
        <v>1.2</v>
      </c>
      <c r="G67" s="40" t="n">
        <v>2</v>
      </c>
      <c r="H67" s="15"/>
      <c r="I67" s="15"/>
      <c r="J67" s="15"/>
      <c r="K67" s="15"/>
      <c r="L67" s="29" t="n">
        <f aca="false">D67*E67+F67*G67+H67*I67+J67*K67</f>
        <v>10.4</v>
      </c>
      <c r="M67" s="29" t="n">
        <f aca="false">Исходные!$B$12-L67</f>
        <v>1.3</v>
      </c>
      <c r="N67" s="40" t="n">
        <v>1</v>
      </c>
      <c r="O67" s="38" t="n">
        <f aca="false">(E67+G67+I67+K67)*N67</f>
        <v>4</v>
      </c>
      <c r="P67" s="48" t="n">
        <f aca="false">L67*N67</f>
        <v>10.4</v>
      </c>
      <c r="Q67" s="48" t="n">
        <f aca="false">M67*N67</f>
        <v>1.3</v>
      </c>
    </row>
    <row r="68" customFormat="false" ht="15" hidden="false" customHeight="false" outlineLevel="0" collapsed="false">
      <c r="A68" s="38" t="n">
        <v>20</v>
      </c>
      <c r="B68" s="47" t="s">
        <v>282</v>
      </c>
      <c r="C68" s="38" t="n">
        <v>11</v>
      </c>
      <c r="D68" s="45" t="n">
        <v>4</v>
      </c>
      <c r="E68" s="40" t="n">
        <v>2</v>
      </c>
      <c r="F68" s="15"/>
      <c r="G68" s="15"/>
      <c r="H68" s="15"/>
      <c r="I68" s="15"/>
      <c r="J68" s="15"/>
      <c r="K68" s="15"/>
      <c r="L68" s="29" t="n">
        <f aca="false">D68*E68+F68*G68+H68*I68+J68*K68</f>
        <v>8</v>
      </c>
      <c r="M68" s="29" t="n">
        <f aca="false">Исходные!$B$12-L68</f>
        <v>3.7</v>
      </c>
      <c r="N68" s="40" t="n">
        <v>56</v>
      </c>
      <c r="O68" s="38" t="n">
        <f aca="false">(E68+G68+I68+K68)*N68</f>
        <v>112</v>
      </c>
      <c r="P68" s="48" t="n">
        <f aca="false">L68*N68</f>
        <v>448</v>
      </c>
      <c r="Q68" s="48" t="n">
        <f aca="false">M68*N68</f>
        <v>207.2</v>
      </c>
    </row>
    <row r="69" customFormat="false" ht="15" hidden="false" customHeight="false" outlineLevel="0" collapsed="false">
      <c r="A69" s="38" t="n">
        <v>20</v>
      </c>
      <c r="B69" s="47" t="s">
        <v>282</v>
      </c>
      <c r="C69" s="38" t="n">
        <v>12</v>
      </c>
      <c r="D69" s="45" t="n">
        <v>3.785</v>
      </c>
      <c r="E69" s="40" t="n">
        <v>1</v>
      </c>
      <c r="F69" s="15"/>
      <c r="G69" s="15"/>
      <c r="H69" s="15"/>
      <c r="I69" s="15"/>
      <c r="J69" s="15"/>
      <c r="K69" s="15"/>
      <c r="L69" s="29" t="n">
        <f aca="false">D69*E69+F69*G69+H69*I69+J69*K69</f>
        <v>3.785</v>
      </c>
      <c r="M69" s="29" t="n">
        <f aca="false">Исходные!$B$12-L69</f>
        <v>7.915</v>
      </c>
      <c r="N69" s="40" t="n">
        <v>1</v>
      </c>
      <c r="O69" s="38" t="n">
        <f aca="false">(E69+G69+I69+K69)*N69</f>
        <v>1</v>
      </c>
      <c r="P69" s="48" t="n">
        <f aca="false">L69*N69</f>
        <v>3.785</v>
      </c>
      <c r="Q69" s="48" t="n">
        <f aca="false">M69*N69</f>
        <v>7.915</v>
      </c>
    </row>
    <row r="70" customFormat="false" ht="15" hidden="false" customHeight="false" outlineLevel="0" collapsed="false">
      <c r="A70" s="38" t="n">
        <v>18</v>
      </c>
      <c r="B70" s="47" t="s">
        <v>282</v>
      </c>
      <c r="C70" s="38" t="n">
        <v>1</v>
      </c>
      <c r="D70" s="45" t="n">
        <v>11.7</v>
      </c>
      <c r="E70" s="40" t="n">
        <v>1</v>
      </c>
      <c r="F70" s="15"/>
      <c r="G70" s="15"/>
      <c r="H70" s="15"/>
      <c r="I70" s="15"/>
      <c r="J70" s="15"/>
      <c r="K70" s="15"/>
      <c r="L70" s="29" t="n">
        <f aca="false">D70*E70+F70*G70+H70*I70+J70*K70</f>
        <v>11.7</v>
      </c>
      <c r="M70" s="29" t="n">
        <f aca="false">Исходные!$B$12-L70</f>
        <v>0</v>
      </c>
      <c r="N70" s="40" t="n">
        <v>26</v>
      </c>
      <c r="O70" s="38" t="n">
        <f aca="false">(E70+G70+I70+K70)*N70</f>
        <v>26</v>
      </c>
      <c r="P70" s="48" t="n">
        <f aca="false">L70*N70</f>
        <v>304.2</v>
      </c>
      <c r="Q70" s="48" t="n">
        <f aca="false">M70*N70</f>
        <v>0</v>
      </c>
    </row>
    <row r="71" customFormat="false" ht="15" hidden="false" customHeight="false" outlineLevel="0" collapsed="false">
      <c r="A71" s="38" t="n">
        <v>18</v>
      </c>
      <c r="B71" s="47" t="s">
        <v>282</v>
      </c>
      <c r="C71" s="38" t="n">
        <v>2</v>
      </c>
      <c r="D71" s="45" t="n">
        <v>1.95</v>
      </c>
      <c r="E71" s="40" t="n">
        <v>6</v>
      </c>
      <c r="F71" s="15"/>
      <c r="G71" s="15"/>
      <c r="H71" s="15"/>
      <c r="I71" s="15"/>
      <c r="J71" s="15"/>
      <c r="K71" s="15"/>
      <c r="L71" s="29" t="n">
        <f aca="false">D71*E71+F71*G71+H71*I71+J71*K71</f>
        <v>11.7</v>
      </c>
      <c r="M71" s="29" t="n">
        <f aca="false">Исходные!$B$12-L71</f>
        <v>0</v>
      </c>
      <c r="N71" s="40" t="n">
        <v>4</v>
      </c>
      <c r="O71" s="38" t="n">
        <f aca="false">(E71+G71+I71+K71)*N71</f>
        <v>24</v>
      </c>
      <c r="P71" s="48" t="n">
        <f aca="false">L71*N71</f>
        <v>46.8</v>
      </c>
      <c r="Q71" s="48" t="n">
        <f aca="false">M71*N71</f>
        <v>0</v>
      </c>
    </row>
    <row r="72" customFormat="false" ht="15" hidden="false" customHeight="false" outlineLevel="0" collapsed="false">
      <c r="A72" s="38" t="n">
        <v>18</v>
      </c>
      <c r="B72" s="47" t="s">
        <v>282</v>
      </c>
      <c r="C72" s="38" t="n">
        <v>3</v>
      </c>
      <c r="D72" s="45" t="n">
        <v>4.144</v>
      </c>
      <c r="E72" s="40" t="n">
        <v>2</v>
      </c>
      <c r="F72" s="45" t="n">
        <v>1.95</v>
      </c>
      <c r="G72" s="40" t="n">
        <v>1</v>
      </c>
      <c r="H72" s="45" t="n">
        <v>1.45</v>
      </c>
      <c r="I72" s="40" t="n">
        <v>1</v>
      </c>
      <c r="J72" s="15"/>
      <c r="K72" s="15"/>
      <c r="L72" s="29" t="n">
        <f aca="false">D72*E72+F72*G72+H72*I72+J72*K72</f>
        <v>11.688</v>
      </c>
      <c r="M72" s="29" t="n">
        <f aca="false">Исходные!$B$12-L72</f>
        <v>0.0120000000000005</v>
      </c>
      <c r="N72" s="40" t="n">
        <v>5</v>
      </c>
      <c r="O72" s="38" t="n">
        <f aca="false">(E72+G72+I72+K72)*N72</f>
        <v>20</v>
      </c>
      <c r="P72" s="48" t="n">
        <f aca="false">L72*N72</f>
        <v>58.44</v>
      </c>
      <c r="Q72" s="48" t="n">
        <f aca="false">M72*N72</f>
        <v>0.0600000000000023</v>
      </c>
    </row>
    <row r="73" customFormat="false" ht="15" hidden="false" customHeight="false" outlineLevel="0" collapsed="false">
      <c r="A73" s="38" t="n">
        <v>18</v>
      </c>
      <c r="B73" s="47" t="s">
        <v>282</v>
      </c>
      <c r="C73" s="38" t="n">
        <v>4</v>
      </c>
      <c r="D73" s="45" t="n">
        <v>1.45</v>
      </c>
      <c r="E73" s="40" t="n">
        <v>8</v>
      </c>
      <c r="F73" s="15"/>
      <c r="G73" s="15"/>
      <c r="H73" s="15"/>
      <c r="I73" s="15"/>
      <c r="J73" s="15"/>
      <c r="K73" s="15"/>
      <c r="L73" s="29" t="n">
        <f aca="false">D73*E73+F73*G73+H73*I73+J73*K73</f>
        <v>11.6</v>
      </c>
      <c r="M73" s="29" t="n">
        <f aca="false">Исходные!$B$12-L73</f>
        <v>0.0999999999999996</v>
      </c>
      <c r="N73" s="40" t="n">
        <v>1</v>
      </c>
      <c r="O73" s="38" t="n">
        <f aca="false">(E73+G73+I73+K73)*N73</f>
        <v>8</v>
      </c>
      <c r="P73" s="48" t="n">
        <f aca="false">L73*N73</f>
        <v>11.6</v>
      </c>
      <c r="Q73" s="48" t="n">
        <f aca="false">M73*N73</f>
        <v>0.0999999999999996</v>
      </c>
    </row>
    <row r="74" customFormat="false" ht="15" hidden="false" customHeight="false" outlineLevel="0" collapsed="false">
      <c r="A74" s="38" t="n">
        <v>18</v>
      </c>
      <c r="B74" s="47" t="s">
        <v>282</v>
      </c>
      <c r="C74" s="38" t="n">
        <v>5</v>
      </c>
      <c r="D74" s="45" t="n">
        <v>8.944</v>
      </c>
      <c r="E74" s="40" t="n">
        <v>1</v>
      </c>
      <c r="F74" s="45" t="n">
        <v>2.388</v>
      </c>
      <c r="G74" s="40" t="n">
        <v>1</v>
      </c>
      <c r="H74" s="15"/>
      <c r="I74" s="15"/>
      <c r="J74" s="15"/>
      <c r="K74" s="15"/>
      <c r="L74" s="29" t="n">
        <f aca="false">D74*E74+F74*G74+H74*I74+J74*K74</f>
        <v>11.332</v>
      </c>
      <c r="M74" s="29" t="n">
        <f aca="false">Исходные!$B$12-L74</f>
        <v>0.367999999999999</v>
      </c>
      <c r="N74" s="40" t="n">
        <v>8</v>
      </c>
      <c r="O74" s="38" t="n">
        <f aca="false">(E74+G74+I74+K74)*N74</f>
        <v>16</v>
      </c>
      <c r="P74" s="48" t="n">
        <f aca="false">L74*N74</f>
        <v>90.656</v>
      </c>
      <c r="Q74" s="48" t="n">
        <f aca="false">M74*N74</f>
        <v>2.94399999999999</v>
      </c>
    </row>
    <row r="75" customFormat="false" ht="15" hidden="false" customHeight="false" outlineLevel="0" collapsed="false">
      <c r="A75" s="38" t="n">
        <v>18</v>
      </c>
      <c r="B75" s="47" t="s">
        <v>282</v>
      </c>
      <c r="C75" s="38" t="n">
        <v>6</v>
      </c>
      <c r="D75" s="45" t="n">
        <v>1.95</v>
      </c>
      <c r="E75" s="40" t="n">
        <v>5</v>
      </c>
      <c r="F75" s="45" t="n">
        <v>1.45</v>
      </c>
      <c r="G75" s="40" t="n">
        <v>1</v>
      </c>
      <c r="H75" s="15"/>
      <c r="I75" s="15"/>
      <c r="J75" s="15"/>
      <c r="K75" s="15"/>
      <c r="L75" s="29" t="n">
        <f aca="false">D75*E75+F75*G75+H75*I75+J75*K75</f>
        <v>11.2</v>
      </c>
      <c r="M75" s="29" t="n">
        <f aca="false">Исходные!$B$12-L75</f>
        <v>0.5</v>
      </c>
      <c r="N75" s="40" t="n">
        <v>1</v>
      </c>
      <c r="O75" s="38" t="n">
        <f aca="false">(E75+G75+I75+K75)*N75</f>
        <v>6</v>
      </c>
      <c r="P75" s="48" t="n">
        <f aca="false">L75*N75</f>
        <v>11.2</v>
      </c>
      <c r="Q75" s="48" t="n">
        <f aca="false">M75*N75</f>
        <v>0.5</v>
      </c>
    </row>
    <row r="76" customFormat="false" ht="15" hidden="false" customHeight="false" outlineLevel="0" collapsed="false">
      <c r="A76" s="38" t="n">
        <v>18</v>
      </c>
      <c r="B76" s="47" t="s">
        <v>282</v>
      </c>
      <c r="C76" s="38" t="n">
        <v>7</v>
      </c>
      <c r="D76" s="45" t="n">
        <v>1.45</v>
      </c>
      <c r="E76" s="40" t="n">
        <v>6</v>
      </c>
      <c r="F76" s="45" t="n">
        <v>1.2</v>
      </c>
      <c r="G76" s="40" t="n">
        <v>2</v>
      </c>
      <c r="H76" s="15"/>
      <c r="I76" s="15"/>
      <c r="J76" s="15"/>
      <c r="K76" s="15"/>
      <c r="L76" s="29" t="n">
        <f aca="false">D76*E76+F76*G76+H76*I76+J76*K76</f>
        <v>11.1</v>
      </c>
      <c r="M76" s="29" t="n">
        <f aca="false">Исходные!$B$12-L76</f>
        <v>0.6</v>
      </c>
      <c r="N76" s="40" t="n">
        <v>1</v>
      </c>
      <c r="O76" s="38" t="n">
        <f aca="false">(E76+G76+I76+K76)*N76</f>
        <v>8</v>
      </c>
      <c r="P76" s="48" t="n">
        <f aca="false">L76*N76</f>
        <v>11.1</v>
      </c>
      <c r="Q76" s="48" t="n">
        <f aca="false">M76*N76</f>
        <v>0.6</v>
      </c>
    </row>
    <row r="77" customFormat="false" ht="15" hidden="false" customHeight="false" outlineLevel="0" collapsed="false">
      <c r="A77" s="38" t="n">
        <v>18</v>
      </c>
      <c r="B77" s="47" t="s">
        <v>282</v>
      </c>
      <c r="C77" s="38" t="n">
        <v>8</v>
      </c>
      <c r="D77" s="45" t="n">
        <v>8.944</v>
      </c>
      <c r="E77" s="40" t="n">
        <v>1</v>
      </c>
      <c r="F77" s="45" t="n">
        <v>1.95</v>
      </c>
      <c r="G77" s="40" t="n">
        <v>1</v>
      </c>
      <c r="H77" s="15"/>
      <c r="I77" s="15"/>
      <c r="J77" s="15"/>
      <c r="K77" s="15"/>
      <c r="L77" s="29" t="n">
        <f aca="false">D77*E77+F77*G77+H77*I77+J77*K77</f>
        <v>10.894</v>
      </c>
      <c r="M77" s="29" t="n">
        <f aca="false">Исходные!$B$12-L77</f>
        <v>0.805999999999999</v>
      </c>
      <c r="N77" s="40" t="n">
        <v>2</v>
      </c>
      <c r="O77" s="38" t="n">
        <f aca="false">(E77+G77+I77+K77)*N77</f>
        <v>4</v>
      </c>
      <c r="P77" s="48" t="n">
        <f aca="false">L77*N77</f>
        <v>21.788</v>
      </c>
      <c r="Q77" s="48" t="n">
        <f aca="false">M77*N77</f>
        <v>1.612</v>
      </c>
    </row>
    <row r="78" customFormat="false" ht="15" hidden="false" customHeight="false" outlineLevel="0" collapsed="false">
      <c r="A78" s="38" t="n">
        <v>18</v>
      </c>
      <c r="B78" s="47" t="s">
        <v>282</v>
      </c>
      <c r="C78" s="38" t="n">
        <v>9</v>
      </c>
      <c r="D78" s="45" t="n">
        <v>1.2</v>
      </c>
      <c r="E78" s="40" t="n">
        <v>9</v>
      </c>
      <c r="F78" s="15"/>
      <c r="G78" s="15"/>
      <c r="H78" s="15"/>
      <c r="I78" s="15"/>
      <c r="J78" s="15"/>
      <c r="K78" s="15"/>
      <c r="L78" s="29" t="n">
        <f aca="false">D78*E78+F78*G78+H78*I78+J78*K78</f>
        <v>10.8</v>
      </c>
      <c r="M78" s="29" t="n">
        <f aca="false">Исходные!$B$12-L78</f>
        <v>0.9</v>
      </c>
      <c r="N78" s="40" t="n">
        <v>4</v>
      </c>
      <c r="O78" s="38" t="n">
        <f aca="false">(E78+G78+I78+K78)*N78</f>
        <v>36</v>
      </c>
      <c r="P78" s="48" t="n">
        <f aca="false">L78*N78</f>
        <v>43.2</v>
      </c>
      <c r="Q78" s="48" t="n">
        <f aca="false">M78*N78</f>
        <v>3.6</v>
      </c>
    </row>
    <row r="79" customFormat="false" ht="15" hidden="false" customHeight="false" outlineLevel="0" collapsed="false">
      <c r="A79" s="38" t="n">
        <v>18</v>
      </c>
      <c r="B79" s="47" t="s">
        <v>282</v>
      </c>
      <c r="C79" s="38" t="n">
        <v>10</v>
      </c>
      <c r="D79" s="45" t="n">
        <v>1.2</v>
      </c>
      <c r="E79" s="40" t="n">
        <v>4</v>
      </c>
      <c r="F79" s="15"/>
      <c r="G79" s="15"/>
      <c r="H79" s="15"/>
      <c r="I79" s="15"/>
      <c r="J79" s="15"/>
      <c r="K79" s="15"/>
      <c r="L79" s="29" t="n">
        <f aca="false">D79*E79+F79*G79+H79*I79+J79*K79</f>
        <v>4.8</v>
      </c>
      <c r="M79" s="29" t="n">
        <f aca="false">Исходные!$B$12-L79</f>
        <v>6.9</v>
      </c>
      <c r="N79" s="40" t="n">
        <v>1</v>
      </c>
      <c r="O79" s="38" t="n">
        <f aca="false">(E79+G79+I79+K79)*N79</f>
        <v>4</v>
      </c>
      <c r="P79" s="48" t="n">
        <f aca="false">L79*N79</f>
        <v>4.8</v>
      </c>
      <c r="Q79" s="48" t="n">
        <f aca="false">M79*N79</f>
        <v>6.9</v>
      </c>
    </row>
    <row r="80" customFormat="false" ht="15" hidden="false" customHeight="false" outlineLevel="0" collapsed="false">
      <c r="A80" s="38" t="n">
        <v>16</v>
      </c>
      <c r="B80" s="47" t="s">
        <v>282</v>
      </c>
      <c r="C80" s="38" t="n">
        <v>1</v>
      </c>
      <c r="D80" s="45" t="n">
        <v>11.7</v>
      </c>
      <c r="E80" s="40" t="n">
        <v>1</v>
      </c>
      <c r="F80" s="15"/>
      <c r="G80" s="15"/>
      <c r="H80" s="15"/>
      <c r="I80" s="15"/>
      <c r="J80" s="15"/>
      <c r="K80" s="15"/>
      <c r="L80" s="29" t="n">
        <f aca="false">D80*E80+F80*G80+H80*I80+J80*K80</f>
        <v>11.7</v>
      </c>
      <c r="M80" s="29" t="n">
        <f aca="false">Исходные!$B$12-L80</f>
        <v>0</v>
      </c>
      <c r="N80" s="40" t="n">
        <v>26</v>
      </c>
      <c r="O80" s="38" t="n">
        <f aca="false">(E80+G80+I80+K80)*N80</f>
        <v>26</v>
      </c>
      <c r="P80" s="48" t="n">
        <f aca="false">L80*N80</f>
        <v>304.2</v>
      </c>
      <c r="Q80" s="48" t="n">
        <f aca="false">M80*N80</f>
        <v>0</v>
      </c>
    </row>
    <row r="81" customFormat="false" ht="15" hidden="false" customHeight="false" outlineLevel="0" collapsed="false">
      <c r="A81" s="38" t="n">
        <v>16</v>
      </c>
      <c r="B81" s="47" t="s">
        <v>282</v>
      </c>
      <c r="C81" s="38" t="n">
        <v>2</v>
      </c>
      <c r="D81" s="45" t="n">
        <v>9.45</v>
      </c>
      <c r="E81" s="40" t="n">
        <v>1</v>
      </c>
      <c r="F81" s="45" t="n">
        <v>2.25</v>
      </c>
      <c r="G81" s="40" t="n">
        <v>1</v>
      </c>
      <c r="H81" s="15"/>
      <c r="I81" s="15"/>
      <c r="J81" s="15"/>
      <c r="K81" s="15"/>
      <c r="L81" s="29" t="n">
        <f aca="false">D81*E81+F81*G81+H81*I81+J81*K81</f>
        <v>11.7</v>
      </c>
      <c r="M81" s="29" t="n">
        <f aca="false">Исходные!$B$12-L81</f>
        <v>0</v>
      </c>
      <c r="N81" s="40" t="n">
        <v>2</v>
      </c>
      <c r="O81" s="38" t="n">
        <f aca="false">(E81+G81+I81+K81)*N81</f>
        <v>4</v>
      </c>
      <c r="P81" s="48" t="n">
        <f aca="false">L81*N81</f>
        <v>23.4</v>
      </c>
      <c r="Q81" s="48" t="n">
        <f aca="false">M81*N81</f>
        <v>0</v>
      </c>
    </row>
    <row r="82" customFormat="false" ht="15" hidden="false" customHeight="false" outlineLevel="0" collapsed="false">
      <c r="A82" s="38" t="n">
        <v>16</v>
      </c>
      <c r="B82" s="47" t="s">
        <v>282</v>
      </c>
      <c r="C82" s="38" t="n">
        <v>3</v>
      </c>
      <c r="D82" s="45" t="n">
        <v>1.95</v>
      </c>
      <c r="E82" s="40" t="n">
        <v>6</v>
      </c>
      <c r="F82" s="15"/>
      <c r="G82" s="15"/>
      <c r="H82" s="15"/>
      <c r="I82" s="15"/>
      <c r="J82" s="15"/>
      <c r="K82" s="15"/>
      <c r="L82" s="29" t="n">
        <f aca="false">D82*E82+F82*G82+H82*I82+J82*K82</f>
        <v>11.7</v>
      </c>
      <c r="M82" s="29" t="n">
        <f aca="false">Исходные!$B$12-L82</f>
        <v>0</v>
      </c>
      <c r="N82" s="40" t="n">
        <v>5</v>
      </c>
      <c r="O82" s="38" t="n">
        <f aca="false">(E82+G82+I82+K82)*N82</f>
        <v>30</v>
      </c>
      <c r="P82" s="48" t="n">
        <f aca="false">L82*N82</f>
        <v>58.5</v>
      </c>
      <c r="Q82" s="48" t="n">
        <f aca="false">M82*N82</f>
        <v>0</v>
      </c>
    </row>
    <row r="83" customFormat="false" ht="15" hidden="false" customHeight="false" outlineLevel="0" collapsed="false">
      <c r="A83" s="38" t="n">
        <v>16</v>
      </c>
      <c r="B83" s="47" t="s">
        <v>282</v>
      </c>
      <c r="C83" s="38" t="n">
        <v>4</v>
      </c>
      <c r="D83" s="45" t="n">
        <v>3.3</v>
      </c>
      <c r="E83" s="40" t="n">
        <v>1</v>
      </c>
      <c r="F83" s="45" t="n">
        <v>3</v>
      </c>
      <c r="G83" s="40" t="n">
        <v>2</v>
      </c>
      <c r="H83" s="45" t="n">
        <v>2.356</v>
      </c>
      <c r="I83" s="40" t="n">
        <v>1</v>
      </c>
      <c r="J83" s="15"/>
      <c r="K83" s="15"/>
      <c r="L83" s="29" t="n">
        <f aca="false">D83*E83+F83*G83+H83*I83+J83*K83</f>
        <v>11.656</v>
      </c>
      <c r="M83" s="29" t="n">
        <f aca="false">Исходные!$B$12-L83</f>
        <v>0.0439999999999987</v>
      </c>
      <c r="N83" s="40" t="n">
        <v>1</v>
      </c>
      <c r="O83" s="38" t="n">
        <f aca="false">(E83+G83+I83+K83)*N83</f>
        <v>4</v>
      </c>
      <c r="P83" s="48" t="n">
        <f aca="false">L83*N83</f>
        <v>11.656</v>
      </c>
      <c r="Q83" s="48" t="n">
        <f aca="false">M83*N83</f>
        <v>0.0439999999999987</v>
      </c>
    </row>
    <row r="84" customFormat="false" ht="15" hidden="false" customHeight="false" outlineLevel="0" collapsed="false">
      <c r="A84" s="38" t="n">
        <v>16</v>
      </c>
      <c r="B84" s="47" t="s">
        <v>282</v>
      </c>
      <c r="C84" s="38" t="n">
        <v>5</v>
      </c>
      <c r="D84" s="45" t="n">
        <v>2.9</v>
      </c>
      <c r="E84" s="40" t="n">
        <v>4</v>
      </c>
      <c r="F84" s="15"/>
      <c r="G84" s="15"/>
      <c r="H84" s="15"/>
      <c r="I84" s="15"/>
      <c r="J84" s="15"/>
      <c r="K84" s="15"/>
      <c r="L84" s="29" t="n">
        <f aca="false">D84*E84+F84*G84+H84*I84+J84*K84</f>
        <v>11.6</v>
      </c>
      <c r="M84" s="29" t="n">
        <f aca="false">Исходные!$B$12-L84</f>
        <v>0.0999999999999996</v>
      </c>
      <c r="N84" s="40" t="n">
        <v>3</v>
      </c>
      <c r="O84" s="38" t="n">
        <f aca="false">(E84+G84+I84+K84)*N84</f>
        <v>12</v>
      </c>
      <c r="P84" s="48" t="n">
        <f aca="false">L84*N84</f>
        <v>34.8</v>
      </c>
      <c r="Q84" s="48" t="n">
        <f aca="false">M84*N84</f>
        <v>0.299999999999999</v>
      </c>
    </row>
    <row r="85" customFormat="false" ht="15" hidden="false" customHeight="false" outlineLevel="0" collapsed="false">
      <c r="A85" s="38" t="n">
        <v>16</v>
      </c>
      <c r="B85" s="47" t="s">
        <v>282</v>
      </c>
      <c r="C85" s="38" t="n">
        <v>6</v>
      </c>
      <c r="D85" s="45" t="n">
        <v>2.9</v>
      </c>
      <c r="E85" s="40" t="n">
        <v>1</v>
      </c>
      <c r="F85" s="45" t="n">
        <v>2.25</v>
      </c>
      <c r="G85" s="40" t="n">
        <v>3</v>
      </c>
      <c r="H85" s="45" t="n">
        <v>1.95</v>
      </c>
      <c r="I85" s="40" t="n">
        <v>1</v>
      </c>
      <c r="J85" s="15"/>
      <c r="K85" s="15"/>
      <c r="L85" s="29" t="n">
        <f aca="false">D85*E85+F85*G85+H85*I85+J85*K85</f>
        <v>11.6</v>
      </c>
      <c r="M85" s="29" t="n">
        <f aca="false">Исходные!$B$12-L85</f>
        <v>0.0999999999999996</v>
      </c>
      <c r="N85" s="40" t="n">
        <v>1</v>
      </c>
      <c r="O85" s="38" t="n">
        <f aca="false">(E85+G85+I85+K85)*N85</f>
        <v>5</v>
      </c>
      <c r="P85" s="48" t="n">
        <f aca="false">L85*N85</f>
        <v>11.6</v>
      </c>
      <c r="Q85" s="48" t="n">
        <f aca="false">M85*N85</f>
        <v>0.0999999999999996</v>
      </c>
    </row>
    <row r="86" customFormat="false" ht="15" hidden="false" customHeight="false" outlineLevel="0" collapsed="false">
      <c r="A86" s="38" t="n">
        <v>16</v>
      </c>
      <c r="B86" s="47" t="s">
        <v>282</v>
      </c>
      <c r="C86" s="38" t="n">
        <v>7</v>
      </c>
      <c r="D86" s="45" t="n">
        <v>1.95</v>
      </c>
      <c r="E86" s="40" t="n">
        <v>5</v>
      </c>
      <c r="F86" s="45" t="n">
        <v>1.85</v>
      </c>
      <c r="G86" s="40" t="n">
        <v>1</v>
      </c>
      <c r="H86" s="15"/>
      <c r="I86" s="15"/>
      <c r="J86" s="15"/>
      <c r="K86" s="15"/>
      <c r="L86" s="29" t="n">
        <f aca="false">D86*E86+F86*G86+H86*I86+J86*K86</f>
        <v>11.6</v>
      </c>
      <c r="M86" s="29" t="n">
        <f aca="false">Исходные!$B$12-L86</f>
        <v>0.0999999999999996</v>
      </c>
      <c r="N86" s="40" t="n">
        <v>1</v>
      </c>
      <c r="O86" s="38" t="n">
        <f aca="false">(E86+G86+I86+K86)*N86</f>
        <v>6</v>
      </c>
      <c r="P86" s="48" t="n">
        <f aca="false">L86*N86</f>
        <v>11.6</v>
      </c>
      <c r="Q86" s="48" t="n">
        <f aca="false">M86*N86</f>
        <v>0.0999999999999996</v>
      </c>
    </row>
    <row r="87" customFormat="false" ht="15" hidden="false" customHeight="false" outlineLevel="0" collapsed="false">
      <c r="A87" s="38" t="n">
        <v>16</v>
      </c>
      <c r="B87" s="47" t="s">
        <v>282</v>
      </c>
      <c r="C87" s="38" t="n">
        <v>8</v>
      </c>
      <c r="D87" s="45" t="n">
        <v>1.45</v>
      </c>
      <c r="E87" s="40" t="n">
        <v>8</v>
      </c>
      <c r="F87" s="15"/>
      <c r="G87" s="15"/>
      <c r="H87" s="15"/>
      <c r="I87" s="15"/>
      <c r="J87" s="15"/>
      <c r="K87" s="15"/>
      <c r="L87" s="29" t="n">
        <f aca="false">D87*E87+F87*G87+H87*I87+J87*K87</f>
        <v>11.6</v>
      </c>
      <c r="M87" s="29" t="n">
        <f aca="false">Исходные!$B$12-L87</f>
        <v>0.0999999999999996</v>
      </c>
      <c r="N87" s="40" t="n">
        <v>8</v>
      </c>
      <c r="O87" s="38" t="n">
        <f aca="false">(E87+G87+I87+K87)*N87</f>
        <v>64</v>
      </c>
      <c r="P87" s="48" t="n">
        <f aca="false">L87*N87</f>
        <v>92.8</v>
      </c>
      <c r="Q87" s="48" t="n">
        <f aca="false">M87*N87</f>
        <v>0.799999999999997</v>
      </c>
    </row>
    <row r="88" customFormat="false" ht="15" hidden="false" customHeight="false" outlineLevel="0" collapsed="false">
      <c r="A88" s="38" t="n">
        <v>16</v>
      </c>
      <c r="B88" s="47" t="s">
        <v>282</v>
      </c>
      <c r="C88" s="38" t="n">
        <v>9</v>
      </c>
      <c r="D88" s="45" t="n">
        <v>4.95</v>
      </c>
      <c r="E88" s="40" t="n">
        <v>2</v>
      </c>
      <c r="F88" s="45" t="n">
        <v>1.6</v>
      </c>
      <c r="G88" s="40" t="n">
        <v>1</v>
      </c>
      <c r="H88" s="15"/>
      <c r="I88" s="15"/>
      <c r="J88" s="15"/>
      <c r="K88" s="15"/>
      <c r="L88" s="29" t="n">
        <f aca="false">D88*E88+F88*G88+H88*I88+J88*K88</f>
        <v>11.5</v>
      </c>
      <c r="M88" s="29" t="n">
        <f aca="false">Исходные!$B$12-L88</f>
        <v>0.199999999999999</v>
      </c>
      <c r="N88" s="40" t="n">
        <v>3</v>
      </c>
      <c r="O88" s="38" t="n">
        <f aca="false">(E88+G88+I88+K88)*N88</f>
        <v>9</v>
      </c>
      <c r="P88" s="48" t="n">
        <f aca="false">L88*N88</f>
        <v>34.5</v>
      </c>
      <c r="Q88" s="48" t="n">
        <f aca="false">M88*N88</f>
        <v>0.599999999999998</v>
      </c>
    </row>
    <row r="89" customFormat="false" ht="15" hidden="false" customHeight="false" outlineLevel="0" collapsed="false">
      <c r="A89" s="38" t="n">
        <v>16</v>
      </c>
      <c r="B89" s="47" t="s">
        <v>282</v>
      </c>
      <c r="C89" s="38" t="n">
        <v>10</v>
      </c>
      <c r="D89" s="45" t="n">
        <v>1.45</v>
      </c>
      <c r="E89" s="40" t="n">
        <v>7</v>
      </c>
      <c r="F89" s="45" t="n">
        <v>1.25</v>
      </c>
      <c r="G89" s="40" t="n">
        <v>1</v>
      </c>
      <c r="H89" s="15"/>
      <c r="I89" s="15"/>
      <c r="J89" s="15"/>
      <c r="K89" s="15"/>
      <c r="L89" s="29" t="n">
        <f aca="false">D89*E89+F89*G89+H89*I89+J89*K89</f>
        <v>11.4</v>
      </c>
      <c r="M89" s="29" t="n">
        <f aca="false">Исходные!$B$12-L89</f>
        <v>0.299999999999999</v>
      </c>
      <c r="N89" s="40" t="n">
        <v>1</v>
      </c>
      <c r="O89" s="38" t="n">
        <f aca="false">(E89+G89+I89+K89)*N89</f>
        <v>8</v>
      </c>
      <c r="P89" s="48" t="n">
        <f aca="false">L89*N89</f>
        <v>11.4</v>
      </c>
      <c r="Q89" s="48" t="n">
        <f aca="false">M89*N89</f>
        <v>0.299999999999999</v>
      </c>
    </row>
    <row r="90" customFormat="false" ht="15" hidden="false" customHeight="false" outlineLevel="0" collapsed="false">
      <c r="A90" s="38" t="n">
        <v>16</v>
      </c>
      <c r="B90" s="47" t="s">
        <v>282</v>
      </c>
      <c r="C90" s="38" t="n">
        <v>11</v>
      </c>
      <c r="D90" s="45" t="n">
        <v>1.85</v>
      </c>
      <c r="E90" s="40" t="n">
        <v>1</v>
      </c>
      <c r="F90" s="45" t="n">
        <v>1.6</v>
      </c>
      <c r="G90" s="40" t="n">
        <v>5</v>
      </c>
      <c r="H90" s="45" t="n">
        <v>1.45</v>
      </c>
      <c r="I90" s="40" t="n">
        <v>1</v>
      </c>
      <c r="J90" s="15"/>
      <c r="K90" s="15"/>
      <c r="L90" s="29" t="n">
        <f aca="false">D90*E90+F90*G90+H90*I90+J90*K90</f>
        <v>11.3</v>
      </c>
      <c r="M90" s="29" t="n">
        <f aca="false">Исходные!$B$12-L90</f>
        <v>0.4</v>
      </c>
      <c r="N90" s="40" t="n">
        <v>1</v>
      </c>
      <c r="O90" s="38" t="n">
        <f aca="false">(E90+G90+I90+K90)*N90</f>
        <v>7</v>
      </c>
      <c r="P90" s="48" t="n">
        <f aca="false">L90*N90</f>
        <v>11.3</v>
      </c>
      <c r="Q90" s="48" t="n">
        <f aca="false">M90*N90</f>
        <v>0.4</v>
      </c>
    </row>
    <row r="91" customFormat="false" ht="15" hidden="false" customHeight="false" outlineLevel="0" collapsed="false">
      <c r="A91" s="38" t="n">
        <v>16</v>
      </c>
      <c r="B91" s="47" t="s">
        <v>282</v>
      </c>
      <c r="C91" s="38" t="n">
        <v>12</v>
      </c>
      <c r="D91" s="45" t="n">
        <v>8.928</v>
      </c>
      <c r="E91" s="40" t="n">
        <v>1</v>
      </c>
      <c r="F91" s="45" t="n">
        <v>2.356</v>
      </c>
      <c r="G91" s="40" t="n">
        <v>1</v>
      </c>
      <c r="H91" s="15"/>
      <c r="I91" s="15"/>
      <c r="J91" s="15"/>
      <c r="K91" s="15"/>
      <c r="L91" s="29" t="n">
        <f aca="false">D91*E91+F91*G91+H91*I91+J91*K91</f>
        <v>11.284</v>
      </c>
      <c r="M91" s="29" t="n">
        <f aca="false">Исходные!$B$12-L91</f>
        <v>0.415999999999999</v>
      </c>
      <c r="N91" s="40" t="n">
        <v>7</v>
      </c>
      <c r="O91" s="38" t="n">
        <f aca="false">(E91+G91+I91+K91)*N91</f>
        <v>14</v>
      </c>
      <c r="P91" s="48" t="n">
        <f aca="false">L91*N91</f>
        <v>78.988</v>
      </c>
      <c r="Q91" s="48" t="n">
        <f aca="false">M91*N91</f>
        <v>2.91199999999999</v>
      </c>
    </row>
    <row r="92" customFormat="false" ht="15" hidden="false" customHeight="false" outlineLevel="0" collapsed="false">
      <c r="A92" s="38" t="n">
        <v>16</v>
      </c>
      <c r="B92" s="47" t="s">
        <v>282</v>
      </c>
      <c r="C92" s="38" t="n">
        <v>13</v>
      </c>
      <c r="D92" s="45" t="n">
        <v>2.25</v>
      </c>
      <c r="E92" s="40" t="n">
        <v>5</v>
      </c>
      <c r="F92" s="15"/>
      <c r="G92" s="15"/>
      <c r="H92" s="15"/>
      <c r="I92" s="15"/>
      <c r="J92" s="15"/>
      <c r="K92" s="15"/>
      <c r="L92" s="29" t="n">
        <f aca="false">D92*E92+F92*G92+H92*I92+J92*K92</f>
        <v>11.25</v>
      </c>
      <c r="M92" s="29" t="n">
        <f aca="false">Исходные!$B$12-L92</f>
        <v>0.449999999999999</v>
      </c>
      <c r="N92" s="40" t="n">
        <v>13</v>
      </c>
      <c r="O92" s="38" t="n">
        <f aca="false">(E92+G92+I92+K92)*N92</f>
        <v>65</v>
      </c>
      <c r="P92" s="48" t="n">
        <f aca="false">L92*N92</f>
        <v>146.25</v>
      </c>
      <c r="Q92" s="48" t="n">
        <f aca="false">M92*N92</f>
        <v>5.84999999999999</v>
      </c>
    </row>
    <row r="93" customFormat="false" ht="15" hidden="false" customHeight="false" outlineLevel="0" collapsed="false">
      <c r="A93" s="38" t="n">
        <v>16</v>
      </c>
      <c r="B93" s="47" t="s">
        <v>282</v>
      </c>
      <c r="C93" s="38" t="n">
        <v>14</v>
      </c>
      <c r="D93" s="45" t="n">
        <v>1.25</v>
      </c>
      <c r="E93" s="40" t="n">
        <v>9</v>
      </c>
      <c r="F93" s="15"/>
      <c r="G93" s="15"/>
      <c r="H93" s="15"/>
      <c r="I93" s="15"/>
      <c r="J93" s="15"/>
      <c r="K93" s="15"/>
      <c r="L93" s="29" t="n">
        <f aca="false">D93*E93+F93*G93+H93*I93+J93*K93</f>
        <v>11.25</v>
      </c>
      <c r="M93" s="29" t="n">
        <f aca="false">Исходные!$B$12-L93</f>
        <v>0.449999999999999</v>
      </c>
      <c r="N93" s="40" t="n">
        <v>7</v>
      </c>
      <c r="O93" s="38" t="n">
        <f aca="false">(E93+G93+I93+K93)*N93</f>
        <v>63</v>
      </c>
      <c r="P93" s="48" t="n">
        <f aca="false">L93*N93</f>
        <v>78.75</v>
      </c>
      <c r="Q93" s="48" t="n">
        <f aca="false">M93*N93</f>
        <v>3.15</v>
      </c>
    </row>
    <row r="94" customFormat="false" ht="15" hidden="false" customHeight="false" outlineLevel="0" collapsed="false">
      <c r="A94" s="38" t="n">
        <v>16</v>
      </c>
      <c r="B94" s="47" t="s">
        <v>282</v>
      </c>
      <c r="C94" s="38" t="n">
        <v>15</v>
      </c>
      <c r="D94" s="45" t="n">
        <v>8.928</v>
      </c>
      <c r="E94" s="40" t="n">
        <v>1</v>
      </c>
      <c r="F94" s="45" t="n">
        <v>2.3</v>
      </c>
      <c r="G94" s="40" t="n">
        <v>1</v>
      </c>
      <c r="H94" s="15"/>
      <c r="I94" s="15"/>
      <c r="J94" s="15"/>
      <c r="K94" s="15"/>
      <c r="L94" s="29" t="n">
        <f aca="false">D94*E94+F94*G94+H94*I94+J94*K94</f>
        <v>11.228</v>
      </c>
      <c r="M94" s="29" t="n">
        <f aca="false">Исходные!$B$12-L94</f>
        <v>0.471999999999998</v>
      </c>
      <c r="N94" s="40" t="n">
        <v>2</v>
      </c>
      <c r="O94" s="38" t="n">
        <f aca="false">(E94+G94+I94+K94)*N94</f>
        <v>4</v>
      </c>
      <c r="P94" s="48" t="n">
        <f aca="false">L94*N94</f>
        <v>22.456</v>
      </c>
      <c r="Q94" s="48" t="n">
        <f aca="false">M94*N94</f>
        <v>0.943999999999996</v>
      </c>
    </row>
    <row r="95" customFormat="false" ht="15" hidden="false" customHeight="false" outlineLevel="0" collapsed="false">
      <c r="A95" s="38" t="n">
        <v>16</v>
      </c>
      <c r="B95" s="47" t="s">
        <v>282</v>
      </c>
      <c r="C95" s="38" t="n">
        <v>16</v>
      </c>
      <c r="D95" s="45" t="n">
        <v>8.928</v>
      </c>
      <c r="E95" s="40" t="n">
        <v>1</v>
      </c>
      <c r="F95" s="45" t="n">
        <v>2.25</v>
      </c>
      <c r="G95" s="40" t="n">
        <v>1</v>
      </c>
      <c r="H95" s="15"/>
      <c r="I95" s="15"/>
      <c r="J95" s="15"/>
      <c r="K95" s="15"/>
      <c r="L95" s="29" t="n">
        <f aca="false">D95*E95+F95*G95+H95*I95+J95*K95</f>
        <v>11.178</v>
      </c>
      <c r="M95" s="29" t="n">
        <f aca="false">Исходные!$B$12-L95</f>
        <v>0.521999999999999</v>
      </c>
      <c r="N95" s="40" t="n">
        <v>1</v>
      </c>
      <c r="O95" s="38" t="n">
        <f aca="false">(E95+G95+I95+K95)*N95</f>
        <v>2</v>
      </c>
      <c r="P95" s="48" t="n">
        <f aca="false">L95*N95</f>
        <v>11.178</v>
      </c>
      <c r="Q95" s="48" t="n">
        <f aca="false">M95*N95</f>
        <v>0.521999999999999</v>
      </c>
    </row>
    <row r="96" customFormat="false" ht="15" hidden="false" customHeight="false" outlineLevel="0" collapsed="false">
      <c r="A96" s="38" t="n">
        <v>16</v>
      </c>
      <c r="B96" s="47" t="s">
        <v>282</v>
      </c>
      <c r="C96" s="38" t="n">
        <v>17</v>
      </c>
      <c r="D96" s="45" t="n">
        <v>3</v>
      </c>
      <c r="E96" s="40" t="n">
        <v>2</v>
      </c>
      <c r="F96" s="45" t="n">
        <v>2.9</v>
      </c>
      <c r="G96" s="40" t="n">
        <v>1</v>
      </c>
      <c r="H96" s="45" t="n">
        <v>2.25</v>
      </c>
      <c r="I96" s="40" t="n">
        <v>1</v>
      </c>
      <c r="J96" s="15"/>
      <c r="K96" s="15"/>
      <c r="L96" s="29" t="n">
        <f aca="false">D96*E96+F96*G96+H96*I96+J96*K96</f>
        <v>11.15</v>
      </c>
      <c r="M96" s="29" t="n">
        <f aca="false">Исходные!$B$12-L96</f>
        <v>0.549999999999999</v>
      </c>
      <c r="N96" s="40" t="n">
        <v>1</v>
      </c>
      <c r="O96" s="38" t="n">
        <f aca="false">(E96+G96+I96+K96)*N96</f>
        <v>4</v>
      </c>
      <c r="P96" s="48" t="n">
        <f aca="false">L96*N96</f>
        <v>11.15</v>
      </c>
      <c r="Q96" s="48" t="n">
        <f aca="false">M96*N96</f>
        <v>0.549999999999999</v>
      </c>
    </row>
    <row r="97" customFormat="false" ht="15" hidden="false" customHeight="false" outlineLevel="0" collapsed="false">
      <c r="A97" s="38" t="n">
        <v>16</v>
      </c>
      <c r="B97" s="47" t="s">
        <v>282</v>
      </c>
      <c r="C97" s="38" t="n">
        <v>18</v>
      </c>
      <c r="D97" s="45" t="n">
        <v>3.6</v>
      </c>
      <c r="E97" s="40" t="n">
        <v>2</v>
      </c>
      <c r="F97" s="45" t="n">
        <v>3.3</v>
      </c>
      <c r="G97" s="40" t="n">
        <v>1</v>
      </c>
      <c r="H97" s="15"/>
      <c r="I97" s="15"/>
      <c r="J97" s="15"/>
      <c r="K97" s="15"/>
      <c r="L97" s="29" t="n">
        <f aca="false">D97*E97+F97*G97+H97*I97+J97*K97</f>
        <v>10.5</v>
      </c>
      <c r="M97" s="29" t="n">
        <f aca="false">Исходные!$B$12-L97</f>
        <v>1.2</v>
      </c>
      <c r="N97" s="40" t="n">
        <v>1</v>
      </c>
      <c r="O97" s="38" t="n">
        <f aca="false">(E97+G97+I97+K97)*N97</f>
        <v>3</v>
      </c>
      <c r="P97" s="48" t="n">
        <f aca="false">L97*N97</f>
        <v>10.5</v>
      </c>
      <c r="Q97" s="48" t="n">
        <f aca="false">M97*N97</f>
        <v>1.2</v>
      </c>
    </row>
    <row r="98" customFormat="false" ht="15" hidden="false" customHeight="false" outlineLevel="0" collapsed="false">
      <c r="A98" s="38" t="n">
        <v>16</v>
      </c>
      <c r="B98" s="47" t="s">
        <v>282</v>
      </c>
      <c r="C98" s="38" t="n">
        <v>19</v>
      </c>
      <c r="D98" s="45" t="n">
        <v>1.25</v>
      </c>
      <c r="E98" s="40" t="n">
        <v>8</v>
      </c>
      <c r="F98" s="15"/>
      <c r="G98" s="15"/>
      <c r="H98" s="15"/>
      <c r="I98" s="15"/>
      <c r="J98" s="15"/>
      <c r="K98" s="15"/>
      <c r="L98" s="29" t="n">
        <f aca="false">D98*E98+F98*G98+H98*I98+J98*K98</f>
        <v>10</v>
      </c>
      <c r="M98" s="29" t="n">
        <f aca="false">Исходные!$B$12-L98</f>
        <v>1.7</v>
      </c>
      <c r="N98" s="40" t="n">
        <v>1</v>
      </c>
      <c r="O98" s="38" t="n">
        <f aca="false">(E98+G98+I98+K98)*N98</f>
        <v>8</v>
      </c>
      <c r="P98" s="48" t="n">
        <f aca="false">L98*N98</f>
        <v>10</v>
      </c>
      <c r="Q98" s="48" t="n">
        <f aca="false">M98*N98</f>
        <v>1.7</v>
      </c>
    </row>
    <row r="99" customFormat="false" ht="15" hidden="false" customHeight="false" outlineLevel="0" collapsed="false">
      <c r="A99" s="38" t="n">
        <v>14</v>
      </c>
      <c r="B99" s="47" t="s">
        <v>282</v>
      </c>
      <c r="C99" s="38" t="n">
        <v>1</v>
      </c>
      <c r="D99" s="45" t="n">
        <v>11.7</v>
      </c>
      <c r="E99" s="40" t="n">
        <v>1</v>
      </c>
      <c r="F99" s="15"/>
      <c r="G99" s="15"/>
      <c r="H99" s="15"/>
      <c r="I99" s="15"/>
      <c r="J99" s="15"/>
      <c r="K99" s="15"/>
      <c r="L99" s="29" t="n">
        <f aca="false">D99*E99+F99*G99+H99*I99+J99*K99</f>
        <v>11.7</v>
      </c>
      <c r="M99" s="29" t="n">
        <f aca="false">Исходные!$B$12-L99</f>
        <v>0</v>
      </c>
      <c r="N99" s="40" t="n">
        <v>6</v>
      </c>
      <c r="O99" s="38" t="n">
        <f aca="false">(E99+G99+I99+K99)*N99</f>
        <v>6</v>
      </c>
      <c r="P99" s="48" t="n">
        <f aca="false">L99*N99</f>
        <v>70.2</v>
      </c>
      <c r="Q99" s="48" t="n">
        <f aca="false">M99*N99</f>
        <v>0</v>
      </c>
    </row>
    <row r="100" customFormat="false" ht="15" hidden="false" customHeight="false" outlineLevel="0" collapsed="false">
      <c r="A100" s="38" t="n">
        <v>14</v>
      </c>
      <c r="B100" s="47" t="s">
        <v>282</v>
      </c>
      <c r="C100" s="38" t="n">
        <v>2</v>
      </c>
      <c r="D100" s="45" t="n">
        <v>4</v>
      </c>
      <c r="E100" s="40" t="n">
        <v>2</v>
      </c>
      <c r="F100" s="45" t="n">
        <v>3.7</v>
      </c>
      <c r="G100" s="40" t="n">
        <v>1</v>
      </c>
      <c r="H100" s="15"/>
      <c r="I100" s="15"/>
      <c r="J100" s="15"/>
      <c r="K100" s="15"/>
      <c r="L100" s="29" t="n">
        <f aca="false">D100*E100+F100*G100+H100*I100+J100*K100</f>
        <v>11.7</v>
      </c>
      <c r="M100" s="29" t="n">
        <f aca="false">Исходные!$B$12-L100</f>
        <v>0</v>
      </c>
      <c r="N100" s="40" t="n">
        <v>1</v>
      </c>
      <c r="O100" s="38" t="n">
        <f aca="false">(E100+G100+I100+K100)*N100</f>
        <v>3</v>
      </c>
      <c r="P100" s="48" t="n">
        <f aca="false">L100*N100</f>
        <v>11.7</v>
      </c>
      <c r="Q100" s="48" t="n">
        <f aca="false">M100*N100</f>
        <v>0</v>
      </c>
    </row>
    <row r="101" customFormat="false" ht="15" hidden="false" customHeight="false" outlineLevel="0" collapsed="false">
      <c r="A101" s="38" t="n">
        <v>14</v>
      </c>
      <c r="B101" s="47" t="s">
        <v>282</v>
      </c>
      <c r="C101" s="38" t="n">
        <v>3</v>
      </c>
      <c r="D101" s="45" t="n">
        <v>1.45</v>
      </c>
      <c r="E101" s="40" t="n">
        <v>8</v>
      </c>
      <c r="F101" s="15"/>
      <c r="G101" s="15"/>
      <c r="H101" s="15"/>
      <c r="I101" s="15"/>
      <c r="J101" s="15"/>
      <c r="K101" s="15"/>
      <c r="L101" s="29" t="n">
        <f aca="false">D101*E101+F101*G101+H101*I101+J101*K101</f>
        <v>11.6</v>
      </c>
      <c r="M101" s="29" t="n">
        <f aca="false">Исходные!$B$12-L101</f>
        <v>0.0999999999999996</v>
      </c>
      <c r="N101" s="40" t="n">
        <v>5</v>
      </c>
      <c r="O101" s="38" t="n">
        <f aca="false">(E101+G101+I101+K101)*N101</f>
        <v>40</v>
      </c>
      <c r="P101" s="48" t="n">
        <f aca="false">L101*N101</f>
        <v>58</v>
      </c>
      <c r="Q101" s="48" t="n">
        <f aca="false">M101*N101</f>
        <v>0.499999999999998</v>
      </c>
    </row>
    <row r="102" customFormat="false" ht="15" hidden="false" customHeight="false" outlineLevel="0" collapsed="false">
      <c r="A102" s="38" t="n">
        <v>14</v>
      </c>
      <c r="B102" s="47" t="s">
        <v>282</v>
      </c>
      <c r="C102" s="38" t="n">
        <v>4</v>
      </c>
      <c r="D102" s="45" t="n">
        <v>9.1</v>
      </c>
      <c r="E102" s="40" t="n">
        <v>1</v>
      </c>
      <c r="F102" s="45" t="n">
        <v>2.4</v>
      </c>
      <c r="G102" s="40" t="n">
        <v>1</v>
      </c>
      <c r="H102" s="15"/>
      <c r="I102" s="15"/>
      <c r="J102" s="15"/>
      <c r="K102" s="15"/>
      <c r="L102" s="29" t="n">
        <f aca="false">D102*E102+F102*G102+H102*I102+J102*K102</f>
        <v>11.5</v>
      </c>
      <c r="M102" s="29" t="n">
        <f aca="false">Исходные!$B$12-L102</f>
        <v>0.199999999999999</v>
      </c>
      <c r="N102" s="40" t="n">
        <v>2</v>
      </c>
      <c r="O102" s="38" t="n">
        <f aca="false">(E102+G102+I102+K102)*N102</f>
        <v>4</v>
      </c>
      <c r="P102" s="48" t="n">
        <f aca="false">L102*N102</f>
        <v>23</v>
      </c>
      <c r="Q102" s="48" t="n">
        <f aca="false">M102*N102</f>
        <v>0.399999999999999</v>
      </c>
    </row>
    <row r="103" customFormat="false" ht="15" hidden="false" customHeight="false" outlineLevel="0" collapsed="false">
      <c r="A103" s="38" t="n">
        <v>14</v>
      </c>
      <c r="B103" s="47" t="s">
        <v>282</v>
      </c>
      <c r="C103" s="38" t="n">
        <v>5</v>
      </c>
      <c r="D103" s="45" t="n">
        <v>3.9</v>
      </c>
      <c r="E103" s="40" t="n">
        <v>2</v>
      </c>
      <c r="F103" s="45" t="n">
        <v>3.7</v>
      </c>
      <c r="G103" s="40" t="n">
        <v>1</v>
      </c>
      <c r="H103" s="15"/>
      <c r="I103" s="15"/>
      <c r="J103" s="15"/>
      <c r="K103" s="15"/>
      <c r="L103" s="29" t="n">
        <f aca="false">D103*E103+F103*G103+H103*I103+J103*K103</f>
        <v>11.5</v>
      </c>
      <c r="M103" s="29" t="n">
        <f aca="false">Исходные!$B$12-L103</f>
        <v>0.199999999999999</v>
      </c>
      <c r="N103" s="40" t="n">
        <v>1</v>
      </c>
      <c r="O103" s="38" t="n">
        <f aca="false">(E103+G103+I103+K103)*N103</f>
        <v>3</v>
      </c>
      <c r="P103" s="48" t="n">
        <f aca="false">L103*N103</f>
        <v>11.5</v>
      </c>
      <c r="Q103" s="48" t="n">
        <f aca="false">M103*N103</f>
        <v>0.199999999999999</v>
      </c>
    </row>
    <row r="104" customFormat="false" ht="15" hidden="false" customHeight="false" outlineLevel="0" collapsed="false">
      <c r="A104" s="38" t="n">
        <v>14</v>
      </c>
      <c r="B104" s="47" t="s">
        <v>282</v>
      </c>
      <c r="C104" s="38" t="n">
        <v>6</v>
      </c>
      <c r="D104" s="45" t="n">
        <v>4.2</v>
      </c>
      <c r="E104" s="40" t="n">
        <v>2</v>
      </c>
      <c r="F104" s="45" t="n">
        <v>2.85</v>
      </c>
      <c r="G104" s="40" t="n">
        <v>1</v>
      </c>
      <c r="H104" s="15"/>
      <c r="I104" s="15"/>
      <c r="J104" s="15"/>
      <c r="K104" s="15"/>
      <c r="L104" s="29" t="n">
        <f aca="false">D104*E104+F104*G104+H104*I104+J104*K104</f>
        <v>11.25</v>
      </c>
      <c r="M104" s="29" t="n">
        <f aca="false">Исходные!$B$12-L104</f>
        <v>0.449999999999999</v>
      </c>
      <c r="N104" s="40" t="n">
        <v>2</v>
      </c>
      <c r="O104" s="38" t="n">
        <f aca="false">(E104+G104+I104+K104)*N104</f>
        <v>6</v>
      </c>
      <c r="P104" s="48" t="n">
        <f aca="false">L104*N104</f>
        <v>22.5</v>
      </c>
      <c r="Q104" s="48" t="n">
        <f aca="false">M104*N104</f>
        <v>0.899999999999999</v>
      </c>
    </row>
    <row r="105" customFormat="false" ht="15" hidden="false" customHeight="false" outlineLevel="0" collapsed="false">
      <c r="A105" s="38" t="n">
        <v>14</v>
      </c>
      <c r="B105" s="47" t="s">
        <v>282</v>
      </c>
      <c r="C105" s="38" t="n">
        <v>7</v>
      </c>
      <c r="D105" s="45" t="n">
        <v>3.7</v>
      </c>
      <c r="E105" s="40" t="n">
        <v>3</v>
      </c>
      <c r="F105" s="15"/>
      <c r="G105" s="15"/>
      <c r="H105" s="15"/>
      <c r="I105" s="15"/>
      <c r="J105" s="15"/>
      <c r="K105" s="15"/>
      <c r="L105" s="29" t="n">
        <f aca="false">D105*E105+F105*G105+H105*I105+J105*K105</f>
        <v>11.1</v>
      </c>
      <c r="M105" s="29" t="n">
        <f aca="false">Исходные!$B$12-L105</f>
        <v>0.599999999999998</v>
      </c>
      <c r="N105" s="40" t="n">
        <v>1</v>
      </c>
      <c r="O105" s="38" t="n">
        <f aca="false">(E105+G105+I105+K105)*N105</f>
        <v>3</v>
      </c>
      <c r="P105" s="48" t="n">
        <f aca="false">L105*N105</f>
        <v>11.1</v>
      </c>
      <c r="Q105" s="48" t="n">
        <f aca="false">M105*N105</f>
        <v>0.599999999999998</v>
      </c>
    </row>
    <row r="106" customFormat="false" ht="15" hidden="false" customHeight="false" outlineLevel="0" collapsed="false">
      <c r="A106" s="38" t="n">
        <v>14</v>
      </c>
      <c r="B106" s="47" t="s">
        <v>282</v>
      </c>
      <c r="C106" s="38" t="n">
        <v>8</v>
      </c>
      <c r="D106" s="45" t="n">
        <v>9.385</v>
      </c>
      <c r="E106" s="40" t="n">
        <v>1</v>
      </c>
      <c r="F106" s="45" t="n">
        <v>1.45</v>
      </c>
      <c r="G106" s="40" t="n">
        <v>1</v>
      </c>
      <c r="H106" s="15"/>
      <c r="I106" s="15"/>
      <c r="J106" s="15"/>
      <c r="K106" s="15"/>
      <c r="L106" s="29" t="n">
        <f aca="false">D106*E106+F106*G106+H106*I106+J106*K106</f>
        <v>10.835</v>
      </c>
      <c r="M106" s="29" t="n">
        <f aca="false">Исходные!$B$12-L106</f>
        <v>0.865</v>
      </c>
      <c r="N106" s="40" t="n">
        <v>2</v>
      </c>
      <c r="O106" s="38" t="n">
        <f aca="false">(E106+G106+I106+K106)*N106</f>
        <v>4</v>
      </c>
      <c r="P106" s="48" t="n">
        <f aca="false">L106*N106</f>
        <v>21.67</v>
      </c>
      <c r="Q106" s="48" t="n">
        <f aca="false">M106*N106</f>
        <v>1.73</v>
      </c>
    </row>
    <row r="107" customFormat="false" ht="15" hidden="false" customHeight="false" outlineLevel="0" collapsed="false">
      <c r="A107" s="38" t="n">
        <v>14</v>
      </c>
      <c r="B107" s="47" t="s">
        <v>282</v>
      </c>
      <c r="C107" s="38" t="n">
        <v>9</v>
      </c>
      <c r="D107" s="45" t="n">
        <v>3.7</v>
      </c>
      <c r="E107" s="40" t="n">
        <v>1</v>
      </c>
      <c r="F107" s="45" t="n">
        <v>3.545</v>
      </c>
      <c r="G107" s="40" t="n">
        <v>2</v>
      </c>
      <c r="H107" s="15"/>
      <c r="I107" s="15"/>
      <c r="J107" s="15"/>
      <c r="K107" s="15"/>
      <c r="L107" s="29" t="n">
        <f aca="false">D107*E107+F107*G107+H107*I107+J107*K107</f>
        <v>10.79</v>
      </c>
      <c r="M107" s="29" t="n">
        <f aca="false">Исходные!$B$12-L107</f>
        <v>0.91</v>
      </c>
      <c r="N107" s="40" t="n">
        <v>1</v>
      </c>
      <c r="O107" s="38" t="n">
        <f aca="false">(E107+G107+I107+K107)*N107</f>
        <v>3</v>
      </c>
      <c r="P107" s="48" t="n">
        <f aca="false">L107*N107</f>
        <v>10.79</v>
      </c>
      <c r="Q107" s="48" t="n">
        <f aca="false">M107*N107</f>
        <v>0.91</v>
      </c>
    </row>
    <row r="108" customFormat="false" ht="15" hidden="false" customHeight="false" outlineLevel="0" collapsed="false">
      <c r="A108" s="38" t="n">
        <v>12</v>
      </c>
      <c r="B108" s="47" t="s">
        <v>282</v>
      </c>
      <c r="C108" s="38" t="n">
        <v>1</v>
      </c>
      <c r="D108" s="45" t="n">
        <v>11.7</v>
      </c>
      <c r="E108" s="40" t="n">
        <v>1</v>
      </c>
      <c r="F108" s="15"/>
      <c r="G108" s="15"/>
      <c r="H108" s="15"/>
      <c r="I108" s="15"/>
      <c r="J108" s="15"/>
      <c r="K108" s="15"/>
      <c r="L108" s="29" t="n">
        <f aca="false">D108*E108+F108*G108+H108*I108+J108*K108</f>
        <v>11.7</v>
      </c>
      <c r="M108" s="29" t="n">
        <f aca="false">Исходные!$B$12-L108</f>
        <v>0</v>
      </c>
      <c r="N108" s="40" t="n">
        <v>4</v>
      </c>
      <c r="O108" s="38" t="n">
        <f aca="false">(E108+G108+I108+K108)*N108</f>
        <v>4</v>
      </c>
      <c r="P108" s="48" t="n">
        <f aca="false">L108*N108</f>
        <v>46.8</v>
      </c>
      <c r="Q108" s="48" t="n">
        <f aca="false">M108*N108</f>
        <v>0</v>
      </c>
    </row>
    <row r="109" customFormat="false" ht="15" hidden="false" customHeight="false" outlineLevel="0" collapsed="false">
      <c r="A109" s="38" t="n">
        <v>12</v>
      </c>
      <c r="B109" s="47" t="s">
        <v>282</v>
      </c>
      <c r="C109" s="38" t="n">
        <v>2</v>
      </c>
      <c r="D109" s="45" t="n">
        <v>2.05</v>
      </c>
      <c r="E109" s="40" t="n">
        <v>5</v>
      </c>
      <c r="F109" s="45" t="n">
        <v>1.4</v>
      </c>
      <c r="G109" s="40" t="n">
        <v>1</v>
      </c>
      <c r="H109" s="15"/>
      <c r="I109" s="15"/>
      <c r="J109" s="15"/>
      <c r="K109" s="15"/>
      <c r="L109" s="29" t="n">
        <f aca="false">D109*E109+F109*G109+H109*I109+J109*K109</f>
        <v>11.65</v>
      </c>
      <c r="M109" s="29" t="n">
        <f aca="false">Исходные!$B$12-L109</f>
        <v>0.0499999999999989</v>
      </c>
      <c r="N109" s="40" t="n">
        <v>1</v>
      </c>
      <c r="O109" s="38" t="n">
        <f aca="false">(E109+G109+I109+K109)*N109</f>
        <v>6</v>
      </c>
      <c r="P109" s="48" t="n">
        <f aca="false">L109*N109</f>
        <v>11.65</v>
      </c>
      <c r="Q109" s="48" t="n">
        <f aca="false">M109*N109</f>
        <v>0.0499999999999989</v>
      </c>
    </row>
    <row r="110" customFormat="false" ht="15" hidden="false" customHeight="false" outlineLevel="0" collapsed="false">
      <c r="A110" s="38" t="n">
        <v>12</v>
      </c>
      <c r="B110" s="47" t="s">
        <v>282</v>
      </c>
      <c r="C110" s="38" t="n">
        <v>3</v>
      </c>
      <c r="D110" s="45" t="n">
        <v>2.4</v>
      </c>
      <c r="E110" s="40" t="n">
        <v>4</v>
      </c>
      <c r="F110" s="45" t="n">
        <v>2.05</v>
      </c>
      <c r="G110" s="40" t="n">
        <v>1</v>
      </c>
      <c r="H110" s="15"/>
      <c r="I110" s="15"/>
      <c r="J110" s="15"/>
      <c r="K110" s="15"/>
      <c r="L110" s="29" t="n">
        <f aca="false">D110*E110+F110*G110+H110*I110+J110*K110</f>
        <v>11.65</v>
      </c>
      <c r="M110" s="29" t="n">
        <f aca="false">Исходные!$B$12-L110</f>
        <v>0.0500000000000007</v>
      </c>
      <c r="N110" s="40" t="n">
        <v>1</v>
      </c>
      <c r="O110" s="38" t="n">
        <f aca="false">(E110+G110+I110+K110)*N110</f>
        <v>5</v>
      </c>
      <c r="P110" s="48" t="n">
        <f aca="false">L110*N110</f>
        <v>11.65</v>
      </c>
      <c r="Q110" s="48" t="n">
        <f aca="false">M110*N110</f>
        <v>0.0500000000000007</v>
      </c>
    </row>
    <row r="111" customFormat="false" ht="15" hidden="false" customHeight="false" outlineLevel="0" collapsed="false">
      <c r="A111" s="38" t="n">
        <v>12</v>
      </c>
      <c r="B111" s="47" t="s">
        <v>282</v>
      </c>
      <c r="C111" s="38" t="n">
        <v>4</v>
      </c>
      <c r="D111" s="45" t="n">
        <v>3.4</v>
      </c>
      <c r="E111" s="40" t="n">
        <v>3</v>
      </c>
      <c r="F111" s="45" t="n">
        <v>1.4</v>
      </c>
      <c r="G111" s="40" t="n">
        <v>1</v>
      </c>
      <c r="H111" s="15"/>
      <c r="I111" s="15"/>
      <c r="J111" s="15"/>
      <c r="K111" s="15"/>
      <c r="L111" s="29" t="n">
        <f aca="false">D111*E111+F111*G111+H111*I111+J111*K111</f>
        <v>11.6</v>
      </c>
      <c r="M111" s="29" t="n">
        <f aca="false">Исходные!$B$12-L111</f>
        <v>0.0999999999999996</v>
      </c>
      <c r="N111" s="40" t="n">
        <v>1</v>
      </c>
      <c r="O111" s="38" t="n">
        <f aca="false">(E111+G111+I111+K111)*N111</f>
        <v>4</v>
      </c>
      <c r="P111" s="48" t="n">
        <f aca="false">L111*N111</f>
        <v>11.6</v>
      </c>
      <c r="Q111" s="48" t="n">
        <f aca="false">M111*N111</f>
        <v>0.0999999999999996</v>
      </c>
    </row>
    <row r="112" customFormat="false" ht="15" hidden="false" customHeight="false" outlineLevel="0" collapsed="false">
      <c r="A112" s="38" t="n">
        <v>12</v>
      </c>
      <c r="B112" s="47" t="s">
        <v>282</v>
      </c>
      <c r="C112" s="38" t="n">
        <v>5</v>
      </c>
      <c r="D112" s="45" t="n">
        <v>3.8</v>
      </c>
      <c r="E112" s="40" t="n">
        <v>3</v>
      </c>
      <c r="F112" s="15"/>
      <c r="G112" s="15"/>
      <c r="H112" s="15"/>
      <c r="I112" s="15"/>
      <c r="J112" s="15"/>
      <c r="K112" s="15"/>
      <c r="L112" s="29" t="n">
        <f aca="false">D112*E112+F112*G112+H112*I112+J112*K112</f>
        <v>11.4</v>
      </c>
      <c r="M112" s="29" t="n">
        <f aca="false">Исходные!$B$12-L112</f>
        <v>0.300000000000001</v>
      </c>
      <c r="N112" s="40" t="n">
        <v>2</v>
      </c>
      <c r="O112" s="38" t="n">
        <f aca="false">(E112+G112+I112+K112)*N112</f>
        <v>6</v>
      </c>
      <c r="P112" s="48" t="n">
        <f aca="false">L112*N112</f>
        <v>22.8</v>
      </c>
      <c r="Q112" s="48" t="n">
        <f aca="false">M112*N112</f>
        <v>0.600000000000001</v>
      </c>
    </row>
    <row r="113" customFormat="false" ht="15" hidden="false" customHeight="false" outlineLevel="0" collapsed="false">
      <c r="A113" s="38" t="n">
        <v>12</v>
      </c>
      <c r="B113" s="47" t="s">
        <v>282</v>
      </c>
      <c r="C113" s="38" t="n">
        <v>6</v>
      </c>
      <c r="D113" s="45" t="n">
        <v>2.3</v>
      </c>
      <c r="E113" s="40" t="n">
        <v>4</v>
      </c>
      <c r="F113" s="45" t="n">
        <v>2.2</v>
      </c>
      <c r="G113" s="40" t="n">
        <v>1</v>
      </c>
      <c r="H113" s="15"/>
      <c r="I113" s="15"/>
      <c r="J113" s="15"/>
      <c r="K113" s="15"/>
      <c r="L113" s="29" t="n">
        <f aca="false">D113*E113+F113*G113+H113*I113+J113*K113</f>
        <v>11.4</v>
      </c>
      <c r="M113" s="29" t="n">
        <f aca="false">Исходные!$B$12-L113</f>
        <v>0.300000000000001</v>
      </c>
      <c r="N113" s="40" t="n">
        <v>1</v>
      </c>
      <c r="O113" s="38" t="n">
        <f aca="false">(E113+G113+I113+K113)*N113</f>
        <v>5</v>
      </c>
      <c r="P113" s="48" t="n">
        <f aca="false">L113*N113</f>
        <v>11.4</v>
      </c>
      <c r="Q113" s="48" t="n">
        <f aca="false">M113*N113</f>
        <v>0.300000000000001</v>
      </c>
    </row>
    <row r="114" customFormat="false" ht="15" hidden="false" customHeight="false" outlineLevel="0" collapsed="false">
      <c r="A114" s="38" t="n">
        <v>12</v>
      </c>
      <c r="B114" s="47" t="s">
        <v>282</v>
      </c>
      <c r="C114" s="38" t="n">
        <v>7</v>
      </c>
      <c r="D114" s="45" t="n">
        <v>3.8</v>
      </c>
      <c r="E114" s="40" t="n">
        <v>2</v>
      </c>
      <c r="F114" s="45" t="n">
        <v>3.6</v>
      </c>
      <c r="G114" s="40" t="n">
        <v>1</v>
      </c>
      <c r="H114" s="15"/>
      <c r="I114" s="15"/>
      <c r="J114" s="15"/>
      <c r="K114" s="15"/>
      <c r="L114" s="29" t="n">
        <f aca="false">D114*E114+F114*G114+H114*I114+J114*K114</f>
        <v>11.2</v>
      </c>
      <c r="M114" s="29" t="n">
        <f aca="false">Исходные!$B$12-L114</f>
        <v>0.5</v>
      </c>
      <c r="N114" s="40" t="n">
        <v>1</v>
      </c>
      <c r="O114" s="38" t="n">
        <f aca="false">(E114+G114+I114+K114)*N114</f>
        <v>3</v>
      </c>
      <c r="P114" s="48" t="n">
        <f aca="false">L114*N114</f>
        <v>11.2</v>
      </c>
      <c r="Q114" s="48" t="n">
        <f aca="false">M114*N114</f>
        <v>0.5</v>
      </c>
    </row>
    <row r="115" customFormat="false" ht="15" hidden="false" customHeight="false" outlineLevel="0" collapsed="false">
      <c r="A115" s="38" t="n">
        <v>12</v>
      </c>
      <c r="B115" s="47" t="s">
        <v>282</v>
      </c>
      <c r="C115" s="38" t="n">
        <v>8</v>
      </c>
      <c r="D115" s="45" t="n">
        <v>2.05</v>
      </c>
      <c r="E115" s="40" t="n">
        <v>2</v>
      </c>
      <c r="F115" s="45" t="n">
        <v>1.4</v>
      </c>
      <c r="G115" s="40" t="n">
        <v>5</v>
      </c>
      <c r="H115" s="15"/>
      <c r="I115" s="15"/>
      <c r="J115" s="15"/>
      <c r="K115" s="15"/>
      <c r="L115" s="29" t="n">
        <f aca="false">D115*E115+F115*G115+H115*I115+J115*K115</f>
        <v>11.1</v>
      </c>
      <c r="M115" s="29" t="n">
        <f aca="false">Исходные!$B$12-L115</f>
        <v>0.6</v>
      </c>
      <c r="N115" s="40" t="n">
        <v>1</v>
      </c>
      <c r="O115" s="38" t="n">
        <f aca="false">(E115+G115+I115+K115)*N115</f>
        <v>7</v>
      </c>
      <c r="P115" s="48" t="n">
        <f aca="false">L115*N115</f>
        <v>11.1</v>
      </c>
      <c r="Q115" s="48" t="n">
        <f aca="false">M115*N115</f>
        <v>0.6</v>
      </c>
    </row>
    <row r="116" customFormat="false" ht="15" hidden="false" customHeight="false" outlineLevel="0" collapsed="false">
      <c r="A116" s="38" t="n">
        <v>12</v>
      </c>
      <c r="B116" s="47" t="s">
        <v>282</v>
      </c>
      <c r="C116" s="38" t="n">
        <v>9</v>
      </c>
      <c r="D116" s="45" t="n">
        <v>2.2</v>
      </c>
      <c r="E116" s="40" t="n">
        <v>5</v>
      </c>
      <c r="F116" s="15"/>
      <c r="G116" s="15"/>
      <c r="H116" s="15"/>
      <c r="I116" s="15"/>
      <c r="J116" s="15"/>
      <c r="K116" s="15"/>
      <c r="L116" s="29" t="n">
        <f aca="false">D116*E116+F116*G116+H116*I116+J116*K116</f>
        <v>11</v>
      </c>
      <c r="M116" s="29" t="n">
        <f aca="false">Исходные!$B$12-L116</f>
        <v>0.699999999999999</v>
      </c>
      <c r="N116" s="40" t="n">
        <v>2</v>
      </c>
      <c r="O116" s="38" t="n">
        <f aca="false">(E116+G116+I116+K116)*N116</f>
        <v>10</v>
      </c>
      <c r="P116" s="48" t="n">
        <f aca="false">L116*N116</f>
        <v>22</v>
      </c>
      <c r="Q116" s="48" t="n">
        <f aca="false">M116*N116</f>
        <v>1.4</v>
      </c>
    </row>
    <row r="117" customFormat="false" ht="15" hidden="false" customHeight="false" outlineLevel="0" collapsed="false">
      <c r="A117" s="38" t="n">
        <v>12</v>
      </c>
      <c r="B117" s="47" t="s">
        <v>282</v>
      </c>
      <c r="C117" s="38" t="n">
        <v>10</v>
      </c>
      <c r="D117" s="45" t="n">
        <v>5.496</v>
      </c>
      <c r="E117" s="40" t="n">
        <v>2</v>
      </c>
      <c r="F117" s="15"/>
      <c r="G117" s="15"/>
      <c r="H117" s="15"/>
      <c r="I117" s="15"/>
      <c r="J117" s="15"/>
      <c r="K117" s="15"/>
      <c r="L117" s="29" t="n">
        <f aca="false">D117*E117+F117*G117+H117*I117+J117*K117</f>
        <v>10.992</v>
      </c>
      <c r="M117" s="29" t="n">
        <f aca="false">Исходные!$B$12-L117</f>
        <v>0.707999999999998</v>
      </c>
      <c r="N117" s="40" t="n">
        <v>2</v>
      </c>
      <c r="O117" s="38" t="n">
        <f aca="false">(E117+G117+I117+K117)*N117</f>
        <v>4</v>
      </c>
      <c r="P117" s="48" t="n">
        <f aca="false">L117*N117</f>
        <v>21.984</v>
      </c>
      <c r="Q117" s="48" t="n">
        <f aca="false">M117*N117</f>
        <v>1.416</v>
      </c>
    </row>
    <row r="118" customFormat="false" ht="15" hidden="false" customHeight="false" outlineLevel="0" collapsed="false">
      <c r="A118" s="38" t="n">
        <v>12</v>
      </c>
      <c r="B118" s="47" t="s">
        <v>282</v>
      </c>
      <c r="C118" s="38" t="n">
        <v>11</v>
      </c>
      <c r="D118" s="45" t="n">
        <v>3.6</v>
      </c>
      <c r="E118" s="40" t="n">
        <v>3</v>
      </c>
      <c r="F118" s="15"/>
      <c r="G118" s="15"/>
      <c r="H118" s="15"/>
      <c r="I118" s="15"/>
      <c r="J118" s="15"/>
      <c r="K118" s="15"/>
      <c r="L118" s="29" t="n">
        <f aca="false">D118*E118+F118*G118+H118*I118+J118*K118</f>
        <v>10.8</v>
      </c>
      <c r="M118" s="29" t="n">
        <f aca="false">Исходные!$B$12-L118</f>
        <v>0.899999999999999</v>
      </c>
      <c r="N118" s="40" t="n">
        <v>1</v>
      </c>
      <c r="O118" s="38" t="n">
        <f aca="false">(E118+G118+I118+K118)*N118</f>
        <v>3</v>
      </c>
      <c r="P118" s="48" t="n">
        <f aca="false">L118*N118</f>
        <v>10.8</v>
      </c>
      <c r="Q118" s="48" t="n">
        <f aca="false">M118*N118</f>
        <v>0.899999999999999</v>
      </c>
    </row>
    <row r="119" customFormat="false" ht="15" hidden="false" customHeight="false" outlineLevel="0" collapsed="false">
      <c r="A119" s="38" t="n">
        <v>12</v>
      </c>
      <c r="B119" s="47" t="s">
        <v>282</v>
      </c>
      <c r="C119" s="38" t="n">
        <v>12</v>
      </c>
      <c r="D119" s="45" t="n">
        <v>10.6</v>
      </c>
      <c r="E119" s="40" t="n">
        <v>1</v>
      </c>
      <c r="F119" s="15"/>
      <c r="G119" s="15"/>
      <c r="H119" s="15"/>
      <c r="I119" s="15"/>
      <c r="J119" s="15"/>
      <c r="K119" s="15"/>
      <c r="L119" s="29" t="n">
        <f aca="false">D119*E119+F119*G119+H119*I119+J119*K119</f>
        <v>10.6</v>
      </c>
      <c r="M119" s="29" t="n">
        <f aca="false">Исходные!$B$12-L119</f>
        <v>1.1</v>
      </c>
      <c r="N119" s="40" t="n">
        <v>2</v>
      </c>
      <c r="O119" s="38" t="n">
        <f aca="false">(E119+G119+I119+K119)*N119</f>
        <v>2</v>
      </c>
      <c r="P119" s="48" t="n">
        <f aca="false">L119*N119</f>
        <v>21.2</v>
      </c>
      <c r="Q119" s="48" t="n">
        <f aca="false">M119*N119</f>
        <v>2.2</v>
      </c>
    </row>
    <row r="120" customFormat="false" ht="15" hidden="false" customHeight="false" outlineLevel="0" collapsed="false">
      <c r="A120" s="38" t="n">
        <v>12</v>
      </c>
      <c r="B120" s="47" t="s">
        <v>282</v>
      </c>
      <c r="C120" s="38" t="n">
        <v>13</v>
      </c>
      <c r="D120" s="45" t="n">
        <v>3.6</v>
      </c>
      <c r="E120" s="40" t="n">
        <v>2</v>
      </c>
      <c r="F120" s="45" t="n">
        <v>3.4</v>
      </c>
      <c r="G120" s="40" t="n">
        <v>1</v>
      </c>
      <c r="H120" s="15"/>
      <c r="I120" s="15"/>
      <c r="J120" s="15"/>
      <c r="K120" s="15"/>
      <c r="L120" s="29" t="n">
        <f aca="false">D120*E120+F120*G120+H120*I120+J120*K120</f>
        <v>10.6</v>
      </c>
      <c r="M120" s="29" t="n">
        <f aca="false">Исходные!$B$12-L120</f>
        <v>1.1</v>
      </c>
      <c r="N120" s="40" t="n">
        <v>1</v>
      </c>
      <c r="O120" s="38" t="n">
        <f aca="false">(E120+G120+I120+K120)*N120</f>
        <v>3</v>
      </c>
      <c r="P120" s="48" t="n">
        <f aca="false">L120*N120</f>
        <v>10.6</v>
      </c>
      <c r="Q120" s="48" t="n">
        <f aca="false">M120*N120</f>
        <v>1.1</v>
      </c>
    </row>
    <row r="121" customFormat="false" ht="15" hidden="false" customHeight="false" outlineLevel="0" collapsed="false">
      <c r="A121" s="38" t="n">
        <v>12</v>
      </c>
      <c r="B121" s="47" t="s">
        <v>282</v>
      </c>
      <c r="C121" s="38" t="n">
        <v>14</v>
      </c>
      <c r="D121" s="45" t="n">
        <v>2.2</v>
      </c>
      <c r="E121" s="40" t="n">
        <v>1</v>
      </c>
      <c r="F121" s="45" t="n">
        <v>2.05</v>
      </c>
      <c r="G121" s="40" t="n">
        <v>4</v>
      </c>
      <c r="H121" s="15"/>
      <c r="I121" s="15"/>
      <c r="J121" s="15"/>
      <c r="K121" s="15"/>
      <c r="L121" s="29" t="n">
        <f aca="false">D121*E121+F121*G121+H121*I121+J121*K121</f>
        <v>10.4</v>
      </c>
      <c r="M121" s="29" t="n">
        <f aca="false">Исходные!$B$12-L121</f>
        <v>1.3</v>
      </c>
      <c r="N121" s="40" t="n">
        <v>1</v>
      </c>
      <c r="O121" s="38" t="n">
        <f aca="false">(E121+G121+I121+K121)*N121</f>
        <v>5</v>
      </c>
      <c r="P121" s="48" t="n">
        <f aca="false">L121*N121</f>
        <v>10.4</v>
      </c>
      <c r="Q121" s="48" t="n">
        <f aca="false">M121*N121</f>
        <v>1.3</v>
      </c>
    </row>
    <row r="122" customFormat="false" ht="15" hidden="false" customHeight="false" outlineLevel="0" collapsed="false">
      <c r="A122" s="38" t="n">
        <v>12</v>
      </c>
      <c r="B122" s="47" t="s">
        <v>282</v>
      </c>
      <c r="C122" s="38" t="n">
        <v>15</v>
      </c>
      <c r="D122" s="45" t="n">
        <v>1.4</v>
      </c>
      <c r="E122" s="40" t="n">
        <v>5</v>
      </c>
      <c r="F122" s="15"/>
      <c r="G122" s="15"/>
      <c r="H122" s="15"/>
      <c r="I122" s="15"/>
      <c r="J122" s="15"/>
      <c r="K122" s="15"/>
      <c r="L122" s="29" t="n">
        <f aca="false">D122*E122+F122*G122+H122*I122+J122*K122</f>
        <v>7</v>
      </c>
      <c r="M122" s="29" t="n">
        <f aca="false">Исходные!$B$12-L122</f>
        <v>4.7</v>
      </c>
      <c r="N122" s="40" t="n">
        <v>1</v>
      </c>
      <c r="O122" s="38" t="n">
        <f aca="false">(E122+G122+I122+K122)*N122</f>
        <v>5</v>
      </c>
      <c r="P122" s="48" t="n">
        <f aca="false">L122*N122</f>
        <v>7</v>
      </c>
      <c r="Q122" s="48" t="n">
        <f aca="false">M122*N122</f>
        <v>4.7</v>
      </c>
    </row>
    <row r="123" customFormat="false" ht="15" hidden="false" customHeight="false" outlineLevel="0" collapsed="false">
      <c r="A123" s="38" t="n">
        <v>10</v>
      </c>
      <c r="B123" s="47" t="s">
        <v>282</v>
      </c>
      <c r="C123" s="38" t="n">
        <v>1</v>
      </c>
      <c r="D123" s="45" t="n">
        <v>11.7</v>
      </c>
      <c r="E123" s="40" t="n">
        <v>1</v>
      </c>
      <c r="F123" s="15"/>
      <c r="G123" s="15"/>
      <c r="H123" s="15"/>
      <c r="I123" s="15"/>
      <c r="J123" s="15"/>
      <c r="K123" s="15"/>
      <c r="L123" s="29" t="n">
        <f aca="false">D123*E123+F123*G123+H123*I123+J123*K123</f>
        <v>11.7</v>
      </c>
      <c r="M123" s="29" t="n">
        <f aca="false">Исходные!$B$12-L123</f>
        <v>0</v>
      </c>
      <c r="N123" s="40" t="n">
        <v>616</v>
      </c>
      <c r="O123" s="38" t="n">
        <f aca="false">(E123+G123+I123+K123)*N123</f>
        <v>616</v>
      </c>
      <c r="P123" s="48" t="n">
        <f aca="false">L123*N123</f>
        <v>7207.2</v>
      </c>
      <c r="Q123" s="48" t="n">
        <f aca="false">M123*N123</f>
        <v>0</v>
      </c>
    </row>
    <row r="124" customFormat="false" ht="15" hidden="false" customHeight="false" outlineLevel="0" collapsed="false">
      <c r="A124" s="38" t="n">
        <v>10</v>
      </c>
      <c r="B124" s="47" t="s">
        <v>282</v>
      </c>
      <c r="C124" s="38" t="n">
        <v>2</v>
      </c>
      <c r="D124" s="45" t="n">
        <v>4.75</v>
      </c>
      <c r="E124" s="40" t="n">
        <v>2</v>
      </c>
      <c r="F124" s="45" t="n">
        <v>2.2</v>
      </c>
      <c r="G124" s="40" t="n">
        <v>1</v>
      </c>
      <c r="H124" s="15"/>
      <c r="I124" s="15"/>
      <c r="J124" s="15"/>
      <c r="K124" s="15"/>
      <c r="L124" s="29" t="n">
        <f aca="false">D124*E124+F124*G124+H124*I124+J124*K124</f>
        <v>11.7</v>
      </c>
      <c r="M124" s="29" t="n">
        <f aca="false">Исходные!$B$12-L124</f>
        <v>0</v>
      </c>
      <c r="N124" s="40" t="n">
        <v>13</v>
      </c>
      <c r="O124" s="38" t="n">
        <f aca="false">(E124+G124+I124+K124)*N124</f>
        <v>39</v>
      </c>
      <c r="P124" s="48" t="n">
        <f aca="false">L124*N124</f>
        <v>152.1</v>
      </c>
      <c r="Q124" s="48" t="n">
        <f aca="false">M124*N124</f>
        <v>0</v>
      </c>
    </row>
    <row r="125" customFormat="false" ht="15" hidden="false" customHeight="false" outlineLevel="0" collapsed="false">
      <c r="A125" s="38" t="n">
        <v>10</v>
      </c>
      <c r="B125" s="47" t="s">
        <v>282</v>
      </c>
      <c r="C125" s="38" t="n">
        <v>3</v>
      </c>
      <c r="D125" s="45" t="n">
        <v>1.4</v>
      </c>
      <c r="E125" s="40" t="n">
        <v>4</v>
      </c>
      <c r="F125" s="45" t="n">
        <v>1.25</v>
      </c>
      <c r="G125" s="40" t="n">
        <v>3</v>
      </c>
      <c r="H125" s="45" t="n">
        <v>1.2</v>
      </c>
      <c r="I125" s="40" t="n">
        <v>1</v>
      </c>
      <c r="J125" s="45" t="n">
        <v>0.57</v>
      </c>
      <c r="K125" s="40" t="n">
        <v>2</v>
      </c>
      <c r="L125" s="29" t="n">
        <f aca="false">D125*E125+F125*G125+H125*I125+J125*K125</f>
        <v>11.69</v>
      </c>
      <c r="M125" s="29" t="n">
        <f aca="false">Исходные!$B$12-L125</f>
        <v>0.00999999999999979</v>
      </c>
      <c r="N125" s="40" t="n">
        <v>1</v>
      </c>
      <c r="O125" s="38" t="n">
        <f aca="false">(E125+G125+I125+K125)*N125</f>
        <v>10</v>
      </c>
      <c r="P125" s="48" t="n">
        <f aca="false">L125*N125</f>
        <v>11.69</v>
      </c>
      <c r="Q125" s="48" t="n">
        <f aca="false">M125*N125</f>
        <v>0.00999999999999979</v>
      </c>
    </row>
    <row r="126" customFormat="false" ht="15" hidden="false" customHeight="false" outlineLevel="0" collapsed="false">
      <c r="A126" s="38" t="n">
        <v>10</v>
      </c>
      <c r="B126" s="47" t="s">
        <v>282</v>
      </c>
      <c r="C126" s="38" t="n">
        <v>4</v>
      </c>
      <c r="D126" s="45" t="n">
        <v>11.05</v>
      </c>
      <c r="E126" s="40" t="n">
        <v>1</v>
      </c>
      <c r="F126" s="45" t="n">
        <v>0.62</v>
      </c>
      <c r="G126" s="40" t="n">
        <v>1</v>
      </c>
      <c r="H126" s="15"/>
      <c r="I126" s="15"/>
      <c r="J126" s="15"/>
      <c r="K126" s="15"/>
      <c r="L126" s="29" t="n">
        <f aca="false">D126*E126+F126*G126+H126*I126+J126*K126</f>
        <v>11.67</v>
      </c>
      <c r="M126" s="29" t="n">
        <f aca="false">Исходные!$B$12-L126</f>
        <v>0.0299999999999994</v>
      </c>
      <c r="N126" s="40" t="n">
        <v>48</v>
      </c>
      <c r="O126" s="38" t="n">
        <f aca="false">(E126+G126+I126+K126)*N126</f>
        <v>96</v>
      </c>
      <c r="P126" s="48" t="n">
        <f aca="false">L126*N126</f>
        <v>560.16</v>
      </c>
      <c r="Q126" s="48" t="n">
        <f aca="false">M126*N126</f>
        <v>1.43999999999997</v>
      </c>
    </row>
    <row r="127" customFormat="false" ht="15" hidden="false" customHeight="false" outlineLevel="0" collapsed="false">
      <c r="A127" s="38" t="n">
        <v>10</v>
      </c>
      <c r="B127" s="47" t="s">
        <v>282</v>
      </c>
      <c r="C127" s="38" t="n">
        <v>5</v>
      </c>
      <c r="D127" s="45" t="n">
        <v>4.32</v>
      </c>
      <c r="E127" s="40" t="n">
        <v>2</v>
      </c>
      <c r="F127" s="45" t="n">
        <v>3.02</v>
      </c>
      <c r="G127" s="40" t="n">
        <v>1</v>
      </c>
      <c r="H127" s="15"/>
      <c r="I127" s="15"/>
      <c r="J127" s="15"/>
      <c r="K127" s="15"/>
      <c r="L127" s="29" t="n">
        <f aca="false">D127*E127+F127*G127+H127*I127+J127*K127</f>
        <v>11.66</v>
      </c>
      <c r="M127" s="29" t="n">
        <f aca="false">Исходные!$B$12-L127</f>
        <v>0.0399999999999992</v>
      </c>
      <c r="N127" s="40" t="n">
        <v>16</v>
      </c>
      <c r="O127" s="38" t="n">
        <f aca="false">(E127+G127+I127+K127)*N127</f>
        <v>48</v>
      </c>
      <c r="P127" s="48" t="n">
        <f aca="false">L127*N127</f>
        <v>186.56</v>
      </c>
      <c r="Q127" s="48" t="n">
        <f aca="false">M127*N127</f>
        <v>0.639999999999986</v>
      </c>
    </row>
    <row r="128" customFormat="false" ht="15" hidden="false" customHeight="false" outlineLevel="0" collapsed="false">
      <c r="A128" s="38" t="n">
        <v>10</v>
      </c>
      <c r="B128" s="47" t="s">
        <v>282</v>
      </c>
      <c r="C128" s="38" t="n">
        <v>6</v>
      </c>
      <c r="D128" s="45" t="n">
        <v>3.02</v>
      </c>
      <c r="E128" s="40" t="n">
        <v>3</v>
      </c>
      <c r="F128" s="45" t="n">
        <v>2.6</v>
      </c>
      <c r="G128" s="40" t="n">
        <v>1</v>
      </c>
      <c r="H128" s="15"/>
      <c r="I128" s="15"/>
      <c r="J128" s="15"/>
      <c r="K128" s="15"/>
      <c r="L128" s="29" t="n">
        <f aca="false">D128*E128+F128*G128+H128*I128+J128*K128</f>
        <v>11.66</v>
      </c>
      <c r="M128" s="29" t="n">
        <f aca="false">Исходные!$B$12-L128</f>
        <v>0.0399999999999992</v>
      </c>
      <c r="N128" s="40" t="n">
        <v>6</v>
      </c>
      <c r="O128" s="38" t="n">
        <f aca="false">(E128+G128+I128+K128)*N128</f>
        <v>24</v>
      </c>
      <c r="P128" s="48" t="n">
        <f aca="false">L128*N128</f>
        <v>69.96</v>
      </c>
      <c r="Q128" s="48" t="n">
        <f aca="false">M128*N128</f>
        <v>0.239999999999995</v>
      </c>
    </row>
    <row r="129" customFormat="false" ht="15" hidden="false" customHeight="false" outlineLevel="0" collapsed="false">
      <c r="A129" s="38" t="n">
        <v>10</v>
      </c>
      <c r="B129" s="47" t="s">
        <v>282</v>
      </c>
      <c r="C129" s="38" t="n">
        <v>7</v>
      </c>
      <c r="D129" s="45" t="n">
        <v>6.9</v>
      </c>
      <c r="E129" s="40" t="n">
        <v>1</v>
      </c>
      <c r="F129" s="45" t="n">
        <v>4.75</v>
      </c>
      <c r="G129" s="40" t="n">
        <v>1</v>
      </c>
      <c r="H129" s="15"/>
      <c r="I129" s="15"/>
      <c r="J129" s="15"/>
      <c r="K129" s="15"/>
      <c r="L129" s="29" t="n">
        <f aca="false">D129*E129+F129*G129+H129*I129+J129*K129</f>
        <v>11.65</v>
      </c>
      <c r="M129" s="29" t="n">
        <f aca="false">Исходные!$B$12-L129</f>
        <v>0.0499999999999989</v>
      </c>
      <c r="N129" s="40" t="n">
        <v>26</v>
      </c>
      <c r="O129" s="38" t="n">
        <f aca="false">(E129+G129+I129+K129)*N129</f>
        <v>52</v>
      </c>
      <c r="P129" s="48" t="n">
        <f aca="false">L129*N129</f>
        <v>302.9</v>
      </c>
      <c r="Q129" s="48" t="n">
        <f aca="false">M129*N129</f>
        <v>1.29999999999997</v>
      </c>
    </row>
    <row r="130" customFormat="false" ht="15" hidden="false" customHeight="false" outlineLevel="0" collapsed="false">
      <c r="A130" s="38" t="n">
        <v>10</v>
      </c>
      <c r="B130" s="47" t="s">
        <v>282</v>
      </c>
      <c r="C130" s="38" t="n">
        <v>8</v>
      </c>
      <c r="D130" s="45" t="n">
        <v>4.5</v>
      </c>
      <c r="E130" s="40" t="n">
        <v>2</v>
      </c>
      <c r="F130" s="45" t="n">
        <v>1.4</v>
      </c>
      <c r="G130" s="40" t="n">
        <v>1</v>
      </c>
      <c r="H130" s="45" t="n">
        <v>1.25</v>
      </c>
      <c r="I130" s="40" t="n">
        <v>1</v>
      </c>
      <c r="J130" s="15"/>
      <c r="K130" s="15"/>
      <c r="L130" s="29" t="n">
        <f aca="false">D130*E130+F130*G130+H130*I130+J130*K130</f>
        <v>11.65</v>
      </c>
      <c r="M130" s="29" t="n">
        <f aca="false">Исходные!$B$12-L130</f>
        <v>0.0499999999999989</v>
      </c>
      <c r="N130" s="40" t="n">
        <v>3</v>
      </c>
      <c r="O130" s="38" t="n">
        <f aca="false">(E130+G130+I130+K130)*N130</f>
        <v>12</v>
      </c>
      <c r="P130" s="48" t="n">
        <f aca="false">L130*N130</f>
        <v>34.95</v>
      </c>
      <c r="Q130" s="48" t="n">
        <f aca="false">M130*N130</f>
        <v>0.149999999999997</v>
      </c>
    </row>
    <row r="131" customFormat="false" ht="15" hidden="false" customHeight="false" outlineLevel="0" collapsed="false">
      <c r="A131" s="38" t="n">
        <v>10</v>
      </c>
      <c r="B131" s="47" t="s">
        <v>282</v>
      </c>
      <c r="C131" s="38" t="n">
        <v>9</v>
      </c>
      <c r="D131" s="45" t="n">
        <v>3.02</v>
      </c>
      <c r="E131" s="40" t="n">
        <v>2</v>
      </c>
      <c r="F131" s="45" t="n">
        <v>1.4</v>
      </c>
      <c r="G131" s="40" t="n">
        <v>4</v>
      </c>
      <c r="H131" s="15"/>
      <c r="I131" s="15"/>
      <c r="J131" s="15"/>
      <c r="K131" s="15"/>
      <c r="L131" s="29" t="n">
        <f aca="false">D131*E131+F131*G131+H131*I131+J131*K131</f>
        <v>11.64</v>
      </c>
      <c r="M131" s="29" t="n">
        <f aca="false">Исходные!$B$12-L131</f>
        <v>0.0599999999999987</v>
      </c>
      <c r="N131" s="40" t="n">
        <v>1</v>
      </c>
      <c r="O131" s="38" t="n">
        <f aca="false">(E131+G131+I131+K131)*N131</f>
        <v>6</v>
      </c>
      <c r="P131" s="48" t="n">
        <f aca="false">L131*N131</f>
        <v>11.64</v>
      </c>
      <c r="Q131" s="48" t="n">
        <f aca="false">M131*N131</f>
        <v>0.0599999999999987</v>
      </c>
    </row>
    <row r="132" customFormat="false" ht="15" hidden="false" customHeight="false" outlineLevel="0" collapsed="false">
      <c r="A132" s="38" t="n">
        <v>10</v>
      </c>
      <c r="B132" s="47" t="s">
        <v>282</v>
      </c>
      <c r="C132" s="38" t="n">
        <v>10</v>
      </c>
      <c r="D132" s="45" t="n">
        <v>8</v>
      </c>
      <c r="E132" s="40" t="n">
        <v>1</v>
      </c>
      <c r="F132" s="45" t="n">
        <v>3.625</v>
      </c>
      <c r="G132" s="40" t="n">
        <v>1</v>
      </c>
      <c r="H132" s="15"/>
      <c r="I132" s="15"/>
      <c r="J132" s="15"/>
      <c r="K132" s="15"/>
      <c r="L132" s="29" t="n">
        <f aca="false">D132*E132+F132*G132+H132*I132+J132*K132</f>
        <v>11.625</v>
      </c>
      <c r="M132" s="29" t="n">
        <f aca="false">Исходные!$B$12-L132</f>
        <v>0.0749999999999993</v>
      </c>
      <c r="N132" s="40" t="n">
        <v>20</v>
      </c>
      <c r="O132" s="38" t="n">
        <f aca="false">(E132+G132+I132+K132)*N132</f>
        <v>40</v>
      </c>
      <c r="P132" s="48" t="n">
        <f aca="false">L132*N132</f>
        <v>232.5</v>
      </c>
      <c r="Q132" s="48" t="n">
        <f aca="false">M132*N132</f>
        <v>1.49999999999999</v>
      </c>
    </row>
    <row r="133" customFormat="false" ht="15" hidden="false" customHeight="false" outlineLevel="0" collapsed="false">
      <c r="A133" s="38" t="n">
        <v>10</v>
      </c>
      <c r="B133" s="47" t="s">
        <v>282</v>
      </c>
      <c r="C133" s="38" t="n">
        <v>11</v>
      </c>
      <c r="D133" s="45" t="n">
        <v>11.05</v>
      </c>
      <c r="E133" s="40" t="n">
        <v>1</v>
      </c>
      <c r="F133" s="45" t="n">
        <v>0.57</v>
      </c>
      <c r="G133" s="40" t="n">
        <v>1</v>
      </c>
      <c r="H133" s="15"/>
      <c r="I133" s="15"/>
      <c r="J133" s="15"/>
      <c r="K133" s="15"/>
      <c r="L133" s="29" t="n">
        <f aca="false">D133*E133+F133*G133+H133*I133+J133*K133</f>
        <v>11.62</v>
      </c>
      <c r="M133" s="29" t="n">
        <f aca="false">Исходные!$B$12-L133</f>
        <v>0.0799999999999983</v>
      </c>
      <c r="N133" s="40" t="n">
        <v>32</v>
      </c>
      <c r="O133" s="38" t="n">
        <f aca="false">(E133+G133+I133+K133)*N133</f>
        <v>64</v>
      </c>
      <c r="P133" s="48" t="n">
        <f aca="false">L133*N133</f>
        <v>371.84</v>
      </c>
      <c r="Q133" s="48" t="n">
        <f aca="false">M133*N133</f>
        <v>2.55999999999995</v>
      </c>
    </row>
    <row r="134" customFormat="false" ht="15" hidden="false" customHeight="false" outlineLevel="0" collapsed="false">
      <c r="A134" s="38" t="n">
        <v>10</v>
      </c>
      <c r="B134" s="47" t="s">
        <v>282</v>
      </c>
      <c r="C134" s="38" t="n">
        <v>12</v>
      </c>
      <c r="D134" s="45" t="n">
        <v>4.3</v>
      </c>
      <c r="E134" s="40" t="n">
        <v>2</v>
      </c>
      <c r="F134" s="45" t="n">
        <v>3.02</v>
      </c>
      <c r="G134" s="40" t="n">
        <v>1</v>
      </c>
      <c r="H134" s="15"/>
      <c r="I134" s="15"/>
      <c r="J134" s="15"/>
      <c r="K134" s="15"/>
      <c r="L134" s="29" t="n">
        <f aca="false">D134*E134+F134*G134+H134*I134+J134*K134</f>
        <v>11.62</v>
      </c>
      <c r="M134" s="29" t="n">
        <f aca="false">Исходные!$B$12-L134</f>
        <v>0.0800000000000001</v>
      </c>
      <c r="N134" s="40" t="n">
        <v>17</v>
      </c>
      <c r="O134" s="38" t="n">
        <f aca="false">(E134+G134+I134+K134)*N134</f>
        <v>51</v>
      </c>
      <c r="P134" s="48" t="n">
        <f aca="false">L134*N134</f>
        <v>197.54</v>
      </c>
      <c r="Q134" s="48" t="n">
        <f aca="false">M134*N134</f>
        <v>1.36</v>
      </c>
    </row>
    <row r="135" customFormat="false" ht="15" hidden="false" customHeight="false" outlineLevel="0" collapsed="false">
      <c r="A135" s="38" t="n">
        <v>10</v>
      </c>
      <c r="B135" s="47" t="s">
        <v>282</v>
      </c>
      <c r="C135" s="38" t="n">
        <v>13</v>
      </c>
      <c r="D135" s="45" t="n">
        <v>5.98</v>
      </c>
      <c r="E135" s="40" t="n">
        <v>1</v>
      </c>
      <c r="F135" s="45" t="n">
        <v>5.05</v>
      </c>
      <c r="G135" s="40" t="n">
        <v>1</v>
      </c>
      <c r="H135" s="45" t="n">
        <v>0.57</v>
      </c>
      <c r="I135" s="40" t="n">
        <v>1</v>
      </c>
      <c r="J135" s="15"/>
      <c r="K135" s="15"/>
      <c r="L135" s="29" t="n">
        <f aca="false">D135*E135+F135*G135+H135*I135+J135*K135</f>
        <v>11.6</v>
      </c>
      <c r="M135" s="29" t="n">
        <f aca="false">Исходные!$B$12-L135</f>
        <v>0.0999999999999979</v>
      </c>
      <c r="N135" s="40" t="n">
        <v>10</v>
      </c>
      <c r="O135" s="38" t="n">
        <f aca="false">(E135+G135+I135+K135)*N135</f>
        <v>30</v>
      </c>
      <c r="P135" s="48" t="n">
        <f aca="false">L135*N135</f>
        <v>116</v>
      </c>
      <c r="Q135" s="48" t="n">
        <f aca="false">M135*N135</f>
        <v>0.999999999999979</v>
      </c>
    </row>
    <row r="136" customFormat="false" ht="15" hidden="false" customHeight="false" outlineLevel="0" collapsed="false">
      <c r="A136" s="38" t="n">
        <v>10</v>
      </c>
      <c r="B136" s="47" t="s">
        <v>282</v>
      </c>
      <c r="C136" s="38" t="n">
        <v>14</v>
      </c>
      <c r="D136" s="45" t="n">
        <v>4.5</v>
      </c>
      <c r="E136" s="40" t="n">
        <v>2</v>
      </c>
      <c r="F136" s="45" t="n">
        <v>2.6</v>
      </c>
      <c r="G136" s="40" t="n">
        <v>1</v>
      </c>
      <c r="H136" s="15"/>
      <c r="I136" s="15"/>
      <c r="J136" s="15"/>
      <c r="K136" s="15"/>
      <c r="L136" s="29" t="n">
        <f aca="false">D136*E136+F136*G136+H136*I136+J136*K136</f>
        <v>11.6</v>
      </c>
      <c r="M136" s="29" t="n">
        <f aca="false">Исходные!$B$12-L136</f>
        <v>0.0999999999999996</v>
      </c>
      <c r="N136" s="40" t="n">
        <v>18</v>
      </c>
      <c r="O136" s="38" t="n">
        <f aca="false">(E136+G136+I136+K136)*N136</f>
        <v>54</v>
      </c>
      <c r="P136" s="48" t="n">
        <f aca="false">L136*N136</f>
        <v>208.8</v>
      </c>
      <c r="Q136" s="48" t="n">
        <f aca="false">M136*N136</f>
        <v>1.79999999999999</v>
      </c>
    </row>
    <row r="137" customFormat="false" ht="15" hidden="false" customHeight="false" outlineLevel="0" collapsed="false">
      <c r="A137" s="38" t="n">
        <v>10</v>
      </c>
      <c r="B137" s="47" t="s">
        <v>282</v>
      </c>
      <c r="C137" s="38" t="n">
        <v>15</v>
      </c>
      <c r="D137" s="45" t="n">
        <v>8</v>
      </c>
      <c r="E137" s="40" t="n">
        <v>1</v>
      </c>
      <c r="F137" s="45" t="n">
        <v>3.02</v>
      </c>
      <c r="G137" s="40" t="n">
        <v>1</v>
      </c>
      <c r="H137" s="45" t="n">
        <v>0.57</v>
      </c>
      <c r="I137" s="40" t="n">
        <v>1</v>
      </c>
      <c r="J137" s="15"/>
      <c r="K137" s="15"/>
      <c r="L137" s="29" t="n">
        <f aca="false">D137*E137+F137*G137+H137*I137+J137*K137</f>
        <v>11.59</v>
      </c>
      <c r="M137" s="29" t="n">
        <f aca="false">Исходные!$B$12-L137</f>
        <v>0.109999999999999</v>
      </c>
      <c r="N137" s="40" t="n">
        <v>8</v>
      </c>
      <c r="O137" s="38" t="n">
        <f aca="false">(E137+G137+I137+K137)*N137</f>
        <v>24</v>
      </c>
      <c r="P137" s="48" t="n">
        <f aca="false">L137*N137</f>
        <v>92.72</v>
      </c>
      <c r="Q137" s="48" t="n">
        <f aca="false">M137*N137</f>
        <v>0.879999999999996</v>
      </c>
    </row>
    <row r="138" customFormat="false" ht="15" hidden="false" customHeight="false" outlineLevel="0" collapsed="false">
      <c r="A138" s="38" t="n">
        <v>10</v>
      </c>
      <c r="B138" s="47" t="s">
        <v>282</v>
      </c>
      <c r="C138" s="38" t="n">
        <v>16</v>
      </c>
      <c r="D138" s="45" t="n">
        <v>7.95</v>
      </c>
      <c r="E138" s="40" t="n">
        <v>1</v>
      </c>
      <c r="F138" s="45" t="n">
        <v>3.02</v>
      </c>
      <c r="G138" s="40" t="n">
        <v>1</v>
      </c>
      <c r="H138" s="45" t="n">
        <v>0.57</v>
      </c>
      <c r="I138" s="40" t="n">
        <v>1</v>
      </c>
      <c r="J138" s="15"/>
      <c r="K138" s="15"/>
      <c r="L138" s="29" t="n">
        <f aca="false">D138*E138+F138*G138+H138*I138+J138*K138</f>
        <v>11.54</v>
      </c>
      <c r="M138" s="29" t="n">
        <f aca="false">Исходные!$B$12-L138</f>
        <v>0.159999999999998</v>
      </c>
      <c r="N138" s="40" t="n">
        <v>18</v>
      </c>
      <c r="O138" s="38" t="n">
        <f aca="false">(E138+G138+I138+K138)*N138</f>
        <v>54</v>
      </c>
      <c r="P138" s="48" t="n">
        <f aca="false">L138*N138</f>
        <v>207.72</v>
      </c>
      <c r="Q138" s="48" t="n">
        <f aca="false">M138*N138</f>
        <v>2.87999999999997</v>
      </c>
    </row>
    <row r="139" customFormat="false" ht="15" hidden="false" customHeight="false" outlineLevel="0" collapsed="false">
      <c r="A139" s="38" t="n">
        <v>10</v>
      </c>
      <c r="B139" s="47" t="s">
        <v>282</v>
      </c>
      <c r="C139" s="38" t="n">
        <v>17</v>
      </c>
      <c r="D139" s="45" t="n">
        <v>9.32</v>
      </c>
      <c r="E139" s="40" t="n">
        <v>1</v>
      </c>
      <c r="F139" s="45" t="n">
        <v>2.2</v>
      </c>
      <c r="G139" s="40" t="n">
        <v>1</v>
      </c>
      <c r="H139" s="15"/>
      <c r="I139" s="15"/>
      <c r="J139" s="15"/>
      <c r="K139" s="15"/>
      <c r="L139" s="29" t="n">
        <f aca="false">D139*E139+F139*G139+H139*I139+J139*K139</f>
        <v>11.52</v>
      </c>
      <c r="M139" s="29" t="n">
        <f aca="false">Исходные!$B$12-L139</f>
        <v>0.18</v>
      </c>
      <c r="N139" s="40" t="n">
        <v>78</v>
      </c>
      <c r="O139" s="38" t="n">
        <f aca="false">(E139+G139+I139+K139)*N139</f>
        <v>156</v>
      </c>
      <c r="P139" s="48" t="n">
        <f aca="false">L139*N139</f>
        <v>898.56</v>
      </c>
      <c r="Q139" s="48" t="n">
        <f aca="false">M139*N139</f>
        <v>14.04</v>
      </c>
    </row>
    <row r="140" customFormat="false" ht="15" hidden="false" customHeight="false" outlineLevel="0" collapsed="false">
      <c r="A140" s="38" t="n">
        <v>10</v>
      </c>
      <c r="B140" s="47" t="s">
        <v>282</v>
      </c>
      <c r="C140" s="38" t="n">
        <v>18</v>
      </c>
      <c r="D140" s="45" t="n">
        <v>5.05</v>
      </c>
      <c r="E140" s="40" t="n">
        <v>2</v>
      </c>
      <c r="F140" s="45" t="n">
        <v>1.4</v>
      </c>
      <c r="G140" s="40" t="n">
        <v>1</v>
      </c>
      <c r="H140" s="15"/>
      <c r="I140" s="15"/>
      <c r="J140" s="15"/>
      <c r="K140" s="15"/>
      <c r="L140" s="29" t="n">
        <f aca="false">D140*E140+F140*G140+H140*I140+J140*K140</f>
        <v>11.5</v>
      </c>
      <c r="M140" s="29" t="n">
        <f aca="false">Исходные!$B$12-L140</f>
        <v>0.199999999999999</v>
      </c>
      <c r="N140" s="40" t="n">
        <v>6</v>
      </c>
      <c r="O140" s="38" t="n">
        <f aca="false">(E140+G140+I140+K140)*N140</f>
        <v>18</v>
      </c>
      <c r="P140" s="48" t="n">
        <f aca="false">L140*N140</f>
        <v>69</v>
      </c>
      <c r="Q140" s="48" t="n">
        <f aca="false">M140*N140</f>
        <v>1.2</v>
      </c>
    </row>
    <row r="141" customFormat="false" ht="15" hidden="false" customHeight="false" outlineLevel="0" collapsed="false">
      <c r="A141" s="38" t="n">
        <v>10</v>
      </c>
      <c r="B141" s="47" t="s">
        <v>282</v>
      </c>
      <c r="C141" s="38" t="n">
        <v>19</v>
      </c>
      <c r="D141" s="45" t="n">
        <v>7.71</v>
      </c>
      <c r="E141" s="40" t="n">
        <v>1</v>
      </c>
      <c r="F141" s="45" t="n">
        <v>3.78</v>
      </c>
      <c r="G141" s="40" t="n">
        <v>1</v>
      </c>
      <c r="H141" s="15"/>
      <c r="I141" s="15"/>
      <c r="J141" s="15"/>
      <c r="K141" s="15"/>
      <c r="L141" s="29" t="n">
        <f aca="false">D141*E141+F141*G141+H141*I141+J141*K141</f>
        <v>11.49</v>
      </c>
      <c r="M141" s="29" t="n">
        <f aca="false">Исходные!$B$12-L141</f>
        <v>0.209999999999999</v>
      </c>
      <c r="N141" s="40" t="n">
        <v>4</v>
      </c>
      <c r="O141" s="38" t="n">
        <f aca="false">(E141+G141+I141+K141)*N141</f>
        <v>8</v>
      </c>
      <c r="P141" s="48" t="n">
        <f aca="false">L141*N141</f>
        <v>45.96</v>
      </c>
      <c r="Q141" s="48" t="n">
        <f aca="false">M141*N141</f>
        <v>0.839999999999996</v>
      </c>
    </row>
    <row r="142" customFormat="false" ht="15" hidden="false" customHeight="false" outlineLevel="0" collapsed="false">
      <c r="A142" s="38" t="n">
        <v>10</v>
      </c>
      <c r="B142" s="47" t="s">
        <v>282</v>
      </c>
      <c r="C142" s="38" t="n">
        <v>20</v>
      </c>
      <c r="D142" s="45" t="n">
        <v>10.9</v>
      </c>
      <c r="E142" s="40" t="n">
        <v>1</v>
      </c>
      <c r="F142" s="45" t="n">
        <v>0.57</v>
      </c>
      <c r="G142" s="40" t="n">
        <v>1</v>
      </c>
      <c r="H142" s="15"/>
      <c r="I142" s="15"/>
      <c r="J142" s="15"/>
      <c r="K142" s="15"/>
      <c r="L142" s="29" t="n">
        <f aca="false">D142*E142+F142*G142+H142*I142+J142*K142</f>
        <v>11.47</v>
      </c>
      <c r="M142" s="29" t="n">
        <f aca="false">Исходные!$B$12-L142</f>
        <v>0.229999999999999</v>
      </c>
      <c r="N142" s="40" t="n">
        <v>2</v>
      </c>
      <c r="O142" s="38" t="n">
        <f aca="false">(E142+G142+I142+K142)*N142</f>
        <v>4</v>
      </c>
      <c r="P142" s="48" t="n">
        <f aca="false">L142*N142</f>
        <v>22.94</v>
      </c>
      <c r="Q142" s="48" t="n">
        <f aca="false">M142*N142</f>
        <v>0.459999999999997</v>
      </c>
    </row>
    <row r="143" customFormat="false" ht="15" hidden="false" customHeight="false" outlineLevel="0" collapsed="false">
      <c r="A143" s="38" t="n">
        <v>10</v>
      </c>
      <c r="B143" s="47" t="s">
        <v>282</v>
      </c>
      <c r="C143" s="38" t="n">
        <v>21</v>
      </c>
      <c r="D143" s="45" t="n">
        <v>0.57</v>
      </c>
      <c r="E143" s="40" t="n">
        <v>20</v>
      </c>
      <c r="F143" s="15"/>
      <c r="G143" s="15"/>
      <c r="H143" s="15"/>
      <c r="I143" s="15"/>
      <c r="J143" s="15"/>
      <c r="K143" s="15"/>
      <c r="L143" s="29" t="n">
        <f aca="false">D143*E143+F143*G143+H143*I143+J143*K143</f>
        <v>11.4</v>
      </c>
      <c r="M143" s="29" t="n">
        <f aca="false">Исходные!$B$12-L143</f>
        <v>0.300000000000001</v>
      </c>
      <c r="N143" s="40" t="n">
        <v>78</v>
      </c>
      <c r="O143" s="38" t="n">
        <f aca="false">(E143+G143+I143+K143)*N143</f>
        <v>1560</v>
      </c>
      <c r="P143" s="48" t="n">
        <f aca="false">L143*N143</f>
        <v>889.2</v>
      </c>
      <c r="Q143" s="48" t="n">
        <f aca="false">M143*N143</f>
        <v>23.4000000000001</v>
      </c>
    </row>
    <row r="144" customFormat="false" ht="15" hidden="false" customHeight="false" outlineLevel="0" collapsed="false">
      <c r="A144" s="38" t="n">
        <v>10</v>
      </c>
      <c r="B144" s="47" t="s">
        <v>282</v>
      </c>
      <c r="C144" s="38" t="n">
        <v>22</v>
      </c>
      <c r="D144" s="45" t="n">
        <v>9.18</v>
      </c>
      <c r="E144" s="40" t="n">
        <v>1</v>
      </c>
      <c r="F144" s="45" t="n">
        <v>2.2</v>
      </c>
      <c r="G144" s="40" t="n">
        <v>1</v>
      </c>
      <c r="H144" s="15"/>
      <c r="I144" s="15"/>
      <c r="J144" s="15"/>
      <c r="K144" s="15"/>
      <c r="L144" s="29" t="n">
        <f aca="false">D144*E144+F144*G144+H144*I144+J144*K144</f>
        <v>11.38</v>
      </c>
      <c r="M144" s="29" t="n">
        <f aca="false">Исходные!$B$12-L144</f>
        <v>0.32</v>
      </c>
      <c r="N144" s="40" t="n">
        <v>6</v>
      </c>
      <c r="O144" s="38" t="n">
        <f aca="false">(E144+G144+I144+K144)*N144</f>
        <v>12</v>
      </c>
      <c r="P144" s="48" t="n">
        <f aca="false">L144*N144</f>
        <v>68.28</v>
      </c>
      <c r="Q144" s="48" t="n">
        <f aca="false">M144*N144</f>
        <v>1.92</v>
      </c>
    </row>
    <row r="145" customFormat="false" ht="15" hidden="false" customHeight="false" outlineLevel="0" collapsed="false">
      <c r="A145" s="38" t="n">
        <v>10</v>
      </c>
      <c r="B145" s="47" t="s">
        <v>282</v>
      </c>
      <c r="C145" s="38" t="n">
        <v>23</v>
      </c>
      <c r="D145" s="45" t="n">
        <v>10.8</v>
      </c>
      <c r="E145" s="40" t="n">
        <v>1</v>
      </c>
      <c r="F145" s="45" t="n">
        <v>0.57</v>
      </c>
      <c r="G145" s="40" t="n">
        <v>1</v>
      </c>
      <c r="H145" s="15"/>
      <c r="I145" s="15"/>
      <c r="J145" s="15"/>
      <c r="K145" s="15"/>
      <c r="L145" s="29" t="n">
        <f aca="false">D145*E145+F145*G145+H145*I145+J145*K145</f>
        <v>11.37</v>
      </c>
      <c r="M145" s="29" t="n">
        <f aca="false">Исходные!$B$12-L145</f>
        <v>0.329999999999998</v>
      </c>
      <c r="N145" s="40" t="n">
        <v>2</v>
      </c>
      <c r="O145" s="38" t="n">
        <f aca="false">(E145+G145+I145+K145)*N145</f>
        <v>4</v>
      </c>
      <c r="P145" s="48" t="n">
        <f aca="false">L145*N145</f>
        <v>22.74</v>
      </c>
      <c r="Q145" s="48" t="n">
        <f aca="false">M145*N145</f>
        <v>0.659999999999997</v>
      </c>
    </row>
    <row r="146" customFormat="false" ht="15" hidden="false" customHeight="false" outlineLevel="0" collapsed="false">
      <c r="A146" s="38" t="n">
        <v>10</v>
      </c>
      <c r="B146" s="47" t="s">
        <v>282</v>
      </c>
      <c r="C146" s="38" t="n">
        <v>24</v>
      </c>
      <c r="D146" s="45" t="n">
        <v>1.2</v>
      </c>
      <c r="E146" s="40" t="n">
        <v>9</v>
      </c>
      <c r="F146" s="45" t="n">
        <v>0.57</v>
      </c>
      <c r="G146" s="40" t="n">
        <v>1</v>
      </c>
      <c r="H146" s="15"/>
      <c r="I146" s="15"/>
      <c r="J146" s="15"/>
      <c r="K146" s="15"/>
      <c r="L146" s="29" t="n">
        <f aca="false">D146*E146+F146*G146+H146*I146+J146*K146</f>
        <v>11.37</v>
      </c>
      <c r="M146" s="29" t="n">
        <f aca="false">Исходные!$B$12-L146</f>
        <v>0.33</v>
      </c>
      <c r="N146" s="40" t="n">
        <v>18</v>
      </c>
      <c r="O146" s="38" t="n">
        <f aca="false">(E146+G146+I146+K146)*N146</f>
        <v>180</v>
      </c>
      <c r="P146" s="48" t="n">
        <f aca="false">L146*N146</f>
        <v>204.66</v>
      </c>
      <c r="Q146" s="48" t="n">
        <f aca="false">M146*N146</f>
        <v>5.94</v>
      </c>
    </row>
    <row r="147" customFormat="false" ht="15" hidden="false" customHeight="false" outlineLevel="0" collapsed="false">
      <c r="A147" s="38" t="n">
        <v>10</v>
      </c>
      <c r="B147" s="47" t="s">
        <v>282</v>
      </c>
      <c r="C147" s="38" t="n">
        <v>25</v>
      </c>
      <c r="D147" s="45" t="n">
        <v>3.78</v>
      </c>
      <c r="E147" s="40" t="n">
        <v>3</v>
      </c>
      <c r="F147" s="15"/>
      <c r="G147" s="15"/>
      <c r="H147" s="15"/>
      <c r="I147" s="15"/>
      <c r="J147" s="15"/>
      <c r="K147" s="15"/>
      <c r="L147" s="29" t="n">
        <f aca="false">D147*E147+F147*G147+H147*I147+J147*K147</f>
        <v>11.34</v>
      </c>
      <c r="M147" s="29" t="n">
        <f aca="false">Исходные!$B$12-L147</f>
        <v>0.359999999999999</v>
      </c>
      <c r="N147" s="40" t="n">
        <v>4</v>
      </c>
      <c r="O147" s="38" t="n">
        <f aca="false">(E147+G147+I147+K147)*N147</f>
        <v>12</v>
      </c>
      <c r="P147" s="48" t="n">
        <f aca="false">L147*N147</f>
        <v>45.36</v>
      </c>
      <c r="Q147" s="48" t="n">
        <f aca="false">M147*N147</f>
        <v>1.44</v>
      </c>
    </row>
    <row r="148" customFormat="false" ht="15" hidden="false" customHeight="false" outlineLevel="0" collapsed="false">
      <c r="A148" s="38" t="n">
        <v>10</v>
      </c>
      <c r="B148" s="47" t="s">
        <v>282</v>
      </c>
      <c r="C148" s="38" t="n">
        <v>26</v>
      </c>
      <c r="D148" s="45" t="n">
        <v>4.15</v>
      </c>
      <c r="E148" s="40" t="n">
        <v>2</v>
      </c>
      <c r="F148" s="45" t="n">
        <v>3.02</v>
      </c>
      <c r="G148" s="40" t="n">
        <v>1</v>
      </c>
      <c r="H148" s="15"/>
      <c r="I148" s="15"/>
      <c r="J148" s="15"/>
      <c r="K148" s="15"/>
      <c r="L148" s="29" t="n">
        <f aca="false">D148*E148+F148*G148+H148*I148+J148*K148</f>
        <v>11.32</v>
      </c>
      <c r="M148" s="29" t="n">
        <f aca="false">Исходные!$B$12-L148</f>
        <v>0.379999999999999</v>
      </c>
      <c r="N148" s="40" t="n">
        <v>18</v>
      </c>
      <c r="O148" s="38" t="n">
        <f aca="false">(E148+G148+I148+K148)*N148</f>
        <v>54</v>
      </c>
      <c r="P148" s="48" t="n">
        <f aca="false">L148*N148</f>
        <v>203.76</v>
      </c>
      <c r="Q148" s="48" t="n">
        <f aca="false">M148*N148</f>
        <v>6.83999999999998</v>
      </c>
    </row>
    <row r="149" customFormat="false" ht="15" hidden="false" customHeight="false" outlineLevel="0" collapsed="false">
      <c r="A149" s="38" t="n">
        <v>10</v>
      </c>
      <c r="B149" s="47" t="s">
        <v>282</v>
      </c>
      <c r="C149" s="38" t="n">
        <v>27</v>
      </c>
      <c r="D149" s="45" t="n">
        <v>1.2</v>
      </c>
      <c r="E149" s="40" t="n">
        <v>7</v>
      </c>
      <c r="F149" s="45" t="n">
        <v>0.57</v>
      </c>
      <c r="G149" s="40" t="n">
        <v>5</v>
      </c>
      <c r="H149" s="15"/>
      <c r="I149" s="15"/>
      <c r="J149" s="15"/>
      <c r="K149" s="15"/>
      <c r="L149" s="29" t="n">
        <f aca="false">D149*E149+F149*G149+H149*I149+J149*K149</f>
        <v>11.25</v>
      </c>
      <c r="M149" s="29" t="n">
        <f aca="false">Исходные!$B$12-L149</f>
        <v>0.449999999999999</v>
      </c>
      <c r="N149" s="40" t="n">
        <v>1</v>
      </c>
      <c r="O149" s="38" t="n">
        <f aca="false">(E149+G149+I149+K149)*N149</f>
        <v>12</v>
      </c>
      <c r="P149" s="48" t="n">
        <f aca="false">L149*N149</f>
        <v>11.25</v>
      </c>
      <c r="Q149" s="48" t="n">
        <f aca="false">M149*N149</f>
        <v>0.449999999999999</v>
      </c>
    </row>
    <row r="150" customFormat="false" ht="15" hidden="false" customHeight="false" outlineLevel="0" collapsed="false">
      <c r="A150" s="38" t="n">
        <v>10</v>
      </c>
      <c r="B150" s="47" t="s">
        <v>282</v>
      </c>
      <c r="C150" s="38" t="n">
        <v>28</v>
      </c>
      <c r="D150" s="45" t="n">
        <v>1.4</v>
      </c>
      <c r="E150" s="40" t="n">
        <v>8</v>
      </c>
      <c r="F150" s="15"/>
      <c r="G150" s="15"/>
      <c r="H150" s="15"/>
      <c r="I150" s="15"/>
      <c r="J150" s="15"/>
      <c r="K150" s="15"/>
      <c r="L150" s="29" t="n">
        <f aca="false">D150*E150+F150*G150+H150*I150+J150*K150</f>
        <v>11.2</v>
      </c>
      <c r="M150" s="29" t="n">
        <f aca="false">Исходные!$B$12-L150</f>
        <v>0.5</v>
      </c>
      <c r="N150" s="40" t="n">
        <v>3</v>
      </c>
      <c r="O150" s="38" t="n">
        <f aca="false">(E150+G150+I150+K150)*N150</f>
        <v>24</v>
      </c>
      <c r="P150" s="48" t="n">
        <f aca="false">L150*N150</f>
        <v>33.6</v>
      </c>
      <c r="Q150" s="48" t="n">
        <f aca="false">M150*N150</f>
        <v>1.5</v>
      </c>
    </row>
    <row r="151" customFormat="false" ht="15" hidden="false" customHeight="false" outlineLevel="0" collapsed="false">
      <c r="A151" s="38" t="n">
        <v>10</v>
      </c>
      <c r="B151" s="47" t="s">
        <v>282</v>
      </c>
      <c r="C151" s="38" t="n">
        <v>29</v>
      </c>
      <c r="D151" s="45" t="n">
        <v>9.18</v>
      </c>
      <c r="E151" s="40" t="n">
        <v>1</v>
      </c>
      <c r="F151" s="45" t="n">
        <v>2</v>
      </c>
      <c r="G151" s="40" t="n">
        <v>1</v>
      </c>
      <c r="H151" s="15"/>
      <c r="I151" s="15"/>
      <c r="J151" s="15"/>
      <c r="K151" s="15"/>
      <c r="L151" s="29" t="n">
        <f aca="false">D151*E151+F151*G151+H151*I151+J151*K151</f>
        <v>11.18</v>
      </c>
      <c r="M151" s="29" t="n">
        <f aca="false">Исходные!$B$12-L151</f>
        <v>0.52</v>
      </c>
      <c r="N151" s="40" t="n">
        <v>25</v>
      </c>
      <c r="O151" s="38" t="n">
        <f aca="false">(E151+G151+I151+K151)*N151</f>
        <v>50</v>
      </c>
      <c r="P151" s="48" t="n">
        <f aca="false">L151*N151</f>
        <v>279.5</v>
      </c>
      <c r="Q151" s="48" t="n">
        <f aca="false">M151*N151</f>
        <v>13</v>
      </c>
    </row>
    <row r="152" customFormat="false" ht="15" hidden="false" customHeight="false" outlineLevel="0" collapsed="false">
      <c r="A152" s="38" t="n">
        <v>10</v>
      </c>
      <c r="B152" s="47" t="s">
        <v>282</v>
      </c>
      <c r="C152" s="38" t="n">
        <v>30</v>
      </c>
      <c r="D152" s="45" t="n">
        <v>9.18</v>
      </c>
      <c r="E152" s="40" t="n">
        <v>1</v>
      </c>
      <c r="F152" s="45" t="n">
        <v>1.4</v>
      </c>
      <c r="G152" s="40" t="n">
        <v>1</v>
      </c>
      <c r="H152" s="45" t="n">
        <v>0.57</v>
      </c>
      <c r="I152" s="40" t="n">
        <v>1</v>
      </c>
      <c r="J152" s="15"/>
      <c r="K152" s="15"/>
      <c r="L152" s="29" t="n">
        <f aca="false">D152*E152+F152*G152+H152*I152+J152*K152</f>
        <v>11.15</v>
      </c>
      <c r="M152" s="29" t="n">
        <f aca="false">Исходные!$B$12-L152</f>
        <v>0.549999999999999</v>
      </c>
      <c r="N152" s="40" t="n">
        <v>21</v>
      </c>
      <c r="O152" s="38" t="n">
        <f aca="false">(E152+G152+I152+K152)*N152</f>
        <v>63</v>
      </c>
      <c r="P152" s="48" t="n">
        <f aca="false">L152*N152</f>
        <v>234.15</v>
      </c>
      <c r="Q152" s="48" t="n">
        <f aca="false">M152*N152</f>
        <v>11.55</v>
      </c>
    </row>
    <row r="153" customFormat="false" ht="15" hidden="false" customHeight="false" outlineLevel="0" collapsed="false">
      <c r="A153" s="38" t="n">
        <v>10</v>
      </c>
      <c r="B153" s="47" t="s">
        <v>282</v>
      </c>
      <c r="C153" s="38" t="n">
        <v>31</v>
      </c>
      <c r="D153" s="45" t="n">
        <v>3.78</v>
      </c>
      <c r="E153" s="40" t="n">
        <v>2</v>
      </c>
      <c r="F153" s="45" t="n">
        <v>3.02</v>
      </c>
      <c r="G153" s="40" t="n">
        <v>1</v>
      </c>
      <c r="H153" s="45" t="n">
        <v>0.57</v>
      </c>
      <c r="I153" s="40" t="n">
        <v>1</v>
      </c>
      <c r="J153" s="15"/>
      <c r="K153" s="15"/>
      <c r="L153" s="29" t="n">
        <f aca="false">D153*E153+F153*G153+H153*I153+J153*K153</f>
        <v>11.15</v>
      </c>
      <c r="M153" s="29" t="n">
        <f aca="false">Исходные!$B$12-L153</f>
        <v>0.549999999999999</v>
      </c>
      <c r="N153" s="40" t="n">
        <v>1</v>
      </c>
      <c r="O153" s="38" t="n">
        <f aca="false">(E153+G153+I153+K153)*N153</f>
        <v>4</v>
      </c>
      <c r="P153" s="48" t="n">
        <f aca="false">L153*N153</f>
        <v>11.15</v>
      </c>
      <c r="Q153" s="48" t="n">
        <f aca="false">M153*N153</f>
        <v>0.549999999999999</v>
      </c>
    </row>
    <row r="154" customFormat="false" ht="15" hidden="false" customHeight="false" outlineLevel="0" collapsed="false">
      <c r="A154" s="38" t="n">
        <v>10</v>
      </c>
      <c r="B154" s="47" t="s">
        <v>282</v>
      </c>
      <c r="C154" s="38" t="n">
        <v>32</v>
      </c>
      <c r="D154" s="45" t="n">
        <v>0.57</v>
      </c>
      <c r="E154" s="40" t="n">
        <v>1</v>
      </c>
      <c r="F154" s="15"/>
      <c r="G154" s="15"/>
      <c r="H154" s="15"/>
      <c r="I154" s="15"/>
      <c r="J154" s="15"/>
      <c r="K154" s="15"/>
      <c r="L154" s="29" t="n">
        <f aca="false">D154*E154+F154*G154+H154*I154+J154*K154</f>
        <v>0.57</v>
      </c>
      <c r="M154" s="29" t="n">
        <f aca="false">Исходные!$B$12-L154</f>
        <v>11.13</v>
      </c>
      <c r="N154" s="40" t="n">
        <v>1</v>
      </c>
      <c r="O154" s="38" t="n">
        <f aca="false">(E154+G154+I154+K154)*N154</f>
        <v>1</v>
      </c>
      <c r="P154" s="48" t="n">
        <f aca="false">L154*N154</f>
        <v>0.57</v>
      </c>
      <c r="Q154" s="48" t="n">
        <f aca="false">M154*N154</f>
        <v>11.13</v>
      </c>
    </row>
    <row r="155" customFormat="false" ht="15" hidden="false" customHeight="false" outlineLevel="0" collapsed="false">
      <c r="A155" s="38" t="n">
        <v>10</v>
      </c>
      <c r="B155" s="47" t="s">
        <v>316</v>
      </c>
      <c r="C155" s="38" t="n">
        <v>1</v>
      </c>
      <c r="D155" s="45" t="n">
        <v>1.76</v>
      </c>
      <c r="E155" s="40" t="n">
        <v>6</v>
      </c>
      <c r="F155" s="45" t="n">
        <v>0.7</v>
      </c>
      <c r="G155" s="40" t="n">
        <v>1</v>
      </c>
      <c r="H155" s="45" t="n">
        <v>0.42</v>
      </c>
      <c r="I155" s="40" t="n">
        <v>1</v>
      </c>
      <c r="J155" s="15"/>
      <c r="K155" s="15"/>
      <c r="L155" s="29" t="n">
        <f aca="false">D155*E155+F155*G155+H155*I155+J155*K155</f>
        <v>11.68</v>
      </c>
      <c r="M155" s="29" t="n">
        <f aca="false">Исходные!$B$12-L155</f>
        <v>0.0199999999999996</v>
      </c>
      <c r="N155" s="40" t="n">
        <v>9</v>
      </c>
      <c r="O155" s="38" t="n">
        <f aca="false">(E155+G155+I155+K155)*N155</f>
        <v>72</v>
      </c>
      <c r="P155" s="48" t="n">
        <f aca="false">L155*N155</f>
        <v>105.12</v>
      </c>
      <c r="Q155" s="48" t="n">
        <f aca="false">M155*N155</f>
        <v>0.179999999999996</v>
      </c>
    </row>
    <row r="156" customFormat="false" ht="15" hidden="false" customHeight="false" outlineLevel="0" collapsed="false">
      <c r="A156" s="38" t="n">
        <v>10</v>
      </c>
      <c r="B156" s="47" t="s">
        <v>316</v>
      </c>
      <c r="C156" s="38" t="n">
        <v>2</v>
      </c>
      <c r="D156" s="45" t="n">
        <v>2.06</v>
      </c>
      <c r="E156" s="40" t="n">
        <v>5</v>
      </c>
      <c r="F156" s="45" t="n">
        <v>1.33</v>
      </c>
      <c r="G156" s="40" t="n">
        <v>1</v>
      </c>
      <c r="H156" s="15"/>
      <c r="I156" s="15"/>
      <c r="J156" s="15"/>
      <c r="K156" s="15"/>
      <c r="L156" s="29" t="n">
        <f aca="false">D156*E156+F156*G156+H156*I156+J156*K156</f>
        <v>11.63</v>
      </c>
      <c r="M156" s="29" t="n">
        <f aca="false">Исходные!$B$12-L156</f>
        <v>0.0699999999999985</v>
      </c>
      <c r="N156" s="40" t="n">
        <v>131</v>
      </c>
      <c r="O156" s="38" t="n">
        <f aca="false">(E156+G156+I156+K156)*N156</f>
        <v>786</v>
      </c>
      <c r="P156" s="48" t="n">
        <f aca="false">L156*N156</f>
        <v>1523.53</v>
      </c>
      <c r="Q156" s="48" t="n">
        <f aca="false">M156*N156</f>
        <v>9.16999999999981</v>
      </c>
    </row>
    <row r="157" customFormat="false" ht="15" hidden="false" customHeight="false" outlineLevel="0" collapsed="false">
      <c r="A157" s="38" t="n">
        <v>10</v>
      </c>
      <c r="B157" s="47" t="s">
        <v>316</v>
      </c>
      <c r="C157" s="38" t="n">
        <v>3</v>
      </c>
      <c r="D157" s="45" t="n">
        <v>1.6</v>
      </c>
      <c r="E157" s="40" t="n">
        <v>7</v>
      </c>
      <c r="F157" s="45" t="n">
        <v>0.42</v>
      </c>
      <c r="G157" s="40" t="n">
        <v>1</v>
      </c>
      <c r="H157" s="15"/>
      <c r="I157" s="15"/>
      <c r="J157" s="15"/>
      <c r="K157" s="15"/>
      <c r="L157" s="29" t="n">
        <f aca="false">D157*E157+F157*G157+H157*I157+J157*K157</f>
        <v>11.62</v>
      </c>
      <c r="M157" s="29" t="n">
        <f aca="false">Исходные!$B$12-L157</f>
        <v>0.0799999999999983</v>
      </c>
      <c r="N157" s="40" t="n">
        <v>43</v>
      </c>
      <c r="O157" s="38" t="n">
        <f aca="false">(E157+G157+I157+K157)*N157</f>
        <v>344</v>
      </c>
      <c r="P157" s="48" t="n">
        <f aca="false">L157*N157</f>
        <v>499.66</v>
      </c>
      <c r="Q157" s="48" t="n">
        <f aca="false">M157*N157</f>
        <v>3.43999999999993</v>
      </c>
    </row>
    <row r="158" customFormat="false" ht="15" hidden="false" customHeight="false" outlineLevel="0" collapsed="false">
      <c r="A158" s="38" t="n">
        <v>10</v>
      </c>
      <c r="B158" s="47" t="s">
        <v>316</v>
      </c>
      <c r="C158" s="38" t="n">
        <v>4</v>
      </c>
      <c r="D158" s="45" t="n">
        <v>1.56</v>
      </c>
      <c r="E158" s="40" t="n">
        <v>7</v>
      </c>
      <c r="F158" s="45" t="n">
        <v>0.7</v>
      </c>
      <c r="G158" s="40" t="n">
        <v>1</v>
      </c>
      <c r="H158" s="15"/>
      <c r="I158" s="15"/>
      <c r="J158" s="15"/>
      <c r="K158" s="15"/>
      <c r="L158" s="29" t="n">
        <f aca="false">D158*E158+F158*G158+H158*I158+J158*K158</f>
        <v>11.62</v>
      </c>
      <c r="M158" s="29" t="n">
        <f aca="false">Исходные!$B$12-L158</f>
        <v>0.0800000000000001</v>
      </c>
      <c r="N158" s="40" t="n">
        <v>14</v>
      </c>
      <c r="O158" s="38" t="n">
        <f aca="false">(E158+G158+I158+K158)*N158</f>
        <v>112</v>
      </c>
      <c r="P158" s="48" t="n">
        <f aca="false">L158*N158</f>
        <v>162.68</v>
      </c>
      <c r="Q158" s="48" t="n">
        <f aca="false">M158*N158</f>
        <v>1.12</v>
      </c>
    </row>
    <row r="159" customFormat="false" ht="15" hidden="false" customHeight="false" outlineLevel="0" collapsed="false">
      <c r="A159" s="38" t="n">
        <v>10</v>
      </c>
      <c r="B159" s="47" t="s">
        <v>316</v>
      </c>
      <c r="C159" s="38" t="n">
        <v>5</v>
      </c>
      <c r="D159" s="45" t="n">
        <v>0.7</v>
      </c>
      <c r="E159" s="40" t="n">
        <v>16</v>
      </c>
      <c r="F159" s="45" t="n">
        <v>0.42</v>
      </c>
      <c r="G159" s="40" t="n">
        <v>1</v>
      </c>
      <c r="H159" s="15"/>
      <c r="I159" s="15"/>
      <c r="J159" s="15"/>
      <c r="K159" s="15"/>
      <c r="L159" s="29" t="n">
        <f aca="false">D159*E159+F159*G159+H159*I159+J159*K159</f>
        <v>11.62</v>
      </c>
      <c r="M159" s="29" t="n">
        <f aca="false">Исходные!$B$12-L159</f>
        <v>0.0800000000000001</v>
      </c>
      <c r="N159" s="40" t="n">
        <v>4</v>
      </c>
      <c r="O159" s="38" t="n">
        <f aca="false">(E159+G159+I159+K159)*N159</f>
        <v>68</v>
      </c>
      <c r="P159" s="48" t="n">
        <f aca="false">L159*N159</f>
        <v>46.48</v>
      </c>
      <c r="Q159" s="48" t="n">
        <f aca="false">M159*N159</f>
        <v>0.32</v>
      </c>
    </row>
    <row r="160" customFormat="false" ht="15" hidden="false" customHeight="false" outlineLevel="0" collapsed="false">
      <c r="A160" s="38" t="n">
        <v>10</v>
      </c>
      <c r="B160" s="47" t="s">
        <v>316</v>
      </c>
      <c r="C160" s="38" t="n">
        <v>6</v>
      </c>
      <c r="D160" s="45" t="n">
        <v>1.33</v>
      </c>
      <c r="E160" s="40" t="n">
        <v>2</v>
      </c>
      <c r="F160" s="45" t="n">
        <v>0.7</v>
      </c>
      <c r="G160" s="40" t="n">
        <v>12</v>
      </c>
      <c r="H160" s="45" t="n">
        <v>0.42</v>
      </c>
      <c r="I160" s="40" t="n">
        <v>1</v>
      </c>
      <c r="J160" s="15"/>
      <c r="K160" s="15"/>
      <c r="L160" s="29" t="n">
        <f aca="false">D160*E160+F160*G160+H160*I160+J160*K160</f>
        <v>11.48</v>
      </c>
      <c r="M160" s="29" t="n">
        <f aca="false">Исходные!$B$12-L160</f>
        <v>0.220000000000001</v>
      </c>
      <c r="N160" s="40" t="n">
        <v>1</v>
      </c>
      <c r="O160" s="38" t="n">
        <f aca="false">(E160+G160+I160+K160)*N160</f>
        <v>15</v>
      </c>
      <c r="P160" s="48" t="n">
        <f aca="false">L160*N160</f>
        <v>11.48</v>
      </c>
      <c r="Q160" s="48" t="n">
        <f aca="false">M160*N160</f>
        <v>0.220000000000001</v>
      </c>
    </row>
    <row r="161" customFormat="false" ht="15" hidden="false" customHeight="false" outlineLevel="0" collapsed="false">
      <c r="A161" s="38" t="n">
        <v>10</v>
      </c>
      <c r="B161" s="47" t="s">
        <v>316</v>
      </c>
      <c r="C161" s="38" t="n">
        <v>7</v>
      </c>
      <c r="D161" s="45" t="n">
        <v>0.7</v>
      </c>
      <c r="E161" s="40" t="n">
        <v>11</v>
      </c>
      <c r="F161" s="45" t="n">
        <v>0.42</v>
      </c>
      <c r="G161" s="40" t="n">
        <v>9</v>
      </c>
      <c r="H161" s="15"/>
      <c r="I161" s="15"/>
      <c r="J161" s="15"/>
      <c r="K161" s="15"/>
      <c r="L161" s="29" t="n">
        <f aca="false">D161*E161+F161*G161+H161*I161+J161*K161</f>
        <v>11.48</v>
      </c>
      <c r="M161" s="29" t="n">
        <f aca="false">Исходные!$B$12-L161</f>
        <v>0.220000000000001</v>
      </c>
      <c r="N161" s="40" t="n">
        <v>1</v>
      </c>
      <c r="O161" s="38" t="n">
        <f aca="false">(E161+G161+I161+K161)*N161</f>
        <v>20</v>
      </c>
      <c r="P161" s="48" t="n">
        <f aca="false">L161*N161</f>
        <v>11.48</v>
      </c>
      <c r="Q161" s="48" t="n">
        <f aca="false">M161*N161</f>
        <v>0.220000000000001</v>
      </c>
    </row>
    <row r="162" customFormat="false" ht="15" hidden="false" customHeight="false" outlineLevel="0" collapsed="false">
      <c r="A162" s="38" t="n">
        <v>10</v>
      </c>
      <c r="B162" s="47" t="s">
        <v>316</v>
      </c>
      <c r="C162" s="38" t="n">
        <v>8</v>
      </c>
      <c r="D162" s="45" t="n">
        <v>1.6</v>
      </c>
      <c r="E162" s="40" t="n">
        <v>3</v>
      </c>
      <c r="F162" s="45" t="n">
        <v>1.56</v>
      </c>
      <c r="G162" s="40" t="n">
        <v>4</v>
      </c>
      <c r="H162" s="45" t="n">
        <v>0.42</v>
      </c>
      <c r="I162" s="40" t="n">
        <v>1</v>
      </c>
      <c r="J162" s="15"/>
      <c r="K162" s="15"/>
      <c r="L162" s="29" t="n">
        <f aca="false">D162*E162+F162*G162+H162*I162+J162*K162</f>
        <v>11.46</v>
      </c>
      <c r="M162" s="29" t="n">
        <f aca="false">Исходные!$B$12-L162</f>
        <v>0.239999999999998</v>
      </c>
      <c r="N162" s="40" t="n">
        <v>1</v>
      </c>
      <c r="O162" s="38" t="n">
        <f aca="false">(E162+G162+I162+K162)*N162</f>
        <v>8</v>
      </c>
      <c r="P162" s="48" t="n">
        <f aca="false">L162*N162</f>
        <v>11.46</v>
      </c>
      <c r="Q162" s="48" t="n">
        <f aca="false">M162*N162</f>
        <v>0.239999999999998</v>
      </c>
    </row>
    <row r="163" customFormat="false" ht="15" hidden="false" customHeight="false" outlineLevel="0" collapsed="false">
      <c r="A163" s="38" t="n">
        <v>10</v>
      </c>
      <c r="B163" s="47" t="s">
        <v>316</v>
      </c>
      <c r="C163" s="38" t="n">
        <v>9</v>
      </c>
      <c r="D163" s="45" t="n">
        <v>1.56</v>
      </c>
      <c r="E163" s="40" t="n">
        <v>6</v>
      </c>
      <c r="F163" s="45" t="n">
        <v>1.33</v>
      </c>
      <c r="G163" s="40" t="n">
        <v>1</v>
      </c>
      <c r="H163" s="45" t="n">
        <v>0.7</v>
      </c>
      <c r="I163" s="40" t="n">
        <v>1</v>
      </c>
      <c r="J163" s="15"/>
      <c r="K163" s="15"/>
      <c r="L163" s="29" t="n">
        <f aca="false">D163*E163+F163*G163+H163*I163+J163*K163</f>
        <v>11.39</v>
      </c>
      <c r="M163" s="29" t="n">
        <f aca="false">Исходные!$B$12-L163</f>
        <v>0.310000000000001</v>
      </c>
      <c r="N163" s="40" t="n">
        <v>1</v>
      </c>
      <c r="O163" s="38" t="n">
        <f aca="false">(E163+G163+I163+K163)*N163</f>
        <v>8</v>
      </c>
      <c r="P163" s="48" t="n">
        <f aca="false">L163*N163</f>
        <v>11.39</v>
      </c>
      <c r="Q163" s="48" t="n">
        <f aca="false">M163*N163</f>
        <v>0.310000000000001</v>
      </c>
    </row>
    <row r="164" customFormat="false" ht="15" hidden="false" customHeight="false" outlineLevel="0" collapsed="false">
      <c r="A164" s="38" t="n">
        <v>10</v>
      </c>
      <c r="B164" s="47" t="s">
        <v>316</v>
      </c>
      <c r="C164" s="38" t="n">
        <v>10</v>
      </c>
      <c r="D164" s="45" t="n">
        <v>1.33</v>
      </c>
      <c r="E164" s="40" t="n">
        <v>8</v>
      </c>
      <c r="F164" s="45" t="n">
        <v>0.7</v>
      </c>
      <c r="G164" s="40" t="n">
        <v>1</v>
      </c>
      <c r="H164" s="15"/>
      <c r="I164" s="15"/>
      <c r="J164" s="15"/>
      <c r="K164" s="15"/>
      <c r="L164" s="29" t="n">
        <f aca="false">D164*E164+F164*G164+H164*I164+J164*K164</f>
        <v>11.34</v>
      </c>
      <c r="M164" s="29" t="n">
        <f aca="false">Исходные!$B$12-L164</f>
        <v>0.359999999999999</v>
      </c>
      <c r="N164" s="40" t="n">
        <v>8</v>
      </c>
      <c r="O164" s="38" t="n">
        <f aca="false">(E164+G164+I164+K164)*N164</f>
        <v>72</v>
      </c>
      <c r="P164" s="48" t="n">
        <f aca="false">L164*N164</f>
        <v>90.72</v>
      </c>
      <c r="Q164" s="48" t="n">
        <f aca="false">M164*N164</f>
        <v>2.88</v>
      </c>
    </row>
    <row r="165" customFormat="false" ht="15" hidden="false" customHeight="false" outlineLevel="0" collapsed="false">
      <c r="A165" s="38" t="n">
        <v>10</v>
      </c>
      <c r="B165" s="47" t="s">
        <v>316</v>
      </c>
      <c r="C165" s="38" t="n">
        <v>11</v>
      </c>
      <c r="D165" s="45" t="n">
        <v>0.42</v>
      </c>
      <c r="E165" s="40" t="n">
        <v>27</v>
      </c>
      <c r="F165" s="15"/>
      <c r="G165" s="15"/>
      <c r="H165" s="15"/>
      <c r="I165" s="15"/>
      <c r="J165" s="15"/>
      <c r="K165" s="15"/>
      <c r="L165" s="29" t="n">
        <f aca="false">D165*E165+F165*G165+H165*I165+J165*K165</f>
        <v>11.34</v>
      </c>
      <c r="M165" s="29" t="n">
        <f aca="false">Исходные!$B$12-L165</f>
        <v>0.359999999999999</v>
      </c>
      <c r="N165" s="40" t="n">
        <v>28</v>
      </c>
      <c r="O165" s="38" t="n">
        <f aca="false">(E165+G165+I165+K165)*N165</f>
        <v>756</v>
      </c>
      <c r="P165" s="48" t="n">
        <f aca="false">L165*N165</f>
        <v>317.52</v>
      </c>
      <c r="Q165" s="48" t="n">
        <f aca="false">M165*N165</f>
        <v>10.08</v>
      </c>
    </row>
    <row r="166" customFormat="false" ht="15" hidden="false" customHeight="false" outlineLevel="0" collapsed="false">
      <c r="A166" s="38" t="n">
        <v>10</v>
      </c>
      <c r="B166" s="47" t="s">
        <v>316</v>
      </c>
      <c r="C166" s="38" t="n">
        <v>12</v>
      </c>
      <c r="D166" s="45" t="n">
        <v>0.42</v>
      </c>
      <c r="E166" s="40" t="n">
        <v>24</v>
      </c>
      <c r="F166" s="15"/>
      <c r="G166" s="15"/>
      <c r="H166" s="15"/>
      <c r="I166" s="15"/>
      <c r="J166" s="15"/>
      <c r="K166" s="15"/>
      <c r="L166" s="29" t="n">
        <f aca="false">D166*E166+F166*G166+H166*I166+J166*K166</f>
        <v>10.08</v>
      </c>
      <c r="M166" s="29" t="n">
        <f aca="false">Исходные!$B$12-L166</f>
        <v>1.62</v>
      </c>
      <c r="N166" s="40" t="n">
        <v>1</v>
      </c>
      <c r="O166" s="38" t="n">
        <f aca="false">(E166+G166+I166+K166)*N166</f>
        <v>24</v>
      </c>
      <c r="P166" s="48" t="n">
        <f aca="false">L166*N166</f>
        <v>10.08</v>
      </c>
      <c r="Q166" s="48" t="n">
        <f aca="false">M166*N166</f>
        <v>1.62</v>
      </c>
    </row>
    <row r="167" customFormat="false" ht="15" hidden="false" customHeight="false" outlineLevel="0" collapsed="false">
      <c r="A167" s="38" t="n">
        <v>8</v>
      </c>
      <c r="B167" s="47" t="s">
        <v>316</v>
      </c>
      <c r="C167" s="38" t="n">
        <v>1</v>
      </c>
      <c r="D167" s="45" t="n">
        <v>0.53</v>
      </c>
      <c r="E167" s="40" t="n">
        <v>15</v>
      </c>
      <c r="F167" s="45" t="n">
        <v>0.22</v>
      </c>
      <c r="G167" s="40" t="n">
        <v>17</v>
      </c>
      <c r="H167" s="15"/>
      <c r="I167" s="15"/>
      <c r="J167" s="15"/>
      <c r="K167" s="15"/>
      <c r="L167" s="29" t="n">
        <f aca="false">D167*E167+F167*G167+H167*I167+J167*K167</f>
        <v>11.69</v>
      </c>
      <c r="M167" s="29" t="n">
        <f aca="false">Исходные!$B$12-L167</f>
        <v>0.00999999999999801</v>
      </c>
      <c r="N167" s="40" t="n">
        <v>1</v>
      </c>
      <c r="O167" s="38" t="n">
        <f aca="false">(E167+G167+I167+K167)*N167</f>
        <v>32</v>
      </c>
      <c r="P167" s="48" t="n">
        <f aca="false">L167*N167</f>
        <v>11.69</v>
      </c>
      <c r="Q167" s="48" t="n">
        <f aca="false">M167*N167</f>
        <v>0.00999999999999801</v>
      </c>
    </row>
    <row r="168" customFormat="false" ht="15" hidden="false" customHeight="false" outlineLevel="0" collapsed="false">
      <c r="A168" s="38" t="n">
        <v>8</v>
      </c>
      <c r="B168" s="47" t="s">
        <v>316</v>
      </c>
      <c r="C168" s="38" t="n">
        <v>2</v>
      </c>
      <c r="D168" s="45" t="n">
        <v>1.24</v>
      </c>
      <c r="E168" s="40" t="n">
        <v>9</v>
      </c>
      <c r="F168" s="45" t="n">
        <v>0.53</v>
      </c>
      <c r="G168" s="40" t="n">
        <v>1</v>
      </c>
      <c r="H168" s="15"/>
      <c r="I168" s="15"/>
      <c r="J168" s="15"/>
      <c r="K168" s="15"/>
      <c r="L168" s="29" t="n">
        <f aca="false">D168*E168+F168*G168+H168*I168+J168*K168</f>
        <v>11.69</v>
      </c>
      <c r="M168" s="29" t="n">
        <f aca="false">Исходные!$B$12-L168</f>
        <v>0.00999999999999979</v>
      </c>
      <c r="N168" s="40" t="n">
        <v>65</v>
      </c>
      <c r="O168" s="38" t="n">
        <f aca="false">(E168+G168+I168+K168)*N168</f>
        <v>650</v>
      </c>
      <c r="P168" s="48" t="n">
        <f aca="false">L168*N168</f>
        <v>759.85</v>
      </c>
      <c r="Q168" s="48" t="n">
        <f aca="false">M168*N168</f>
        <v>0.649999999999986</v>
      </c>
    </row>
    <row r="169" customFormat="false" ht="15" hidden="false" customHeight="false" outlineLevel="0" collapsed="false">
      <c r="A169" s="38" t="n">
        <v>8</v>
      </c>
      <c r="B169" s="47" t="s">
        <v>316</v>
      </c>
      <c r="C169" s="38" t="n">
        <v>3</v>
      </c>
      <c r="D169" s="45" t="n">
        <v>0.75</v>
      </c>
      <c r="E169" s="40" t="n">
        <v>15</v>
      </c>
      <c r="F169" s="45" t="n">
        <v>0.22</v>
      </c>
      <c r="G169" s="40" t="n">
        <v>2</v>
      </c>
      <c r="H169" s="15"/>
      <c r="I169" s="15"/>
      <c r="J169" s="15"/>
      <c r="K169" s="15"/>
      <c r="L169" s="29" t="n">
        <f aca="false">D169*E169+F169*G169+H169*I169+J169*K169</f>
        <v>11.69</v>
      </c>
      <c r="M169" s="29" t="n">
        <f aca="false">Исходные!$B$12-L169</f>
        <v>0.00999999999999979</v>
      </c>
      <c r="N169" s="40" t="n">
        <v>49</v>
      </c>
      <c r="O169" s="38" t="n">
        <f aca="false">(E169+G169+I169+K169)*N169</f>
        <v>833</v>
      </c>
      <c r="P169" s="48" t="n">
        <f aca="false">L169*N169</f>
        <v>572.81</v>
      </c>
      <c r="Q169" s="48" t="n">
        <f aca="false">M169*N169</f>
        <v>0.48999999999999</v>
      </c>
    </row>
    <row r="170" customFormat="false" ht="15" hidden="false" customHeight="false" outlineLevel="0" collapsed="false">
      <c r="A170" s="38" t="n">
        <v>8</v>
      </c>
      <c r="B170" s="47" t="s">
        <v>316</v>
      </c>
      <c r="C170" s="38" t="n">
        <v>4</v>
      </c>
      <c r="D170" s="45" t="n">
        <v>1.96</v>
      </c>
      <c r="E170" s="40" t="n">
        <v>5</v>
      </c>
      <c r="F170" s="45" t="n">
        <v>1.44</v>
      </c>
      <c r="G170" s="40" t="n">
        <v>1</v>
      </c>
      <c r="H170" s="45" t="n">
        <v>0.22</v>
      </c>
      <c r="I170" s="40" t="n">
        <v>2</v>
      </c>
      <c r="J170" s="15"/>
      <c r="K170" s="15"/>
      <c r="L170" s="29" t="n">
        <f aca="false">D170*E170+F170*G170+H170*I170+J170*K170</f>
        <v>11.68</v>
      </c>
      <c r="M170" s="29" t="n">
        <f aca="false">Исходные!$B$12-L170</f>
        <v>0.0199999999999996</v>
      </c>
      <c r="N170" s="40" t="n">
        <v>44</v>
      </c>
      <c r="O170" s="38" t="n">
        <f aca="false">(E170+G170+I170+K170)*N170</f>
        <v>352</v>
      </c>
      <c r="P170" s="48" t="n">
        <f aca="false">L170*N170</f>
        <v>513.92</v>
      </c>
      <c r="Q170" s="48" t="n">
        <f aca="false">M170*N170</f>
        <v>0.879999999999981</v>
      </c>
    </row>
    <row r="171" customFormat="false" ht="15" hidden="false" customHeight="false" outlineLevel="0" collapsed="false">
      <c r="A171" s="38" t="n">
        <v>8</v>
      </c>
      <c r="B171" s="47" t="s">
        <v>316</v>
      </c>
      <c r="C171" s="38" t="n">
        <v>5</v>
      </c>
      <c r="D171" s="45" t="n">
        <v>0.75</v>
      </c>
      <c r="E171" s="40" t="n">
        <v>6</v>
      </c>
      <c r="F171" s="45" t="n">
        <v>0.58</v>
      </c>
      <c r="G171" s="40" t="n">
        <v>12</v>
      </c>
      <c r="H171" s="45" t="n">
        <v>0.22</v>
      </c>
      <c r="I171" s="40" t="n">
        <v>1</v>
      </c>
      <c r="J171" s="15"/>
      <c r="K171" s="15"/>
      <c r="L171" s="29" t="n">
        <f aca="false">D171*E171+F171*G171+H171*I171+J171*K171</f>
        <v>11.68</v>
      </c>
      <c r="M171" s="29" t="n">
        <f aca="false">Исходные!$B$12-L171</f>
        <v>0.0199999999999996</v>
      </c>
      <c r="N171" s="40" t="n">
        <v>1</v>
      </c>
      <c r="O171" s="38" t="n">
        <f aca="false">(E171+G171+I171+K171)*N171</f>
        <v>19</v>
      </c>
      <c r="P171" s="48" t="n">
        <f aca="false">L171*N171</f>
        <v>11.68</v>
      </c>
      <c r="Q171" s="48" t="n">
        <f aca="false">M171*N171</f>
        <v>0.0199999999999996</v>
      </c>
    </row>
    <row r="172" customFormat="false" ht="15" hidden="false" customHeight="false" outlineLevel="0" collapsed="false">
      <c r="A172" s="38" t="n">
        <v>8</v>
      </c>
      <c r="B172" s="47" t="s">
        <v>316</v>
      </c>
      <c r="C172" s="38" t="n">
        <v>6</v>
      </c>
      <c r="D172" s="45" t="n">
        <v>1.04</v>
      </c>
      <c r="E172" s="40" t="n">
        <v>11</v>
      </c>
      <c r="F172" s="45" t="n">
        <v>0.22</v>
      </c>
      <c r="G172" s="40" t="n">
        <v>1</v>
      </c>
      <c r="H172" s="15"/>
      <c r="I172" s="15"/>
      <c r="J172" s="15"/>
      <c r="K172" s="15"/>
      <c r="L172" s="29" t="n">
        <f aca="false">D172*E172+F172*G172+H172*I172+J172*K172</f>
        <v>11.66</v>
      </c>
      <c r="M172" s="29" t="n">
        <f aca="false">Исходные!$B$12-L172</f>
        <v>0.0399999999999974</v>
      </c>
      <c r="N172" s="40" t="n">
        <v>7</v>
      </c>
      <c r="O172" s="38" t="n">
        <f aca="false">(E172+G172+I172+K172)*N172</f>
        <v>84</v>
      </c>
      <c r="P172" s="48" t="n">
        <f aca="false">L172*N172</f>
        <v>81.62</v>
      </c>
      <c r="Q172" s="48" t="n">
        <f aca="false">M172*N172</f>
        <v>0.279999999999982</v>
      </c>
    </row>
    <row r="173" customFormat="false" ht="15" hidden="false" customHeight="false" outlineLevel="0" collapsed="false">
      <c r="A173" s="38" t="n">
        <v>8</v>
      </c>
      <c r="B173" s="47" t="s">
        <v>316</v>
      </c>
      <c r="C173" s="38" t="n">
        <v>7</v>
      </c>
      <c r="D173" s="45" t="n">
        <v>0.53</v>
      </c>
      <c r="E173" s="40" t="n">
        <v>22</v>
      </c>
      <c r="F173" s="15"/>
      <c r="G173" s="15"/>
      <c r="H173" s="15"/>
      <c r="I173" s="15"/>
      <c r="J173" s="15"/>
      <c r="K173" s="15"/>
      <c r="L173" s="29" t="n">
        <f aca="false">D173*E173+F173*G173+H173*I173+J173*K173</f>
        <v>11.66</v>
      </c>
      <c r="M173" s="29" t="n">
        <f aca="false">Исходные!$B$12-L173</f>
        <v>0.0399999999999992</v>
      </c>
      <c r="N173" s="40" t="n">
        <v>11</v>
      </c>
      <c r="O173" s="38" t="n">
        <f aca="false">(E173+G173+I173+K173)*N173</f>
        <v>242</v>
      </c>
      <c r="P173" s="48" t="n">
        <f aca="false">L173*N173</f>
        <v>128.26</v>
      </c>
      <c r="Q173" s="48" t="n">
        <f aca="false">M173*N173</f>
        <v>0.439999999999991</v>
      </c>
    </row>
    <row r="174" customFormat="false" ht="15" hidden="false" customHeight="false" outlineLevel="0" collapsed="false">
      <c r="A174" s="38" t="n">
        <v>8</v>
      </c>
      <c r="B174" s="47" t="s">
        <v>316</v>
      </c>
      <c r="C174" s="38" t="n">
        <v>8</v>
      </c>
      <c r="D174" s="45" t="n">
        <v>0.22</v>
      </c>
      <c r="E174" s="40" t="n">
        <v>53</v>
      </c>
      <c r="F174" s="15"/>
      <c r="G174" s="15"/>
      <c r="H174" s="15"/>
      <c r="I174" s="15"/>
      <c r="J174" s="15"/>
      <c r="K174" s="15"/>
      <c r="L174" s="29" t="n">
        <f aca="false">D174*E174+F174*G174+H174*I174+J174*K174</f>
        <v>11.66</v>
      </c>
      <c r="M174" s="29" t="n">
        <f aca="false">Исходные!$B$12-L174</f>
        <v>0.0399999999999992</v>
      </c>
      <c r="N174" s="40" t="n">
        <v>11</v>
      </c>
      <c r="O174" s="38" t="n">
        <f aca="false">(E174+G174+I174+K174)*N174</f>
        <v>583</v>
      </c>
      <c r="P174" s="48" t="n">
        <f aca="false">L174*N174</f>
        <v>128.26</v>
      </c>
      <c r="Q174" s="48" t="n">
        <f aca="false">M174*N174</f>
        <v>0.439999999999991</v>
      </c>
    </row>
    <row r="175" customFormat="false" ht="15" hidden="false" customHeight="false" outlineLevel="0" collapsed="false">
      <c r="A175" s="38" t="n">
        <v>8</v>
      </c>
      <c r="B175" s="47" t="s">
        <v>316</v>
      </c>
      <c r="C175" s="38" t="n">
        <v>9</v>
      </c>
      <c r="D175" s="45" t="n">
        <v>1.24</v>
      </c>
      <c r="E175" s="40" t="n">
        <v>8</v>
      </c>
      <c r="F175" s="45" t="n">
        <v>1.14</v>
      </c>
      <c r="G175" s="40" t="n">
        <v>1</v>
      </c>
      <c r="H175" s="45" t="n">
        <v>0.58</v>
      </c>
      <c r="I175" s="40" t="n">
        <v>1</v>
      </c>
      <c r="J175" s="15"/>
      <c r="K175" s="15"/>
      <c r="L175" s="29" t="n">
        <f aca="false">D175*E175+F175*G175+H175*I175+J175*K175</f>
        <v>11.64</v>
      </c>
      <c r="M175" s="29" t="n">
        <f aca="false">Исходные!$B$12-L175</f>
        <v>0.0599999999999987</v>
      </c>
      <c r="N175" s="40" t="n">
        <v>1</v>
      </c>
      <c r="O175" s="38" t="n">
        <f aca="false">(E175+G175+I175+K175)*N175</f>
        <v>10</v>
      </c>
      <c r="P175" s="48" t="n">
        <f aca="false">L175*N175</f>
        <v>11.64</v>
      </c>
      <c r="Q175" s="48" t="n">
        <f aca="false">M175*N175</f>
        <v>0.0599999999999987</v>
      </c>
    </row>
    <row r="176" customFormat="false" ht="15" hidden="false" customHeight="false" outlineLevel="0" collapsed="false">
      <c r="A176" s="38" t="n">
        <v>8</v>
      </c>
      <c r="B176" s="47" t="s">
        <v>316</v>
      </c>
      <c r="C176" s="38" t="n">
        <v>10</v>
      </c>
      <c r="D176" s="45" t="n">
        <v>1.96</v>
      </c>
      <c r="E176" s="40" t="n">
        <v>5</v>
      </c>
      <c r="F176" s="45" t="n">
        <v>1.24</v>
      </c>
      <c r="G176" s="40" t="n">
        <v>1</v>
      </c>
      <c r="H176" s="45" t="n">
        <v>0.58</v>
      </c>
      <c r="I176" s="40" t="n">
        <v>1</v>
      </c>
      <c r="J176" s="15"/>
      <c r="K176" s="15"/>
      <c r="L176" s="29" t="n">
        <f aca="false">D176*E176+F176*G176+H176*I176+J176*K176</f>
        <v>11.62</v>
      </c>
      <c r="M176" s="29" t="n">
        <f aca="false">Исходные!$B$12-L176</f>
        <v>0.0799999999999983</v>
      </c>
      <c r="N176" s="40" t="n">
        <v>64</v>
      </c>
      <c r="O176" s="38" t="n">
        <f aca="false">(E176+G176+I176+K176)*N176</f>
        <v>448</v>
      </c>
      <c r="P176" s="48" t="n">
        <f aca="false">L176*N176</f>
        <v>743.68</v>
      </c>
      <c r="Q176" s="48" t="n">
        <f aca="false">M176*N176</f>
        <v>5.11999999999989</v>
      </c>
    </row>
    <row r="177" customFormat="false" ht="15" hidden="false" customHeight="false" outlineLevel="0" collapsed="false">
      <c r="A177" s="38" t="n">
        <v>8</v>
      </c>
      <c r="B177" s="47" t="s">
        <v>316</v>
      </c>
      <c r="C177" s="38" t="n">
        <v>11</v>
      </c>
      <c r="D177" s="45" t="n">
        <v>1.14</v>
      </c>
      <c r="E177" s="40" t="n">
        <v>10</v>
      </c>
      <c r="F177" s="45" t="n">
        <v>0.22</v>
      </c>
      <c r="G177" s="40" t="n">
        <v>1</v>
      </c>
      <c r="H177" s="15"/>
      <c r="I177" s="15"/>
      <c r="J177" s="15"/>
      <c r="K177" s="15"/>
      <c r="L177" s="29" t="n">
        <f aca="false">D177*E177+F177*G177+H177*I177+J177*K177</f>
        <v>11.62</v>
      </c>
      <c r="M177" s="29" t="n">
        <f aca="false">Исходные!$B$12-L177</f>
        <v>0.0800000000000001</v>
      </c>
      <c r="N177" s="40" t="n">
        <v>27</v>
      </c>
      <c r="O177" s="38" t="n">
        <f aca="false">(E177+G177+I177+K177)*N177</f>
        <v>297</v>
      </c>
      <c r="P177" s="48" t="n">
        <f aca="false">L177*N177</f>
        <v>313.74</v>
      </c>
      <c r="Q177" s="48" t="n">
        <f aca="false">M177*N177</f>
        <v>2.16</v>
      </c>
    </row>
    <row r="178" customFormat="false" ht="15" hidden="false" customHeight="false" outlineLevel="0" collapsed="false">
      <c r="A178" s="38" t="n">
        <v>8</v>
      </c>
      <c r="B178" s="47" t="s">
        <v>316</v>
      </c>
      <c r="C178" s="38" t="n">
        <v>12</v>
      </c>
      <c r="D178" s="45" t="n">
        <v>0.58</v>
      </c>
      <c r="E178" s="40" t="n">
        <v>20</v>
      </c>
      <c r="F178" s="15"/>
      <c r="G178" s="15"/>
      <c r="H178" s="15"/>
      <c r="I178" s="15"/>
      <c r="J178" s="15"/>
      <c r="K178" s="15"/>
      <c r="L178" s="29" t="n">
        <f aca="false">D178*E178+F178*G178+H178*I178+J178*K178</f>
        <v>11.6</v>
      </c>
      <c r="M178" s="29" t="n">
        <f aca="false">Исходные!$B$12-L178</f>
        <v>0.0999999999999996</v>
      </c>
      <c r="N178" s="40" t="n">
        <v>17</v>
      </c>
      <c r="O178" s="38" t="n">
        <f aca="false">(E178+G178+I178+K178)*N178</f>
        <v>340</v>
      </c>
      <c r="P178" s="48" t="n">
        <f aca="false">L178*N178</f>
        <v>197.2</v>
      </c>
      <c r="Q178" s="48" t="n">
        <f aca="false">M178*N178</f>
        <v>1.69999999999999</v>
      </c>
    </row>
    <row r="179" customFormat="false" ht="15" hidden="false" customHeight="false" outlineLevel="0" collapsed="false">
      <c r="A179" s="38" t="n">
        <v>8</v>
      </c>
      <c r="B179" s="47" t="s">
        <v>316</v>
      </c>
      <c r="C179" s="38" t="n">
        <v>13</v>
      </c>
      <c r="D179" s="45" t="n">
        <v>2.44</v>
      </c>
      <c r="E179" s="40" t="n">
        <v>4</v>
      </c>
      <c r="F179" s="45" t="n">
        <v>1.24</v>
      </c>
      <c r="G179" s="40" t="n">
        <v>1</v>
      </c>
      <c r="H179" s="45" t="n">
        <v>0.58</v>
      </c>
      <c r="I179" s="40" t="n">
        <v>1</v>
      </c>
      <c r="J179" s="15"/>
      <c r="K179" s="15"/>
      <c r="L179" s="29" t="n">
        <f aca="false">D179*E179+F179*G179+H179*I179+J179*K179</f>
        <v>11.58</v>
      </c>
      <c r="M179" s="29" t="n">
        <f aca="false">Исходные!$B$12-L179</f>
        <v>0.119999999999999</v>
      </c>
      <c r="N179" s="40" t="n">
        <v>150</v>
      </c>
      <c r="O179" s="38" t="n">
        <f aca="false">(E179+G179+I179+K179)*N179</f>
        <v>900</v>
      </c>
      <c r="P179" s="48" t="n">
        <f aca="false">L179*N179</f>
        <v>1737</v>
      </c>
      <c r="Q179" s="48" t="n">
        <f aca="false">M179*N179</f>
        <v>17.9999999999999</v>
      </c>
    </row>
    <row r="180" customFormat="false" ht="15" hidden="false" customHeight="false" outlineLevel="0" collapsed="false">
      <c r="A180" s="38" t="n">
        <v>8</v>
      </c>
      <c r="B180" s="47" t="s">
        <v>316</v>
      </c>
      <c r="C180" s="38" t="n">
        <v>14</v>
      </c>
      <c r="D180" s="45" t="n">
        <v>1.96</v>
      </c>
      <c r="E180" s="40" t="n">
        <v>5</v>
      </c>
      <c r="F180" s="45" t="n">
        <v>1.76</v>
      </c>
      <c r="G180" s="40" t="n">
        <v>1</v>
      </c>
      <c r="H180" s="15"/>
      <c r="I180" s="15"/>
      <c r="J180" s="15"/>
      <c r="K180" s="15"/>
      <c r="L180" s="29" t="n">
        <f aca="false">D180*E180+F180*G180+H180*I180+J180*K180</f>
        <v>11.56</v>
      </c>
      <c r="M180" s="29" t="n">
        <f aca="false">Исходные!$B$12-L180</f>
        <v>0.139999999999999</v>
      </c>
      <c r="N180" s="40" t="n">
        <v>36</v>
      </c>
      <c r="O180" s="38" t="n">
        <f aca="false">(E180+G180+I180+K180)*N180</f>
        <v>216</v>
      </c>
      <c r="P180" s="48" t="n">
        <f aca="false">L180*N180</f>
        <v>416.16</v>
      </c>
      <c r="Q180" s="48" t="n">
        <f aca="false">M180*N180</f>
        <v>5.03999999999996</v>
      </c>
    </row>
    <row r="181" customFormat="false" ht="15" hidden="false" customHeight="false" outlineLevel="0" collapsed="false">
      <c r="A181" s="38" t="n">
        <v>8</v>
      </c>
      <c r="B181" s="47" t="s">
        <v>316</v>
      </c>
      <c r="C181" s="38" t="n">
        <v>15</v>
      </c>
      <c r="D181" s="45" t="n">
        <v>2.06</v>
      </c>
      <c r="E181" s="40" t="n">
        <v>5</v>
      </c>
      <c r="F181" s="45" t="n">
        <v>1.24</v>
      </c>
      <c r="G181" s="40" t="n">
        <v>1</v>
      </c>
      <c r="H181" s="15"/>
      <c r="I181" s="15"/>
      <c r="J181" s="15"/>
      <c r="K181" s="15"/>
      <c r="L181" s="29" t="n">
        <f aca="false">D181*E181+F181*G181+H181*I181+J181*K181</f>
        <v>11.54</v>
      </c>
      <c r="M181" s="29" t="n">
        <f aca="false">Исходные!$B$12-L181</f>
        <v>0.159999999999998</v>
      </c>
      <c r="N181" s="40" t="n">
        <v>162</v>
      </c>
      <c r="O181" s="38" t="n">
        <f aca="false">(E181+G181+I181+K181)*N181</f>
        <v>972</v>
      </c>
      <c r="P181" s="48" t="n">
        <f aca="false">L181*N181</f>
        <v>1869.48</v>
      </c>
      <c r="Q181" s="48" t="n">
        <f aca="false">M181*N181</f>
        <v>25.9199999999997</v>
      </c>
    </row>
    <row r="182" customFormat="false" ht="15" hidden="false" customHeight="false" outlineLevel="0" collapsed="false">
      <c r="A182" s="38" t="n">
        <v>8</v>
      </c>
      <c r="B182" s="47" t="s">
        <v>316</v>
      </c>
      <c r="C182" s="38" t="n">
        <v>16</v>
      </c>
      <c r="D182" s="45" t="n">
        <v>1.14</v>
      </c>
      <c r="E182" s="40" t="n">
        <v>1</v>
      </c>
      <c r="F182" s="45" t="n">
        <v>1.04</v>
      </c>
      <c r="G182" s="40" t="n">
        <v>10</v>
      </c>
      <c r="H182" s="15"/>
      <c r="I182" s="15"/>
      <c r="J182" s="15"/>
      <c r="K182" s="15"/>
      <c r="L182" s="29" t="n">
        <f aca="false">D182*E182+F182*G182+H182*I182+J182*K182</f>
        <v>11.54</v>
      </c>
      <c r="M182" s="29" t="n">
        <f aca="false">Исходные!$B$12-L182</f>
        <v>0.159999999999998</v>
      </c>
      <c r="N182" s="40" t="n">
        <v>1</v>
      </c>
      <c r="O182" s="38" t="n">
        <f aca="false">(E182+G182+I182+K182)*N182</f>
        <v>11</v>
      </c>
      <c r="P182" s="48" t="n">
        <f aca="false">L182*N182</f>
        <v>11.54</v>
      </c>
      <c r="Q182" s="48" t="n">
        <f aca="false">M182*N182</f>
        <v>0.159999999999998</v>
      </c>
    </row>
    <row r="183" customFormat="false" ht="15" hidden="false" customHeight="false" outlineLevel="0" collapsed="false">
      <c r="A183" s="38" t="n">
        <v>8</v>
      </c>
      <c r="B183" s="47" t="s">
        <v>316</v>
      </c>
      <c r="C183" s="38" t="n">
        <v>17</v>
      </c>
      <c r="D183" s="45" t="n">
        <v>1.04</v>
      </c>
      <c r="E183" s="40" t="n">
        <v>1</v>
      </c>
      <c r="F183" s="45" t="n">
        <v>0.75</v>
      </c>
      <c r="G183" s="40" t="n">
        <v>14</v>
      </c>
      <c r="H183" s="15"/>
      <c r="I183" s="15"/>
      <c r="J183" s="15"/>
      <c r="K183" s="15"/>
      <c r="L183" s="29" t="n">
        <f aca="false">D183*E183+F183*G183+H183*I183+J183*K183</f>
        <v>11.54</v>
      </c>
      <c r="M183" s="29" t="n">
        <f aca="false">Исходные!$B$12-L183</f>
        <v>0.16</v>
      </c>
      <c r="N183" s="40" t="n">
        <v>1</v>
      </c>
      <c r="O183" s="38" t="n">
        <f aca="false">(E183+G183+I183+K183)*N183</f>
        <v>15</v>
      </c>
      <c r="P183" s="48" t="n">
        <f aca="false">L183*N183</f>
        <v>11.54</v>
      </c>
      <c r="Q183" s="48" t="n">
        <f aca="false">M183*N183</f>
        <v>0.16</v>
      </c>
    </row>
    <row r="184" customFormat="false" ht="15" hidden="false" customHeight="false" outlineLevel="0" collapsed="false">
      <c r="A184" s="38" t="n">
        <v>8</v>
      </c>
      <c r="B184" s="47" t="s">
        <v>316</v>
      </c>
      <c r="C184" s="38" t="n">
        <v>18</v>
      </c>
      <c r="D184" s="45" t="n">
        <v>0.58</v>
      </c>
      <c r="E184" s="40" t="n">
        <v>18</v>
      </c>
      <c r="F184" s="45" t="n">
        <v>0.53</v>
      </c>
      <c r="G184" s="40" t="n">
        <v>2</v>
      </c>
      <c r="H184" s="15"/>
      <c r="I184" s="15"/>
      <c r="J184" s="15"/>
      <c r="K184" s="15"/>
      <c r="L184" s="29" t="n">
        <f aca="false">D184*E184+F184*G184+H184*I184+J184*K184</f>
        <v>11.5</v>
      </c>
      <c r="M184" s="29" t="n">
        <f aca="false">Исходные!$B$12-L184</f>
        <v>0.199999999999999</v>
      </c>
      <c r="N184" s="40" t="n">
        <v>1</v>
      </c>
      <c r="O184" s="38" t="n">
        <f aca="false">(E184+G184+I184+K184)*N184</f>
        <v>20</v>
      </c>
      <c r="P184" s="48" t="n">
        <f aca="false">L184*N184</f>
        <v>11.5</v>
      </c>
      <c r="Q184" s="48" t="n">
        <f aca="false">M184*N184</f>
        <v>0.199999999999999</v>
      </c>
    </row>
    <row r="185" customFormat="false" ht="15" hidden="false" customHeight="false" outlineLevel="0" collapsed="false">
      <c r="A185" s="38" t="n">
        <v>8</v>
      </c>
      <c r="B185" s="47" t="s">
        <v>316</v>
      </c>
      <c r="C185" s="38" t="n">
        <v>19</v>
      </c>
      <c r="D185" s="45" t="n">
        <v>0.22</v>
      </c>
      <c r="E185" s="40" t="n">
        <v>26</v>
      </c>
      <c r="F185" s="15"/>
      <c r="G185" s="15"/>
      <c r="H185" s="15"/>
      <c r="I185" s="15"/>
      <c r="J185" s="15"/>
      <c r="K185" s="15"/>
      <c r="L185" s="29" t="n">
        <f aca="false">D185*E185+F185*G185+H185*I185+J185*K185</f>
        <v>5.72</v>
      </c>
      <c r="M185" s="29" t="n">
        <f aca="false">Исходные!$B$12-L185</f>
        <v>5.98</v>
      </c>
      <c r="N185" s="40" t="n">
        <v>1</v>
      </c>
      <c r="O185" s="38" t="n">
        <f aca="false">(E185+G185+I185+K185)*N185</f>
        <v>26</v>
      </c>
      <c r="P185" s="48" t="n">
        <f aca="false">L185*N185</f>
        <v>5.72</v>
      </c>
      <c r="Q185" s="48" t="n">
        <f aca="false">M185*N185</f>
        <v>5.98</v>
      </c>
    </row>
    <row r="187" customFormat="false" ht="15" hidden="false" customHeight="false" outlineLevel="0" collapsed="false">
      <c r="A187" s="22" t="s">
        <v>889</v>
      </c>
    </row>
    <row r="188" customFormat="false" ht="42" hidden="false" customHeight="true" outlineLevel="0" collapsed="false">
      <c r="A188" s="4" t="s">
        <v>263</v>
      </c>
      <c r="B188" s="4" t="s">
        <v>264</v>
      </c>
      <c r="C188" s="4" t="s">
        <v>890</v>
      </c>
      <c r="D188" s="4" t="s">
        <v>891</v>
      </c>
      <c r="E188" s="4" t="s">
        <v>892</v>
      </c>
      <c r="F188" s="4" t="s">
        <v>11</v>
      </c>
      <c r="G188" s="4" t="s">
        <v>893</v>
      </c>
      <c r="H188" s="4" t="s">
        <v>178</v>
      </c>
      <c r="I188" s="4" t="s">
        <v>12</v>
      </c>
      <c r="J188" s="4" t="s">
        <v>894</v>
      </c>
      <c r="K188" s="4" t="s">
        <v>895</v>
      </c>
      <c r="L188" s="4" t="s">
        <v>13</v>
      </c>
    </row>
    <row r="189" customFormat="false" ht="15" hidden="false" customHeight="false" outlineLevel="0" collapsed="false">
      <c r="A189" s="38" t="n">
        <v>32</v>
      </c>
      <c r="B189" s="47" t="s">
        <v>282</v>
      </c>
      <c r="C189" s="48" t="n">
        <f aca="false">SUMIFS(Ведомость!$N$5:$N$397,Ведомость!$H$5:$H$397,A189,Ведомость!$I$5:$I$397,B189)</f>
        <v>421.9</v>
      </c>
      <c r="D189" s="48" t="n">
        <f aca="false">SUMIFS('Раскрой 11,7м'!$P$5:$P$185,'Раскрой 11,7м'!$A$5:$A$185,A189,'Раскрой 11,7м'!$B$5:$B$185,B189)</f>
        <v>421.9</v>
      </c>
      <c r="E189" s="48" t="n">
        <f aca="false">ROUND(C189-D189,2)</f>
        <v>0</v>
      </c>
      <c r="F189" s="55" t="n">
        <f aca="false">SUMIFS('Раскрой 11,7м'!$N$5:$N$185,'Раскрой 11,7м'!$A$5:$A$185,A189,'Раскрой 11,7м'!$B$5:$B$185,B189)</f>
        <v>44</v>
      </c>
      <c r="G189" s="49" t="n">
        <f aca="false">F189*Исходные!$B$12</f>
        <v>514.8</v>
      </c>
      <c r="H189" s="29" t="n">
        <f aca="false">IFERROR(INDEX(Исходные!$B$18:$B$29,MATCH(A189,Исходные!$A$18:$A$29,0)),0)</f>
        <v>6.313</v>
      </c>
      <c r="I189" s="16" t="n">
        <f aca="false">G189*H189</f>
        <v>3249.9324</v>
      </c>
      <c r="J189" s="49" t="n">
        <f aca="false">SUMIFS(Ведомость!$P$5:$P$397,Ведомость!$H$5:$H$397,A189,Ведомость!$I$5:$I$397,B189)</f>
        <v>2663.4547</v>
      </c>
      <c r="K189" s="49" t="n">
        <f aca="false">I189-J189</f>
        <v>586.4777</v>
      </c>
      <c r="L189" s="56" t="n">
        <f aca="false">IF(I189&gt;0,K189/I189,0)</f>
        <v>0.18045843045843</v>
      </c>
    </row>
    <row r="190" customFormat="false" ht="15" hidden="false" customHeight="false" outlineLevel="0" collapsed="false">
      <c r="A190" s="38" t="n">
        <v>28</v>
      </c>
      <c r="B190" s="47" t="s">
        <v>282</v>
      </c>
      <c r="C190" s="48" t="n">
        <f aca="false">SUMIFS(Ведомость!$N$5:$N$397,Ведомость!$H$5:$H$397,A190,Ведомость!$I$5:$I$397,B190)</f>
        <v>1370.1</v>
      </c>
      <c r="D190" s="48" t="n">
        <f aca="false">SUMIFS('Раскрой 11,7м'!$P$5:$P$185,'Раскрой 11,7м'!$A$5:$A$185,A190,'Раскрой 11,7м'!$B$5:$B$185,B190)</f>
        <v>1370.1</v>
      </c>
      <c r="E190" s="48" t="n">
        <f aca="false">ROUND(C190-D190,2)</f>
        <v>0</v>
      </c>
      <c r="F190" s="55" t="n">
        <f aca="false">SUMIFS('Раскрой 11,7м'!$N$5:$N$185,'Раскрой 11,7м'!$A$5:$A$185,A190,'Раскрой 11,7м'!$B$5:$B$185,B190)</f>
        <v>132</v>
      </c>
      <c r="G190" s="49" t="n">
        <f aca="false">F190*Исходные!$B$12</f>
        <v>1544.4</v>
      </c>
      <c r="H190" s="29" t="n">
        <f aca="false">IFERROR(INDEX(Исходные!$B$18:$B$29,MATCH(A190,Исходные!$A$18:$A$29,0)),0)</f>
        <v>4.834</v>
      </c>
      <c r="I190" s="16" t="n">
        <f aca="false">G190*H190</f>
        <v>7465.6296</v>
      </c>
      <c r="J190" s="49" t="n">
        <f aca="false">SUMIFS(Ведомость!$P$5:$P$397,Ведомость!$H$5:$H$397,A190,Ведомость!$I$5:$I$397,B190)</f>
        <v>6623.0634</v>
      </c>
      <c r="K190" s="49" t="n">
        <f aca="false">I190-J190</f>
        <v>842.566199999999</v>
      </c>
      <c r="L190" s="56" t="n">
        <f aca="false">IF(I190&gt;0,K190/I190,0)</f>
        <v>0.112859362859363</v>
      </c>
    </row>
    <row r="191" customFormat="false" ht="15" hidden="false" customHeight="false" outlineLevel="0" collapsed="false">
      <c r="A191" s="38" t="n">
        <v>25</v>
      </c>
      <c r="B191" s="47" t="s">
        <v>282</v>
      </c>
      <c r="C191" s="48" t="n">
        <f aca="false">SUMIFS(Ведомость!$N$5:$N$397,Ведомость!$H$5:$H$397,A191,Ведомость!$I$5:$I$397,B191)</f>
        <v>900.6</v>
      </c>
      <c r="D191" s="48" t="n">
        <f aca="false">SUMIFS('Раскрой 11,7м'!$P$5:$P$185,'Раскрой 11,7м'!$A$5:$A$185,A191,'Раскрой 11,7м'!$B$5:$B$185,B191)</f>
        <v>900.6</v>
      </c>
      <c r="E191" s="48" t="n">
        <f aca="false">ROUND(C191-D191,2)</f>
        <v>0</v>
      </c>
      <c r="F191" s="55" t="n">
        <f aca="false">SUMIFS('Раскрой 11,7м'!$N$5:$N$185,'Раскрой 11,7м'!$A$5:$A$185,A191,'Раскрой 11,7м'!$B$5:$B$185,B191)</f>
        <v>81</v>
      </c>
      <c r="G191" s="49" t="n">
        <f aca="false">F191*Исходные!$B$12</f>
        <v>947.7</v>
      </c>
      <c r="H191" s="29" t="n">
        <f aca="false">IFERROR(INDEX(Исходные!$B$18:$B$29,MATCH(A191,Исходные!$A$18:$A$29,0)),0)</f>
        <v>3.853</v>
      </c>
      <c r="I191" s="16" t="n">
        <f aca="false">G191*H191</f>
        <v>3651.4881</v>
      </c>
      <c r="J191" s="49" t="n">
        <f aca="false">SUMIFS(Ведомость!$P$5:$P$397,Ведомость!$H$5:$H$397,A191,Ведомость!$I$5:$I$397,B191)</f>
        <v>3470.0118</v>
      </c>
      <c r="K191" s="49" t="n">
        <f aca="false">I191-J191</f>
        <v>181.4763</v>
      </c>
      <c r="L191" s="56" t="n">
        <f aca="false">IF(I191&gt;0,K191/I191,0)</f>
        <v>0.0496992719214941</v>
      </c>
    </row>
    <row r="192" customFormat="false" ht="15" hidden="false" customHeight="false" outlineLevel="0" collapsed="false">
      <c r="A192" s="38" t="n">
        <v>22</v>
      </c>
      <c r="B192" s="47" t="s">
        <v>282</v>
      </c>
      <c r="C192" s="48" t="n">
        <f aca="false">SUMIFS(Ведомость!$N$5:$N$397,Ведомость!$H$5:$H$397,A192,Ведомость!$I$5:$I$397,B192)</f>
        <v>373.1</v>
      </c>
      <c r="D192" s="48" t="n">
        <f aca="false">SUMIFS('Раскрой 11,7м'!$P$5:$P$185,'Раскрой 11,7м'!$A$5:$A$185,A192,'Раскрой 11,7м'!$B$5:$B$185,B192)</f>
        <v>373.1</v>
      </c>
      <c r="E192" s="48" t="n">
        <f aca="false">ROUND(C192-D192,2)</f>
        <v>0</v>
      </c>
      <c r="F192" s="55" t="n">
        <f aca="false">SUMIFS('Раскрой 11,7м'!$N$5:$N$185,'Раскрой 11,7м'!$A$5:$A$185,A192,'Раскрой 11,7м'!$B$5:$B$185,B192)</f>
        <v>35</v>
      </c>
      <c r="G192" s="49" t="n">
        <f aca="false">F192*Исходные!$B$12</f>
        <v>409.5</v>
      </c>
      <c r="H192" s="29" t="n">
        <f aca="false">IFERROR(INDEX(Исходные!$B$18:$B$29,MATCH(A192,Исходные!$A$18:$A$29,0)),0)</f>
        <v>2.984</v>
      </c>
      <c r="I192" s="16" t="n">
        <f aca="false">G192*H192</f>
        <v>1221.948</v>
      </c>
      <c r="J192" s="49" t="n">
        <f aca="false">SUMIFS(Ведомость!$P$5:$P$397,Ведомость!$H$5:$H$397,A192,Ведомость!$I$5:$I$397,B192)</f>
        <v>1113.3304</v>
      </c>
      <c r="K192" s="49" t="n">
        <f aca="false">I192-J192</f>
        <v>108.6176</v>
      </c>
      <c r="L192" s="56" t="n">
        <f aca="false">IF(I192&gt;0,K192/I192,0)</f>
        <v>0.0888888888888889</v>
      </c>
    </row>
    <row r="193" customFormat="false" ht="15" hidden="false" customHeight="false" outlineLevel="0" collapsed="false">
      <c r="A193" s="38" t="n">
        <v>20</v>
      </c>
      <c r="B193" s="47" t="s">
        <v>282</v>
      </c>
      <c r="C193" s="48" t="n">
        <f aca="false">SUMIFS(Ведомость!$N$5:$N$397,Ведомость!$H$5:$H$397,A193,Ведомость!$I$5:$I$397,B193)</f>
        <v>785.84</v>
      </c>
      <c r="D193" s="48" t="n">
        <f aca="false">SUMIFS('Раскрой 11,7м'!$P$5:$P$185,'Раскрой 11,7м'!$A$5:$A$185,A193,'Раскрой 11,7м'!$B$5:$B$185,B193)</f>
        <v>785.84</v>
      </c>
      <c r="E193" s="48" t="n">
        <f aca="false">ROUND(C193-D193,2)</f>
        <v>0</v>
      </c>
      <c r="F193" s="55" t="n">
        <f aca="false">SUMIFS('Раскрой 11,7м'!$N$5:$N$185,'Раскрой 11,7м'!$A$5:$A$185,A193,'Раскрой 11,7м'!$B$5:$B$185,B193)</f>
        <v>87</v>
      </c>
      <c r="G193" s="49" t="n">
        <f aca="false">F193*Исходные!$B$12</f>
        <v>1017.9</v>
      </c>
      <c r="H193" s="29" t="n">
        <f aca="false">IFERROR(INDEX(Исходные!$B$18:$B$29,MATCH(A193,Исходные!$A$18:$A$29,0)),0)</f>
        <v>2.466</v>
      </c>
      <c r="I193" s="16" t="n">
        <f aca="false">G193*H193</f>
        <v>2510.1414</v>
      </c>
      <c r="J193" s="49" t="n">
        <f aca="false">SUMIFS(Ведомость!$P$5:$P$397,Ведомость!$H$5:$H$397,A193,Ведомость!$I$5:$I$397,B193)</f>
        <v>1937.88144</v>
      </c>
      <c r="K193" s="49" t="n">
        <f aca="false">I193-J193</f>
        <v>572.25996</v>
      </c>
      <c r="L193" s="56" t="n">
        <f aca="false">IF(I193&gt;0,K193/I193,0)</f>
        <v>0.227979172806759</v>
      </c>
    </row>
    <row r="194" customFormat="false" ht="15" hidden="false" customHeight="false" outlineLevel="0" collapsed="false">
      <c r="A194" s="38" t="n">
        <v>18</v>
      </c>
      <c r="B194" s="47" t="s">
        <v>282</v>
      </c>
      <c r="C194" s="48" t="n">
        <f aca="false">SUMIFS(Ведомость!$N$5:$N$397,Ведомость!$H$5:$H$397,A194,Ведомость!$I$5:$I$397,B194)</f>
        <v>603.784</v>
      </c>
      <c r="D194" s="48" t="n">
        <f aca="false">SUMIFS('Раскрой 11,7м'!$P$5:$P$185,'Раскрой 11,7м'!$A$5:$A$185,A194,'Раскрой 11,7м'!$B$5:$B$185,B194)</f>
        <v>603.784</v>
      </c>
      <c r="E194" s="48" t="n">
        <f aca="false">ROUND(C194-D194,2)</f>
        <v>0</v>
      </c>
      <c r="F194" s="55" t="n">
        <f aca="false">SUMIFS('Раскрой 11,7м'!$N$5:$N$185,'Раскрой 11,7м'!$A$5:$A$185,A194,'Раскрой 11,7м'!$B$5:$B$185,B194)</f>
        <v>53</v>
      </c>
      <c r="G194" s="49" t="n">
        <f aca="false">F194*Исходные!$B$12</f>
        <v>620.1</v>
      </c>
      <c r="H194" s="29" t="n">
        <f aca="false">IFERROR(INDEX(Исходные!$B$18:$B$29,MATCH(A194,Исходные!$A$18:$A$29,0)),0)</f>
        <v>1.998</v>
      </c>
      <c r="I194" s="16" t="n">
        <f aca="false">G194*H194</f>
        <v>1238.9598</v>
      </c>
      <c r="J194" s="49" t="n">
        <f aca="false">SUMIFS(Ведомость!$P$5:$P$397,Ведомость!$H$5:$H$397,A194,Ведомость!$I$5:$I$397,B194)</f>
        <v>1206.360432</v>
      </c>
      <c r="K194" s="49" t="n">
        <f aca="false">I194-J194</f>
        <v>32.5993679999999</v>
      </c>
      <c r="L194" s="56" t="n">
        <f aca="false">IF(I194&gt;0,K194/I194,0)</f>
        <v>0.0263118851798096</v>
      </c>
    </row>
    <row r="195" customFormat="false" ht="15" hidden="false" customHeight="false" outlineLevel="0" collapsed="false">
      <c r="A195" s="38" t="n">
        <v>16</v>
      </c>
      <c r="B195" s="47" t="s">
        <v>282</v>
      </c>
      <c r="C195" s="48" t="n">
        <f aca="false">SUMIFS(Ведомость!$N$5:$N$397,Ведомость!$H$5:$H$397,A195,Ведомость!$I$5:$I$397,B195)</f>
        <v>975.028</v>
      </c>
      <c r="D195" s="48" t="n">
        <f aca="false">SUMIFS('Раскрой 11,7м'!$P$5:$P$185,'Раскрой 11,7м'!$A$5:$A$185,A195,'Раскрой 11,7м'!$B$5:$B$185,B195)</f>
        <v>975.028</v>
      </c>
      <c r="E195" s="48" t="n">
        <f aca="false">ROUND(C195-D195,2)</f>
        <v>0</v>
      </c>
      <c r="F195" s="55" t="n">
        <f aca="false">SUMIFS('Раскрой 11,7м'!$N$5:$N$185,'Раскрой 11,7м'!$A$5:$A$185,A195,'Раскрой 11,7м'!$B$5:$B$185,B195)</f>
        <v>85</v>
      </c>
      <c r="G195" s="49" t="n">
        <f aca="false">F195*Исходные!$B$12</f>
        <v>994.5</v>
      </c>
      <c r="H195" s="29" t="n">
        <f aca="false">IFERROR(INDEX(Исходные!$B$18:$B$29,MATCH(A195,Исходные!$A$18:$A$29,0)),0)</f>
        <v>1.578</v>
      </c>
      <c r="I195" s="16" t="n">
        <f aca="false">G195*H195</f>
        <v>1569.321</v>
      </c>
      <c r="J195" s="49" t="n">
        <f aca="false">SUMIFS(Ведомость!$P$5:$P$397,Ведомость!$H$5:$H$397,A195,Ведомость!$I$5:$I$397,B195)</f>
        <v>1538.594184</v>
      </c>
      <c r="K195" s="49" t="n">
        <f aca="false">I195-J195</f>
        <v>30.7268159999999</v>
      </c>
      <c r="L195" s="56" t="n">
        <f aca="false">IF(I195&gt;0,K195/I195,0)</f>
        <v>0.0195796882855706</v>
      </c>
    </row>
    <row r="196" customFormat="false" ht="15" hidden="false" customHeight="false" outlineLevel="0" collapsed="false">
      <c r="A196" s="38" t="n">
        <v>14</v>
      </c>
      <c r="B196" s="47" t="s">
        <v>282</v>
      </c>
      <c r="C196" s="48" t="n">
        <f aca="false">SUMIFS(Ведомость!$N$5:$N$397,Ведомость!$H$5:$H$397,A196,Ведомость!$I$5:$I$397,B196)</f>
        <v>240.46</v>
      </c>
      <c r="D196" s="48" t="n">
        <f aca="false">SUMIFS('Раскрой 11,7м'!$P$5:$P$185,'Раскрой 11,7м'!$A$5:$A$185,A196,'Раскрой 11,7м'!$B$5:$B$185,B196)</f>
        <v>240.46</v>
      </c>
      <c r="E196" s="48" t="n">
        <f aca="false">ROUND(C196-D196,2)</f>
        <v>0</v>
      </c>
      <c r="F196" s="55" t="n">
        <f aca="false">SUMIFS('Раскрой 11,7м'!$N$5:$N$185,'Раскрой 11,7м'!$A$5:$A$185,A196,'Раскрой 11,7м'!$B$5:$B$185,B196)</f>
        <v>21</v>
      </c>
      <c r="G196" s="49" t="n">
        <f aca="false">F196*Исходные!$B$12</f>
        <v>245.7</v>
      </c>
      <c r="H196" s="29" t="n">
        <f aca="false">IFERROR(INDEX(Исходные!$B$18:$B$29,MATCH(A196,Исходные!$A$18:$A$29,0)),0)</f>
        <v>1.208</v>
      </c>
      <c r="I196" s="16" t="n">
        <f aca="false">G196*H196</f>
        <v>296.8056</v>
      </c>
      <c r="J196" s="49" t="n">
        <f aca="false">SUMIFS(Ведомость!$P$5:$P$397,Ведомость!$H$5:$H$397,A196,Ведомость!$I$5:$I$397,B196)</f>
        <v>290.47568</v>
      </c>
      <c r="K196" s="49" t="n">
        <f aca="false">I196-J196</f>
        <v>6.32992000000002</v>
      </c>
      <c r="L196" s="56" t="n">
        <f aca="false">IF(I196&gt;0,K196/I196,0)</f>
        <v>0.0213268213268214</v>
      </c>
    </row>
    <row r="197" customFormat="false" ht="15" hidden="false" customHeight="false" outlineLevel="0" collapsed="false">
      <c r="A197" s="38" t="n">
        <v>12</v>
      </c>
      <c r="B197" s="47" t="s">
        <v>282</v>
      </c>
      <c r="C197" s="48" t="n">
        <f aca="false">SUMIFS(Ведомость!$N$5:$N$397,Ведомость!$H$5:$H$397,A197,Ведомость!$I$5:$I$397,B197)</f>
        <v>242.184</v>
      </c>
      <c r="D197" s="48" t="n">
        <f aca="false">SUMIFS('Раскрой 11,7м'!$P$5:$P$185,'Раскрой 11,7м'!$A$5:$A$185,A197,'Раскрой 11,7м'!$B$5:$B$185,B197)</f>
        <v>242.184</v>
      </c>
      <c r="E197" s="48" t="n">
        <f aca="false">ROUND(C197-D197,2)</f>
        <v>0</v>
      </c>
      <c r="F197" s="55" t="n">
        <f aca="false">SUMIFS('Раскрой 11,7м'!$N$5:$N$185,'Раскрой 11,7м'!$A$5:$A$185,A197,'Раскрой 11,7м'!$B$5:$B$185,B197)</f>
        <v>22</v>
      </c>
      <c r="G197" s="49" t="n">
        <f aca="false">F197*Исходные!$B$12</f>
        <v>257.4</v>
      </c>
      <c r="H197" s="29" t="n">
        <f aca="false">IFERROR(INDEX(Исходные!$B$18:$B$29,MATCH(A197,Исходные!$A$18:$A$29,0)),0)</f>
        <v>0.888</v>
      </c>
      <c r="I197" s="16" t="n">
        <f aca="false">G197*H197</f>
        <v>228.5712</v>
      </c>
      <c r="J197" s="49" t="n">
        <f aca="false">SUMIFS(Ведомость!$P$5:$P$397,Ведомость!$H$5:$H$397,A197,Ведомость!$I$5:$I$397,B197)</f>
        <v>215.059392</v>
      </c>
      <c r="K197" s="49" t="n">
        <f aca="false">I197-J197</f>
        <v>13.511808</v>
      </c>
      <c r="L197" s="56" t="n">
        <f aca="false">IF(I197&gt;0,K197/I197,0)</f>
        <v>0.059114219114219</v>
      </c>
    </row>
    <row r="198" customFormat="false" ht="15" hidden="false" customHeight="false" outlineLevel="0" collapsed="false">
      <c r="A198" s="38" t="n">
        <v>10</v>
      </c>
      <c r="B198" s="47" t="s">
        <v>282</v>
      </c>
      <c r="C198" s="48" t="n">
        <f aca="false">SUMIFS(Ведомость!$N$5:$N$397,Ведомость!$H$5:$H$397,A198,Ведомость!$I$5:$I$397,B198)</f>
        <v>13004.96</v>
      </c>
      <c r="D198" s="48" t="n">
        <f aca="false">SUMIFS('Раскрой 11,7м'!$P$5:$P$185,'Раскрой 11,7м'!$A$5:$A$185,A198,'Раскрой 11,7м'!$B$5:$B$185,B198)</f>
        <v>13004.96</v>
      </c>
      <c r="E198" s="48" t="n">
        <f aca="false">ROUND(C198-D198,2)</f>
        <v>0</v>
      </c>
      <c r="F198" s="55" t="n">
        <f aca="false">SUMIFS('Раскрой 11,7м'!$N$5:$N$185,'Раскрой 11,7м'!$A$5:$A$185,A198,'Раскрой 11,7м'!$B$5:$B$185,B198)</f>
        <v>1121</v>
      </c>
      <c r="G198" s="49" t="n">
        <f aca="false">F198*Исходные!$B$12</f>
        <v>13115.7</v>
      </c>
      <c r="H198" s="29" t="n">
        <f aca="false">IFERROR(INDEX(Исходные!$B$18:$B$29,MATCH(A198,Исходные!$A$18:$A$29,0)),0)</f>
        <v>0.617</v>
      </c>
      <c r="I198" s="16" t="n">
        <f aca="false">G198*H198</f>
        <v>8092.3869</v>
      </c>
      <c r="J198" s="49" t="n">
        <f aca="false">SUMIFS(Ведомость!$P$5:$P$397,Ведомость!$H$5:$H$397,A198,Ведомость!$I$5:$I$397,B198)</f>
        <v>8024.06032</v>
      </c>
      <c r="K198" s="49" t="n">
        <f aca="false">I198-J198</f>
        <v>68.3265799999999</v>
      </c>
      <c r="L198" s="56" t="n">
        <f aca="false">IF(I198&gt;0,K198/I198,0)</f>
        <v>0.00844331602583163</v>
      </c>
    </row>
    <row r="199" customFormat="false" ht="15" hidden="false" customHeight="false" outlineLevel="0" collapsed="false">
      <c r="A199" s="38" t="n">
        <v>8</v>
      </c>
      <c r="B199" s="47" t="s">
        <v>282</v>
      </c>
      <c r="C199" s="48" t="n">
        <f aca="false">SUMIFS(Ведомость!$N$5:$N$397,Ведомость!$H$5:$H$397,A199,Ведомость!$I$5:$I$397,B199)</f>
        <v>0</v>
      </c>
      <c r="D199" s="48" t="n">
        <f aca="false">SUMIFS('Раскрой 11,7м'!$P$5:$P$185,'Раскрой 11,7м'!$A$5:$A$185,A199,'Раскрой 11,7м'!$B$5:$B$185,B199)</f>
        <v>0</v>
      </c>
      <c r="E199" s="48" t="n">
        <f aca="false">ROUND(C199-D199,2)</f>
        <v>0</v>
      </c>
      <c r="F199" s="55" t="n">
        <f aca="false">SUMIFS('Раскрой 11,7м'!$N$5:$N$185,'Раскрой 11,7м'!$A$5:$A$185,A199,'Раскрой 11,7м'!$B$5:$B$185,B199)</f>
        <v>0</v>
      </c>
      <c r="G199" s="49" t="n">
        <f aca="false">F199*Исходные!$B$12</f>
        <v>0</v>
      </c>
      <c r="H199" s="29" t="n">
        <f aca="false">IFERROR(INDEX(Исходные!$B$18:$B$29,MATCH(A199,Исходные!$A$18:$A$29,0)),0)</f>
        <v>0.395</v>
      </c>
      <c r="I199" s="16" t="n">
        <f aca="false">G199*H199</f>
        <v>0</v>
      </c>
      <c r="J199" s="49" t="n">
        <f aca="false">SUMIFS(Ведомость!$P$5:$P$397,Ведомость!$H$5:$H$397,A199,Ведомость!$I$5:$I$397,B199)</f>
        <v>0</v>
      </c>
      <c r="K199" s="49" t="n">
        <f aca="false">I199-J199</f>
        <v>0</v>
      </c>
      <c r="L199" s="56" t="n">
        <f aca="false">IF(I199&gt;0,K199/I199,0)</f>
        <v>0</v>
      </c>
    </row>
    <row r="200" customFormat="false" ht="15" hidden="false" customHeight="false" outlineLevel="0" collapsed="false">
      <c r="A200" s="38" t="n">
        <v>12</v>
      </c>
      <c r="B200" s="47" t="s">
        <v>316</v>
      </c>
      <c r="C200" s="48" t="n">
        <f aca="false">SUMIFS(Ведомость!$N$5:$N$397,Ведомость!$H$5:$H$397,A200,Ведомость!$I$5:$I$397,B200)</f>
        <v>0</v>
      </c>
      <c r="D200" s="48" t="n">
        <f aca="false">SUMIFS('Раскрой 11,7м'!$P$5:$P$185,'Раскрой 11,7м'!$A$5:$A$185,A200,'Раскрой 11,7м'!$B$5:$B$185,B200)</f>
        <v>0</v>
      </c>
      <c r="E200" s="48" t="n">
        <f aca="false">ROUND(C200-D200,2)</f>
        <v>0</v>
      </c>
      <c r="F200" s="55" t="n">
        <f aca="false">SUMIFS('Раскрой 11,7м'!$N$5:$N$185,'Раскрой 11,7м'!$A$5:$A$185,A200,'Раскрой 11,7м'!$B$5:$B$185,B200)</f>
        <v>0</v>
      </c>
      <c r="G200" s="49" t="n">
        <f aca="false">F200*Исходные!$B$12</f>
        <v>0</v>
      </c>
      <c r="H200" s="29" t="n">
        <f aca="false">IFERROR(INDEX(Исходные!$B$18:$B$29,MATCH(A200,Исходные!$A$18:$A$29,0)),0)</f>
        <v>0.888</v>
      </c>
      <c r="I200" s="16" t="n">
        <f aca="false">G200*H200</f>
        <v>0</v>
      </c>
      <c r="J200" s="49" t="n">
        <f aca="false">SUMIFS(Ведомость!$P$5:$P$397,Ведомость!$H$5:$H$397,A200,Ведомость!$I$5:$I$397,B200)</f>
        <v>0</v>
      </c>
      <c r="K200" s="49" t="n">
        <f aca="false">I200-J200</f>
        <v>0</v>
      </c>
      <c r="L200" s="56" t="n">
        <f aca="false">IF(I200&gt;0,K200/I200,0)</f>
        <v>0</v>
      </c>
    </row>
    <row r="201" customFormat="false" ht="15" hidden="false" customHeight="false" outlineLevel="0" collapsed="false">
      <c r="A201" s="38" t="n">
        <v>10</v>
      </c>
      <c r="B201" s="47" t="s">
        <v>316</v>
      </c>
      <c r="C201" s="48" t="n">
        <f aca="false">SUMIFS(Ведомость!$N$5:$N$397,Ведомость!$H$5:$H$397,A201,Ведомость!$I$5:$I$397,B201)</f>
        <v>2801.6</v>
      </c>
      <c r="D201" s="48" t="n">
        <f aca="false">SUMIFS('Раскрой 11,7м'!$P$5:$P$185,'Раскрой 11,7м'!$A$5:$A$185,A201,'Раскрой 11,7м'!$B$5:$B$185,B201)</f>
        <v>2801.6</v>
      </c>
      <c r="E201" s="48" t="n">
        <f aca="false">ROUND(C201-D201,2)</f>
        <v>0</v>
      </c>
      <c r="F201" s="55" t="n">
        <f aca="false">SUMIFS('Раскрой 11,7м'!$N$5:$N$185,'Раскрой 11,7м'!$A$5:$A$185,A201,'Раскрой 11,7м'!$B$5:$B$185,B201)</f>
        <v>242</v>
      </c>
      <c r="G201" s="49" t="n">
        <f aca="false">F201*Исходные!$B$12</f>
        <v>2831.4</v>
      </c>
      <c r="H201" s="29" t="n">
        <f aca="false">IFERROR(INDEX(Исходные!$B$18:$B$29,MATCH(A201,Исходные!$A$18:$A$29,0)),0)</f>
        <v>0.617</v>
      </c>
      <c r="I201" s="16" t="n">
        <f aca="false">G201*H201</f>
        <v>1746.9738</v>
      </c>
      <c r="J201" s="49" t="n">
        <f aca="false">SUMIFS(Ведомость!$P$5:$P$397,Ведомость!$H$5:$H$397,A201,Ведомость!$I$5:$I$397,B201)</f>
        <v>1728.5872</v>
      </c>
      <c r="K201" s="49" t="n">
        <f aca="false">I201-J201</f>
        <v>18.3865999999998</v>
      </c>
      <c r="L201" s="56" t="n">
        <f aca="false">IF(I201&gt;0,K201/I201,0)</f>
        <v>0.0105248287066468</v>
      </c>
    </row>
    <row r="202" customFormat="false" ht="15" hidden="false" customHeight="false" outlineLevel="0" collapsed="false">
      <c r="A202" s="38" t="n">
        <v>8</v>
      </c>
      <c r="B202" s="47" t="s">
        <v>316</v>
      </c>
      <c r="C202" s="48" t="n">
        <f aca="false">SUMIFS(Ведомость!$N$5:$N$397,Ведомость!$H$5:$H$397,A202,Ведомость!$I$5:$I$397,B202)</f>
        <v>7537.29</v>
      </c>
      <c r="D202" s="48" t="n">
        <f aca="false">SUMIFS('Раскрой 11,7м'!$P$5:$P$185,'Раскрой 11,7м'!$A$5:$A$185,A202,'Раскрой 11,7м'!$B$5:$B$185,B202)</f>
        <v>7537.29</v>
      </c>
      <c r="E202" s="48" t="n">
        <f aca="false">ROUND(C202-D202,2)</f>
        <v>0</v>
      </c>
      <c r="F202" s="55" t="n">
        <f aca="false">SUMIFS('Раскрой 11,7м'!$N$5:$N$185,'Раскрой 11,7м'!$A$5:$A$185,A202,'Раскрой 11,7м'!$B$5:$B$185,B202)</f>
        <v>650</v>
      </c>
      <c r="G202" s="49" t="n">
        <f aca="false">F202*Исходные!$B$12</f>
        <v>7605</v>
      </c>
      <c r="H202" s="29" t="n">
        <f aca="false">IFERROR(INDEX(Исходные!$B$18:$B$29,MATCH(A202,Исходные!$A$18:$A$29,0)),0)</f>
        <v>0.395</v>
      </c>
      <c r="I202" s="16" t="n">
        <f aca="false">G202*H202</f>
        <v>3003.975</v>
      </c>
      <c r="J202" s="49" t="n">
        <f aca="false">SUMIFS(Ведомость!$P$5:$P$397,Ведомость!$H$5:$H$397,A202,Ведомость!$I$5:$I$397,B202)</f>
        <v>2977.22955</v>
      </c>
      <c r="K202" s="49" t="n">
        <f aca="false">I202-J202</f>
        <v>26.7454499999999</v>
      </c>
      <c r="L202" s="56" t="n">
        <f aca="false">IF(I202&gt;0,K202/I202,0)</f>
        <v>0.00890335305719918</v>
      </c>
    </row>
    <row r="203" customFormat="false" ht="15" hidden="false" customHeight="false" outlineLevel="0" collapsed="false">
      <c r="A203" s="38" t="n">
        <v>6</v>
      </c>
      <c r="B203" s="47" t="s">
        <v>316</v>
      </c>
      <c r="C203" s="48" t="n">
        <f aca="false">SUMIFS(Ведомость!$N$5:$N$397,Ведомость!$H$5:$H$397,A203,Ведомость!$I$5:$I$397,B203)</f>
        <v>0</v>
      </c>
      <c r="D203" s="48" t="n">
        <f aca="false">SUMIFS('Раскрой 11,7м'!$P$5:$P$185,'Раскрой 11,7м'!$A$5:$A$185,A203,'Раскрой 11,7м'!$B$5:$B$185,B203)</f>
        <v>0</v>
      </c>
      <c r="E203" s="48" t="n">
        <f aca="false">ROUND(C203-D203,2)</f>
        <v>0</v>
      </c>
      <c r="F203" s="55" t="n">
        <f aca="false">SUMIFS('Раскрой 11,7м'!$N$5:$N$185,'Раскрой 11,7м'!$A$5:$A$185,A203,'Раскрой 11,7м'!$B$5:$B$185,B203)</f>
        <v>0</v>
      </c>
      <c r="G203" s="49" t="n">
        <f aca="false">F203*Исходные!$B$12</f>
        <v>0</v>
      </c>
      <c r="H203" s="29" t="n">
        <f aca="false">IFERROR(INDEX(Исходные!$B$18:$B$29,MATCH(A203,Исходные!$A$18:$A$29,0)),0)</f>
        <v>0.222</v>
      </c>
      <c r="I203" s="16" t="n">
        <f aca="false">G203*H203</f>
        <v>0</v>
      </c>
      <c r="J203" s="49" t="n">
        <f aca="false">SUMIFS(Ведомость!$P$5:$P$397,Ведомость!$H$5:$H$397,A203,Ведомость!$I$5:$I$397,B203)</f>
        <v>0</v>
      </c>
      <c r="K203" s="49" t="n">
        <f aca="false">I203-J203</f>
        <v>0</v>
      </c>
      <c r="L203" s="56" t="n">
        <f aca="false">IF(I203&gt;0,K203/I203,0)</f>
        <v>0</v>
      </c>
    </row>
    <row r="204" customFormat="false" ht="15" hidden="false" customHeight="false" outlineLevel="0" collapsed="false">
      <c r="B204" s="3" t="s">
        <v>896</v>
      </c>
      <c r="C204" s="54" t="n">
        <f aca="false">SUM(C189:C203)</f>
        <v>29256.846</v>
      </c>
      <c r="D204" s="54" t="n">
        <f aca="false">SUM(D189:D203)</f>
        <v>29256.846</v>
      </c>
      <c r="E204" s="54" t="n">
        <f aca="false">SUM(E189:E203)</f>
        <v>0</v>
      </c>
      <c r="F204" s="33" t="n">
        <f aca="false">SUM(F189:F203)</f>
        <v>2573</v>
      </c>
      <c r="G204" s="54" t="n">
        <f aca="false">SUM(G189:G203)</f>
        <v>30104.1</v>
      </c>
      <c r="I204" s="54" t="n">
        <f aca="false">SUM(I189:I203)</f>
        <v>34276.1328</v>
      </c>
      <c r="J204" s="54" t="n">
        <f aca="false">SUM(J189:J203)</f>
        <v>31788.108498</v>
      </c>
      <c r="K204" s="54" t="n">
        <f aca="false">SUM(K189:K203)</f>
        <v>2488.024302</v>
      </c>
      <c r="L204" s="57" t="n">
        <f aca="false">IF(I204&gt;0,K204/I204,0)</f>
        <v>0.0725876608226935</v>
      </c>
    </row>
    <row r="206" customFormat="false" ht="15" hidden="false" customHeight="true" outlineLevel="0" collapsed="false">
      <c r="A206" s="58" t="s">
        <v>897</v>
      </c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</row>
    <row r="207" customFormat="false" ht="30" hidden="false" customHeight="true" outlineLevel="0" collapsed="false">
      <c r="A207" s="59" t="s">
        <v>898</v>
      </c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</row>
    <row r="208" customFormat="false" ht="30" hidden="false" customHeight="true" outlineLevel="0" collapsed="false">
      <c r="A208" s="59" t="s">
        <v>899</v>
      </c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</row>
    <row r="209" customFormat="false" ht="30" hidden="false" customHeight="true" outlineLevel="0" collapsed="false">
      <c r="A209" s="59" t="s">
        <v>900</v>
      </c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</row>
  </sheetData>
  <mergeCells count="4">
    <mergeCell ref="A206:Q206"/>
    <mergeCell ref="A207:Q207"/>
    <mergeCell ref="A208:Q208"/>
    <mergeCell ref="A209:Q2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43" t="s">
        <v>901</v>
      </c>
    </row>
    <row r="3" customFormat="false" ht="15" hidden="false" customHeight="true" outlineLevel="0" collapsed="false">
      <c r="A3" s="2" t="s">
        <v>902</v>
      </c>
      <c r="B3" s="2"/>
    </row>
    <row r="4" customFormat="false" ht="23.85" hidden="false" customHeight="false" outlineLevel="0" collapsed="false">
      <c r="A4" s="60" t="s">
        <v>186</v>
      </c>
      <c r="B4" s="15" t="s">
        <v>903</v>
      </c>
    </row>
    <row r="5" customFormat="false" ht="15" hidden="false" customHeight="false" outlineLevel="0" collapsed="false">
      <c r="A5" s="60" t="s">
        <v>904</v>
      </c>
      <c r="B5" s="15" t="s">
        <v>905</v>
      </c>
    </row>
    <row r="6" customFormat="false" ht="23.85" hidden="false" customHeight="false" outlineLevel="0" collapsed="false">
      <c r="A6" s="60" t="s">
        <v>906</v>
      </c>
      <c r="B6" s="15" t="s">
        <v>907</v>
      </c>
    </row>
    <row r="7" customFormat="false" ht="15" hidden="false" customHeight="false" outlineLevel="0" collapsed="false">
      <c r="A7" s="60" t="s">
        <v>908</v>
      </c>
      <c r="B7" s="15" t="s">
        <v>909</v>
      </c>
    </row>
    <row r="8" customFormat="false" ht="15" hidden="false" customHeight="false" outlineLevel="0" collapsed="false">
      <c r="A8" s="60" t="s">
        <v>910</v>
      </c>
      <c r="B8" s="15" t="s">
        <v>911</v>
      </c>
    </row>
    <row r="9" customFormat="false" ht="15" hidden="false" customHeight="false" outlineLevel="0" collapsed="false">
      <c r="A9" s="60" t="s">
        <v>912</v>
      </c>
      <c r="B9" s="15" t="s">
        <v>913</v>
      </c>
    </row>
    <row r="10" customFormat="false" ht="15" hidden="false" customHeight="false" outlineLevel="0" collapsed="false">
      <c r="A10" s="60" t="s">
        <v>914</v>
      </c>
      <c r="B10" s="15" t="s">
        <v>915</v>
      </c>
    </row>
    <row r="11" customFormat="false" ht="15" hidden="false" customHeight="false" outlineLevel="0" collapsed="false">
      <c r="A11" s="60" t="s">
        <v>916</v>
      </c>
      <c r="B11" s="15" t="s">
        <v>917</v>
      </c>
    </row>
    <row r="12" customFormat="false" ht="23.85" hidden="false" customHeight="false" outlineLevel="0" collapsed="false">
      <c r="A12" s="60" t="s">
        <v>918</v>
      </c>
      <c r="B12" s="15" t="s">
        <v>919</v>
      </c>
    </row>
    <row r="13" customFormat="false" ht="15" hidden="false" customHeight="false" outlineLevel="0" collapsed="false">
      <c r="A13" s="60" t="s">
        <v>920</v>
      </c>
      <c r="B13" s="15" t="s">
        <v>921</v>
      </c>
    </row>
    <row r="14" customFormat="false" ht="15" hidden="false" customHeight="false" outlineLevel="0" collapsed="false">
      <c r="A14" s="60" t="s">
        <v>922</v>
      </c>
      <c r="B14" s="15" t="s">
        <v>923</v>
      </c>
    </row>
    <row r="15" customFormat="false" ht="15" hidden="false" customHeight="false" outlineLevel="0" collapsed="false">
      <c r="A15" s="60" t="s">
        <v>924</v>
      </c>
      <c r="B15" s="15" t="s">
        <v>925</v>
      </c>
    </row>
    <row r="17" customFormat="false" ht="15" hidden="false" customHeight="true" outlineLevel="0" collapsed="false">
      <c r="A17" s="2" t="s">
        <v>926</v>
      </c>
      <c r="B17" s="2"/>
    </row>
    <row r="18" customFormat="false" ht="15" hidden="false" customHeight="false" outlineLevel="0" collapsed="false">
      <c r="A18" s="15" t="s">
        <v>927</v>
      </c>
      <c r="B18" s="15" t="s">
        <v>928</v>
      </c>
    </row>
    <row r="19" customFormat="false" ht="15" hidden="false" customHeight="false" outlineLevel="0" collapsed="false">
      <c r="A19" s="15" t="s">
        <v>929</v>
      </c>
      <c r="B19" s="15" t="s">
        <v>930</v>
      </c>
    </row>
    <row r="20" customFormat="false" ht="15" hidden="false" customHeight="false" outlineLevel="0" collapsed="false">
      <c r="A20" s="15" t="s">
        <v>931</v>
      </c>
      <c r="B20" s="15" t="s">
        <v>932</v>
      </c>
    </row>
    <row r="21" customFormat="false" ht="15" hidden="false" customHeight="false" outlineLevel="0" collapsed="false">
      <c r="A21" s="15" t="s">
        <v>933</v>
      </c>
      <c r="B21" s="15" t="s">
        <v>934</v>
      </c>
    </row>
    <row r="22" customFormat="false" ht="15" hidden="false" customHeight="false" outlineLevel="0" collapsed="false">
      <c r="A22" s="15" t="s">
        <v>935</v>
      </c>
      <c r="B22" s="15" t="s">
        <v>936</v>
      </c>
    </row>
    <row r="23" customFormat="false" ht="15" hidden="false" customHeight="false" outlineLevel="0" collapsed="false">
      <c r="A23" s="15" t="s">
        <v>937</v>
      </c>
      <c r="B23" s="15" t="s">
        <v>938</v>
      </c>
    </row>
    <row r="24" customFormat="false" ht="15" hidden="false" customHeight="false" outlineLevel="0" collapsed="false">
      <c r="A24" s="15" t="s">
        <v>939</v>
      </c>
      <c r="B24" s="15" t="s">
        <v>940</v>
      </c>
    </row>
    <row r="25" customFormat="false" ht="15" hidden="false" customHeight="false" outlineLevel="0" collapsed="false">
      <c r="A25" s="15" t="s">
        <v>941</v>
      </c>
      <c r="B25" s="15" t="s">
        <v>942</v>
      </c>
    </row>
    <row r="26" customFormat="false" ht="15" hidden="false" customHeight="false" outlineLevel="0" collapsed="false">
      <c r="A26" s="15" t="s">
        <v>943</v>
      </c>
      <c r="B26" s="15" t="s">
        <v>944</v>
      </c>
    </row>
    <row r="27" customFormat="false" ht="15" hidden="false" customHeight="false" outlineLevel="0" collapsed="false">
      <c r="A27" s="15" t="s">
        <v>945</v>
      </c>
      <c r="B27" s="15" t="s">
        <v>946</v>
      </c>
    </row>
    <row r="28" customFormat="false" ht="15" hidden="false" customHeight="false" outlineLevel="0" collapsed="false">
      <c r="A28" s="15" t="s">
        <v>947</v>
      </c>
      <c r="B28" s="15" t="s">
        <v>948</v>
      </c>
    </row>
    <row r="29" customFormat="false" ht="15" hidden="false" customHeight="false" outlineLevel="0" collapsed="false">
      <c r="A29" s="15" t="s">
        <v>949</v>
      </c>
      <c r="B29" s="15" t="s">
        <v>950</v>
      </c>
    </row>
    <row r="30" customFormat="false" ht="15" hidden="false" customHeight="false" outlineLevel="0" collapsed="false">
      <c r="A30" s="15" t="s">
        <v>951</v>
      </c>
      <c r="B30" s="15" t="s">
        <v>952</v>
      </c>
    </row>
    <row r="31" customFormat="false" ht="15" hidden="false" customHeight="false" outlineLevel="0" collapsed="false">
      <c r="A31" s="15" t="s">
        <v>953</v>
      </c>
      <c r="B31" s="15" t="s">
        <v>954</v>
      </c>
    </row>
    <row r="32" customFormat="false" ht="15" hidden="false" customHeight="false" outlineLevel="0" collapsed="false">
      <c r="A32" s="15" t="s">
        <v>955</v>
      </c>
      <c r="B32" s="15" t="s">
        <v>956</v>
      </c>
    </row>
    <row r="33" customFormat="false" ht="15" hidden="false" customHeight="false" outlineLevel="0" collapsed="false">
      <c r="A33" s="15" t="s">
        <v>957</v>
      </c>
      <c r="B33" s="15" t="s">
        <v>958</v>
      </c>
    </row>
    <row r="34" customFormat="false" ht="15" hidden="false" customHeight="false" outlineLevel="0" collapsed="false">
      <c r="A34" s="15" t="s">
        <v>959</v>
      </c>
      <c r="B34" s="15" t="s">
        <v>960</v>
      </c>
    </row>
    <row r="36" customFormat="false" ht="15" hidden="false" customHeight="true" outlineLevel="0" collapsed="false">
      <c r="A36" s="2" t="s">
        <v>961</v>
      </c>
      <c r="B36" s="2"/>
    </row>
    <row r="37" customFormat="false" ht="23.85" hidden="false" customHeight="false" outlineLevel="0" collapsed="false">
      <c r="A37" s="60" t="s">
        <v>962</v>
      </c>
      <c r="B37" s="15" t="s">
        <v>963</v>
      </c>
    </row>
    <row r="38" customFormat="false" ht="23.85" hidden="false" customHeight="false" outlineLevel="0" collapsed="false">
      <c r="A38" s="60" t="s">
        <v>964</v>
      </c>
      <c r="B38" s="15" t="s">
        <v>965</v>
      </c>
    </row>
    <row r="39" customFormat="false" ht="23.85" hidden="false" customHeight="false" outlineLevel="0" collapsed="false">
      <c r="A39" s="60" t="s">
        <v>966</v>
      </c>
      <c r="B39" s="15" t="s">
        <v>967</v>
      </c>
    </row>
    <row r="40" customFormat="false" ht="35.05" hidden="false" customHeight="false" outlineLevel="0" collapsed="false">
      <c r="A40" s="60" t="s">
        <v>968</v>
      </c>
      <c r="B40" s="15" t="s">
        <v>969</v>
      </c>
    </row>
    <row r="41" customFormat="false" ht="23.85" hidden="false" customHeight="false" outlineLevel="0" collapsed="false">
      <c r="A41" s="60" t="s">
        <v>970</v>
      </c>
      <c r="B41" s="15" t="s">
        <v>971</v>
      </c>
    </row>
    <row r="42" customFormat="false" ht="15" hidden="false" customHeight="false" outlineLevel="0" collapsed="false">
      <c r="A42" s="60" t="s">
        <v>972</v>
      </c>
      <c r="B42" s="15" t="s">
        <v>973</v>
      </c>
    </row>
    <row r="43" customFormat="false" ht="23.85" hidden="false" customHeight="false" outlineLevel="0" collapsed="false">
      <c r="A43" s="60" t="s">
        <v>974</v>
      </c>
      <c r="B43" s="15" t="s">
        <v>975</v>
      </c>
    </row>
    <row r="44" customFormat="false" ht="15" hidden="false" customHeight="false" outlineLevel="0" collapsed="false">
      <c r="A44" s="60" t="s">
        <v>976</v>
      </c>
      <c r="B44" s="15" t="s">
        <v>977</v>
      </c>
    </row>
    <row r="45" customFormat="false" ht="15" hidden="false" customHeight="false" outlineLevel="0" collapsed="false">
      <c r="A45" s="60" t="s">
        <v>978</v>
      </c>
      <c r="B45" s="15" t="s">
        <v>979</v>
      </c>
    </row>
    <row r="46" customFormat="false" ht="15" hidden="false" customHeight="false" outlineLevel="0" collapsed="false">
      <c r="A46" s="60" t="s">
        <v>980</v>
      </c>
      <c r="B46" s="15" t="s">
        <v>981</v>
      </c>
    </row>
    <row r="47" customFormat="false" ht="23.85" hidden="false" customHeight="false" outlineLevel="0" collapsed="false">
      <c r="A47" s="60" t="s">
        <v>982</v>
      </c>
      <c r="B47" s="15" t="s">
        <v>983</v>
      </c>
    </row>
    <row r="48" customFormat="false" ht="15" hidden="false" customHeight="false" outlineLevel="0" collapsed="false">
      <c r="A48" s="60" t="s">
        <v>984</v>
      </c>
      <c r="B48" s="15" t="s">
        <v>985</v>
      </c>
    </row>
    <row r="49" customFormat="false" ht="15" hidden="false" customHeight="false" outlineLevel="0" collapsed="false">
      <c r="A49" s="60" t="s">
        <v>986</v>
      </c>
      <c r="B49" s="15" t="s">
        <v>987</v>
      </c>
    </row>
    <row r="50" customFormat="false" ht="23.85" hidden="false" customHeight="false" outlineLevel="0" collapsed="false">
      <c r="A50" s="60" t="s">
        <v>988</v>
      </c>
      <c r="B50" s="15" t="s">
        <v>989</v>
      </c>
    </row>
    <row r="51" customFormat="false" ht="15" hidden="false" customHeight="false" outlineLevel="0" collapsed="false">
      <c r="A51" s="60" t="s">
        <v>990</v>
      </c>
      <c r="B51" s="15" t="s">
        <v>991</v>
      </c>
    </row>
    <row r="52" customFormat="false" ht="23.85" hidden="false" customHeight="false" outlineLevel="0" collapsed="false">
      <c r="A52" s="60" t="s">
        <v>992</v>
      </c>
      <c r="B52" s="15" t="s">
        <v>993</v>
      </c>
    </row>
    <row r="53" customFormat="false" ht="23.85" hidden="false" customHeight="false" outlineLevel="0" collapsed="false">
      <c r="A53" s="60" t="s">
        <v>994</v>
      </c>
      <c r="B53" s="15" t="s">
        <v>995</v>
      </c>
    </row>
    <row r="54" customFormat="false" ht="15" hidden="false" customHeight="false" outlineLevel="0" collapsed="false">
      <c r="A54" s="60" t="s">
        <v>996</v>
      </c>
      <c r="B54" s="15" t="s">
        <v>997</v>
      </c>
    </row>
    <row r="55" customFormat="false" ht="23.85" hidden="false" customHeight="false" outlineLevel="0" collapsed="false">
      <c r="A55" s="60" t="s">
        <v>998</v>
      </c>
      <c r="B55" s="15" t="s">
        <v>999</v>
      </c>
    </row>
    <row r="56" customFormat="false" ht="15" hidden="false" customHeight="false" outlineLevel="0" collapsed="false">
      <c r="A56" s="60" t="s">
        <v>1000</v>
      </c>
      <c r="B56" s="15" t="s">
        <v>1001</v>
      </c>
    </row>
    <row r="57" customFormat="false" ht="15" hidden="false" customHeight="false" outlineLevel="0" collapsed="false">
      <c r="A57" s="60" t="s">
        <v>1002</v>
      </c>
      <c r="B57" s="15" t="s">
        <v>1003</v>
      </c>
    </row>
    <row r="58" customFormat="false" ht="15" hidden="false" customHeight="false" outlineLevel="0" collapsed="false">
      <c r="A58" s="60" t="s">
        <v>1004</v>
      </c>
      <c r="B58" s="15" t="s">
        <v>1005</v>
      </c>
    </row>
    <row r="60" customFormat="false" ht="15" hidden="false" customHeight="true" outlineLevel="0" collapsed="false">
      <c r="A60" s="2" t="s">
        <v>1006</v>
      </c>
      <c r="B60" s="2"/>
    </row>
    <row r="61" customFormat="false" ht="15" hidden="false" customHeight="false" outlineLevel="0" collapsed="false">
      <c r="A61" s="60" t="s">
        <v>1007</v>
      </c>
      <c r="B61" s="15" t="s">
        <v>1008</v>
      </c>
    </row>
    <row r="62" customFormat="false" ht="15" hidden="false" customHeight="false" outlineLevel="0" collapsed="false">
      <c r="A62" s="60" t="s">
        <v>1009</v>
      </c>
      <c r="B62" s="15" t="s">
        <v>1010</v>
      </c>
    </row>
    <row r="63" customFormat="false" ht="15" hidden="false" customHeight="false" outlineLevel="0" collapsed="false">
      <c r="A63" s="60" t="s">
        <v>1011</v>
      </c>
      <c r="B63" s="15" t="s">
        <v>1012</v>
      </c>
    </row>
    <row r="64" customFormat="false" ht="15" hidden="false" customHeight="false" outlineLevel="0" collapsed="false">
      <c r="A64" s="60" t="s">
        <v>1013</v>
      </c>
      <c r="B64" s="15" t="s">
        <v>1014</v>
      </c>
    </row>
    <row r="65" customFormat="false" ht="15" hidden="false" customHeight="false" outlineLevel="0" collapsed="false">
      <c r="A65" s="60" t="s">
        <v>1015</v>
      </c>
      <c r="B65" s="15" t="s">
        <v>1016</v>
      </c>
    </row>
    <row r="66" customFormat="false" ht="15" hidden="false" customHeight="false" outlineLevel="0" collapsed="false">
      <c r="A66" s="60" t="s">
        <v>1017</v>
      </c>
      <c r="B66" s="15" t="s">
        <v>1018</v>
      </c>
    </row>
    <row r="67" customFormat="false" ht="15" hidden="false" customHeight="false" outlineLevel="0" collapsed="false">
      <c r="A67" s="60" t="s">
        <v>1019</v>
      </c>
      <c r="B67" s="15" t="s">
        <v>1020</v>
      </c>
    </row>
    <row r="69" customFormat="false" ht="15" hidden="false" customHeight="true" outlineLevel="0" collapsed="false">
      <c r="A69" s="2" t="s">
        <v>1021</v>
      </c>
      <c r="B69" s="2"/>
    </row>
    <row r="70" customFormat="false" ht="15" hidden="false" customHeight="false" outlineLevel="0" collapsed="false">
      <c r="A70" s="60" t="s">
        <v>1022</v>
      </c>
      <c r="B70" s="61" t="n">
        <f aca="false">Ведомость!P398</f>
        <v>31788.108498</v>
      </c>
    </row>
    <row r="71" customFormat="false" ht="15" hidden="false" customHeight="false" outlineLevel="0" collapsed="false">
      <c r="A71" s="60" t="s">
        <v>1023</v>
      </c>
      <c r="B71" s="15" t="s">
        <v>1024</v>
      </c>
    </row>
    <row r="73" customFormat="false" ht="15" hidden="false" customHeight="true" outlineLevel="0" collapsed="false">
      <c r="A73" s="2" t="s">
        <v>1025</v>
      </c>
      <c r="B73" s="2"/>
    </row>
    <row r="74" customFormat="false" ht="15" hidden="false" customHeight="false" outlineLevel="0" collapsed="false">
      <c r="A74" s="3" t="s">
        <v>1026</v>
      </c>
      <c r="B74" s="3" t="s">
        <v>1027</v>
      </c>
    </row>
    <row r="75" customFormat="false" ht="15" hidden="false" customHeight="false" outlineLevel="0" collapsed="false">
      <c r="A75" s="15" t="s">
        <v>1028</v>
      </c>
      <c r="B75" s="15" t="s">
        <v>1029</v>
      </c>
    </row>
    <row r="76" customFormat="false" ht="15" hidden="false" customHeight="false" outlineLevel="0" collapsed="false">
      <c r="A76" s="15" t="s">
        <v>1028</v>
      </c>
      <c r="B76" s="15" t="s">
        <v>1030</v>
      </c>
    </row>
    <row r="77" customFormat="false" ht="15" hidden="false" customHeight="false" outlineLevel="0" collapsed="false">
      <c r="A77" s="15" t="s">
        <v>1028</v>
      </c>
      <c r="B77" s="15" t="s">
        <v>1029</v>
      </c>
    </row>
    <row r="78" customFormat="false" ht="15" hidden="false" customHeight="false" outlineLevel="0" collapsed="false">
      <c r="A78" s="15" t="s">
        <v>1031</v>
      </c>
      <c r="B78" s="15" t="s">
        <v>1029</v>
      </c>
    </row>
    <row r="79" customFormat="false" ht="15" hidden="false" customHeight="false" outlineLevel="0" collapsed="false">
      <c r="A79" s="15" t="s">
        <v>1031</v>
      </c>
      <c r="B79" s="15" t="s">
        <v>1030</v>
      </c>
    </row>
    <row r="80" customFormat="false" ht="15" hidden="false" customHeight="false" outlineLevel="0" collapsed="false">
      <c r="A80" s="15" t="s">
        <v>1031</v>
      </c>
      <c r="B80" s="15" t="s">
        <v>1029</v>
      </c>
    </row>
    <row r="81" customFormat="false" ht="15" hidden="false" customHeight="false" outlineLevel="0" collapsed="false">
      <c r="A81" s="15" t="s">
        <v>1032</v>
      </c>
      <c r="B81" s="15" t="s">
        <v>1029</v>
      </c>
    </row>
    <row r="82" customFormat="false" ht="15" hidden="false" customHeight="false" outlineLevel="0" collapsed="false">
      <c r="A82" s="15" t="s">
        <v>1032</v>
      </c>
      <c r="B82" s="15" t="s">
        <v>1030</v>
      </c>
    </row>
    <row r="83" customFormat="false" ht="15" hidden="false" customHeight="false" outlineLevel="0" collapsed="false">
      <c r="A83" s="15" t="s">
        <v>1032</v>
      </c>
      <c r="B83" s="15" t="s">
        <v>1029</v>
      </c>
    </row>
    <row r="84" customFormat="false" ht="15" hidden="false" customHeight="false" outlineLevel="0" collapsed="false">
      <c r="A84" s="15" t="s">
        <v>1033</v>
      </c>
      <c r="B84" s="15" t="s">
        <v>1029</v>
      </c>
    </row>
    <row r="85" customFormat="false" ht="15" hidden="false" customHeight="false" outlineLevel="0" collapsed="false">
      <c r="A85" s="15" t="s">
        <v>1033</v>
      </c>
      <c r="B85" s="15" t="s">
        <v>1030</v>
      </c>
    </row>
    <row r="86" customFormat="false" ht="15" hidden="false" customHeight="false" outlineLevel="0" collapsed="false">
      <c r="A86" s="15" t="s">
        <v>1034</v>
      </c>
      <c r="B86" s="15" t="s">
        <v>1035</v>
      </c>
    </row>
    <row r="87" customFormat="false" ht="15" hidden="false" customHeight="false" outlineLevel="0" collapsed="false">
      <c r="A87" s="15" t="s">
        <v>1034</v>
      </c>
      <c r="B87" s="15" t="s">
        <v>1030</v>
      </c>
    </row>
    <row r="88" customFormat="false" ht="15" hidden="false" customHeight="false" outlineLevel="0" collapsed="false">
      <c r="A88" s="15" t="s">
        <v>1034</v>
      </c>
      <c r="B88" s="15" t="s">
        <v>1029</v>
      </c>
    </row>
    <row r="89" customFormat="false" ht="15" hidden="false" customHeight="false" outlineLevel="0" collapsed="false">
      <c r="A89" s="15" t="s">
        <v>1034</v>
      </c>
      <c r="B89" s="15" t="s">
        <v>1036</v>
      </c>
    </row>
    <row r="90" customFormat="false" ht="15" hidden="false" customHeight="false" outlineLevel="0" collapsed="false">
      <c r="A90" s="15" t="s">
        <v>1037</v>
      </c>
      <c r="B90" s="15" t="s">
        <v>1035</v>
      </c>
    </row>
    <row r="91" customFormat="false" ht="15" hidden="false" customHeight="false" outlineLevel="0" collapsed="false">
      <c r="A91" s="15" t="s">
        <v>1037</v>
      </c>
      <c r="B91" s="15" t="s">
        <v>1030</v>
      </c>
    </row>
    <row r="92" customFormat="false" ht="15" hidden="false" customHeight="false" outlineLevel="0" collapsed="false">
      <c r="A92" s="15" t="s">
        <v>1037</v>
      </c>
      <c r="B92" s="15" t="s">
        <v>1029</v>
      </c>
    </row>
    <row r="93" customFormat="false" ht="15" hidden="false" customHeight="false" outlineLevel="0" collapsed="false">
      <c r="A93" s="15" t="s">
        <v>1037</v>
      </c>
      <c r="B93" s="15" t="s">
        <v>1036</v>
      </c>
    </row>
    <row r="94" customFormat="false" ht="15" hidden="false" customHeight="false" outlineLevel="0" collapsed="false">
      <c r="A94" s="15" t="s">
        <v>1038</v>
      </c>
      <c r="B94" s="15" t="s">
        <v>1035</v>
      </c>
    </row>
    <row r="95" customFormat="false" ht="15" hidden="false" customHeight="false" outlineLevel="0" collapsed="false">
      <c r="A95" s="15" t="s">
        <v>1038</v>
      </c>
      <c r="B95" s="15" t="s">
        <v>1030</v>
      </c>
    </row>
    <row r="96" customFormat="false" ht="15" hidden="false" customHeight="false" outlineLevel="0" collapsed="false">
      <c r="A96" s="15" t="s">
        <v>1039</v>
      </c>
      <c r="B96" s="15" t="s">
        <v>1040</v>
      </c>
    </row>
    <row r="97" customFormat="false" ht="15" hidden="false" customHeight="false" outlineLevel="0" collapsed="false">
      <c r="A97" s="15" t="s">
        <v>1041</v>
      </c>
      <c r="B97" s="15" t="s">
        <v>1036</v>
      </c>
    </row>
    <row r="98" customFormat="false" ht="15" hidden="false" customHeight="false" outlineLevel="0" collapsed="false">
      <c r="A98" s="15" t="s">
        <v>1042</v>
      </c>
      <c r="B98" s="15" t="s">
        <v>1043</v>
      </c>
    </row>
    <row r="99" customFormat="false" ht="15" hidden="false" customHeight="false" outlineLevel="0" collapsed="false">
      <c r="A99" s="15" t="s">
        <v>1044</v>
      </c>
      <c r="B99" s="15" t="s">
        <v>1045</v>
      </c>
    </row>
    <row r="100" customFormat="false" ht="15" hidden="false" customHeight="false" outlineLevel="0" collapsed="false">
      <c r="A100" s="15" t="s">
        <v>1046</v>
      </c>
      <c r="B100" s="15" t="s">
        <v>1047</v>
      </c>
    </row>
    <row r="101" customFormat="false" ht="15" hidden="false" customHeight="false" outlineLevel="0" collapsed="false">
      <c r="A101" s="15" t="s">
        <v>1048</v>
      </c>
      <c r="B101" s="15" t="s">
        <v>1043</v>
      </c>
    </row>
    <row r="102" customFormat="false" ht="15" hidden="false" customHeight="false" outlineLevel="0" collapsed="false">
      <c r="A102" s="15" t="s">
        <v>1049</v>
      </c>
      <c r="B102" s="15" t="s">
        <v>1050</v>
      </c>
    </row>
    <row r="103" customFormat="false" ht="15" hidden="false" customHeight="false" outlineLevel="0" collapsed="false">
      <c r="A103" s="15" t="s">
        <v>1051</v>
      </c>
      <c r="B103" s="15" t="s">
        <v>1052</v>
      </c>
    </row>
    <row r="104" customFormat="false" ht="15" hidden="false" customHeight="false" outlineLevel="0" collapsed="false">
      <c r="A104" s="15" t="s">
        <v>1053</v>
      </c>
      <c r="B104" s="15" t="s">
        <v>1054</v>
      </c>
    </row>
    <row r="105" customFormat="false" ht="15" hidden="false" customHeight="false" outlineLevel="0" collapsed="false">
      <c r="A105" s="15" t="s">
        <v>1053</v>
      </c>
      <c r="B105" s="15" t="s">
        <v>1055</v>
      </c>
    </row>
    <row r="106" customFormat="false" ht="15" hidden="false" customHeight="false" outlineLevel="0" collapsed="false">
      <c r="A106" s="15" t="s">
        <v>1053</v>
      </c>
      <c r="B106" s="15" t="s">
        <v>1054</v>
      </c>
    </row>
    <row r="107" customFormat="false" ht="15" hidden="false" customHeight="false" outlineLevel="0" collapsed="false">
      <c r="A107" s="15" t="s">
        <v>1056</v>
      </c>
      <c r="B107" s="15" t="s">
        <v>1054</v>
      </c>
    </row>
    <row r="108" customFormat="false" ht="15" hidden="false" customHeight="false" outlineLevel="0" collapsed="false">
      <c r="A108" s="15" t="s">
        <v>1056</v>
      </c>
      <c r="B108" s="15" t="s">
        <v>1055</v>
      </c>
    </row>
    <row r="109" customFormat="false" ht="15" hidden="false" customHeight="false" outlineLevel="0" collapsed="false">
      <c r="A109" s="15" t="s">
        <v>1056</v>
      </c>
      <c r="B109" s="15" t="s">
        <v>1054</v>
      </c>
    </row>
    <row r="110" customFormat="false" ht="15" hidden="false" customHeight="false" outlineLevel="0" collapsed="false">
      <c r="A110" s="15" t="s">
        <v>1057</v>
      </c>
      <c r="B110" s="15" t="s">
        <v>1054</v>
      </c>
    </row>
    <row r="111" customFormat="false" ht="15" hidden="false" customHeight="false" outlineLevel="0" collapsed="false">
      <c r="A111" s="15" t="s">
        <v>1057</v>
      </c>
      <c r="B111" s="15" t="s">
        <v>1058</v>
      </c>
    </row>
    <row r="112" customFormat="false" ht="15" hidden="false" customHeight="false" outlineLevel="0" collapsed="false">
      <c r="A112" s="15" t="s">
        <v>1057</v>
      </c>
      <c r="B112" s="15" t="s">
        <v>1054</v>
      </c>
    </row>
    <row r="113" customFormat="false" ht="15" hidden="false" customHeight="false" outlineLevel="0" collapsed="false">
      <c r="A113" s="15" t="s">
        <v>1059</v>
      </c>
      <c r="B113" s="15" t="s">
        <v>1054</v>
      </c>
    </row>
    <row r="114" customFormat="false" ht="15" hidden="false" customHeight="false" outlineLevel="0" collapsed="false">
      <c r="A114" s="15" t="s">
        <v>1059</v>
      </c>
      <c r="B114" s="15" t="s">
        <v>1060</v>
      </c>
    </row>
    <row r="115" customFormat="false" ht="15" hidden="false" customHeight="false" outlineLevel="0" collapsed="false">
      <c r="A115" s="15" t="s">
        <v>1059</v>
      </c>
      <c r="B115" s="15" t="s">
        <v>1060</v>
      </c>
    </row>
    <row r="116" customFormat="false" ht="15" hidden="false" customHeight="false" outlineLevel="0" collapsed="false">
      <c r="A116" s="15" t="s">
        <v>1059</v>
      </c>
      <c r="B116" s="15" t="s">
        <v>1054</v>
      </c>
    </row>
    <row r="117" customFormat="false" ht="15" hidden="false" customHeight="false" outlineLevel="0" collapsed="false">
      <c r="A117" s="15" t="s">
        <v>1059</v>
      </c>
      <c r="B117" s="15" t="s">
        <v>1054</v>
      </c>
    </row>
  </sheetData>
  <mergeCells count="6">
    <mergeCell ref="A3:B3"/>
    <mergeCell ref="A17:B17"/>
    <mergeCell ref="A36:B36"/>
    <mergeCell ref="A60:B60"/>
    <mergeCell ref="A69:B69"/>
    <mergeCell ref="A73:B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2026-10-06T08:06:12Z</dcterms:created>
  <dc:creator>openpyxl</dc:creator>
  <dc:description/>
  <dc:language>en-US</dc:language>
  <cp:lastModifiedBy/>
  <dcterms:modified xsi:type="dcterms:W3CDTF">2026-10-06T08:06:13Z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