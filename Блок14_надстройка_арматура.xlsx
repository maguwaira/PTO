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требность" sheetId="1" state="visible" r:id="rId3"/>
    <sheet name="По осям" sheetId="2" state="visible" r:id="rId4"/>
    <sheet name="Исходные" sheetId="3" state="visible" r:id="rId5"/>
    <sheet name="Ведомость" sheetId="4" state="visible" r:id="rId6"/>
    <sheet name="Раскрой 11,7м" sheetId="5" state="visible" r:id="rId7"/>
    <sheet name="Проверк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<sst xmlns="http://schemas.openxmlformats.org/spreadsheetml/2006/main" count="995" uniqueCount="375">
  <si>
    <t xml:space="preserve">Блок 14 — надстройка (тех. этаж +18.350…+21.750) — потребность</t>
  </si>
  <si>
    <t xml:space="preserve">Диаметр</t>
  </si>
  <si>
    <t xml:space="preserve">Ед. изм.</t>
  </si>
  <si>
    <t xml:space="preserve">Колонны (4 шт)</t>
  </si>
  <si>
    <t xml:space="preserve">Ригели, балки, плита, С-1</t>
  </si>
  <si>
    <t xml:space="preserve">Итого (чистая)</t>
  </si>
  <si>
    <t xml:space="preserve">Итого × К зап</t>
  </si>
  <si>
    <t xml:space="preserve">Прутков 11,7 м</t>
  </si>
  <si>
    <t xml:space="preserve">Масса заказа по раскрою</t>
  </si>
  <si>
    <t xml:space="preserve">Отход, %</t>
  </si>
  <si>
    <t xml:space="preserve">К ЗАКАЗУ (большее)</t>
  </si>
  <si>
    <t xml:space="preserve">Диаметр 32 А500С</t>
  </si>
  <si>
    <t xml:space="preserve">кг</t>
  </si>
  <si>
    <t xml:space="preserve">Диаметр 28 А500С</t>
  </si>
  <si>
    <t xml:space="preserve">Диаметр 25 А500С</t>
  </si>
  <si>
    <t xml:space="preserve">Диаметр 20 А500С</t>
  </si>
  <si>
    <t xml:space="preserve">Диаметр 18 А500С</t>
  </si>
  <si>
    <t xml:space="preserve">Диаметр 16 А500С</t>
  </si>
  <si>
    <t xml:space="preserve">Диаметр 10 А500С</t>
  </si>
  <si>
    <t xml:space="preserve">Диаметр 10 А240</t>
  </si>
  <si>
    <t xml:space="preserve">Диаметр 8 А240</t>
  </si>
  <si>
    <t xml:space="preserve">Итого:</t>
  </si>
  <si>
    <t xml:space="preserve">т</t>
  </si>
  <si>
    <t xml:space="preserve">Контроль: = «Ведомость» и «По осям»</t>
  </si>
  <si>
    <t xml:space="preserve">← должно быть 0</t>
  </si>
  <si>
    <t xml:space="preserve">Бетон</t>
  </si>
  <si>
    <t xml:space="preserve">В25</t>
  </si>
  <si>
    <t xml:space="preserve">м³</t>
  </si>
  <si>
    <t xml:space="preserve">Прочие материалы</t>
  </si>
  <si>
    <t xml:space="preserve">Наименование</t>
  </si>
  <si>
    <t xml:space="preserve">Итого</t>
  </si>
  <si>
    <t xml:space="preserve">Основание</t>
  </si>
  <si>
    <t xml:space="preserve">Анкерная шайба АШ-3 (18)</t>
  </si>
  <si>
    <t xml:space="preserve">шт.</t>
  </si>
  <si>
    <t xml:space="preserve">2Ø18 ригелей × 2 конца (узел «3»: верхние и нижние стержни)</t>
  </si>
  <si>
    <t xml:space="preserve">Анкерная шайба АШ-4 (20)</t>
  </si>
  <si>
    <t xml:space="preserve">балка 4-4 у ригеля В: 4 стержня</t>
  </si>
  <si>
    <t xml:space="preserve">Анкерная шайба АШ-6 (25)</t>
  </si>
  <si>
    <t xml:space="preserve">балки 1-1: 2 балки × 2 конца у ригелей × 4 стержня (АС-57 узел «1»)</t>
  </si>
  <si>
    <t xml:space="preserve">Анкерная шайба АШ-7 (28)</t>
  </si>
  <si>
    <t xml:space="preserve">верх угловых Ø28 колонн Г/3, Г/4; 4Ø28 ригелей × 2 конца (узел «3»)</t>
  </si>
  <si>
    <t xml:space="preserve">Анкерная шайба АШ-8 (32)</t>
  </si>
  <si>
    <t xml:space="preserve">верх угловых Ø32 колонн В/3, В/4</t>
  </si>
  <si>
    <t xml:space="preserve">Масса анкерных шайб (справочно)</t>
  </si>
  <si>
    <t xml:space="preserve">шт × масса 1 шт по АС-33 (лист «Исходные»)</t>
  </si>
  <si>
    <t xml:space="preserve">Ванночка d32 (= стыков ванной сварки)</t>
  </si>
  <si>
    <t xml:space="preserve">вертикали колонн — 1 стык на стержень над +18.350; АС-19 прим.1: в инвентарной медной форме</t>
  </si>
  <si>
    <t xml:space="preserve">Ванночка d28 (= стыков ванной сварки)</t>
  </si>
  <si>
    <t xml:space="preserve">то же</t>
  </si>
  <si>
    <t xml:space="preserve">Ванночка d20 (= стыков ванной сварки)</t>
  </si>
  <si>
    <t xml:space="preserve">Электроды</t>
  </si>
  <si>
    <t xml:space="preserve">масса × К зап / 1000 × норма шаблона (лист «Исходные»)</t>
  </si>
  <si>
    <t xml:space="preserve">Вязальная проволока</t>
  </si>
  <si>
    <t xml:space="preserve">Вулканит</t>
  </si>
  <si>
    <t xml:space="preserve">Гвозди 100 мм</t>
  </si>
  <si>
    <t xml:space="preserve">норма на этаж 18×18 (324 м²) × площадь плиты надстройки / 324 (≈ ×0,14)</t>
  </si>
  <si>
    <t xml:space="preserve">Гвозди 70 мм</t>
  </si>
  <si>
    <t xml:space="preserve">Гвозди — справочно: сметная норма ГЭСН (не складывать)</t>
  </si>
  <si>
    <t xml:space="preserve">объём бетона × норма ГЭСН на 100 м³ (колонны 45, перекрытие ребристое 116 кг)</t>
  </si>
  <si>
    <t xml:space="preserve">Пена монтажная</t>
  </si>
  <si>
    <t xml:space="preserve">баллон</t>
  </si>
  <si>
    <t xml:space="preserve">Труба квадратная 25×25×0,8</t>
  </si>
  <si>
    <t xml:space="preserve">м</t>
  </si>
  <si>
    <t xml:space="preserve">Бур по бетону 260×12</t>
  </si>
  <si>
    <t xml:space="preserve">Диск по дереву 180/230</t>
  </si>
  <si>
    <t xml:space="preserve">Дюбель-гвоздь для бетона 4,5×50</t>
  </si>
  <si>
    <t xml:space="preserve">П/лес обрезной (опалубка)</t>
  </si>
  <si>
    <t xml:space="preserve">в КЖ нет — ТРЕБУЕТСЯ УТОЧНЕНИЕ (по ППР / норме участка)</t>
  </si>
  <si>
    <t xml:space="preserve">Блок 14, ул. Токомбаева — надстройка (технический этаж над лестницей и лифтом), отм. +18.350…+21.750, оси 3–4 / В–Г — м.п. → кг</t>
  </si>
  <si>
    <t xml:space="preserve">м.п. в ячейке — формула из чисел «кол-во × длина» по позициям (расшифровка — лист «Ведомость»); Всего = м.п. × кг/м × К зап</t>
  </si>
  <si>
    <t xml:space="preserve">К зап</t>
  </si>
  <si>
    <t xml:space="preserve">НАДСТРОЙКА</t>
  </si>
  <si>
    <t xml:space="preserve">Колонны</t>
  </si>
  <si>
    <t xml:space="preserve">Ригели +21.750</t>
  </si>
  <si>
    <t xml:space="preserve">Балки</t>
  </si>
  <si>
    <t xml:space="preserve">Перекрытие</t>
  </si>
  <si>
    <t xml:space="preserve">Сетки С-1</t>
  </si>
  <si>
    <t xml:space="preserve">+18.350…+21.750</t>
  </si>
  <si>
    <t xml:space="preserve">ось В</t>
  </si>
  <si>
    <t xml:space="preserve">ось Г</t>
  </si>
  <si>
    <t xml:space="preserve">ось 3</t>
  </si>
  <si>
    <t xml:space="preserve">ось 4</t>
  </si>
  <si>
    <t xml:space="preserve">Основная</t>
  </si>
  <si>
    <t xml:space="preserve">Хомуты</t>
  </si>
  <si>
    <t xml:space="preserve">Ф-1, шп.</t>
  </si>
  <si>
    <t xml:space="preserve">С-1</t>
  </si>
  <si>
    <t xml:space="preserve">Итого (м.п.)</t>
  </si>
  <si>
    <t xml:space="preserve">Масса ед. кг</t>
  </si>
  <si>
    <t xml:space="preserve">Всего, кг</t>
  </si>
  <si>
    <t xml:space="preserve">Масса ед.</t>
  </si>
  <si>
    <t xml:space="preserve">оси 3–4 / В–Г</t>
  </si>
  <si>
    <t xml:space="preserve">В/3, В/4 (1-1)</t>
  </si>
  <si>
    <t xml:space="preserve">Г/3, Г/4 (2-2)</t>
  </si>
  <si>
    <t xml:space="preserve">4-4</t>
  </si>
  <si>
    <t xml:space="preserve">5-5</t>
  </si>
  <si>
    <t xml:space="preserve">1-1, 4-4</t>
  </si>
  <si>
    <t xml:space="preserve">Ø10/200</t>
  </si>
  <si>
    <t xml:space="preserve">40 шт</t>
  </si>
  <si>
    <t xml:space="preserve">Арматура, (м.п.)</t>
  </si>
  <si>
    <t xml:space="preserve">Диаметр 32 А500С, L=м.п.</t>
  </si>
  <si>
    <t xml:space="preserve">Диаметр 28 А500С, L=м.п.</t>
  </si>
  <si>
    <t xml:space="preserve">Диаметр 25 А500С, L=м.п.</t>
  </si>
  <si>
    <t xml:space="preserve">Диаметр 20 А500С, L=м.п.</t>
  </si>
  <si>
    <t xml:space="preserve">Диаметр 18 А500С, L=м.п.</t>
  </si>
  <si>
    <t xml:space="preserve">Диаметр 16 А500С, L=м.п.</t>
  </si>
  <si>
    <t xml:space="preserve">Диаметр 10 А500С, L=м.п.</t>
  </si>
  <si>
    <t xml:space="preserve">Диаметр 10 А240, L=м.п.</t>
  </si>
  <si>
    <t xml:space="preserve">Диаметр 8 А240, L=м.п.</t>
  </si>
  <si>
    <t xml:space="preserve">Масса чистая (без К зап), кг</t>
  </si>
  <si>
    <t xml:space="preserve">Всего с К зап, кг</t>
  </si>
  <si>
    <t xml:space="preserve">Контроль: чистая масса = «Ведомость»</t>
  </si>
  <si>
    <t xml:space="preserve">Бетон В25, м³</t>
  </si>
  <si>
    <t xml:space="preserve">Удельный расход (чистый), кг/м³</t>
  </si>
  <si>
    <t xml:space="preserve">Прочие материалы, шт.</t>
  </si>
  <si>
    <t xml:space="preserve">АШ-1, д14, шт.</t>
  </si>
  <si>
    <t xml:space="preserve">АШ-2, д16, шт.</t>
  </si>
  <si>
    <t xml:space="preserve">АШ-3, д18, шт.</t>
  </si>
  <si>
    <t xml:space="preserve">АШ-4, д20, шт.</t>
  </si>
  <si>
    <t xml:space="preserve">АШ-5, д22, шт.</t>
  </si>
  <si>
    <t xml:space="preserve">АШ-6, д25, шт.</t>
  </si>
  <si>
    <t xml:space="preserve">АШ-7, д28, шт.</t>
  </si>
  <si>
    <t xml:space="preserve">АШ-8, д32, шт.</t>
  </si>
  <si>
    <t xml:space="preserve">ВН32, шт. (стыки ванной сваркой)</t>
  </si>
  <si>
    <t xml:space="preserve">ВН28, шт. (стыки ванной сваркой)</t>
  </si>
  <si>
    <t xml:space="preserve">ВН25, шт. (стыки ванной сваркой)</t>
  </si>
  <si>
    <t xml:space="preserve">ВН22, шт. (стыки ванной сваркой)</t>
  </si>
  <si>
    <t xml:space="preserve">ВН20, шт. (стыки ванной сваркой)</t>
  </si>
  <si>
    <t xml:space="preserve">Блок 14, ул. Токомбаева — надстройка (технический этаж над лестницей и лифтом), отм. +18.350…+21.750, оси 3–4 / В–Г</t>
  </si>
  <si>
    <t xml:space="preserve">Объект</t>
  </si>
  <si>
    <t xml:space="preserve">5,7,9-эт. жилые дома, ул. Токомбаева (Блоки 11–15) — Блок 14, проект ОсОО «Билд-Форм», стадия РП, раздел АС</t>
  </si>
  <si>
    <t xml:space="preserve">Что считается</t>
  </si>
  <si>
    <t xml:space="preserve">Надстройка над покрытием +18.350: 4 колонны (В/3, В/4, Г/3, Г/4) от стыка над +18.350 до +21.750, ригели +21.750 по осям В, Г, 3, 4, плита +21.750 с балками, сетки С-1 в узлах «3»</t>
  </si>
  <si>
    <t xml:space="preserve">Не входит</t>
  </si>
  <si>
    <t xml:space="preserve">5 этаж и ниже (книга «Блок14_1-5этаж_арматура.xlsx»); ограждающие стены надстройки (в КЖ нет)</t>
  </si>
  <si>
    <t xml:space="preserve">Арматура / бетон</t>
  </si>
  <si>
    <t xml:space="preserve">А500С, А240 по ГОСТ 34028-2016; бетон В25 (АС-19 прим.6)</t>
  </si>
  <si>
    <t xml:space="preserve">Длина прутка, м</t>
  </si>
  <si>
    <t xml:space="preserve">К(зап) арматура</t>
  </si>
  <si>
    <t xml:space="preserve">К(зап) бетон</t>
  </si>
  <si>
    <t xml:space="preserve">Ø, мм</t>
  </si>
  <si>
    <t xml:space="preserve">кг/м</t>
  </si>
  <si>
    <t xml:space="preserve">Аш (АС-33): Ø → масса 1 шт, кг</t>
  </si>
  <si>
    <t xml:space="preserve">Аш-1</t>
  </si>
  <si>
    <t xml:space="preserve">Аш-2</t>
  </si>
  <si>
    <t xml:space="preserve">Аш-3</t>
  </si>
  <si>
    <t xml:space="preserve">Аш-4</t>
  </si>
  <si>
    <t xml:space="preserve">Аш-5</t>
  </si>
  <si>
    <t xml:space="preserve">Аш-6</t>
  </si>
  <si>
    <t xml:space="preserve">Аш-7</t>
  </si>
  <si>
    <t xml:space="preserve">Аш-8</t>
  </si>
  <si>
    <t xml:space="preserve">кг на 1 т арматуры (с К зап, норма вашего шаблона)</t>
  </si>
  <si>
    <t xml:space="preserve">кг на 1 т</t>
  </si>
  <si>
    <t xml:space="preserve">шт на 1 т</t>
  </si>
  <si>
    <t xml:space="preserve">Площади для пересчёта расходников «на этаж» (как в основной книге)</t>
  </si>
  <si>
    <t xml:space="preserve">Прошлый объект (шаблон): этаж 18 × 18 м, м²</t>
  </si>
  <si>
    <t xml:space="preserve">Надстройка: площадь плиты +21.750, м²</t>
  </si>
  <si>
    <t xml:space="preserve">контур 6,95 × 7,095 м минус проёмы (лист «Проверки»)</t>
  </si>
  <si>
    <t xml:space="preserve">кг на этаж 18×18</t>
  </si>
  <si>
    <t xml:space="preserve">баллон на этаж 18×18</t>
  </si>
  <si>
    <t xml:space="preserve">м на этаж 18×18</t>
  </si>
  <si>
    <t xml:space="preserve">шт на этаж 18×18</t>
  </si>
  <si>
    <t xml:space="preserve">Гвозди ГЭСН — колонны</t>
  </si>
  <si>
    <t xml:space="preserve">кг на 100 м³ бетона (ГЭСН 06-01-026-04)</t>
  </si>
  <si>
    <t xml:space="preserve">Гвозди ГЭСН — перекрытие ребристое</t>
  </si>
  <si>
    <t xml:space="preserve">кг на 100 м³ бетона (ГЭСН 06-01-041-05)</t>
  </si>
  <si>
    <t xml:space="preserve">Листы</t>
  </si>
  <si>
    <t xml:space="preserve">АС-19 (стр.2)</t>
  </si>
  <si>
    <t xml:space="preserve">монтажная схема рам на отм. 21.750 — 4 колонны 6500×6500; примечания (сварка Ø≥20 в медной форме встык, Аш)</t>
  </si>
  <si>
    <t xml:space="preserve">АС-22, АС-23 (стр.5, 6)</t>
  </si>
  <si>
    <t xml:space="preserve">рамы В, Г: портал над 18.350, ригель 4-4, колонны Г/3, Г/4 «2-2», узлы «3»; на раме В — сварка выше 18.350</t>
  </si>
  <si>
    <t xml:space="preserve">АС-26, АС-27 (стр.9, 10)</t>
  </si>
  <si>
    <t xml:space="preserve">рамы 3, 4: верхний ригель 5-5 (4Ø28 + 2Ø18 + 2Ø16)</t>
  </si>
  <si>
    <t xml:space="preserve">АС-28, АС-30, АС-31, АС-32, АС-33</t>
  </si>
  <si>
    <t xml:space="preserve">сечения колонн/ригелей, узел «3», С-1, разрез Б-Б, хомуты колонн, анкерующие шайбы</t>
  </si>
  <si>
    <t xml:space="preserve">АС-52 (стр.33)</t>
  </si>
  <si>
    <t xml:space="preserve">«План перекрытия на отм. 21.750»: осн. сетка Ø10 ш.200×200, свес 370, балки «1», «4-4», проёмы</t>
  </si>
  <si>
    <t xml:space="preserve">АС-55…58 (стр.35–38)</t>
  </si>
  <si>
    <t xml:space="preserve">сечения балок 1-1, 4-4, узлы «1», «Д», шаг хомутов, фиксаторы</t>
  </si>
  <si>
    <t xml:space="preserve">Ведомость подсчёта арматуры — Блок 14, ул. Токомбаева — надстройка (технический этаж над лестницей и лифтом), отм. +18.350…+21.750, оси 3–4 / В–Г</t>
  </si>
  <si>
    <t xml:space="preserve">Общая длина = Кол-во элементов × Стержней в 1 элементе × Длина 1 шт.; Масса = Общая длина × кг/м. Синим — данные чертежей.</t>
  </si>
  <si>
    <t xml:space="preserve">№</t>
  </si>
  <si>
    <t xml:space="preserve">Конструкция</t>
  </si>
  <si>
    <t xml:space="preserve">Оси / место</t>
  </si>
  <si>
    <t xml:space="preserve">Марка</t>
  </si>
  <si>
    <t xml:space="preserve">Поз.</t>
  </si>
  <si>
    <t xml:space="preserve">Класс</t>
  </si>
  <si>
    <t xml:space="preserve">Шаг</t>
  </si>
  <si>
    <t xml:space="preserve">Кол-во элем.</t>
  </si>
  <si>
    <t xml:space="preserve">Стержней в элем.</t>
  </si>
  <si>
    <t xml:space="preserve">Длина 1 шт, м</t>
  </si>
  <si>
    <t xml:space="preserve">Общая длина, м</t>
  </si>
  <si>
    <t xml:space="preserve">Масса, кг</t>
  </si>
  <si>
    <t xml:space="preserve">Основание (лист, выноска)</t>
  </si>
  <si>
    <t xml:space="preserve">Статус</t>
  </si>
  <si>
    <t xml:space="preserve">Примечание</t>
  </si>
  <si>
    <t xml:space="preserve">Группа</t>
  </si>
  <si>
    <t xml:space="preserve">Ключ</t>
  </si>
  <si>
    <t xml:space="preserve">ось В: В/3, В/4</t>
  </si>
  <si>
    <t xml:space="preserve">К-В</t>
  </si>
  <si>
    <t xml:space="preserve">1</t>
  </si>
  <si>
    <t xml:space="preserve">Вертикальные: угловые 4Ø32 (сеч.1-1) — ½ стержней, стык +800</t>
  </si>
  <si>
    <t xml:space="preserve">А500С</t>
  </si>
  <si>
    <t xml:space="preserve">—</t>
  </si>
  <si>
    <t xml:space="preserve">АС-28 сеч.1-1; АС-22 рама В: над 18.350 колонны без выноски сечения → 1-1, как на 2–5 этажах; точки ванной сварки выше 18.350</t>
  </si>
  <si>
    <t xml:space="preserve">по проекту</t>
  </si>
  <si>
    <t xml:space="preserve">От стыка на +800 над +18.350 до верха плиты 21.750 − 50 = 2.55 м; на верхнем конце Аш (АС-30 узел «3», АС-31 Б-Б).</t>
  </si>
  <si>
    <t xml:space="preserve">5</t>
  </si>
  <si>
    <t xml:space="preserve">Вертикальные: промежуточные 8Ø20 (сеч.1-1) — ½ стержней, стык +800</t>
  </si>
  <si>
    <t xml:space="preserve">АС-28 сеч.1-1 поз.5</t>
  </si>
  <si>
    <t xml:space="preserve">L = 2.55 м. По АС-31 Б-Б «Аш-… свыше Ø20» — у Ø20 шайб нет; анкеровка Ø20 у верха не показана (ТРЕБУЕТСЯ УТОЧНЕНИЕ).</t>
  </si>
  <si>
    <t xml:space="preserve">Вертикальные: угловые 4Ø32 (сеч.1-1) — ½ стержней, стык +1300</t>
  </si>
  <si>
    <t xml:space="preserve">От стыка на +1300 над +18.350 до верха плиты 21.750 − 50 = 2.05 м; на верхнем конце Аш (АС-30 узел «3», АС-31 Б-Б).</t>
  </si>
  <si>
    <t xml:space="preserve">Вертикальные: промежуточные 8Ø20 (сеч.1-1) — ½ стержней, стык +1300</t>
  </si>
  <si>
    <t xml:space="preserve">L = 2.05 м. По АС-31 Б-Б «Аш-… свыше Ø20» — у Ø20 шайб нет; анкеровка Ø20 у верха не показана (ТРЕБУЕТСЯ УТОЧНЕНИЕ).</t>
  </si>
  <si>
    <t xml:space="preserve">10</t>
  </si>
  <si>
    <t xml:space="preserve">Хомут наружный Ø8 L=2440: 13 + 1 + 13 = 27 шт (в свету 2800: 50+100×12+200+100×12+50)</t>
  </si>
  <si>
    <t xml:space="preserve">А240</t>
  </si>
  <si>
    <t xml:space="preserve">100/200</t>
  </si>
  <si>
    <t xml:space="preserve">АС-28 поз.10 L=2440; шаг по АС-32 (схема дана до 18.350 — для тех. этажа принят тот же порядок)</t>
  </si>
  <si>
    <t xml:space="preserve">принято (уточнить)</t>
  </si>
  <si>
    <t xml:space="preserve">11</t>
  </si>
  <si>
    <t xml:space="preserve">Хомут внутренний Ø8 L=1960 ш.200: 2 шт × 15 рядов</t>
  </si>
  <si>
    <t xml:space="preserve">АС-28 «11 хом.Ø8 ш.200», поз.11 L=1960; рядов 2800/200 + 1 = 15</t>
  </si>
  <si>
    <t xml:space="preserve">ось Г: Г/3, Г/4</t>
  </si>
  <si>
    <t xml:space="preserve">К-Г</t>
  </si>
  <si>
    <t xml:space="preserve">2</t>
  </si>
  <si>
    <t xml:space="preserve">Вертикальные: угловые 4Ø28 (сеч.2-2) — ½ стержней, стык +800</t>
  </si>
  <si>
    <t xml:space="preserve">АС-28 сеч.2-2; АС-23 рама Г: выноски «2-2 / 4Ø28 / 8Ø20» над 18.350</t>
  </si>
  <si>
    <t xml:space="preserve">Вертикальные: промежуточные 8Ø20 (сеч.2-2) — ½ стержней, стык +800</t>
  </si>
  <si>
    <t xml:space="preserve">АС-28 сеч.2-2 поз.5</t>
  </si>
  <si>
    <t xml:space="preserve">Вертикальные: угловые 4Ø28 (сеч.2-2) — ½ стержней, стык +1300</t>
  </si>
  <si>
    <t xml:space="preserve">Вертикальные: промежуточные 8Ø20 (сеч.2-2) — ½ стержней, стык +1300</t>
  </si>
  <si>
    <t xml:space="preserve">Ригели</t>
  </si>
  <si>
    <t xml:space="preserve">ось В, оси 3–4 (отм. +21.750)</t>
  </si>
  <si>
    <t xml:space="preserve">Р-В</t>
  </si>
  <si>
    <t xml:space="preserve">Продольные угловые 4Ø28 (сеч.4-4), концы с Аш</t>
  </si>
  <si>
    <t xml:space="preserve">АС-22 верхний ярус: выноска «4-4 / 4Ø28 / 2Ø18 / 2Ø16»; L = 6500 + 2×250 (до наружной грани крайних колонн, АС-30 узел «3»)</t>
  </si>
  <si>
    <t xml:space="preserve">по геометрии чертежа</t>
  </si>
  <si>
    <t xml:space="preserve">6</t>
  </si>
  <si>
    <t xml:space="preserve">Продольные средние верх/низ 2Ø18 (сеч.4-4), концы с Аш</t>
  </si>
  <si>
    <t xml:space="preserve">АС-28 сеч.4-4 поз.6</t>
  </si>
  <si>
    <t xml:space="preserve">7</t>
  </si>
  <si>
    <t xml:space="preserve">Боковые стержни 2Ø16 (сеч.4-4)</t>
  </si>
  <si>
    <t xml:space="preserve">АС-28 сеч.4-4 поз.7</t>
  </si>
  <si>
    <t xml:space="preserve">12</t>
  </si>
  <si>
    <t xml:space="preserve">Хомут Ø8 L=2060 ш.100 у опор (100×12), ш.150 в пролёте, 80×4 у балок плиты</t>
  </si>
  <si>
    <t xml:space="preserve">100/150</t>
  </si>
  <si>
    <t xml:space="preserve">АС-28 поз.12; АС-29 «Расстановка хомутов в ригелях»; штриховки на ярусе 21.750 нет</t>
  </si>
  <si>
    <t xml:space="preserve">Пролёт в свету 300…6200 мм, балки плиты в точках [1200, 4050]</t>
  </si>
  <si>
    <t xml:space="preserve">17</t>
  </si>
  <si>
    <t xml:space="preserve">Шпилька вертикальная Ø8 L=750: ш.200 у опор, ш.150 в пролёте</t>
  </si>
  <si>
    <t xml:space="preserve">200/150</t>
  </si>
  <si>
    <t xml:space="preserve">АС-28 поз.17</t>
  </si>
  <si>
    <t xml:space="preserve">16</t>
  </si>
  <si>
    <t xml:space="preserve">Шпилька горизонтальная Ø8 L=580 ш.300</t>
  </si>
  <si>
    <t xml:space="preserve">АС-28 «шп.Ø8 А240 ш.300», поз.16</t>
  </si>
  <si>
    <t xml:space="preserve">ось Г, оси 3–4 (отм. +21.750)</t>
  </si>
  <si>
    <t xml:space="preserve">Р-Г</t>
  </si>
  <si>
    <t xml:space="preserve">АС-23 верхний ярус: выноска «4-4 / 4Ø28 / 2Ø18 / 2Ø16»; L = 6500 + 2×250 (до наружной грани крайних колонн, АС-30 узел «3»)</t>
  </si>
  <si>
    <t xml:space="preserve">Пролёт в свету 300…6200 мм, балки плиты в точках [4050]</t>
  </si>
  <si>
    <t xml:space="preserve">ось 3, оси В–Г (отм. +21.750)</t>
  </si>
  <si>
    <t xml:space="preserve">Р-3</t>
  </si>
  <si>
    <t xml:space="preserve">Продольные угловые 4Ø28 (сеч.5-5), концы с Аш</t>
  </si>
  <si>
    <t xml:space="preserve">АС-26 верхний ярус: выноска «5-5 / 4Ø28 / 2Ø18 / 2Ø16»; L = 6500 + 2×250 (до наружной грани крайних колонн, АС-30 узел «3»)</t>
  </si>
  <si>
    <t xml:space="preserve">Продольные средние верх/низ 2Ø18 (сеч.5-5), концы с Аш</t>
  </si>
  <si>
    <t xml:space="preserve">АС-28 сеч.5-5 поз.6</t>
  </si>
  <si>
    <t xml:space="preserve">Боковые стержни 2Ø16 (сеч.5-5)</t>
  </si>
  <si>
    <t xml:space="preserve">АС-28 сеч.5-5 поз.7</t>
  </si>
  <si>
    <t xml:space="preserve">Пролёт в свету 300…6200 мм, балки плиты в точках [3460]</t>
  </si>
  <si>
    <t xml:space="preserve">ось 4, оси В–Г (отм. +21.750)</t>
  </si>
  <si>
    <t xml:space="preserve">Р-4</t>
  </si>
  <si>
    <t xml:space="preserve">АС-27 верхний ярус: выноска «5-5 / 4Ø28 / 2Ø18 / 2Ø16»; L = 6500 + 2×250 (до наружной грани крайних колонн, АС-30 узел «3»)</t>
  </si>
  <si>
    <t xml:space="preserve">Плита перекрытия</t>
  </si>
  <si>
    <t xml:space="preserve">3–4 / В–Г</t>
  </si>
  <si>
    <t xml:space="preserve">ПМ-21.750</t>
  </si>
  <si>
    <t xml:space="preserve">НX</t>
  </si>
  <si>
    <t xml:space="preserve">Нижняя осн. сетка, направление X (вдоль осей 3–4)</t>
  </si>
  <si>
    <t xml:space="preserve">АС-52 «План перекрытия на отм. 21.750»: «Осн. сетка Ø10 А500С ш.200×200» (верх и низ, как АС-54)</t>
  </si>
  <si>
    <t xml:space="preserve">П-сетка</t>
  </si>
  <si>
    <t xml:space="preserve">НY</t>
  </si>
  <si>
    <t xml:space="preserve">Нижняя осн. сетка, направление Y (вдоль осей В–Г)</t>
  </si>
  <si>
    <t xml:space="preserve">ВX</t>
  </si>
  <si>
    <t xml:space="preserve">Верхняя осн. сетка, направление X (вдоль осей 3–4)</t>
  </si>
  <si>
    <t xml:space="preserve">ВY</t>
  </si>
  <si>
    <t xml:space="preserve">Верхняя осн. сетка, направление Y (вдоль осей В–Г)</t>
  </si>
  <si>
    <t xml:space="preserve">вся плита</t>
  </si>
  <si>
    <t xml:space="preserve">Ф-1</t>
  </si>
  <si>
    <t xml:space="preserve">Фиксатор верхней сетки Ø10 ш.800×800 шахм.: 45.3 м² / 0,64 = 71 шт</t>
  </si>
  <si>
    <t xml:space="preserve">800×800</t>
  </si>
  <si>
    <t xml:space="preserve">АС-55 «Фиксатор»</t>
  </si>
  <si>
    <t xml:space="preserve">ДЛИНА ПРИНЯТА (уточнить)</t>
  </si>
  <si>
    <t xml:space="preserve">П-фикс</t>
  </si>
  <si>
    <t xml:space="preserve">шп</t>
  </si>
  <si>
    <t xml:space="preserve">Шпилька Ø8 ш.800 шахм. между сетками: 71 шт</t>
  </si>
  <si>
    <t xml:space="preserve">800</t>
  </si>
  <si>
    <t xml:space="preserve">АС-55 «Фрагмент армирования перекрытия»</t>
  </si>
  <si>
    <t xml:space="preserve">Плита перекрытия — балки</t>
  </si>
  <si>
    <t xml:space="preserve">Y 3310…3610 (по середине), оси 3–4</t>
  </si>
  <si>
    <t xml:space="preserve">Б-1 (1-1)</t>
  </si>
  <si>
    <t xml:space="preserve">3</t>
  </si>
  <si>
    <t xml:space="preserve">Балка H1: продольные 2Ø25 верх + 2Ø25 низ</t>
  </si>
  <si>
    <t xml:space="preserve">АС-52 план 21.750 (выноски «1», «4-4»); АС-55 сеч.1-1; АС-57 узел «1»</t>
  </si>
  <si>
    <t xml:space="preserve">Пролёт в свету 6050 мм; концы — в ригелях 3 и 4 (до наружной грани − 25, Аш).</t>
  </si>
  <si>
    <t xml:space="preserve">Б-основная</t>
  </si>
  <si>
    <t xml:space="preserve">X 3900…4200, оси В–Г</t>
  </si>
  <si>
    <t xml:space="preserve">Балка V1: продольные 2Ø25 верх + 2Ø25 низ</t>
  </si>
  <si>
    <t xml:space="preserve">Пролёт в свету 6050 мм; концы — в ригелях В и Г.</t>
  </si>
  <si>
    <t xml:space="preserve">X 1100…1300 (у шахты), от ригеля В до балки 1-1</t>
  </si>
  <si>
    <t xml:space="preserve">Б-4 (4-4)</t>
  </si>
  <si>
    <t xml:space="preserve">Балка B4v: продольные 2Ø20 верх + 2Ø20 низ</t>
  </si>
  <si>
    <t xml:space="preserve">АС-52 план 21.750 (выноски «1», «4-4»); АС-55 сеч.4-4; АС-57 узел «1»</t>
  </si>
  <si>
    <t xml:space="preserve">Пролёт в свету 3085 мм; ригель В + заход в балку 1-1.</t>
  </si>
  <si>
    <t xml:space="preserve">Y 710…910 (над проёмом), от балки 4-4 до балки 1-1</t>
  </si>
  <si>
    <t xml:space="preserve">Балка B4h: продольные 2Ø20 верх + 2Ø20 низ</t>
  </si>
  <si>
    <t xml:space="preserve">Пролёт в свету 2600 мм; заход в балку 4-4 и в балку 1-1.</t>
  </si>
  <si>
    <t xml:space="preserve">все балки сечения 1-1</t>
  </si>
  <si>
    <t xml:space="preserve">Б (1-1)</t>
  </si>
  <si>
    <t xml:space="preserve">Хомуты балок сеч.1-1: хом.Ø8 L=1240 (поз.10); шаг 100 у опор (×10 при L&gt;6 м, ×7 при L&lt;6 м) и ×3 у пересечений, 200 в пролёте</t>
  </si>
  <si>
    <t xml:space="preserve">АС-55 сеч.1-1; АС-57 «Шаг хомутов», узел «Д»; АС-58 ведомость</t>
  </si>
  <si>
    <t xml:space="preserve">Б-хомуты</t>
  </si>
  <si>
    <t xml:space="preserve">все балки сечения 4-4</t>
  </si>
  <si>
    <t xml:space="preserve">Б (4-4)</t>
  </si>
  <si>
    <t xml:space="preserve">13</t>
  </si>
  <si>
    <t xml:space="preserve">Хомуты балок сеч.4-4: хом.Ø8 L=1040 (поз.13); шаг 100 у опор (×10 при L&gt;6 м, ×7 при L&lt;6 м) и ×3 у пересечений, 200 в пролёте</t>
  </si>
  <si>
    <t xml:space="preserve">АС-55 сеч.4-4; АС-57 «Шаг хомутов», узел «Д»; АС-58 ведомость</t>
  </si>
  <si>
    <t xml:space="preserve">Сетки-гребёнки С-1</t>
  </si>
  <si>
    <t xml:space="preserve">узлы колонна–ригель +21.750 (4 узла «3»)</t>
  </si>
  <si>
    <t xml:space="preserve">С-1: 7Ø10 (гребень + 6 зубьев по 570 мм); 4 узла × 5 рядов × 2 (попарно) = 40 сеток</t>
  </si>
  <si>
    <t xml:space="preserve">АС-30 узел «3» «С-1 установить попарно шаг 90» (5 рядов)</t>
  </si>
  <si>
    <t xml:space="preserve">ИТОГО надстройка</t>
  </si>
  <si>
    <t xml:space="preserve">Раскрой под прутки 11,7 м — надстройка (самостоятельный заказ)</t>
  </si>
  <si>
    <t xml:space="preserve">Ø</t>
  </si>
  <si>
    <t xml:space="preserve">Чистая длина, м</t>
  </si>
  <si>
    <t xml:space="preserve">Прутков 11,7 м, шт</t>
  </si>
  <si>
    <t xml:space="preserve">Масса заказа, кг</t>
  </si>
  <si>
    <t xml:space="preserve">Чистая масса, кг</t>
  </si>
  <si>
    <t xml:space="preserve">Отход, кг</t>
  </si>
  <si>
    <t xml:space="preserve">Схемы раскроя (длины деталей, м × шт в прутке) × кол-во прутков</t>
  </si>
  <si>
    <t xml:space="preserve">2.55×4 → 1 пр.; 2.05×4 → 1 пр.</t>
  </si>
  <si>
    <t xml:space="preserve">7×1 + 2.55×1 + 2.05×1 → 4 пр.; 7×1 → 12 пр.</t>
  </si>
  <si>
    <t xml:space="preserve">6.9×1 → 8 пр.</t>
  </si>
  <si>
    <t xml:space="preserve">3.785×3 → 1 пр.; 2.55×2 + 2.05×3 → 1 пр.; 3.05×2 + 2.55×2 → 1 пр.; 2.05×5 → 2 пр.; 2.55×4 → 3 пр.; 3.785×1 + 3.05×2 → 1 пр.; 2.05×3 → 1 пр.</t>
  </si>
  <si>
    <t xml:space="preserve">7×1 → 8 пр.</t>
  </si>
  <si>
    <t xml:space="preserve">6.9×1 + 0.4×12 → 4 пр.; 7.045×1 + 3.51×1 + 0.57×2 → 8 пр.; 6.11×1 + 5.575×1 → 26 пр.; 7.045×1 + 0.57×8 → 24 пр.; 6.9×1 + 0.57×4 + 0.4×6 → 1 пр.; 7.045×1 + 2.775×1 + 0.57×3 → 4 пр.; 6.9×1 + 0.57×8 → 7 пр.; 6.9×1 + 0.4×10 → 1 пр.; 6.9×1 → 29 пр.</t>
  </si>
  <si>
    <t xml:space="preserve">0.42×27 → 2 пр.; 0.42×17 → 1 пр.</t>
  </si>
  <si>
    <t xml:space="preserve">1.96×3 + 1.24×2 + 1.04×3 + 0.22×1 → 1 пр.; 0.75×15 + 0.22×2 → 8 пр.; 1.04×11 + 0.22×1 → 3 пр.; 1.96×5 + 1.24×1 + 0.58×1 → 23 пр.; 1.04×7 + 0.75×5 + 0.58×1 → 1 пр.; 2.44×4 + 1.24×1 + 0.58×1 → 27 пр.; 2.06×3 + 1.96×2 + 1.24×1 + 0.22×1 → 1 пр.; 2.06×5 + 1.24×1 → 38 пр.; 0.75×3 + 0.58×16 → 1 пр.; 0.58×13 + 0.22×18 → 1 пр.; 0.22×32 → 1 пр.</t>
  </si>
  <si>
    <t xml:space="preserve">ИТОГО</t>
  </si>
  <si>
    <t xml:space="preserve">Отход большой на коротких деталях (колонны 2,55/2,05 м, ригели 7,0 м, балки 6,9 м): остатки 4,6–4,8 м можно пустить на детали 5 этажа и ниже, если заказывать вместе.</t>
  </si>
  <si>
    <t xml:space="preserve">Проверки и принятые решения — надстройка</t>
  </si>
  <si>
    <t xml:space="preserve">ПРИНЯТЫЕ РЕШЕНИЯ</t>
  </si>
  <si>
    <t xml:space="preserve">Состав надстройки</t>
  </si>
  <si>
    <t xml:space="preserve">АС-19 «Монтажная схема рам на отм. 21.750»: 4 колонны В/3, В/4, Г/3, Г/4 (6500 × 6500); рамы В, Г, 3, 4 — верхний ярус +21.750; АС-52 «План перекрытия на отм. 21.750».</t>
  </si>
  <si>
    <t xml:space="preserve">Колонны В/3, В/4</t>
  </si>
  <si>
    <t xml:space="preserve">На раме В над +18.350 выноски сечения нет → сечение 1-1 (4Ø32 + 8Ø20), как на 2–5 этажах; на колоннах выше 18.350 — точки ванной сварки (стыки +800 / +1300).</t>
  </si>
  <si>
    <t xml:space="preserve">Колонны Г/3, Г/4</t>
  </si>
  <si>
    <t xml:space="preserve">Рама Г: выноски «2-2 / 4Ø28 / 8Ø20» над 18.350.</t>
  </si>
  <si>
    <t xml:space="preserve">Длина вертикалей</t>
  </si>
  <si>
    <t xml:space="preserve">От стыка над +18.350 (½ стержней на +800, ½ на +1300 — АС-32) до верха плиты 21.750 − 50: 2,55 и 2,05 м; на верхних концах угловых стержней — Аш (АС-30 узел «3», АС-31 Б-Б).</t>
  </si>
  <si>
    <t xml:space="preserve">Ø20 колонн вверху</t>
  </si>
  <si>
    <t xml:space="preserve">АС-31 Б-Б: «Аш-… свыше Ø20» → на 8Ø20 шайб нет; как анкеруются Ø20 у верха, не показано — ТРЕБУЕТСЯ УТОЧНЕНИЕ (принято прямо, без отгиба).</t>
  </si>
  <si>
    <t xml:space="preserve">Хомуты колонн</t>
  </si>
  <si>
    <t xml:space="preserve">Схема АС-32 дана до 18.350. Для тех. этажа (в свету 3400 − 600 = 2800) принят тот же порядок: 50 + 100×12 + 200 + 100×12 + 50 → 27 наружных Ø8 L=2440, внутренние Ø8 L=1960 ш.200 — 2 × 15 рядов. Уточнить.</t>
  </si>
  <si>
    <t xml:space="preserve">Рамы В, Г — сеч.4-4, рамы 3, 4 — сеч.5-5: 4Ø28 + 2Ø18 + 2Ø16; ОС/Ос и штриховки на ярусе нет. Длина 6500 + 2 × 250 = 7,0 м (до наружной грани крайних колонн, Аш). Хомуты поз.12 ш.100 у опор / 150 в пролёте, 80×4 у балок плиты; шпильки поз.16, 17.</t>
  </si>
  <si>
    <t xml:space="preserve">Плита +21.750</t>
  </si>
  <si>
    <t xml:space="preserve">Контур по наружным граням ригелей 3, 4, В и со свесом 370 за ось Г (6,95 × 7,095 м); проёмы: шахта лифта 875 × 3085 мм (от ригеля 3 до 1100 от оси 3), проём у оси В 2600 × 485 мм. Осн. сетка Ø10 ш.200 верх и низ (стержни ≤ 7,05 м — без нахлёстов); Ф-1 и шпильки по площади.</t>
  </si>
  <si>
    <t xml:space="preserve">Балки плиты</t>
  </si>
  <si>
    <t xml:space="preserve">Две балки 1-1 крестом (300 мм, 2Ø25 + 2Ø25, L = 6,9 м — до наружных граней ригелей); две балки 4-4 (200 мм, 2Ø20 + 2Ø20): у шахты (от ригеля В до балки 1-1, L = 3,785 м) и над проёмом (L = 3,05 м). Хомуты по АС-57 (100×10 у опор при L &gt; 6 м, ×3 у пересечений).</t>
  </si>
  <si>
    <t xml:space="preserve">АС-30 узел «3»: 5 рядов «попарно шаг 90» → 4 узла × 10 = 40 сеток 7Ø10 × 0,57.</t>
  </si>
  <si>
    <t xml:space="preserve">ОБНАРУЖЕНО ПРОТИВОРЕЧИЕ: Г/3, Г/4</t>
  </si>
  <si>
    <t xml:space="preserve">На раме Г колонны надстройки есть (сеч.2-2), но сварки выше 18.350 не показаны, а на развёртках Дм-4 / Дм-5 (АС-40, 41) у всех стержней на 18.350 — Аш. Принято: колонны надстройки как у В/3, В/4 (стык над 18.350). Если стержни 2-2 надстройки должны заанкериваться в Дм — длина выпусков не указана, уточнить у проектировщика.</t>
  </si>
  <si>
    <t xml:space="preserve">Свес 370</t>
  </si>
  <si>
    <t xml:space="preserve">Свес 370 за ось Г показан на плане 21.750; торцевых стержней сеч.6-6 и выпусков парапета на этом плане нет — не считались.</t>
  </si>
  <si>
    <t xml:space="preserve">КОНТРОЛЬНЫЕ ЦИФРЫ</t>
  </si>
  <si>
    <t xml:space="preserve">Чистая масса арматуры, кг</t>
  </si>
  <si>
    <t xml:space="preserve">Сумма контрольных разниц (должна быть 0)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</si>
</sst>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;\-0.0;\–"/>
    <numFmt numFmtId="166" formatCode="0.0"/>
    <numFmt numFmtId="167" formatCode="0"/>
    <numFmt numFmtId="168" formatCode="0.0%"/>
    <numFmt numFmtId="169" formatCode="0.000"/>
    <numFmt numFmtId="170" formatCode="0.00"/>
    <numFmt numFmtId="171" formatCode="0;\-0;&quot;&quot;"/>
    <numFmt numFmtId="172" formatCode="0.0;\-0.0;&quot;&quot;"/>
    <numFmt numFmtId="173" formatCode="0.00;\-0.00;&quot;&quot;"/>
    <numFmt numFmtId="174" formatCode="0.##"/>
    <numFmt numFmtId="175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6CCFF"/>
        <bgColor rgb="FF93DBFF"/>
      </patternFill>
    </fill>
    <fill>
      <patternFill patternType="solid">
        <fgColor rgb="FF93DBFF"/>
        <bgColor rgb="FFBDE9FF"/>
      </patternFill>
    </fill>
    <fill>
      <patternFill patternType="solid">
        <fgColor rgb="FFBDE9FF"/>
        <bgColor rgb="FFCCFFFF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BDE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3DBFF"/>
      <rgbColor rgb="FFFF99CC"/>
      <rgbColor rgb="FFCC99FF"/>
      <rgbColor rgb="FFFFCC99"/>
      <rgbColor rgb="FF3366FF"/>
      <rgbColor rgb="FF66CCFF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4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customFormat="false" ht="15" hidden="false" customHeight="false" outlineLevel="0" collapsed="false">
      <c r="A4" s="4" t="s">
        <v>11</v>
      </c>
      <c r="B4" s="5" t="s">
        <v>12</v>
      </c>
      <c r="C4" s="6" t="n">
        <f aca="false">'По осям'!P8*'По осям'!Q8</f>
        <v>116.1592</v>
      </c>
      <c r="D4" s="6" t="n">
        <f aca="false">'По осям'!S8*'По осям'!T8</f>
        <v>0</v>
      </c>
      <c r="E4" s="7" t="n">
        <f aca="false">C4+D4</f>
        <v>116.1592</v>
      </c>
      <c r="F4" s="8" t="n">
        <f aca="false">E4*Исходные!$B$9</f>
        <v>124.290344</v>
      </c>
      <c r="G4" s="9" t="n">
        <f aca="false">'Раскрой 11,7м'!D4</f>
        <v>2</v>
      </c>
      <c r="H4" s="10" t="n">
        <f aca="false">'Раскрой 11,7м'!E4</f>
        <v>147.7242</v>
      </c>
      <c r="I4" s="11" t="n">
        <f aca="false">'Раскрой 11,7м'!H4</f>
        <v>0.213675213675214</v>
      </c>
      <c r="J4" s="12" t="n">
        <f aca="false">MAX(F4,H4)</f>
        <v>147.7242</v>
      </c>
    </row>
    <row r="5" customFormat="false" ht="15" hidden="false" customHeight="false" outlineLevel="0" collapsed="false">
      <c r="A5" s="4" t="s">
        <v>13</v>
      </c>
      <c r="B5" s="5" t="s">
        <v>12</v>
      </c>
      <c r="C5" s="6" t="n">
        <f aca="false">'По осям'!P9*'По осям'!Q9</f>
        <v>88.9456</v>
      </c>
      <c r="D5" s="6" t="n">
        <f aca="false">'По осям'!S9*'По осям'!T9</f>
        <v>541.408</v>
      </c>
      <c r="E5" s="7" t="n">
        <f aca="false">C5+D5</f>
        <v>630.3536</v>
      </c>
      <c r="F5" s="8" t="n">
        <f aca="false">E5*Исходные!$B$9</f>
        <v>674.478352</v>
      </c>
      <c r="G5" s="9" t="n">
        <f aca="false">'Раскрой 11,7м'!D5</f>
        <v>16</v>
      </c>
      <c r="H5" s="10" t="n">
        <f aca="false">'Раскрой 11,7м'!E5</f>
        <v>904.9248</v>
      </c>
      <c r="I5" s="11" t="n">
        <f aca="false">'Раскрой 11,7м'!H5</f>
        <v>0.303418803418803</v>
      </c>
      <c r="J5" s="12" t="n">
        <f aca="false">MAX(F5,H5)</f>
        <v>904.9248</v>
      </c>
    </row>
    <row r="6" customFormat="false" ht="15" hidden="false" customHeight="false" outlineLevel="0" collapsed="false">
      <c r="A6" s="4" t="s">
        <v>14</v>
      </c>
      <c r="B6" s="5" t="s">
        <v>12</v>
      </c>
      <c r="C6" s="6" t="n">
        <f aca="false">'По осям'!P10*'По осям'!Q10</f>
        <v>0</v>
      </c>
      <c r="D6" s="6" t="n">
        <f aca="false">'По осям'!S10*'По осям'!T10</f>
        <v>212.6856</v>
      </c>
      <c r="E6" s="7" t="n">
        <f aca="false">C6+D6</f>
        <v>212.6856</v>
      </c>
      <c r="F6" s="8" t="n">
        <f aca="false">E6*Исходные!$B$9</f>
        <v>227.573592</v>
      </c>
      <c r="G6" s="9" t="n">
        <f aca="false">'Раскрой 11,7м'!D6</f>
        <v>8</v>
      </c>
      <c r="H6" s="10" t="n">
        <f aca="false">'Раскрой 11,7м'!E6</f>
        <v>360.6408</v>
      </c>
      <c r="I6" s="11" t="n">
        <f aca="false">'Раскрой 11,7м'!H6</f>
        <v>0.41025641025641</v>
      </c>
      <c r="J6" s="12" t="n">
        <f aca="false">MAX(F6,H6)</f>
        <v>360.6408</v>
      </c>
    </row>
    <row r="7" customFormat="false" ht="15" hidden="false" customHeight="false" outlineLevel="0" collapsed="false">
      <c r="A7" s="4" t="s">
        <v>15</v>
      </c>
      <c r="B7" s="5" t="s">
        <v>12</v>
      </c>
      <c r="C7" s="6" t="n">
        <f aca="false">'По осям'!P11*'По осям'!Q11</f>
        <v>181.4976</v>
      </c>
      <c r="D7" s="6" t="n">
        <f aca="false">'По осям'!S11*'По осям'!T11</f>
        <v>67.42044</v>
      </c>
      <c r="E7" s="7" t="n">
        <f aca="false">C7+D7</f>
        <v>248.91804</v>
      </c>
      <c r="F7" s="8" t="n">
        <f aca="false">E7*Исходные!$B$9</f>
        <v>266.3423028</v>
      </c>
      <c r="G7" s="9" t="n">
        <f aca="false">'Раскрой 11,7м'!D7</f>
        <v>10</v>
      </c>
      <c r="H7" s="10" t="n">
        <f aca="false">'Раскрой 11,7м'!E7</f>
        <v>288.522</v>
      </c>
      <c r="I7" s="11" t="n">
        <f aca="false">'Раскрой 11,7м'!H7</f>
        <v>0.137264957264957</v>
      </c>
      <c r="J7" s="12" t="n">
        <f aca="false">MAX(F7,H7)</f>
        <v>288.522</v>
      </c>
    </row>
    <row r="8" customFormat="false" ht="15" hidden="false" customHeight="false" outlineLevel="0" collapsed="false">
      <c r="A8" s="4" t="s">
        <v>16</v>
      </c>
      <c r="B8" s="5" t="s">
        <v>12</v>
      </c>
      <c r="C8" s="6" t="n">
        <f aca="false">'По осям'!P12*'По осям'!Q12</f>
        <v>0</v>
      </c>
      <c r="D8" s="6" t="n">
        <f aca="false">'По осям'!S12*'По осям'!T12</f>
        <v>111.888</v>
      </c>
      <c r="E8" s="7" t="n">
        <f aca="false">C8+D8</f>
        <v>111.888</v>
      </c>
      <c r="F8" s="8" t="n">
        <f aca="false">E8*Исходные!$B$9</f>
        <v>119.72016</v>
      </c>
      <c r="G8" s="9" t="n">
        <f aca="false">'Раскрой 11,7м'!D8</f>
        <v>8</v>
      </c>
      <c r="H8" s="10" t="n">
        <f aca="false">'Раскрой 11,7м'!E8</f>
        <v>187.0128</v>
      </c>
      <c r="I8" s="11" t="n">
        <f aca="false">'Раскрой 11,7м'!H8</f>
        <v>0.401709401709402</v>
      </c>
      <c r="J8" s="12" t="n">
        <f aca="false">MAX(F8,H8)</f>
        <v>187.0128</v>
      </c>
    </row>
    <row r="9" customFormat="false" ht="15" hidden="false" customHeight="false" outlineLevel="0" collapsed="false">
      <c r="A9" s="4" t="s">
        <v>17</v>
      </c>
      <c r="B9" s="5" t="s">
        <v>12</v>
      </c>
      <c r="C9" s="6" t="n">
        <f aca="false">'По осям'!P13*'По осям'!Q13</f>
        <v>0</v>
      </c>
      <c r="D9" s="6" t="n">
        <f aca="false">'По осям'!S13*'По осям'!T13</f>
        <v>88.368</v>
      </c>
      <c r="E9" s="7" t="n">
        <f aca="false">C9+D9</f>
        <v>88.368</v>
      </c>
      <c r="F9" s="8" t="n">
        <f aca="false">E9*Исходные!$B$9</f>
        <v>94.55376</v>
      </c>
      <c r="G9" s="9" t="n">
        <f aca="false">'Раскрой 11,7м'!D9</f>
        <v>8</v>
      </c>
      <c r="H9" s="10" t="n">
        <f aca="false">'Раскрой 11,7м'!E9</f>
        <v>147.7008</v>
      </c>
      <c r="I9" s="11" t="n">
        <f aca="false">'Раскрой 11,7м'!H9</f>
        <v>0.401709401709402</v>
      </c>
      <c r="J9" s="12" t="n">
        <f aca="false">MAX(F9,H9)</f>
        <v>147.7008</v>
      </c>
    </row>
    <row r="10" customFormat="false" ht="15" hidden="false" customHeight="false" outlineLevel="0" collapsed="false">
      <c r="A10" s="4" t="s">
        <v>18</v>
      </c>
      <c r="B10" s="5" t="s">
        <v>12</v>
      </c>
      <c r="C10" s="6" t="n">
        <f aca="false">'По осям'!P14*'По осям'!Q14</f>
        <v>0</v>
      </c>
      <c r="D10" s="6" t="n">
        <f aca="false">'По осям'!S14*'По осям'!T14</f>
        <v>661.18337</v>
      </c>
      <c r="E10" s="7" t="n">
        <f aca="false">C10+D10</f>
        <v>661.18337</v>
      </c>
      <c r="F10" s="8" t="n">
        <f aca="false">E10*Исходные!$B$9</f>
        <v>707.4662059</v>
      </c>
      <c r="G10" s="9" t="n">
        <f aca="false">'Раскрой 11,7м'!D10</f>
        <v>104</v>
      </c>
      <c r="H10" s="10" t="n">
        <f aca="false">'Раскрой 11,7м'!E10</f>
        <v>750.7656</v>
      </c>
      <c r="I10" s="11" t="n">
        <f aca="false">'Раскрой 11,7м'!H10</f>
        <v>0.119321170282709</v>
      </c>
      <c r="J10" s="12" t="n">
        <f aca="false">MAX(F10,H10)</f>
        <v>750.7656</v>
      </c>
    </row>
    <row r="11" customFormat="false" ht="15" hidden="false" customHeight="false" outlineLevel="0" collapsed="false">
      <c r="A11" s="4" t="s">
        <v>19</v>
      </c>
      <c r="B11" s="5" t="s">
        <v>12</v>
      </c>
      <c r="C11" s="6" t="n">
        <f aca="false">'По осям'!P15*'По осям'!Q15</f>
        <v>0</v>
      </c>
      <c r="D11" s="6" t="n">
        <f aca="false">'По осям'!S15*'По осям'!T15</f>
        <v>18.39894</v>
      </c>
      <c r="E11" s="7" t="n">
        <f aca="false">C11+D11</f>
        <v>18.39894</v>
      </c>
      <c r="F11" s="8" t="n">
        <f aca="false">E11*Исходные!$B$9</f>
        <v>19.6868658</v>
      </c>
      <c r="G11" s="9" t="n">
        <f aca="false">'Раскрой 11,7м'!D11</f>
        <v>3</v>
      </c>
      <c r="H11" s="10" t="n">
        <f aca="false">'Раскрой 11,7м'!E11</f>
        <v>21.6567</v>
      </c>
      <c r="I11" s="11" t="n">
        <f aca="false">'Раскрой 11,7м'!H11</f>
        <v>0.15042735042735</v>
      </c>
      <c r="J11" s="12" t="n">
        <f aca="false">MAX(F11,H11)</f>
        <v>21.6567</v>
      </c>
    </row>
    <row r="12" customFormat="false" ht="15" hidden="false" customHeight="false" outlineLevel="0" collapsed="false">
      <c r="A12" s="4" t="s">
        <v>20</v>
      </c>
      <c r="B12" s="5" t="s">
        <v>12</v>
      </c>
      <c r="C12" s="6" t="n">
        <f aca="false">'По осям'!P16*'По осям'!Q16</f>
        <v>196.9944</v>
      </c>
      <c r="D12" s="6" t="n">
        <f aca="false">'По осям'!S16*'По осям'!T16</f>
        <v>281.6982</v>
      </c>
      <c r="E12" s="7" t="n">
        <f aca="false">C12+D12</f>
        <v>478.6926</v>
      </c>
      <c r="F12" s="8" t="n">
        <f aca="false">E12*Исходные!$B$9</f>
        <v>512.201082</v>
      </c>
      <c r="G12" s="9" t="n">
        <f aca="false">'Раскрой 11,7м'!D12</f>
        <v>105</v>
      </c>
      <c r="H12" s="10" t="n">
        <f aca="false">'Раскрой 11,7м'!E12</f>
        <v>485.2575</v>
      </c>
      <c r="I12" s="11" t="n">
        <f aca="false">'Раскрой 11,7м'!H12</f>
        <v>0.0135286935286935</v>
      </c>
      <c r="J12" s="12" t="n">
        <f aca="false">MAX(F12,H12)</f>
        <v>512.201082</v>
      </c>
    </row>
    <row r="13" customFormat="false" ht="15" hidden="false" customHeight="false" outlineLevel="0" collapsed="false">
      <c r="A13" s="13" t="s">
        <v>21</v>
      </c>
      <c r="B13" s="14" t="s">
        <v>12</v>
      </c>
      <c r="C13" s="15" t="n">
        <f aca="false">SUM(C4:C12)</f>
        <v>583.5968</v>
      </c>
      <c r="D13" s="15" t="n">
        <f aca="false">SUM(D4:D12)</f>
        <v>1983.05055</v>
      </c>
      <c r="E13" s="15" t="n">
        <f aca="false">SUM(E4:E12)</f>
        <v>2566.64735</v>
      </c>
      <c r="F13" s="15" t="n">
        <f aca="false">SUM(F4:F12)</f>
        <v>2746.3126645</v>
      </c>
      <c r="G13" s="16" t="n">
        <f aca="false">SUM(G4:G12)</f>
        <v>264</v>
      </c>
      <c r="H13" s="15" t="n">
        <f aca="false">SUM(H4:H12)</f>
        <v>3294.2052</v>
      </c>
      <c r="J13" s="15" t="n">
        <f aca="false">SUM(J4:J12)</f>
        <v>3321.148782</v>
      </c>
    </row>
    <row r="14" customFormat="false" ht="15" hidden="false" customHeight="false" outlineLevel="0" collapsed="false">
      <c r="A14" s="13" t="s">
        <v>21</v>
      </c>
      <c r="B14" s="14" t="s">
        <v>22</v>
      </c>
      <c r="C14" s="17" t="n">
        <f aca="false">C13/1000</f>
        <v>0.5835968</v>
      </c>
      <c r="D14" s="17" t="n">
        <f aca="false">D13/1000</f>
        <v>1.98305055</v>
      </c>
      <c r="E14" s="17" t="n">
        <f aca="false">E13/1000</f>
        <v>2.56664735</v>
      </c>
      <c r="F14" s="17" t="n">
        <f aca="false">F13/1000</f>
        <v>2.7463126645</v>
      </c>
      <c r="H14" s="17" t="n">
        <f aca="false">H13/1000</f>
        <v>3.2942052</v>
      </c>
      <c r="J14" s="17" t="n">
        <f aca="false">J13/1000</f>
        <v>3.321148782</v>
      </c>
    </row>
    <row r="15" customFormat="false" ht="15" hidden="false" customHeight="false" outlineLevel="0" collapsed="false">
      <c r="A15" s="18" t="s">
        <v>23</v>
      </c>
      <c r="E15" s="7" t="n">
        <f aca="false">ROUND(E13-Ведомость!O66,1)+ROUND(E13-'По осям'!O17,1)</f>
        <v>0</v>
      </c>
      <c r="F15" s="19" t="s">
        <v>24</v>
      </c>
    </row>
    <row r="17" customFormat="false" ht="15" hidden="false" customHeight="false" outlineLevel="0" collapsed="false">
      <c r="A17" s="20" t="s">
        <v>25</v>
      </c>
    </row>
    <row r="18" customFormat="false" ht="15" hidden="false" customHeight="false" outlineLevel="0" collapsed="false">
      <c r="A18" s="4" t="s">
        <v>26</v>
      </c>
      <c r="B18" s="5" t="s">
        <v>27</v>
      </c>
      <c r="C18" s="21" t="n">
        <f aca="false">'По осям'!R22</f>
        <v>4.7232</v>
      </c>
      <c r="D18" s="21" t="n">
        <f aca="false">'По осям'!U22</f>
        <v>11.38146</v>
      </c>
      <c r="E18" s="22" t="n">
        <f aca="false">C18+D18</f>
        <v>16.10466</v>
      </c>
    </row>
    <row r="20" customFormat="false" ht="15" hidden="false" customHeight="false" outlineLevel="0" collapsed="false">
      <c r="A20" s="20" t="s">
        <v>28</v>
      </c>
    </row>
    <row r="21" customFormat="false" ht="23.85" hidden="false" customHeight="true" outlineLevel="0" collapsed="false">
      <c r="A21" s="3" t="s">
        <v>29</v>
      </c>
      <c r="B21" s="3" t="s">
        <v>2</v>
      </c>
      <c r="C21" s="3" t="s">
        <v>3</v>
      </c>
      <c r="D21" s="3" t="s">
        <v>4</v>
      </c>
      <c r="E21" s="3" t="s">
        <v>30</v>
      </c>
      <c r="F21" s="3" t="s">
        <v>31</v>
      </c>
      <c r="G21" s="3"/>
      <c r="H21" s="3"/>
      <c r="I21" s="3"/>
      <c r="J21" s="3"/>
    </row>
    <row r="22" customFormat="false" ht="15" hidden="false" customHeight="true" outlineLevel="0" collapsed="false">
      <c r="A22" s="4" t="s">
        <v>32</v>
      </c>
      <c r="B22" s="5" t="s">
        <v>33</v>
      </c>
      <c r="C22" s="23" t="n">
        <f aca="false">'По осям'!P28</f>
        <v>0</v>
      </c>
      <c r="D22" s="23" t="n">
        <f aca="false">'По осям'!S28</f>
        <v>16</v>
      </c>
      <c r="E22" s="24" t="n">
        <f aca="false">SUM(C22:D22)</f>
        <v>16</v>
      </c>
      <c r="F22" s="18" t="s">
        <v>34</v>
      </c>
      <c r="G22" s="18"/>
      <c r="H22" s="18"/>
      <c r="I22" s="18"/>
      <c r="J22" s="18"/>
    </row>
    <row r="23" customFormat="false" ht="15" hidden="false" customHeight="true" outlineLevel="0" collapsed="false">
      <c r="A23" s="4" t="s">
        <v>35</v>
      </c>
      <c r="B23" s="5" t="s">
        <v>33</v>
      </c>
      <c r="C23" s="23" t="n">
        <f aca="false">'По осям'!P29</f>
        <v>0</v>
      </c>
      <c r="D23" s="23" t="n">
        <f aca="false">'По осям'!S29</f>
        <v>4</v>
      </c>
      <c r="E23" s="24" t="n">
        <f aca="false">SUM(C23:D23)</f>
        <v>4</v>
      </c>
      <c r="F23" s="18" t="s">
        <v>36</v>
      </c>
      <c r="G23" s="18"/>
      <c r="H23" s="18"/>
      <c r="I23" s="18"/>
      <c r="J23" s="18"/>
    </row>
    <row r="24" customFormat="false" ht="15" hidden="false" customHeight="true" outlineLevel="0" collapsed="false">
      <c r="A24" s="4" t="s">
        <v>37</v>
      </c>
      <c r="B24" s="5" t="s">
        <v>33</v>
      </c>
      <c r="C24" s="23" t="n">
        <f aca="false">'По осям'!P31</f>
        <v>0</v>
      </c>
      <c r="D24" s="23" t="n">
        <f aca="false">'По осям'!S31</f>
        <v>16</v>
      </c>
      <c r="E24" s="24" t="n">
        <f aca="false">SUM(C24:D24)</f>
        <v>16</v>
      </c>
      <c r="F24" s="18" t="s">
        <v>38</v>
      </c>
      <c r="G24" s="18"/>
      <c r="H24" s="18"/>
      <c r="I24" s="18"/>
      <c r="J24" s="18"/>
    </row>
    <row r="25" customFormat="false" ht="15" hidden="false" customHeight="true" outlineLevel="0" collapsed="false">
      <c r="A25" s="4" t="s">
        <v>39</v>
      </c>
      <c r="B25" s="5" t="s">
        <v>33</v>
      </c>
      <c r="C25" s="23" t="n">
        <f aca="false">'По осям'!P32</f>
        <v>8</v>
      </c>
      <c r="D25" s="23" t="n">
        <f aca="false">'По осям'!S32</f>
        <v>32</v>
      </c>
      <c r="E25" s="24" t="n">
        <f aca="false">SUM(C25:D25)</f>
        <v>40</v>
      </c>
      <c r="F25" s="18" t="s">
        <v>40</v>
      </c>
      <c r="G25" s="18"/>
      <c r="H25" s="18"/>
      <c r="I25" s="18"/>
      <c r="J25" s="18"/>
    </row>
    <row r="26" customFormat="false" ht="15" hidden="false" customHeight="true" outlineLevel="0" collapsed="false">
      <c r="A26" s="4" t="s">
        <v>41</v>
      </c>
      <c r="B26" s="5" t="s">
        <v>33</v>
      </c>
      <c r="C26" s="23" t="n">
        <f aca="false">'По осям'!P33</f>
        <v>8</v>
      </c>
      <c r="D26" s="23" t="n">
        <f aca="false">'По осям'!S33</f>
        <v>0</v>
      </c>
      <c r="E26" s="24" t="n">
        <f aca="false">SUM(C26:D26)</f>
        <v>8</v>
      </c>
      <c r="F26" s="18" t="s">
        <v>42</v>
      </c>
      <c r="G26" s="18"/>
      <c r="H26" s="18"/>
      <c r="I26" s="18"/>
      <c r="J26" s="18"/>
    </row>
    <row r="27" customFormat="false" ht="15" hidden="false" customHeight="true" outlineLevel="0" collapsed="false">
      <c r="A27" s="4" t="s">
        <v>43</v>
      </c>
      <c r="B27" s="5" t="s">
        <v>12</v>
      </c>
      <c r="C27" s="10" t="n">
        <f aca="false">C22*Исходные!$B$30+C23*Исходные!$B$31+C24*Исходные!$B$33+C25*Исходные!$B$34+C26*Исходные!$B$35</f>
        <v>21.52</v>
      </c>
      <c r="D27" s="10" t="n">
        <f aca="false">D22*Исходные!$B$30+D23*Исходные!$B$31+D24*Исходные!$B$33+D25*Исходные!$B$34+D26*Исходные!$B$35</f>
        <v>53.28</v>
      </c>
      <c r="E27" s="7" t="n">
        <f aca="false">SUM(C27:D27)</f>
        <v>74.8</v>
      </c>
      <c r="F27" s="18" t="s">
        <v>44</v>
      </c>
      <c r="G27" s="18"/>
      <c r="H27" s="18"/>
      <c r="I27" s="18"/>
      <c r="J27" s="18"/>
    </row>
    <row r="28" customFormat="false" ht="23.85" hidden="false" customHeight="true" outlineLevel="0" collapsed="false">
      <c r="A28" s="4" t="s">
        <v>45</v>
      </c>
      <c r="B28" s="5" t="s">
        <v>33</v>
      </c>
      <c r="C28" s="23" t="n">
        <f aca="false">'По осям'!P34</f>
        <v>8</v>
      </c>
      <c r="D28" s="23" t="n">
        <f aca="false">'По осям'!S34</f>
        <v>0</v>
      </c>
      <c r="E28" s="24" t="n">
        <f aca="false">SUM(C28:D28)</f>
        <v>8</v>
      </c>
      <c r="F28" s="18" t="s">
        <v>46</v>
      </c>
      <c r="G28" s="18"/>
      <c r="H28" s="18"/>
      <c r="I28" s="18"/>
      <c r="J28" s="18"/>
    </row>
    <row r="29" customFormat="false" ht="15" hidden="false" customHeight="true" outlineLevel="0" collapsed="false">
      <c r="A29" s="4" t="s">
        <v>47</v>
      </c>
      <c r="B29" s="5" t="s">
        <v>33</v>
      </c>
      <c r="C29" s="23" t="n">
        <f aca="false">'По осям'!P35</f>
        <v>8</v>
      </c>
      <c r="D29" s="23" t="n">
        <f aca="false">'По осям'!S35</f>
        <v>0</v>
      </c>
      <c r="E29" s="24" t="n">
        <f aca="false">SUM(C29:D29)</f>
        <v>8</v>
      </c>
      <c r="F29" s="18" t="s">
        <v>48</v>
      </c>
      <c r="G29" s="18"/>
      <c r="H29" s="18"/>
      <c r="I29" s="18"/>
      <c r="J29" s="18"/>
    </row>
    <row r="30" customFormat="false" ht="15" hidden="false" customHeight="true" outlineLevel="0" collapsed="false">
      <c r="A30" s="4" t="s">
        <v>49</v>
      </c>
      <c r="B30" s="5" t="s">
        <v>33</v>
      </c>
      <c r="C30" s="23" t="n">
        <f aca="false">'По осям'!P38</f>
        <v>32</v>
      </c>
      <c r="D30" s="23" t="n">
        <f aca="false">'По осям'!S38</f>
        <v>0</v>
      </c>
      <c r="E30" s="24" t="n">
        <f aca="false">SUM(C30:D30)</f>
        <v>32</v>
      </c>
      <c r="F30" s="18" t="s">
        <v>48</v>
      </c>
      <c r="G30" s="18"/>
      <c r="H30" s="18"/>
      <c r="I30" s="18"/>
      <c r="J30" s="18"/>
    </row>
    <row r="31" customFormat="false" ht="15" hidden="false" customHeight="true" outlineLevel="0" collapsed="false">
      <c r="A31" s="4" t="s">
        <v>50</v>
      </c>
      <c r="B31" s="5" t="s">
        <v>12</v>
      </c>
      <c r="C31" s="10" t="n">
        <f aca="false">ROUND(C13*Исходные!$B$9*Исходные!$B$37/1000,1)</f>
        <v>4.4</v>
      </c>
      <c r="D31" s="10" t="n">
        <f aca="false">ROUND(D13*Исходные!$B$9*Исходные!$B$37/1000,1)</f>
        <v>14.9</v>
      </c>
      <c r="E31" s="7" t="n">
        <f aca="false">SUM(C31:D31)</f>
        <v>19.3</v>
      </c>
      <c r="F31" s="18" t="s">
        <v>51</v>
      </c>
      <c r="G31" s="18"/>
      <c r="H31" s="18"/>
      <c r="I31" s="18"/>
      <c r="J31" s="18"/>
    </row>
    <row r="32" customFormat="false" ht="15" hidden="false" customHeight="true" outlineLevel="0" collapsed="false">
      <c r="A32" s="4" t="s">
        <v>52</v>
      </c>
      <c r="B32" s="5" t="s">
        <v>12</v>
      </c>
      <c r="C32" s="10" t="n">
        <f aca="false">ROUND(C13*Исходные!$B$9*Исходные!$B$38/1000,1)</f>
        <v>6.9</v>
      </c>
      <c r="D32" s="10" t="n">
        <f aca="false">ROUND(D13*Исходные!$B$9*Исходные!$B$38/1000,1)</f>
        <v>23.3</v>
      </c>
      <c r="E32" s="7" t="n">
        <f aca="false">SUM(C32:D32)</f>
        <v>30.2</v>
      </c>
      <c r="F32" s="18" t="s">
        <v>51</v>
      </c>
      <c r="G32" s="18"/>
      <c r="H32" s="18"/>
      <c r="I32" s="18"/>
      <c r="J32" s="18"/>
    </row>
    <row r="33" customFormat="false" ht="15" hidden="false" customHeight="true" outlineLevel="0" collapsed="false">
      <c r="A33" s="4" t="s">
        <v>53</v>
      </c>
      <c r="B33" s="5" t="s">
        <v>33</v>
      </c>
      <c r="C33" s="9" t="n">
        <f aca="false">ROUND(C13*Исходные!$B$9*Исходные!$B$39/1000,0)</f>
        <v>1</v>
      </c>
      <c r="D33" s="9" t="n">
        <f aca="false">ROUND(D13*Исходные!$B$9*Исходные!$B$39/1000,0)</f>
        <v>4</v>
      </c>
      <c r="E33" s="25" t="n">
        <f aca="false">SUM(C33:D33)</f>
        <v>5</v>
      </c>
      <c r="F33" s="18" t="s">
        <v>51</v>
      </c>
      <c r="G33" s="18"/>
      <c r="H33" s="18"/>
      <c r="I33" s="18"/>
      <c r="J33" s="18"/>
    </row>
    <row r="34" customFormat="false" ht="15" hidden="false" customHeight="true" outlineLevel="0" collapsed="false">
      <c r="A34" s="4" t="s">
        <v>54</v>
      </c>
      <c r="B34" s="5" t="s">
        <v>12</v>
      </c>
      <c r="C34" s="10" t="n">
        <f aca="false">ROUND(Исходные!$B$44*Исходные!$B$43/Исходные!$B$42,1)</f>
        <v>35</v>
      </c>
      <c r="D34" s="10"/>
      <c r="E34" s="7" t="n">
        <f aca="false">SUM(C34:D34)</f>
        <v>35</v>
      </c>
      <c r="F34" s="18" t="s">
        <v>55</v>
      </c>
      <c r="G34" s="18"/>
      <c r="H34" s="18"/>
      <c r="I34" s="18"/>
      <c r="J34" s="18"/>
    </row>
    <row r="35" customFormat="false" ht="15" hidden="false" customHeight="true" outlineLevel="0" collapsed="false">
      <c r="A35" s="4" t="s">
        <v>56</v>
      </c>
      <c r="B35" s="5" t="s">
        <v>12</v>
      </c>
      <c r="C35" s="10" t="n">
        <f aca="false">ROUND(Исходные!$B$45*Исходные!$B$43/Исходные!$B$42,1)</f>
        <v>14</v>
      </c>
      <c r="D35" s="10"/>
      <c r="E35" s="7" t="n">
        <f aca="false">SUM(C35:D35)</f>
        <v>14</v>
      </c>
      <c r="F35" s="18" t="s">
        <v>55</v>
      </c>
      <c r="G35" s="18"/>
      <c r="H35" s="18"/>
      <c r="I35" s="18"/>
      <c r="J35" s="18"/>
    </row>
    <row r="36" customFormat="false" ht="23.85" hidden="false" customHeight="true" outlineLevel="0" collapsed="false">
      <c r="A36" s="4" t="s">
        <v>57</v>
      </c>
      <c r="B36" s="5" t="s">
        <v>12</v>
      </c>
      <c r="C36" s="10" t="n">
        <f aca="false">ROUND('По осям'!P22*Исходные!$B$51/100,1)</f>
        <v>2.1</v>
      </c>
      <c r="D36" s="10" t="n">
        <f aca="false">ROUND('По осям'!S22*Исходные!$B$52/100,1)</f>
        <v>13.2</v>
      </c>
      <c r="E36" s="7" t="n">
        <f aca="false">SUM(C36:D36)</f>
        <v>15.3</v>
      </c>
      <c r="F36" s="18" t="s">
        <v>58</v>
      </c>
      <c r="G36" s="18"/>
      <c r="H36" s="18"/>
      <c r="I36" s="18"/>
      <c r="J36" s="18"/>
    </row>
    <row r="37" customFormat="false" ht="15" hidden="false" customHeight="true" outlineLevel="0" collapsed="false">
      <c r="A37" s="4" t="s">
        <v>59</v>
      </c>
      <c r="B37" s="5" t="s">
        <v>60</v>
      </c>
      <c r="C37" s="9" t="n">
        <f aca="false">ROUNDUP(Исходные!$B$46*Исходные!$B$43/Исходные!$B$42,0)</f>
        <v>2</v>
      </c>
      <c r="D37" s="9"/>
      <c r="E37" s="25" t="n">
        <f aca="false">SUM(C37:D37)</f>
        <v>2</v>
      </c>
      <c r="F37" s="18" t="s">
        <v>55</v>
      </c>
      <c r="G37" s="18"/>
      <c r="H37" s="18"/>
      <c r="I37" s="18"/>
      <c r="J37" s="18"/>
    </row>
    <row r="38" customFormat="false" ht="15" hidden="false" customHeight="true" outlineLevel="0" collapsed="false">
      <c r="A38" s="4" t="s">
        <v>61</v>
      </c>
      <c r="B38" s="5" t="s">
        <v>62</v>
      </c>
      <c r="C38" s="9" t="n">
        <f aca="false">ROUND(Исходные!$B$47*Исходные!$B$43/Исходные!$B$42,1)</f>
        <v>35</v>
      </c>
      <c r="D38" s="9"/>
      <c r="E38" s="25" t="n">
        <f aca="false">SUM(C38:D38)</f>
        <v>35</v>
      </c>
      <c r="F38" s="18" t="s">
        <v>55</v>
      </c>
      <c r="G38" s="18"/>
      <c r="H38" s="18"/>
      <c r="I38" s="18"/>
      <c r="J38" s="18"/>
    </row>
    <row r="39" customFormat="false" ht="15" hidden="false" customHeight="true" outlineLevel="0" collapsed="false">
      <c r="A39" s="4" t="s">
        <v>63</v>
      </c>
      <c r="B39" s="5" t="s">
        <v>33</v>
      </c>
      <c r="C39" s="9" t="n">
        <f aca="false">ROUNDUP(Исходные!$B$48*Исходные!$B$43/Исходные!$B$42,0)</f>
        <v>3</v>
      </c>
      <c r="D39" s="9"/>
      <c r="E39" s="25" t="n">
        <f aca="false">SUM(C39:D39)</f>
        <v>3</v>
      </c>
      <c r="F39" s="18" t="s">
        <v>55</v>
      </c>
      <c r="G39" s="18"/>
      <c r="H39" s="18"/>
      <c r="I39" s="18"/>
      <c r="J39" s="18"/>
    </row>
    <row r="40" customFormat="false" ht="15" hidden="false" customHeight="true" outlineLevel="0" collapsed="false">
      <c r="A40" s="4" t="s">
        <v>64</v>
      </c>
      <c r="B40" s="5" t="s">
        <v>33</v>
      </c>
      <c r="C40" s="9" t="n">
        <f aca="false">ROUNDUP(Исходные!$B$49*Исходные!$B$43/Исходные!$B$42,0)</f>
        <v>3</v>
      </c>
      <c r="D40" s="9"/>
      <c r="E40" s="25" t="n">
        <f aca="false">SUM(C40:D40)</f>
        <v>3</v>
      </c>
      <c r="F40" s="18" t="s">
        <v>55</v>
      </c>
      <c r="G40" s="18"/>
      <c r="H40" s="18"/>
      <c r="I40" s="18"/>
      <c r="J40" s="18"/>
    </row>
    <row r="41" customFormat="false" ht="15" hidden="false" customHeight="true" outlineLevel="0" collapsed="false">
      <c r="A41" s="4" t="s">
        <v>65</v>
      </c>
      <c r="B41" s="5" t="s">
        <v>12</v>
      </c>
      <c r="C41" s="10" t="n">
        <f aca="false">ROUND(Исходные!$B$50*Исходные!$B$43/Исходные!$B$42,1)</f>
        <v>2.1</v>
      </c>
      <c r="D41" s="10"/>
      <c r="E41" s="7" t="n">
        <f aca="false">SUM(C41:D41)</f>
        <v>2.1</v>
      </c>
      <c r="F41" s="18" t="s">
        <v>55</v>
      </c>
      <c r="G41" s="18"/>
      <c r="H41" s="18"/>
      <c r="I41" s="18"/>
      <c r="J41" s="18"/>
    </row>
    <row r="42" customFormat="false" ht="15" hidden="false" customHeight="true" outlineLevel="0" collapsed="false">
      <c r="A42" s="4" t="s">
        <v>66</v>
      </c>
      <c r="B42" s="5" t="s">
        <v>27</v>
      </c>
      <c r="C42" s="10"/>
      <c r="D42" s="10"/>
      <c r="E42" s="7" t="n">
        <f aca="false">SUM(C42:D42)</f>
        <v>0</v>
      </c>
      <c r="F42" s="18" t="s">
        <v>67</v>
      </c>
      <c r="G42" s="18"/>
      <c r="H42" s="18"/>
      <c r="I42" s="18"/>
      <c r="J42" s="18"/>
    </row>
  </sheetData>
  <mergeCells count="22">
    <mergeCell ref="F21:J21"/>
    <mergeCell ref="F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1"/>
  </cols>
  <sheetData>
    <row r="1" customFormat="false" ht="16.15" hidden="false" customHeight="false" outlineLevel="0" collapsed="false">
      <c r="A1" s="26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19" t="s">
        <v>69</v>
      </c>
      <c r="P2" s="3" t="s">
        <v>70</v>
      </c>
      <c r="Q2" s="27" t="n">
        <f aca="false">Исходные!$B$9</f>
        <v>1.07</v>
      </c>
    </row>
    <row r="4" customFormat="false" ht="30" hidden="false" customHeight="true" outlineLevel="0" collapsed="false">
      <c r="A4" s="28" t="s">
        <v>71</v>
      </c>
      <c r="B4" s="28" t="s">
        <v>72</v>
      </c>
      <c r="C4" s="28"/>
      <c r="D4" s="28" t="s">
        <v>73</v>
      </c>
      <c r="E4" s="28"/>
      <c r="F4" s="28"/>
      <c r="G4" s="28"/>
      <c r="H4" s="28" t="s">
        <v>74</v>
      </c>
      <c r="I4" s="28"/>
      <c r="J4" s="28" t="s">
        <v>75</v>
      </c>
      <c r="K4" s="28"/>
      <c r="L4" s="28" t="s">
        <v>76</v>
      </c>
      <c r="M4" s="28"/>
      <c r="N4" s="28"/>
      <c r="O4" s="28"/>
      <c r="P4" s="28" t="s">
        <v>72</v>
      </c>
      <c r="Q4" s="28"/>
      <c r="R4" s="28"/>
      <c r="S4" s="28" t="s">
        <v>4</v>
      </c>
      <c r="T4" s="28"/>
      <c r="U4" s="28"/>
    </row>
    <row r="5" customFormat="false" ht="30" hidden="false" customHeight="true" outlineLevel="0" collapsed="false">
      <c r="A5" s="3" t="s">
        <v>77</v>
      </c>
      <c r="B5" s="3" t="s">
        <v>78</v>
      </c>
      <c r="C5" s="3" t="s">
        <v>79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82</v>
      </c>
      <c r="I5" s="3" t="s">
        <v>83</v>
      </c>
      <c r="J5" s="3" t="s">
        <v>82</v>
      </c>
      <c r="K5" s="3" t="s">
        <v>84</v>
      </c>
      <c r="L5" s="3" t="s">
        <v>85</v>
      </c>
      <c r="M5" s="3" t="s">
        <v>86</v>
      </c>
      <c r="N5" s="3" t="s">
        <v>87</v>
      </c>
      <c r="O5" s="3" t="s">
        <v>88</v>
      </c>
      <c r="P5" s="3" t="s">
        <v>86</v>
      </c>
      <c r="Q5" s="3" t="s">
        <v>89</v>
      </c>
      <c r="R5" s="3" t="s">
        <v>88</v>
      </c>
      <c r="S5" s="3" t="s">
        <v>86</v>
      </c>
      <c r="T5" s="3" t="s">
        <v>89</v>
      </c>
      <c r="U5" s="3" t="s">
        <v>88</v>
      </c>
    </row>
    <row r="6" customFormat="false" ht="30" hidden="false" customHeight="true" outlineLevel="0" collapsed="false">
      <c r="A6" s="3" t="s">
        <v>90</v>
      </c>
      <c r="B6" s="3" t="s">
        <v>91</v>
      </c>
      <c r="C6" s="3" t="s">
        <v>92</v>
      </c>
      <c r="D6" s="3" t="s">
        <v>93</v>
      </c>
      <c r="E6" s="3" t="s">
        <v>93</v>
      </c>
      <c r="F6" s="3" t="s">
        <v>94</v>
      </c>
      <c r="G6" s="3" t="s">
        <v>94</v>
      </c>
      <c r="H6" s="3" t="s">
        <v>95</v>
      </c>
      <c r="I6" s="3"/>
      <c r="J6" s="3" t="s">
        <v>96</v>
      </c>
      <c r="K6" s="3"/>
      <c r="L6" s="3" t="s">
        <v>97</v>
      </c>
      <c r="M6" s="3"/>
      <c r="N6" s="3"/>
      <c r="O6" s="3"/>
      <c r="P6" s="3"/>
      <c r="Q6" s="3"/>
      <c r="R6" s="3"/>
      <c r="S6" s="3"/>
      <c r="T6" s="3"/>
      <c r="U6" s="3"/>
    </row>
    <row r="7" customFormat="false" ht="15" hidden="false" customHeight="false" outlineLevel="0" collapsed="false">
      <c r="A7" s="20" t="s">
        <v>98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customFormat="false" ht="15" hidden="false" customHeight="false" outlineLevel="0" collapsed="false">
      <c r="A8" s="4" t="s">
        <v>99</v>
      </c>
      <c r="B8" s="29" t="n">
        <f aca="false">2*2*2.55+2*2*2.05</f>
        <v>18.4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7" t="n">
        <f aca="false">SUM(B8:L8)</f>
        <v>18.4</v>
      </c>
      <c r="N8" s="30" t="n">
        <f aca="false">INDEX(Исходные!$B$13:$B$25,MATCH(32,Исходные!$A$13:$A$25,0))</f>
        <v>6.313</v>
      </c>
      <c r="O8" s="7" t="n">
        <f aca="false">M8*N8*$Q$2</f>
        <v>124.290344</v>
      </c>
      <c r="P8" s="31" t="n">
        <f aca="false">SUM(B8,C8)</f>
        <v>18.4</v>
      </c>
      <c r="Q8" s="32" t="n">
        <f aca="false">N8</f>
        <v>6.313</v>
      </c>
      <c r="R8" s="33" t="n">
        <f aca="false">P8*Q8*$Q$2</f>
        <v>124.290344</v>
      </c>
      <c r="S8" s="31" t="n">
        <f aca="false">SUM(D8,E8,F8,G8,H8,I8,J8,K8,L8)</f>
        <v>0</v>
      </c>
      <c r="T8" s="32" t="n">
        <f aca="false">N8</f>
        <v>6.313</v>
      </c>
      <c r="U8" s="33" t="n">
        <f aca="false">S8*T8*$Q$2</f>
        <v>0</v>
      </c>
    </row>
    <row r="9" customFormat="false" ht="15" hidden="false" customHeight="false" outlineLevel="0" collapsed="false">
      <c r="A9" s="4" t="s">
        <v>100</v>
      </c>
      <c r="B9" s="29"/>
      <c r="C9" s="29" t="n">
        <f aca="false">2*2*2.55+2*2*2.05</f>
        <v>18.4</v>
      </c>
      <c r="D9" s="29" t="n">
        <f aca="false">4*7</f>
        <v>28</v>
      </c>
      <c r="E9" s="29" t="n">
        <f aca="false">4*7</f>
        <v>28</v>
      </c>
      <c r="F9" s="29" t="n">
        <f aca="false">4*7</f>
        <v>28</v>
      </c>
      <c r="G9" s="29" t="n">
        <f aca="false">4*7</f>
        <v>28</v>
      </c>
      <c r="H9" s="29"/>
      <c r="I9" s="29"/>
      <c r="J9" s="29"/>
      <c r="K9" s="29"/>
      <c r="L9" s="29"/>
      <c r="M9" s="7" t="n">
        <f aca="false">SUM(B9:L9)</f>
        <v>130.4</v>
      </c>
      <c r="N9" s="30" t="n">
        <f aca="false">INDEX(Исходные!$B$13:$B$25,MATCH(28,Исходные!$A$13:$A$25,0))</f>
        <v>4.834</v>
      </c>
      <c r="O9" s="7" t="n">
        <f aca="false">M9*N9*$Q$2</f>
        <v>674.478352</v>
      </c>
      <c r="P9" s="31" t="n">
        <f aca="false">SUM(B9,C9)</f>
        <v>18.4</v>
      </c>
      <c r="Q9" s="32" t="n">
        <f aca="false">N9</f>
        <v>4.834</v>
      </c>
      <c r="R9" s="33" t="n">
        <f aca="false">P9*Q9*$Q$2</f>
        <v>95.171792</v>
      </c>
      <c r="S9" s="31" t="n">
        <f aca="false">SUM(D9,E9,F9,G9,H9,I9,J9,K9,L9)</f>
        <v>112</v>
      </c>
      <c r="T9" s="32" t="n">
        <f aca="false">N9</f>
        <v>4.834</v>
      </c>
      <c r="U9" s="33" t="n">
        <f aca="false">S9*T9*$Q$2</f>
        <v>579.30656</v>
      </c>
    </row>
    <row r="10" customFormat="false" ht="15" hidden="false" customHeight="false" outlineLevel="0" collapsed="false">
      <c r="A10" s="4" t="s">
        <v>101</v>
      </c>
      <c r="B10" s="29"/>
      <c r="C10" s="29"/>
      <c r="D10" s="29"/>
      <c r="E10" s="29"/>
      <c r="F10" s="29"/>
      <c r="G10" s="29"/>
      <c r="H10" s="29" t="n">
        <f aca="false">4*6.9+4*6.9</f>
        <v>55.2</v>
      </c>
      <c r="I10" s="29"/>
      <c r="J10" s="29"/>
      <c r="K10" s="29"/>
      <c r="L10" s="29"/>
      <c r="M10" s="7" t="n">
        <f aca="false">SUM(B10:L10)</f>
        <v>55.2</v>
      </c>
      <c r="N10" s="30" t="n">
        <f aca="false">INDEX(Исходные!$B$13:$B$25,MATCH(25,Исходные!$A$13:$A$25,0))</f>
        <v>3.853</v>
      </c>
      <c r="O10" s="7" t="n">
        <f aca="false">M10*N10*$Q$2</f>
        <v>227.573592</v>
      </c>
      <c r="P10" s="31" t="n">
        <f aca="false">SUM(B10,C10)</f>
        <v>0</v>
      </c>
      <c r="Q10" s="32" t="n">
        <f aca="false">N10</f>
        <v>3.853</v>
      </c>
      <c r="R10" s="33" t="n">
        <f aca="false">P10*Q10*$Q$2</f>
        <v>0</v>
      </c>
      <c r="S10" s="31" t="n">
        <f aca="false">SUM(D10,E10,F10,G10,H10,I10,J10,K10,L10)</f>
        <v>55.2</v>
      </c>
      <c r="T10" s="32" t="n">
        <f aca="false">N10</f>
        <v>3.853</v>
      </c>
      <c r="U10" s="33" t="n">
        <f aca="false">S10*T10*$Q$2</f>
        <v>227.573592</v>
      </c>
    </row>
    <row r="11" customFormat="false" ht="15" hidden="false" customHeight="false" outlineLevel="0" collapsed="false">
      <c r="A11" s="4" t="s">
        <v>102</v>
      </c>
      <c r="B11" s="29" t="n">
        <f aca="false">2*4*2.55+2*4*2.05</f>
        <v>36.8</v>
      </c>
      <c r="C11" s="29" t="n">
        <f aca="false">2*4*2.55+2*4*2.05</f>
        <v>36.8</v>
      </c>
      <c r="D11" s="29"/>
      <c r="E11" s="29"/>
      <c r="F11" s="29"/>
      <c r="G11" s="29"/>
      <c r="H11" s="29" t="n">
        <f aca="false">4*3.785+4*3.05</f>
        <v>27.34</v>
      </c>
      <c r="I11" s="29"/>
      <c r="J11" s="29"/>
      <c r="K11" s="29"/>
      <c r="L11" s="29"/>
      <c r="M11" s="7" t="n">
        <f aca="false">SUM(B11:L11)</f>
        <v>100.94</v>
      </c>
      <c r="N11" s="30" t="n">
        <f aca="false">INDEX(Исходные!$B$13:$B$25,MATCH(20,Исходные!$A$13:$A$25,0))</f>
        <v>2.466</v>
      </c>
      <c r="O11" s="7" t="n">
        <f aca="false">M11*N11*$Q$2</f>
        <v>266.3423028</v>
      </c>
      <c r="P11" s="31" t="n">
        <f aca="false">SUM(B11,C11)</f>
        <v>73.6</v>
      </c>
      <c r="Q11" s="32" t="n">
        <f aca="false">N11</f>
        <v>2.466</v>
      </c>
      <c r="R11" s="33" t="n">
        <f aca="false">P11*Q11*$Q$2</f>
        <v>194.202432</v>
      </c>
      <c r="S11" s="31" t="n">
        <f aca="false">SUM(D11,E11,F11,G11,H11,I11,J11,K11,L11)</f>
        <v>27.34</v>
      </c>
      <c r="T11" s="32" t="n">
        <f aca="false">N11</f>
        <v>2.466</v>
      </c>
      <c r="U11" s="33" t="n">
        <f aca="false">S11*T11*$Q$2</f>
        <v>72.1398708</v>
      </c>
    </row>
    <row r="12" customFormat="false" ht="15" hidden="false" customHeight="false" outlineLevel="0" collapsed="false">
      <c r="A12" s="4" t="s">
        <v>103</v>
      </c>
      <c r="B12" s="29"/>
      <c r="C12" s="29"/>
      <c r="D12" s="29" t="n">
        <f aca="false">2*7</f>
        <v>14</v>
      </c>
      <c r="E12" s="29" t="n">
        <f aca="false">2*7</f>
        <v>14</v>
      </c>
      <c r="F12" s="29" t="n">
        <f aca="false">2*7</f>
        <v>14</v>
      </c>
      <c r="G12" s="29" t="n">
        <f aca="false">2*7</f>
        <v>14</v>
      </c>
      <c r="H12" s="29"/>
      <c r="I12" s="29"/>
      <c r="J12" s="29"/>
      <c r="K12" s="29"/>
      <c r="L12" s="29"/>
      <c r="M12" s="7" t="n">
        <f aca="false">SUM(B12:L12)</f>
        <v>56</v>
      </c>
      <c r="N12" s="30" t="n">
        <f aca="false">INDEX(Исходные!$B$13:$B$25,MATCH(18,Исходные!$A$13:$A$25,0))</f>
        <v>1.998</v>
      </c>
      <c r="O12" s="7" t="n">
        <f aca="false">M12*N12*$Q$2</f>
        <v>119.72016</v>
      </c>
      <c r="P12" s="31" t="n">
        <f aca="false">SUM(B12,C12)</f>
        <v>0</v>
      </c>
      <c r="Q12" s="32" t="n">
        <f aca="false">N12</f>
        <v>1.998</v>
      </c>
      <c r="R12" s="33" t="n">
        <f aca="false">P12*Q12*$Q$2</f>
        <v>0</v>
      </c>
      <c r="S12" s="31" t="n">
        <f aca="false">SUM(D12,E12,F12,G12,H12,I12,J12,K12,L12)</f>
        <v>56</v>
      </c>
      <c r="T12" s="32" t="n">
        <f aca="false">N12</f>
        <v>1.998</v>
      </c>
      <c r="U12" s="33" t="n">
        <f aca="false">S12*T12*$Q$2</f>
        <v>119.72016</v>
      </c>
    </row>
    <row r="13" customFormat="false" ht="15" hidden="false" customHeight="false" outlineLevel="0" collapsed="false">
      <c r="A13" s="4" t="s">
        <v>104</v>
      </c>
      <c r="B13" s="29"/>
      <c r="C13" s="29"/>
      <c r="D13" s="29" t="n">
        <f aca="false">2*7</f>
        <v>14</v>
      </c>
      <c r="E13" s="29" t="n">
        <f aca="false">2*7</f>
        <v>14</v>
      </c>
      <c r="F13" s="29" t="n">
        <f aca="false">2*7</f>
        <v>14</v>
      </c>
      <c r="G13" s="29" t="n">
        <f aca="false">2*7</f>
        <v>14</v>
      </c>
      <c r="H13" s="29"/>
      <c r="I13" s="29"/>
      <c r="J13" s="29"/>
      <c r="K13" s="29"/>
      <c r="L13" s="29"/>
      <c r="M13" s="7" t="n">
        <f aca="false">SUM(B13:L13)</f>
        <v>56</v>
      </c>
      <c r="N13" s="30" t="n">
        <f aca="false">INDEX(Исходные!$B$13:$B$25,MATCH(16,Исходные!$A$13:$A$25,0))</f>
        <v>1.578</v>
      </c>
      <c r="O13" s="7" t="n">
        <f aca="false">M13*N13*$Q$2</f>
        <v>94.55376</v>
      </c>
      <c r="P13" s="31" t="n">
        <f aca="false">SUM(B13,C13)</f>
        <v>0</v>
      </c>
      <c r="Q13" s="32" t="n">
        <f aca="false">N13</f>
        <v>1.578</v>
      </c>
      <c r="R13" s="33" t="n">
        <f aca="false">P13*Q13*$Q$2</f>
        <v>0</v>
      </c>
      <c r="S13" s="31" t="n">
        <f aca="false">SUM(D13,E13,F13,G13,H13,I13,J13,K13,L13)</f>
        <v>56</v>
      </c>
      <c r="T13" s="32" t="n">
        <f aca="false">N13</f>
        <v>1.578</v>
      </c>
      <c r="U13" s="33" t="n">
        <f aca="false">S13*T13*$Q$2</f>
        <v>94.55376</v>
      </c>
    </row>
    <row r="14" customFormat="false" ht="15" hidden="false" customHeight="false" outlineLevel="0" collapsed="false">
      <c r="A14" s="4" t="s">
        <v>105</v>
      </c>
      <c r="B14" s="29"/>
      <c r="C14" s="29"/>
      <c r="D14" s="29"/>
      <c r="E14" s="29"/>
      <c r="F14" s="29"/>
      <c r="G14" s="29"/>
      <c r="H14" s="29"/>
      <c r="I14" s="29"/>
      <c r="J14" s="29" t="n">
        <f aca="false">21*6.9+13*5.575+2*2.775+15*0.4+18*7.045+13*6.11+4*3.51+17*0.4+21*6.9+13*5.575+2*2.775+15*0.4+18*7.045+13*6.11+4*3.51+17*0.4</f>
        <v>912.01</v>
      </c>
      <c r="K14" s="29"/>
      <c r="L14" s="29" t="n">
        <f aca="false">40*7*0.57</f>
        <v>159.6</v>
      </c>
      <c r="M14" s="7" t="n">
        <f aca="false">SUM(B14:L14)</f>
        <v>1071.61</v>
      </c>
      <c r="N14" s="30" t="n">
        <f aca="false">INDEX(Исходные!$B$13:$B$25,MATCH(10,Исходные!$A$13:$A$25,0))</f>
        <v>0.617</v>
      </c>
      <c r="O14" s="7" t="n">
        <f aca="false">M14*N14*$Q$2</f>
        <v>707.4662059</v>
      </c>
      <c r="P14" s="31" t="n">
        <f aca="false">SUM(B14,C14)</f>
        <v>0</v>
      </c>
      <c r="Q14" s="32" t="n">
        <f aca="false">N14</f>
        <v>0.617</v>
      </c>
      <c r="R14" s="33" t="n">
        <f aca="false">P14*Q14*$Q$2</f>
        <v>0</v>
      </c>
      <c r="S14" s="31" t="n">
        <f aca="false">SUM(D14,E14,F14,G14,H14,I14,J14,K14,L14)</f>
        <v>1071.61</v>
      </c>
      <c r="T14" s="32" t="n">
        <f aca="false">N14</f>
        <v>0.617</v>
      </c>
      <c r="U14" s="33" t="n">
        <f aca="false">S14*T14*$Q$2</f>
        <v>707.4662059</v>
      </c>
    </row>
    <row r="15" customFormat="false" ht="15" hidden="false" customHeight="false" outlineLevel="0" collapsed="false">
      <c r="A15" s="4" t="s">
        <v>106</v>
      </c>
      <c r="B15" s="29"/>
      <c r="C15" s="29"/>
      <c r="D15" s="29"/>
      <c r="E15" s="29"/>
      <c r="F15" s="29"/>
      <c r="G15" s="29"/>
      <c r="H15" s="29"/>
      <c r="I15" s="29"/>
      <c r="J15" s="29"/>
      <c r="K15" s="29" t="n">
        <f aca="false">71*0.42</f>
        <v>29.82</v>
      </c>
      <c r="L15" s="29"/>
      <c r="M15" s="7" t="n">
        <f aca="false">SUM(B15:L15)</f>
        <v>29.82</v>
      </c>
      <c r="N15" s="30" t="n">
        <f aca="false">INDEX(Исходные!$B$13:$B$25,MATCH(10,Исходные!$A$13:$A$25,0))</f>
        <v>0.617</v>
      </c>
      <c r="O15" s="7" t="n">
        <f aca="false">M15*N15*$Q$2</f>
        <v>19.6868658</v>
      </c>
      <c r="P15" s="31" t="n">
        <f aca="false">SUM(B15,C15)</f>
        <v>0</v>
      </c>
      <c r="Q15" s="32" t="n">
        <f aca="false">N15</f>
        <v>0.617</v>
      </c>
      <c r="R15" s="33" t="n">
        <f aca="false">P15*Q15*$Q$2</f>
        <v>0</v>
      </c>
      <c r="S15" s="31" t="n">
        <f aca="false">SUM(D15,E15,F15,G15,H15,I15,J15,K15,L15)</f>
        <v>29.82</v>
      </c>
      <c r="T15" s="32" t="n">
        <f aca="false">N15</f>
        <v>0.617</v>
      </c>
      <c r="U15" s="33" t="n">
        <f aca="false">S15*T15*$Q$2</f>
        <v>19.6868658</v>
      </c>
    </row>
    <row r="16" customFormat="false" ht="15" hidden="false" customHeight="false" outlineLevel="0" collapsed="false">
      <c r="A16" s="4" t="s">
        <v>107</v>
      </c>
      <c r="B16" s="29" t="n">
        <f aca="false">2*27*2.44+2*30*1.96</f>
        <v>249.36</v>
      </c>
      <c r="C16" s="29" t="n">
        <f aca="false">2*27*2.44+2*30*1.96</f>
        <v>249.36</v>
      </c>
      <c r="D16" s="29" t="n">
        <f aca="false">51*2.06+30*0.75+20*0.58</f>
        <v>139.16</v>
      </c>
      <c r="E16" s="29" t="n">
        <f aca="false">48*2.06+32*0.75+20*0.58</f>
        <v>134.48</v>
      </c>
      <c r="F16" s="29" t="n">
        <f aca="false">47*2.06+33*0.75+20*0.58</f>
        <v>133.17</v>
      </c>
      <c r="G16" s="29" t="n">
        <f aca="false">47*2.06+33*0.75+20*0.58</f>
        <v>133.17</v>
      </c>
      <c r="H16" s="29"/>
      <c r="I16" s="29" t="n">
        <f aca="false">91*1.24+43*1.04</f>
        <v>157.56</v>
      </c>
      <c r="J16" s="29"/>
      <c r="K16" s="29" t="n">
        <f aca="false">71*0.22</f>
        <v>15.62</v>
      </c>
      <c r="L16" s="29"/>
      <c r="M16" s="7" t="n">
        <f aca="false">SUM(B16:L16)</f>
        <v>1211.88</v>
      </c>
      <c r="N16" s="30" t="n">
        <f aca="false">INDEX(Исходные!$B$13:$B$25,MATCH(8,Исходные!$A$13:$A$25,0))</f>
        <v>0.395</v>
      </c>
      <c r="O16" s="7" t="n">
        <f aca="false">M16*N16*$Q$2</f>
        <v>512.201082</v>
      </c>
      <c r="P16" s="31" t="n">
        <f aca="false">SUM(B16,C16)</f>
        <v>498.72</v>
      </c>
      <c r="Q16" s="32" t="n">
        <f aca="false">N16</f>
        <v>0.395</v>
      </c>
      <c r="R16" s="33" t="n">
        <f aca="false">P16*Q16*$Q$2</f>
        <v>210.784008</v>
      </c>
      <c r="S16" s="31" t="n">
        <f aca="false">SUM(D16,E16,F16,G16,H16,I16,J16,K16,L16)</f>
        <v>713.16</v>
      </c>
      <c r="T16" s="32" t="n">
        <f aca="false">N16</f>
        <v>0.395</v>
      </c>
      <c r="U16" s="33" t="n">
        <f aca="false">S16*T16*$Q$2</f>
        <v>301.417074</v>
      </c>
    </row>
    <row r="17" customFormat="false" ht="15" hidden="false" customHeight="false" outlineLevel="0" collapsed="false">
      <c r="A17" s="34" t="s">
        <v>108</v>
      </c>
      <c r="B17" s="35" t="n">
        <f aca="false">SUMPRODUCT(B8:B16,$N$8:$N$16)</f>
        <v>305.4052</v>
      </c>
      <c r="C17" s="35" t="n">
        <f aca="false">SUMPRODUCT(C8:C16,$N$8:$N$16)</f>
        <v>278.1916</v>
      </c>
      <c r="D17" s="35" t="n">
        <f aca="false">SUMPRODUCT(D8:D16,$N$8:$N$16)</f>
        <v>240.3842</v>
      </c>
      <c r="E17" s="35" t="n">
        <f aca="false">SUMPRODUCT(E8:E16,$N$8:$N$16)</f>
        <v>238.5356</v>
      </c>
      <c r="F17" s="35" t="n">
        <f aca="false">SUMPRODUCT(F8:F16,$N$8:$N$16)</f>
        <v>238.01815</v>
      </c>
      <c r="G17" s="35" t="n">
        <f aca="false">SUMPRODUCT(G8:G16,$N$8:$N$16)</f>
        <v>238.01815</v>
      </c>
      <c r="H17" s="35" t="n">
        <f aca="false">SUMPRODUCT(H8:H16,$N$8:$N$16)</f>
        <v>280.10604</v>
      </c>
      <c r="I17" s="35" t="n">
        <f aca="false">SUMPRODUCT(I8:I16,$N$8:$N$16)</f>
        <v>62.2362</v>
      </c>
      <c r="J17" s="35" t="n">
        <f aca="false">SUMPRODUCT(J8:J16,$N$8:$N$16)</f>
        <v>562.71017</v>
      </c>
      <c r="K17" s="35" t="n">
        <f aca="false">SUMPRODUCT(K8:K16,$N$8:$N$16)</f>
        <v>24.56884</v>
      </c>
      <c r="L17" s="35" t="n">
        <f aca="false">SUMPRODUCT(L8:L16,$N$8:$N$16)</f>
        <v>98.4732</v>
      </c>
      <c r="M17" s="34"/>
      <c r="N17" s="36" t="s">
        <v>21</v>
      </c>
      <c r="O17" s="12" t="n">
        <f aca="false">SUMPRODUCT(M8:M16,N8:N16)</f>
        <v>2566.64735</v>
      </c>
      <c r="Q17" s="36" t="s">
        <v>21</v>
      </c>
      <c r="R17" s="12" t="n">
        <f aca="false">SUMPRODUCT(P8:P16,Q8:Q16)</f>
        <v>583.5968</v>
      </c>
      <c r="T17" s="36" t="s">
        <v>21</v>
      </c>
      <c r="U17" s="12" t="n">
        <f aca="false">SUMPRODUCT(S8:S16,T8:T16)</f>
        <v>1983.05055</v>
      </c>
    </row>
    <row r="18" customFormat="false" ht="15" hidden="false" customHeight="false" outlineLevel="0" collapsed="false">
      <c r="A18" s="20" t="s">
        <v>109</v>
      </c>
      <c r="B18" s="37" t="n">
        <f aca="false">B17*$Q$2</f>
        <v>326.783564</v>
      </c>
      <c r="C18" s="37" t="n">
        <f aca="false">C17*$Q$2</f>
        <v>297.665012</v>
      </c>
      <c r="D18" s="37" t="n">
        <f aca="false">D17*$Q$2</f>
        <v>257.211094</v>
      </c>
      <c r="E18" s="37" t="n">
        <f aca="false">E17*$Q$2</f>
        <v>255.233092</v>
      </c>
      <c r="F18" s="37" t="n">
        <f aca="false">F17*$Q$2</f>
        <v>254.6794205</v>
      </c>
      <c r="G18" s="37" t="n">
        <f aca="false">G17*$Q$2</f>
        <v>254.6794205</v>
      </c>
      <c r="H18" s="37" t="n">
        <f aca="false">H17*$Q$2</f>
        <v>299.7134628</v>
      </c>
      <c r="I18" s="37" t="n">
        <f aca="false">I17*$Q$2</f>
        <v>66.592734</v>
      </c>
      <c r="J18" s="37" t="n">
        <f aca="false">J17*$Q$2</f>
        <v>602.0998819</v>
      </c>
      <c r="K18" s="37" t="n">
        <f aca="false">K17*$Q$2</f>
        <v>26.2886588</v>
      </c>
      <c r="L18" s="37" t="n">
        <f aca="false">L17*$Q$2</f>
        <v>105.366324</v>
      </c>
      <c r="O18" s="38" t="n">
        <f aca="false">SUM(O8:O16)</f>
        <v>2746.3126645</v>
      </c>
      <c r="R18" s="38" t="n">
        <f aca="false">SUM(R8:R16)</f>
        <v>624.448576</v>
      </c>
      <c r="U18" s="38" t="n">
        <f aca="false">SUM(U8:U16)</f>
        <v>2121.8640885</v>
      </c>
    </row>
    <row r="19" customFormat="false" ht="15" hidden="false" customHeight="false" outlineLevel="0" collapsed="false">
      <c r="A19" s="18" t="s">
        <v>110</v>
      </c>
      <c r="O19" s="7" t="n">
        <f aca="false">ROUND(O17-Ведомость!O66,1)</f>
        <v>0</v>
      </c>
      <c r="P19" s="19" t="s">
        <v>24</v>
      </c>
    </row>
    <row r="21" customFormat="false" ht="15" hidden="false" customHeight="false" outlineLevel="0" collapsed="false">
      <c r="A21" s="20" t="s">
        <v>111</v>
      </c>
    </row>
    <row r="22" customFormat="false" ht="15" hidden="false" customHeight="false" outlineLevel="0" collapsed="false">
      <c r="A22" s="4" t="s">
        <v>111</v>
      </c>
      <c r="B22" s="39" t="n">
        <f aca="false">2*0.6*0.6*(3.4-0.12)</f>
        <v>2.3616</v>
      </c>
      <c r="C22" s="39" t="n">
        <f aca="false">2*0.6*0.6*(3.4-0.12)</f>
        <v>2.3616</v>
      </c>
      <c r="D22" s="39" t="n">
        <f aca="false">0.45*(0.6-0.12)*5.9</f>
        <v>1.2744</v>
      </c>
      <c r="E22" s="39" t="n">
        <f aca="false">0.45*(0.6-0.12)*5.9</f>
        <v>1.2744</v>
      </c>
      <c r="F22" s="39" t="n">
        <f aca="false">0.45*(0.6-0.12)*5.9</f>
        <v>1.2744</v>
      </c>
      <c r="G22" s="39" t="n">
        <f aca="false">0.45*(0.6-0.12)*5.9</f>
        <v>1.2744</v>
      </c>
      <c r="H22" s="39" t="n">
        <f aca="false">0.3*(0.3-0.12)*(6.05+6.05-0.3)+0.2*(0.3-0.12)*(3.085+2.6)</f>
        <v>0.84186</v>
      </c>
      <c r="I22" s="39"/>
      <c r="J22" s="39" t="n">
        <f aca="false">(45.35)*0.12</f>
        <v>5.442</v>
      </c>
      <c r="K22" s="39"/>
      <c r="L22" s="39"/>
      <c r="M22" s="22" t="n">
        <f aca="false">SUM(B22:L22)</f>
        <v>16.10466</v>
      </c>
      <c r="O22" s="22" t="n">
        <f aca="false">M22*Исходные!$B$10</f>
        <v>16.10466</v>
      </c>
      <c r="P22" s="40" t="n">
        <f aca="false">SUM(B22,C22)</f>
        <v>4.7232</v>
      </c>
      <c r="R22" s="41" t="n">
        <f aca="false">P22*Исходные!$B$10</f>
        <v>4.7232</v>
      </c>
      <c r="S22" s="40" t="n">
        <f aca="false">SUM(D22,E22,F22,G22,H22,I22,J22,K22,L22)</f>
        <v>11.38146</v>
      </c>
      <c r="U22" s="41" t="n">
        <f aca="false">S22*Исходные!$B$10</f>
        <v>11.38146</v>
      </c>
    </row>
    <row r="23" customFormat="false" ht="15" hidden="false" customHeight="false" outlineLevel="0" collapsed="false">
      <c r="A23" s="18" t="s">
        <v>112</v>
      </c>
      <c r="O23" s="42" t="n">
        <f aca="false">IF(M22&gt;0,O17/M22,0)</f>
        <v>159.372960993899</v>
      </c>
      <c r="R23" s="42" t="n">
        <f aca="false">IF(P22&gt;0,R17/P22,0)</f>
        <v>123.559620596206</v>
      </c>
      <c r="U23" s="42" t="n">
        <f aca="false">IF(S22&gt;0,U17/S22,0)</f>
        <v>174.235164029922</v>
      </c>
    </row>
    <row r="25" customFormat="false" ht="15" hidden="false" customHeight="false" outlineLevel="0" collapsed="false">
      <c r="A25" s="20" t="s">
        <v>113</v>
      </c>
    </row>
    <row r="26" customFormat="false" ht="15" hidden="false" customHeight="false" outlineLevel="0" collapsed="false">
      <c r="A26" s="4" t="s">
        <v>114</v>
      </c>
      <c r="M26" s="24" t="n">
        <f aca="false">SUM(B26:L26)</f>
        <v>0</v>
      </c>
      <c r="P26" s="43" t="n">
        <f aca="false">SUM(B26,C26)</f>
        <v>0</v>
      </c>
      <c r="S26" s="43" t="n">
        <f aca="false">SUM(D26,E26,F26,G26,H26,I26,J26,K26,L26)</f>
        <v>0</v>
      </c>
    </row>
    <row r="27" customFormat="false" ht="15" hidden="false" customHeight="false" outlineLevel="0" collapsed="false">
      <c r="A27" s="4" t="s">
        <v>115</v>
      </c>
      <c r="M27" s="24" t="n">
        <f aca="false">SUM(B27:L27)</f>
        <v>0</v>
      </c>
      <c r="P27" s="43" t="n">
        <f aca="false">SUM(B27,C27)</f>
        <v>0</v>
      </c>
      <c r="S27" s="43" t="n">
        <f aca="false">SUM(D27,E27,F27,G27,H27,I27,J27,K27,L27)</f>
        <v>0</v>
      </c>
    </row>
    <row r="28" customFormat="false" ht="15" hidden="false" customHeight="false" outlineLevel="0" collapsed="false">
      <c r="A28" s="4" t="s">
        <v>116</v>
      </c>
      <c r="D28" s="44" t="n">
        <v>4</v>
      </c>
      <c r="E28" s="44" t="n">
        <v>4</v>
      </c>
      <c r="F28" s="44" t="n">
        <v>4</v>
      </c>
      <c r="G28" s="44" t="n">
        <v>4</v>
      </c>
      <c r="M28" s="24" t="n">
        <f aca="false">SUM(B28:L28)</f>
        <v>16</v>
      </c>
      <c r="P28" s="43" t="n">
        <f aca="false">SUM(B28,C28)</f>
        <v>0</v>
      </c>
      <c r="S28" s="43" t="n">
        <f aca="false">SUM(D28,E28,F28,G28,H28,I28,J28,K28,L28)</f>
        <v>16</v>
      </c>
    </row>
    <row r="29" customFormat="false" ht="15" hidden="false" customHeight="false" outlineLevel="0" collapsed="false">
      <c r="A29" s="4" t="s">
        <v>117</v>
      </c>
      <c r="H29" s="44" t="n">
        <v>4</v>
      </c>
      <c r="M29" s="24" t="n">
        <f aca="false">SUM(B29:L29)</f>
        <v>4</v>
      </c>
      <c r="P29" s="43" t="n">
        <f aca="false">SUM(B29,C29)</f>
        <v>0</v>
      </c>
      <c r="S29" s="43" t="n">
        <f aca="false">SUM(D29,E29,F29,G29,H29,I29,J29,K29,L29)</f>
        <v>4</v>
      </c>
    </row>
    <row r="30" customFormat="false" ht="15" hidden="false" customHeight="false" outlineLevel="0" collapsed="false">
      <c r="A30" s="4" t="s">
        <v>118</v>
      </c>
      <c r="M30" s="24" t="n">
        <f aca="false">SUM(B30:L30)</f>
        <v>0</v>
      </c>
      <c r="P30" s="43" t="n">
        <f aca="false">SUM(B30,C30)</f>
        <v>0</v>
      </c>
      <c r="S30" s="43" t="n">
        <f aca="false">SUM(D30,E30,F30,G30,H30,I30,J30,K30,L30)</f>
        <v>0</v>
      </c>
    </row>
    <row r="31" customFormat="false" ht="15" hidden="false" customHeight="false" outlineLevel="0" collapsed="false">
      <c r="A31" s="4" t="s">
        <v>119</v>
      </c>
      <c r="H31" s="44" t="n">
        <v>16</v>
      </c>
      <c r="M31" s="24" t="n">
        <f aca="false">SUM(B31:L31)</f>
        <v>16</v>
      </c>
      <c r="P31" s="43" t="n">
        <f aca="false">SUM(B31,C31)</f>
        <v>0</v>
      </c>
      <c r="S31" s="43" t="n">
        <f aca="false">SUM(D31,E31,F31,G31,H31,I31,J31,K31,L31)</f>
        <v>16</v>
      </c>
    </row>
    <row r="32" customFormat="false" ht="15" hidden="false" customHeight="false" outlineLevel="0" collapsed="false">
      <c r="A32" s="4" t="s">
        <v>120</v>
      </c>
      <c r="C32" s="44" t="n">
        <v>8</v>
      </c>
      <c r="D32" s="44" t="n">
        <v>8</v>
      </c>
      <c r="E32" s="44" t="n">
        <v>8</v>
      </c>
      <c r="F32" s="44" t="n">
        <v>8</v>
      </c>
      <c r="G32" s="44" t="n">
        <v>8</v>
      </c>
      <c r="M32" s="24" t="n">
        <f aca="false">SUM(B32:L32)</f>
        <v>40</v>
      </c>
      <c r="P32" s="43" t="n">
        <f aca="false">SUM(B32,C32)</f>
        <v>8</v>
      </c>
      <c r="S32" s="43" t="n">
        <f aca="false">SUM(D32,E32,F32,G32,H32,I32,J32,K32,L32)</f>
        <v>32</v>
      </c>
    </row>
    <row r="33" customFormat="false" ht="15" hidden="false" customHeight="false" outlineLevel="0" collapsed="false">
      <c r="A33" s="4" t="s">
        <v>121</v>
      </c>
      <c r="B33" s="44" t="n">
        <v>8</v>
      </c>
      <c r="M33" s="24" t="n">
        <f aca="false">SUM(B33:L33)</f>
        <v>8</v>
      </c>
      <c r="P33" s="43" t="n">
        <f aca="false">SUM(B33,C33)</f>
        <v>8</v>
      </c>
      <c r="S33" s="43" t="n">
        <f aca="false">SUM(D33,E33,F33,G33,H33,I33,J33,K33,L33)</f>
        <v>0</v>
      </c>
    </row>
    <row r="34" customFormat="false" ht="15" hidden="false" customHeight="false" outlineLevel="0" collapsed="false">
      <c r="A34" s="4" t="s">
        <v>122</v>
      </c>
      <c r="B34" s="44" t="n">
        <v>8</v>
      </c>
      <c r="M34" s="24" t="n">
        <f aca="false">SUM(B34:L34)</f>
        <v>8</v>
      </c>
      <c r="P34" s="43" t="n">
        <f aca="false">SUM(B34,C34)</f>
        <v>8</v>
      </c>
      <c r="S34" s="43" t="n">
        <f aca="false">SUM(D34,E34,F34,G34,H34,I34,J34,K34,L34)</f>
        <v>0</v>
      </c>
    </row>
    <row r="35" customFormat="false" ht="15" hidden="false" customHeight="false" outlineLevel="0" collapsed="false">
      <c r="A35" s="4" t="s">
        <v>123</v>
      </c>
      <c r="C35" s="44" t="n">
        <v>8</v>
      </c>
      <c r="M35" s="24" t="n">
        <f aca="false">SUM(B35:L35)</f>
        <v>8</v>
      </c>
      <c r="P35" s="43" t="n">
        <f aca="false">SUM(B35,C35)</f>
        <v>8</v>
      </c>
      <c r="S35" s="43" t="n">
        <f aca="false">SUM(D35,E35,F35,G35,H35,I35,J35,K35,L35)</f>
        <v>0</v>
      </c>
    </row>
    <row r="36" customFormat="false" ht="15" hidden="false" customHeight="false" outlineLevel="0" collapsed="false">
      <c r="A36" s="4" t="s">
        <v>124</v>
      </c>
      <c r="M36" s="24" t="n">
        <f aca="false">SUM(B36:L36)</f>
        <v>0</v>
      </c>
      <c r="P36" s="43" t="n">
        <f aca="false">SUM(B36,C36)</f>
        <v>0</v>
      </c>
      <c r="S36" s="43" t="n">
        <f aca="false">SUM(D36,E36,F36,G36,H36,I36,J36,K36,L36)</f>
        <v>0</v>
      </c>
    </row>
    <row r="37" customFormat="false" ht="15" hidden="false" customHeight="false" outlineLevel="0" collapsed="false">
      <c r="A37" s="4" t="s">
        <v>125</v>
      </c>
      <c r="M37" s="24" t="n">
        <f aca="false">SUM(B37:L37)</f>
        <v>0</v>
      </c>
      <c r="P37" s="43" t="n">
        <f aca="false">SUM(B37,C37)</f>
        <v>0</v>
      </c>
      <c r="S37" s="43" t="n">
        <f aca="false">SUM(D37,E37,F37,G37,H37,I37,J37,K37,L37)</f>
        <v>0</v>
      </c>
    </row>
    <row r="38" customFormat="false" ht="15" hidden="false" customHeight="false" outlineLevel="0" collapsed="false">
      <c r="A38" s="4" t="s">
        <v>126</v>
      </c>
      <c r="B38" s="44" t="n">
        <v>16</v>
      </c>
      <c r="C38" s="44" t="n">
        <v>16</v>
      </c>
      <c r="M38" s="24" t="n">
        <f aca="false">SUM(B38:L38)</f>
        <v>32</v>
      </c>
      <c r="P38" s="43" t="n">
        <f aca="false">SUM(B38,C38)</f>
        <v>32</v>
      </c>
      <c r="S38" s="43" t="n">
        <f aca="false">SUM(D38,E38,F38,G38,H38,I38,J38,K38,L38)</f>
        <v>0</v>
      </c>
    </row>
  </sheetData>
  <mergeCells count="6">
    <mergeCell ref="B4:C4"/>
    <mergeCell ref="D4:G4"/>
    <mergeCell ref="H4:I4"/>
    <mergeCell ref="J4:K4"/>
    <mergeCell ref="P4:R4"/>
    <mergeCell ref="S4:U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6" min="4" style="0" width="30"/>
  </cols>
  <sheetData>
    <row r="1" customFormat="false" ht="17.35" hidden="false" customHeight="false" outlineLevel="0" collapsed="false">
      <c r="A1" s="45" t="s">
        <v>127</v>
      </c>
    </row>
    <row r="3" customFormat="false" ht="30" hidden="false" customHeight="true" outlineLevel="0" collapsed="false">
      <c r="A3" s="20" t="s">
        <v>128</v>
      </c>
      <c r="B3" s="18" t="s">
        <v>129</v>
      </c>
      <c r="C3" s="18"/>
      <c r="D3" s="18"/>
      <c r="E3" s="18"/>
      <c r="F3" s="18"/>
    </row>
    <row r="4" customFormat="false" ht="30" hidden="false" customHeight="true" outlineLevel="0" collapsed="false">
      <c r="A4" s="20" t="s">
        <v>130</v>
      </c>
      <c r="B4" s="18" t="s">
        <v>131</v>
      </c>
      <c r="C4" s="18"/>
      <c r="D4" s="18"/>
      <c r="E4" s="18"/>
      <c r="F4" s="18"/>
    </row>
    <row r="5" customFormat="false" ht="30" hidden="false" customHeight="true" outlineLevel="0" collapsed="false">
      <c r="A5" s="20" t="s">
        <v>132</v>
      </c>
      <c r="B5" s="18" t="s">
        <v>133</v>
      </c>
      <c r="C5" s="18"/>
      <c r="D5" s="18"/>
      <c r="E5" s="18"/>
      <c r="F5" s="18"/>
    </row>
    <row r="6" customFormat="false" ht="30" hidden="false" customHeight="true" outlineLevel="0" collapsed="false">
      <c r="A6" s="20" t="s">
        <v>134</v>
      </c>
      <c r="B6" s="18" t="s">
        <v>135</v>
      </c>
      <c r="C6" s="18"/>
      <c r="D6" s="18"/>
      <c r="E6" s="18"/>
      <c r="F6" s="18"/>
    </row>
    <row r="8" customFormat="false" ht="15" hidden="false" customHeight="false" outlineLevel="0" collapsed="false">
      <c r="A8" s="20" t="s">
        <v>136</v>
      </c>
      <c r="B8" s="46" t="n">
        <v>11.7</v>
      </c>
    </row>
    <row r="9" customFormat="false" ht="15" hidden="false" customHeight="false" outlineLevel="0" collapsed="false">
      <c r="A9" s="20" t="s">
        <v>137</v>
      </c>
      <c r="B9" s="46" t="n">
        <v>1.07</v>
      </c>
    </row>
    <row r="10" customFormat="false" ht="15" hidden="false" customHeight="false" outlineLevel="0" collapsed="false">
      <c r="A10" s="20" t="s">
        <v>138</v>
      </c>
      <c r="B10" s="46" t="n">
        <v>1</v>
      </c>
    </row>
    <row r="12" customFormat="false" ht="15" hidden="false" customHeight="false" outlineLevel="0" collapsed="false">
      <c r="A12" s="3" t="s">
        <v>139</v>
      </c>
      <c r="B12" s="3" t="s">
        <v>140</v>
      </c>
    </row>
    <row r="13" customFormat="false" ht="15" hidden="false" customHeight="false" outlineLevel="0" collapsed="false">
      <c r="A13" s="42" t="n">
        <v>5</v>
      </c>
      <c r="B13" s="47" t="n">
        <v>0.154</v>
      </c>
    </row>
    <row r="14" customFormat="false" ht="15" hidden="false" customHeight="false" outlineLevel="0" collapsed="false">
      <c r="A14" s="42" t="n">
        <v>6</v>
      </c>
      <c r="B14" s="47" t="n">
        <v>0.222</v>
      </c>
    </row>
    <row r="15" customFormat="false" ht="15" hidden="false" customHeight="false" outlineLevel="0" collapsed="false">
      <c r="A15" s="42" t="n">
        <v>8</v>
      </c>
      <c r="B15" s="47" t="n">
        <v>0.395</v>
      </c>
    </row>
    <row r="16" customFormat="false" ht="15" hidden="false" customHeight="false" outlineLevel="0" collapsed="false">
      <c r="A16" s="42" t="n">
        <v>10</v>
      </c>
      <c r="B16" s="47" t="n">
        <v>0.617</v>
      </c>
    </row>
    <row r="17" customFormat="false" ht="15" hidden="false" customHeight="false" outlineLevel="0" collapsed="false">
      <c r="A17" s="42" t="n">
        <v>12</v>
      </c>
      <c r="B17" s="47" t="n">
        <v>0.888</v>
      </c>
    </row>
    <row r="18" customFormat="false" ht="15" hidden="false" customHeight="false" outlineLevel="0" collapsed="false">
      <c r="A18" s="42" t="n">
        <v>14</v>
      </c>
      <c r="B18" s="47" t="n">
        <v>1.208</v>
      </c>
    </row>
    <row r="19" customFormat="false" ht="15" hidden="false" customHeight="false" outlineLevel="0" collapsed="false">
      <c r="A19" s="42" t="n">
        <v>16</v>
      </c>
      <c r="B19" s="47" t="n">
        <v>1.578</v>
      </c>
    </row>
    <row r="20" customFormat="false" ht="15" hidden="false" customHeight="false" outlineLevel="0" collapsed="false">
      <c r="A20" s="42" t="n">
        <v>18</v>
      </c>
      <c r="B20" s="47" t="n">
        <v>1.998</v>
      </c>
    </row>
    <row r="21" customFormat="false" ht="15" hidden="false" customHeight="false" outlineLevel="0" collapsed="false">
      <c r="A21" s="42" t="n">
        <v>20</v>
      </c>
      <c r="B21" s="47" t="n">
        <v>2.466</v>
      </c>
    </row>
    <row r="22" customFormat="false" ht="15" hidden="false" customHeight="false" outlineLevel="0" collapsed="false">
      <c r="A22" s="42" t="n">
        <v>22</v>
      </c>
      <c r="B22" s="47" t="n">
        <v>2.984</v>
      </c>
    </row>
    <row r="23" customFormat="false" ht="15" hidden="false" customHeight="false" outlineLevel="0" collapsed="false">
      <c r="A23" s="42" t="n">
        <v>25</v>
      </c>
      <c r="B23" s="47" t="n">
        <v>3.853</v>
      </c>
    </row>
    <row r="24" customFormat="false" ht="15" hidden="false" customHeight="false" outlineLevel="0" collapsed="false">
      <c r="A24" s="42" t="n">
        <v>28</v>
      </c>
      <c r="B24" s="47" t="n">
        <v>4.834</v>
      </c>
    </row>
    <row r="25" customFormat="false" ht="15" hidden="false" customHeight="false" outlineLevel="0" collapsed="false">
      <c r="A25" s="42" t="n">
        <v>32</v>
      </c>
      <c r="B25" s="47" t="n">
        <v>6.313</v>
      </c>
    </row>
    <row r="27" customFormat="false" ht="15" hidden="false" customHeight="false" outlineLevel="0" collapsed="false">
      <c r="A27" s="48" t="s">
        <v>141</v>
      </c>
    </row>
    <row r="28" customFormat="false" ht="15" hidden="false" customHeight="false" outlineLevel="0" collapsed="false">
      <c r="A28" s="42" t="n">
        <v>14</v>
      </c>
      <c r="B28" s="49" t="n">
        <v>0.19</v>
      </c>
      <c r="C28" s="5" t="s">
        <v>142</v>
      </c>
    </row>
    <row r="29" customFormat="false" ht="15" hidden="false" customHeight="false" outlineLevel="0" collapsed="false">
      <c r="A29" s="42" t="n">
        <v>16</v>
      </c>
      <c r="B29" s="49" t="n">
        <v>0.19</v>
      </c>
      <c r="C29" s="5" t="s">
        <v>143</v>
      </c>
    </row>
    <row r="30" customFormat="false" ht="15" hidden="false" customHeight="false" outlineLevel="0" collapsed="false">
      <c r="A30" s="42" t="n">
        <v>18</v>
      </c>
      <c r="B30" s="49" t="n">
        <v>0.26</v>
      </c>
      <c r="C30" s="5" t="s">
        <v>144</v>
      </c>
    </row>
    <row r="31" customFormat="false" ht="15" hidden="false" customHeight="false" outlineLevel="0" collapsed="false">
      <c r="A31" s="42" t="n">
        <v>20</v>
      </c>
      <c r="B31" s="49" t="n">
        <v>0.4</v>
      </c>
      <c r="C31" s="5" t="s">
        <v>145</v>
      </c>
    </row>
    <row r="32" customFormat="false" ht="15" hidden="false" customHeight="false" outlineLevel="0" collapsed="false">
      <c r="A32" s="42" t="n">
        <v>22</v>
      </c>
      <c r="B32" s="49" t="n">
        <v>0.6</v>
      </c>
      <c r="C32" s="5" t="s">
        <v>146</v>
      </c>
    </row>
    <row r="33" customFormat="false" ht="15" hidden="false" customHeight="false" outlineLevel="0" collapsed="false">
      <c r="A33" s="42" t="n">
        <v>25</v>
      </c>
      <c r="B33" s="49" t="n">
        <v>0.77</v>
      </c>
      <c r="C33" s="5" t="s">
        <v>147</v>
      </c>
    </row>
    <row r="34" customFormat="false" ht="15" hidden="false" customHeight="false" outlineLevel="0" collapsed="false">
      <c r="A34" s="42" t="n">
        <v>28</v>
      </c>
      <c r="B34" s="49" t="n">
        <v>1.1</v>
      </c>
      <c r="C34" s="5" t="s">
        <v>148</v>
      </c>
    </row>
    <row r="35" customFormat="false" ht="15" hidden="false" customHeight="false" outlineLevel="0" collapsed="false">
      <c r="A35" s="42" t="n">
        <v>32</v>
      </c>
      <c r="B35" s="49" t="n">
        <v>1.59</v>
      </c>
      <c r="C35" s="5" t="s">
        <v>149</v>
      </c>
    </row>
    <row r="37" customFormat="false" ht="15" hidden="false" customHeight="true" outlineLevel="0" collapsed="false">
      <c r="A37" s="20" t="s">
        <v>50</v>
      </c>
      <c r="B37" s="50" t="n">
        <v>7</v>
      </c>
      <c r="C37" s="18" t="s">
        <v>150</v>
      </c>
      <c r="D37" s="18"/>
      <c r="E37" s="18"/>
      <c r="F37" s="18"/>
    </row>
    <row r="38" customFormat="false" ht="15" hidden="false" customHeight="true" outlineLevel="0" collapsed="false">
      <c r="A38" s="20" t="s">
        <v>52</v>
      </c>
      <c r="B38" s="50" t="n">
        <v>11</v>
      </c>
      <c r="C38" s="18" t="s">
        <v>151</v>
      </c>
      <c r="D38" s="18"/>
      <c r="E38" s="18"/>
      <c r="F38" s="18"/>
    </row>
    <row r="39" customFormat="false" ht="15" hidden="false" customHeight="true" outlineLevel="0" collapsed="false">
      <c r="A39" s="20" t="s">
        <v>53</v>
      </c>
      <c r="B39" s="50" t="n">
        <v>2</v>
      </c>
      <c r="C39" s="18" t="s">
        <v>152</v>
      </c>
      <c r="D39" s="18"/>
      <c r="E39" s="18"/>
      <c r="F39" s="18"/>
    </row>
    <row r="41" customFormat="false" ht="15" hidden="false" customHeight="false" outlineLevel="0" collapsed="false">
      <c r="A41" s="48" t="s">
        <v>153</v>
      </c>
    </row>
    <row r="42" customFormat="false" ht="23.85" hidden="false" customHeight="false" outlineLevel="0" collapsed="false">
      <c r="A42" s="20" t="s">
        <v>154</v>
      </c>
      <c r="B42" s="51" t="n">
        <f aca="false">18*18</f>
        <v>324</v>
      </c>
    </row>
    <row r="43" customFormat="false" ht="23.85" hidden="false" customHeight="true" outlineLevel="0" collapsed="false">
      <c r="A43" s="20" t="s">
        <v>155</v>
      </c>
      <c r="B43" s="52" t="n">
        <v>45.35</v>
      </c>
      <c r="C43" s="18" t="s">
        <v>156</v>
      </c>
      <c r="D43" s="18"/>
      <c r="E43" s="18"/>
      <c r="F43" s="18"/>
    </row>
    <row r="44" customFormat="false" ht="15" hidden="false" customHeight="true" outlineLevel="0" collapsed="false">
      <c r="A44" s="20" t="s">
        <v>54</v>
      </c>
      <c r="B44" s="50" t="n">
        <v>250</v>
      </c>
      <c r="C44" s="18" t="s">
        <v>157</v>
      </c>
      <c r="D44" s="18"/>
      <c r="E44" s="18"/>
      <c r="F44" s="18"/>
    </row>
    <row r="45" customFormat="false" ht="15" hidden="false" customHeight="true" outlineLevel="0" collapsed="false">
      <c r="A45" s="20" t="s">
        <v>56</v>
      </c>
      <c r="B45" s="50" t="n">
        <v>100</v>
      </c>
      <c r="C45" s="18" t="s">
        <v>157</v>
      </c>
      <c r="D45" s="18"/>
      <c r="E45" s="18"/>
      <c r="F45" s="18"/>
    </row>
    <row r="46" customFormat="false" ht="15" hidden="false" customHeight="true" outlineLevel="0" collapsed="false">
      <c r="A46" s="20" t="s">
        <v>59</v>
      </c>
      <c r="B46" s="50" t="n">
        <v>13</v>
      </c>
      <c r="C46" s="18" t="s">
        <v>158</v>
      </c>
      <c r="D46" s="18"/>
      <c r="E46" s="18"/>
      <c r="F46" s="18"/>
    </row>
    <row r="47" customFormat="false" ht="15" hidden="false" customHeight="true" outlineLevel="0" collapsed="false">
      <c r="A47" s="20" t="s">
        <v>61</v>
      </c>
      <c r="B47" s="50" t="n">
        <v>250</v>
      </c>
      <c r="C47" s="18" t="s">
        <v>159</v>
      </c>
      <c r="D47" s="18"/>
      <c r="E47" s="18"/>
      <c r="F47" s="18"/>
    </row>
    <row r="48" customFormat="false" ht="15" hidden="false" customHeight="true" outlineLevel="0" collapsed="false">
      <c r="A48" s="20" t="s">
        <v>63</v>
      </c>
      <c r="B48" s="50" t="n">
        <v>15</v>
      </c>
      <c r="C48" s="18" t="s">
        <v>160</v>
      </c>
      <c r="D48" s="18"/>
      <c r="E48" s="18"/>
      <c r="F48" s="18"/>
    </row>
    <row r="49" customFormat="false" ht="15" hidden="false" customHeight="true" outlineLevel="0" collapsed="false">
      <c r="A49" s="20" t="s">
        <v>64</v>
      </c>
      <c r="B49" s="50" t="n">
        <v>20</v>
      </c>
      <c r="C49" s="18" t="s">
        <v>160</v>
      </c>
      <c r="D49" s="18"/>
      <c r="E49" s="18"/>
      <c r="F49" s="18"/>
    </row>
    <row r="50" customFormat="false" ht="15" hidden="false" customHeight="true" outlineLevel="0" collapsed="false">
      <c r="A50" s="20" t="s">
        <v>65</v>
      </c>
      <c r="B50" s="50" t="n">
        <v>15</v>
      </c>
      <c r="C50" s="18" t="s">
        <v>157</v>
      </c>
      <c r="D50" s="18"/>
      <c r="E50" s="18"/>
      <c r="F50" s="18"/>
    </row>
    <row r="51" customFormat="false" ht="15" hidden="false" customHeight="true" outlineLevel="0" collapsed="false">
      <c r="A51" s="20" t="s">
        <v>161</v>
      </c>
      <c r="B51" s="50" t="n">
        <v>45</v>
      </c>
      <c r="C51" s="18" t="s">
        <v>162</v>
      </c>
      <c r="D51" s="18"/>
      <c r="E51" s="18"/>
      <c r="F51" s="18"/>
    </row>
    <row r="52" customFormat="false" ht="23.85" hidden="false" customHeight="true" outlineLevel="0" collapsed="false">
      <c r="A52" s="20" t="s">
        <v>163</v>
      </c>
      <c r="B52" s="50" t="n">
        <v>116</v>
      </c>
      <c r="C52" s="18" t="s">
        <v>164</v>
      </c>
      <c r="D52" s="18"/>
      <c r="E52" s="18"/>
      <c r="F52" s="18"/>
    </row>
    <row r="54" customFormat="false" ht="15" hidden="false" customHeight="false" outlineLevel="0" collapsed="false">
      <c r="A54" s="53" t="s">
        <v>165</v>
      </c>
    </row>
    <row r="55" customFormat="false" ht="30" hidden="false" customHeight="true" outlineLevel="0" collapsed="false">
      <c r="A55" s="20" t="s">
        <v>166</v>
      </c>
      <c r="B55" s="18" t="s">
        <v>167</v>
      </c>
      <c r="C55" s="18"/>
      <c r="D55" s="18"/>
      <c r="E55" s="18"/>
      <c r="F55" s="18"/>
    </row>
    <row r="56" customFormat="false" ht="30" hidden="false" customHeight="true" outlineLevel="0" collapsed="false">
      <c r="A56" s="20" t="s">
        <v>168</v>
      </c>
      <c r="B56" s="18" t="s">
        <v>169</v>
      </c>
      <c r="C56" s="18"/>
      <c r="D56" s="18"/>
      <c r="E56" s="18"/>
      <c r="F56" s="18"/>
    </row>
    <row r="57" customFormat="false" ht="30" hidden="false" customHeight="true" outlineLevel="0" collapsed="false">
      <c r="A57" s="20" t="s">
        <v>170</v>
      </c>
      <c r="B57" s="18" t="s">
        <v>171</v>
      </c>
      <c r="C57" s="18"/>
      <c r="D57" s="18"/>
      <c r="E57" s="18"/>
      <c r="F57" s="18"/>
    </row>
    <row r="58" customFormat="false" ht="30" hidden="false" customHeight="true" outlineLevel="0" collapsed="false">
      <c r="A58" s="20" t="s">
        <v>172</v>
      </c>
      <c r="B58" s="18" t="s">
        <v>173</v>
      </c>
      <c r="C58" s="18"/>
      <c r="D58" s="18"/>
      <c r="E58" s="18"/>
      <c r="F58" s="18"/>
    </row>
    <row r="59" customFormat="false" ht="30" hidden="false" customHeight="true" outlineLevel="0" collapsed="false">
      <c r="A59" s="20" t="s">
        <v>174</v>
      </c>
      <c r="B59" s="18" t="s">
        <v>175</v>
      </c>
      <c r="C59" s="18"/>
      <c r="D59" s="18"/>
      <c r="E59" s="18"/>
      <c r="F59" s="18"/>
    </row>
    <row r="60" customFormat="false" ht="30" hidden="false" customHeight="true" outlineLevel="0" collapsed="false">
      <c r="A60" s="20" t="s">
        <v>176</v>
      </c>
      <c r="B60" s="18" t="s">
        <v>177</v>
      </c>
      <c r="C60" s="18"/>
      <c r="D60" s="18"/>
      <c r="E60" s="18"/>
      <c r="F60" s="18"/>
    </row>
  </sheetData>
  <mergeCells count="23">
    <mergeCell ref="B3:F3"/>
    <mergeCell ref="B4:F4"/>
    <mergeCell ref="B5:F5"/>
    <mergeCell ref="B6:F6"/>
    <mergeCell ref="C37:F37"/>
    <mergeCell ref="C38:F38"/>
    <mergeCell ref="C39:F39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B55:F55"/>
    <mergeCell ref="B56:F56"/>
    <mergeCell ref="B57:F57"/>
    <mergeCell ref="B58:F58"/>
    <mergeCell ref="B59:F59"/>
    <mergeCell ref="B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52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46"/>
    <col collapsed="false" customWidth="true" hidden="false" outlineLevel="0" max="17" min="17" style="0" width="16"/>
    <col collapsed="false" customWidth="true" hidden="false" outlineLevel="0" max="18" min="18" style="0" width="46"/>
    <col collapsed="false" customWidth="true" hidden="false" outlineLevel="0" max="19" min="19" style="0" width="18"/>
    <col collapsed="false" customWidth="true" hidden="false" outlineLevel="0" max="20" min="20" style="0" width="12"/>
  </cols>
  <sheetData>
    <row r="1" customFormat="false" ht="17.35" hidden="false" customHeight="false" outlineLevel="0" collapsed="false">
      <c r="A1" s="45" t="s">
        <v>178</v>
      </c>
    </row>
    <row r="2" customFormat="false" ht="15" hidden="false" customHeight="false" outlineLevel="0" collapsed="false">
      <c r="A2" s="19" t="s">
        <v>179</v>
      </c>
    </row>
    <row r="4" customFormat="false" ht="39.75" hidden="false" customHeight="true" outlineLevel="0" collapsed="false">
      <c r="A4" s="3" t="s">
        <v>180</v>
      </c>
      <c r="B4" s="3" t="s">
        <v>181</v>
      </c>
      <c r="C4" s="3" t="s">
        <v>182</v>
      </c>
      <c r="D4" s="3" t="s">
        <v>183</v>
      </c>
      <c r="E4" s="3" t="s">
        <v>184</v>
      </c>
      <c r="F4" s="3" t="s">
        <v>29</v>
      </c>
      <c r="G4" s="3" t="s">
        <v>139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190</v>
      </c>
      <c r="N4" s="3" t="s">
        <v>140</v>
      </c>
      <c r="O4" s="3" t="s">
        <v>191</v>
      </c>
      <c r="P4" s="3" t="s">
        <v>192</v>
      </c>
      <c r="Q4" s="3" t="s">
        <v>193</v>
      </c>
      <c r="R4" s="3" t="s">
        <v>194</v>
      </c>
      <c r="S4" s="3" t="s">
        <v>195</v>
      </c>
      <c r="T4" s="3" t="s">
        <v>196</v>
      </c>
    </row>
    <row r="5" customFormat="false" ht="35.05" hidden="false" customHeight="false" outlineLevel="0" collapsed="false">
      <c r="A5" s="5" t="n">
        <v>1</v>
      </c>
      <c r="B5" s="18" t="s">
        <v>72</v>
      </c>
      <c r="C5" s="18" t="s">
        <v>197</v>
      </c>
      <c r="D5" s="18" t="s">
        <v>198</v>
      </c>
      <c r="E5" s="5" t="s">
        <v>199</v>
      </c>
      <c r="F5" s="18" t="s">
        <v>200</v>
      </c>
      <c r="G5" s="54" t="n">
        <v>32</v>
      </c>
      <c r="H5" s="5" t="s">
        <v>201</v>
      </c>
      <c r="I5" s="5" t="s">
        <v>202</v>
      </c>
      <c r="J5" s="54" t="n">
        <v>2</v>
      </c>
      <c r="K5" s="54" t="n">
        <v>2</v>
      </c>
      <c r="L5" s="47" t="n">
        <v>2.55</v>
      </c>
      <c r="M5" s="55" t="n">
        <f aca="false">J5*K5*L5</f>
        <v>10.2</v>
      </c>
      <c r="N5" s="30" t="n">
        <f aca="false">INDEX(Исходные!$B$13:$B$25,MATCH(G5,Исходные!$A$13:$A$25,0))</f>
        <v>6.313</v>
      </c>
      <c r="O5" s="7" t="n">
        <f aca="false">M5*N5</f>
        <v>64.3926</v>
      </c>
      <c r="P5" s="18" t="s">
        <v>203</v>
      </c>
      <c r="Q5" s="18" t="s">
        <v>204</v>
      </c>
      <c r="R5" s="18" t="s">
        <v>205</v>
      </c>
      <c r="S5" s="18" t="s">
        <v>72</v>
      </c>
      <c r="T5" s="18" t="s">
        <v>198</v>
      </c>
    </row>
    <row r="6" customFormat="false" ht="35.05" hidden="false" customHeight="false" outlineLevel="0" collapsed="false">
      <c r="A6" s="5" t="n">
        <v>2</v>
      </c>
      <c r="B6" s="18" t="s">
        <v>72</v>
      </c>
      <c r="C6" s="18" t="s">
        <v>197</v>
      </c>
      <c r="D6" s="18" t="s">
        <v>198</v>
      </c>
      <c r="E6" s="5" t="s">
        <v>206</v>
      </c>
      <c r="F6" s="18" t="s">
        <v>207</v>
      </c>
      <c r="G6" s="54" t="n">
        <v>20</v>
      </c>
      <c r="H6" s="5" t="s">
        <v>201</v>
      </c>
      <c r="I6" s="5" t="s">
        <v>202</v>
      </c>
      <c r="J6" s="54" t="n">
        <v>2</v>
      </c>
      <c r="K6" s="54" t="n">
        <v>4</v>
      </c>
      <c r="L6" s="47" t="n">
        <v>2.55</v>
      </c>
      <c r="M6" s="55" t="n">
        <f aca="false">J6*K6*L6</f>
        <v>20.4</v>
      </c>
      <c r="N6" s="30" t="n">
        <f aca="false">INDEX(Исходные!$B$13:$B$25,MATCH(G6,Исходные!$A$13:$A$25,0))</f>
        <v>2.466</v>
      </c>
      <c r="O6" s="7" t="n">
        <f aca="false">M6*N6</f>
        <v>50.3064</v>
      </c>
      <c r="P6" s="18" t="s">
        <v>208</v>
      </c>
      <c r="Q6" s="18" t="s">
        <v>204</v>
      </c>
      <c r="R6" s="18" t="s">
        <v>209</v>
      </c>
      <c r="S6" s="18" t="s">
        <v>72</v>
      </c>
      <c r="T6" s="18" t="s">
        <v>198</v>
      </c>
    </row>
    <row r="7" customFormat="false" ht="35.05" hidden="false" customHeight="false" outlineLevel="0" collapsed="false">
      <c r="A7" s="5" t="n">
        <v>3</v>
      </c>
      <c r="B7" s="18" t="s">
        <v>72</v>
      </c>
      <c r="C7" s="18" t="s">
        <v>197</v>
      </c>
      <c r="D7" s="18" t="s">
        <v>198</v>
      </c>
      <c r="E7" s="5" t="s">
        <v>199</v>
      </c>
      <c r="F7" s="18" t="s">
        <v>210</v>
      </c>
      <c r="G7" s="54" t="n">
        <v>32</v>
      </c>
      <c r="H7" s="5" t="s">
        <v>201</v>
      </c>
      <c r="I7" s="5" t="s">
        <v>202</v>
      </c>
      <c r="J7" s="54" t="n">
        <v>2</v>
      </c>
      <c r="K7" s="54" t="n">
        <v>2</v>
      </c>
      <c r="L7" s="47" t="n">
        <v>2.05</v>
      </c>
      <c r="M7" s="55" t="n">
        <f aca="false">J7*K7*L7</f>
        <v>8.2</v>
      </c>
      <c r="N7" s="30" t="n">
        <f aca="false">INDEX(Исходные!$B$13:$B$25,MATCH(G7,Исходные!$A$13:$A$25,0))</f>
        <v>6.313</v>
      </c>
      <c r="O7" s="7" t="n">
        <f aca="false">M7*N7</f>
        <v>51.7666</v>
      </c>
      <c r="P7" s="18" t="s">
        <v>203</v>
      </c>
      <c r="Q7" s="18" t="s">
        <v>204</v>
      </c>
      <c r="R7" s="18" t="s">
        <v>211</v>
      </c>
      <c r="S7" s="18" t="s">
        <v>72</v>
      </c>
      <c r="T7" s="18" t="s">
        <v>198</v>
      </c>
    </row>
    <row r="8" customFormat="false" ht="35.05" hidden="false" customHeight="false" outlineLevel="0" collapsed="false">
      <c r="A8" s="5" t="n">
        <v>4</v>
      </c>
      <c r="B8" s="18" t="s">
        <v>72</v>
      </c>
      <c r="C8" s="18" t="s">
        <v>197</v>
      </c>
      <c r="D8" s="18" t="s">
        <v>198</v>
      </c>
      <c r="E8" s="5" t="s">
        <v>206</v>
      </c>
      <c r="F8" s="18" t="s">
        <v>212</v>
      </c>
      <c r="G8" s="54" t="n">
        <v>20</v>
      </c>
      <c r="H8" s="5" t="s">
        <v>201</v>
      </c>
      <c r="I8" s="5" t="s">
        <v>202</v>
      </c>
      <c r="J8" s="54" t="n">
        <v>2</v>
      </c>
      <c r="K8" s="54" t="n">
        <v>4</v>
      </c>
      <c r="L8" s="47" t="n">
        <v>2.05</v>
      </c>
      <c r="M8" s="55" t="n">
        <f aca="false">J8*K8*L8</f>
        <v>16.4</v>
      </c>
      <c r="N8" s="30" t="n">
        <f aca="false">INDEX(Исходные!$B$13:$B$25,MATCH(G8,Исходные!$A$13:$A$25,0))</f>
        <v>2.466</v>
      </c>
      <c r="O8" s="7" t="n">
        <f aca="false">M8*N8</f>
        <v>40.4424</v>
      </c>
      <c r="P8" s="18" t="s">
        <v>208</v>
      </c>
      <c r="Q8" s="18" t="s">
        <v>204</v>
      </c>
      <c r="R8" s="18" t="s">
        <v>213</v>
      </c>
      <c r="S8" s="18" t="s">
        <v>72</v>
      </c>
      <c r="T8" s="18" t="s">
        <v>198</v>
      </c>
    </row>
    <row r="9" customFormat="false" ht="23.85" hidden="false" customHeight="false" outlineLevel="0" collapsed="false">
      <c r="A9" s="5" t="n">
        <v>5</v>
      </c>
      <c r="B9" s="18" t="s">
        <v>72</v>
      </c>
      <c r="C9" s="18" t="s">
        <v>197</v>
      </c>
      <c r="D9" s="18" t="s">
        <v>198</v>
      </c>
      <c r="E9" s="5" t="s">
        <v>214</v>
      </c>
      <c r="F9" s="18" t="s">
        <v>215</v>
      </c>
      <c r="G9" s="54" t="n">
        <v>8</v>
      </c>
      <c r="H9" s="5" t="s">
        <v>216</v>
      </c>
      <c r="I9" s="5" t="s">
        <v>217</v>
      </c>
      <c r="J9" s="54" t="n">
        <v>2</v>
      </c>
      <c r="K9" s="54" t="n">
        <v>27</v>
      </c>
      <c r="L9" s="47" t="n">
        <v>2.44</v>
      </c>
      <c r="M9" s="55" t="n">
        <f aca="false">J9*K9*L9</f>
        <v>131.76</v>
      </c>
      <c r="N9" s="30" t="n">
        <f aca="false">INDEX(Исходные!$B$13:$B$25,MATCH(G9,Исходные!$A$13:$A$25,0))</f>
        <v>0.395</v>
      </c>
      <c r="O9" s="7" t="n">
        <f aca="false">M9*N9</f>
        <v>52.0452</v>
      </c>
      <c r="P9" s="18" t="s">
        <v>218</v>
      </c>
      <c r="Q9" s="56" t="s">
        <v>219</v>
      </c>
      <c r="R9" s="18"/>
      <c r="S9" s="18" t="s">
        <v>72</v>
      </c>
      <c r="T9" s="18" t="s">
        <v>198</v>
      </c>
    </row>
    <row r="10" customFormat="false" ht="23.85" hidden="false" customHeight="false" outlineLevel="0" collapsed="false">
      <c r="A10" s="5" t="n">
        <v>6</v>
      </c>
      <c r="B10" s="18" t="s">
        <v>72</v>
      </c>
      <c r="C10" s="18" t="s">
        <v>197</v>
      </c>
      <c r="D10" s="18" t="s">
        <v>198</v>
      </c>
      <c r="E10" s="5" t="s">
        <v>220</v>
      </c>
      <c r="F10" s="18" t="s">
        <v>221</v>
      </c>
      <c r="G10" s="54" t="n">
        <v>8</v>
      </c>
      <c r="H10" s="5" t="s">
        <v>216</v>
      </c>
      <c r="I10" s="5" t="n">
        <v>200</v>
      </c>
      <c r="J10" s="54" t="n">
        <v>2</v>
      </c>
      <c r="K10" s="54" t="n">
        <v>30</v>
      </c>
      <c r="L10" s="47" t="n">
        <v>1.96</v>
      </c>
      <c r="M10" s="55" t="n">
        <f aca="false">J10*K10*L10</f>
        <v>117.6</v>
      </c>
      <c r="N10" s="30" t="n">
        <f aca="false">INDEX(Исходные!$B$13:$B$25,MATCH(G10,Исходные!$A$13:$A$25,0))</f>
        <v>0.395</v>
      </c>
      <c r="O10" s="7" t="n">
        <f aca="false">M10*N10</f>
        <v>46.452</v>
      </c>
      <c r="P10" s="18" t="s">
        <v>222</v>
      </c>
      <c r="Q10" s="56" t="s">
        <v>219</v>
      </c>
      <c r="R10" s="18"/>
      <c r="S10" s="18" t="s">
        <v>72</v>
      </c>
      <c r="T10" s="18" t="s">
        <v>198</v>
      </c>
    </row>
    <row r="11" customFormat="false" ht="35.05" hidden="false" customHeight="false" outlineLevel="0" collapsed="false">
      <c r="A11" s="5" t="n">
        <v>7</v>
      </c>
      <c r="B11" s="18" t="s">
        <v>72</v>
      </c>
      <c r="C11" s="18" t="s">
        <v>223</v>
      </c>
      <c r="D11" s="18" t="s">
        <v>224</v>
      </c>
      <c r="E11" s="5" t="s">
        <v>225</v>
      </c>
      <c r="F11" s="18" t="s">
        <v>226</v>
      </c>
      <c r="G11" s="54" t="n">
        <v>28</v>
      </c>
      <c r="H11" s="5" t="s">
        <v>201</v>
      </c>
      <c r="I11" s="5" t="s">
        <v>202</v>
      </c>
      <c r="J11" s="54" t="n">
        <v>2</v>
      </c>
      <c r="K11" s="54" t="n">
        <v>2</v>
      </c>
      <c r="L11" s="47" t="n">
        <v>2.55</v>
      </c>
      <c r="M11" s="55" t="n">
        <f aca="false">J11*K11*L11</f>
        <v>10.2</v>
      </c>
      <c r="N11" s="30" t="n">
        <f aca="false">INDEX(Исходные!$B$13:$B$25,MATCH(G11,Исходные!$A$13:$A$25,0))</f>
        <v>4.834</v>
      </c>
      <c r="O11" s="7" t="n">
        <f aca="false">M11*N11</f>
        <v>49.3068</v>
      </c>
      <c r="P11" s="18" t="s">
        <v>227</v>
      </c>
      <c r="Q11" s="18" t="s">
        <v>204</v>
      </c>
      <c r="R11" s="18" t="s">
        <v>205</v>
      </c>
      <c r="S11" s="18" t="s">
        <v>72</v>
      </c>
      <c r="T11" s="18" t="s">
        <v>224</v>
      </c>
    </row>
    <row r="12" customFormat="false" ht="35.05" hidden="false" customHeight="false" outlineLevel="0" collapsed="false">
      <c r="A12" s="5" t="n">
        <v>8</v>
      </c>
      <c r="B12" s="18" t="s">
        <v>72</v>
      </c>
      <c r="C12" s="18" t="s">
        <v>223</v>
      </c>
      <c r="D12" s="18" t="s">
        <v>224</v>
      </c>
      <c r="E12" s="5" t="s">
        <v>206</v>
      </c>
      <c r="F12" s="18" t="s">
        <v>228</v>
      </c>
      <c r="G12" s="54" t="n">
        <v>20</v>
      </c>
      <c r="H12" s="5" t="s">
        <v>201</v>
      </c>
      <c r="I12" s="5" t="s">
        <v>202</v>
      </c>
      <c r="J12" s="54" t="n">
        <v>2</v>
      </c>
      <c r="K12" s="54" t="n">
        <v>4</v>
      </c>
      <c r="L12" s="47" t="n">
        <v>2.55</v>
      </c>
      <c r="M12" s="55" t="n">
        <f aca="false">J12*K12*L12</f>
        <v>20.4</v>
      </c>
      <c r="N12" s="30" t="n">
        <f aca="false">INDEX(Исходные!$B$13:$B$25,MATCH(G12,Исходные!$A$13:$A$25,0))</f>
        <v>2.466</v>
      </c>
      <c r="O12" s="7" t="n">
        <f aca="false">M12*N12</f>
        <v>50.3064</v>
      </c>
      <c r="P12" s="18" t="s">
        <v>229</v>
      </c>
      <c r="Q12" s="18" t="s">
        <v>204</v>
      </c>
      <c r="R12" s="18" t="s">
        <v>209</v>
      </c>
      <c r="S12" s="18" t="s">
        <v>72</v>
      </c>
      <c r="T12" s="18" t="s">
        <v>224</v>
      </c>
    </row>
    <row r="13" customFormat="false" ht="35.05" hidden="false" customHeight="false" outlineLevel="0" collapsed="false">
      <c r="A13" s="5" t="n">
        <v>9</v>
      </c>
      <c r="B13" s="18" t="s">
        <v>72</v>
      </c>
      <c r="C13" s="18" t="s">
        <v>223</v>
      </c>
      <c r="D13" s="18" t="s">
        <v>224</v>
      </c>
      <c r="E13" s="5" t="s">
        <v>225</v>
      </c>
      <c r="F13" s="18" t="s">
        <v>230</v>
      </c>
      <c r="G13" s="54" t="n">
        <v>28</v>
      </c>
      <c r="H13" s="5" t="s">
        <v>201</v>
      </c>
      <c r="I13" s="5" t="s">
        <v>202</v>
      </c>
      <c r="J13" s="54" t="n">
        <v>2</v>
      </c>
      <c r="K13" s="54" t="n">
        <v>2</v>
      </c>
      <c r="L13" s="47" t="n">
        <v>2.05</v>
      </c>
      <c r="M13" s="55" t="n">
        <f aca="false">J13*K13*L13</f>
        <v>8.2</v>
      </c>
      <c r="N13" s="30" t="n">
        <f aca="false">INDEX(Исходные!$B$13:$B$25,MATCH(G13,Исходные!$A$13:$A$25,0))</f>
        <v>4.834</v>
      </c>
      <c r="O13" s="7" t="n">
        <f aca="false">M13*N13</f>
        <v>39.6388</v>
      </c>
      <c r="P13" s="18" t="s">
        <v>227</v>
      </c>
      <c r="Q13" s="18" t="s">
        <v>204</v>
      </c>
      <c r="R13" s="18" t="s">
        <v>211</v>
      </c>
      <c r="S13" s="18" t="s">
        <v>72</v>
      </c>
      <c r="T13" s="18" t="s">
        <v>224</v>
      </c>
    </row>
    <row r="14" customFormat="false" ht="35.05" hidden="false" customHeight="false" outlineLevel="0" collapsed="false">
      <c r="A14" s="5" t="n">
        <v>10</v>
      </c>
      <c r="B14" s="18" t="s">
        <v>72</v>
      </c>
      <c r="C14" s="18" t="s">
        <v>223</v>
      </c>
      <c r="D14" s="18" t="s">
        <v>224</v>
      </c>
      <c r="E14" s="5" t="s">
        <v>206</v>
      </c>
      <c r="F14" s="18" t="s">
        <v>231</v>
      </c>
      <c r="G14" s="54" t="n">
        <v>20</v>
      </c>
      <c r="H14" s="5" t="s">
        <v>201</v>
      </c>
      <c r="I14" s="5" t="s">
        <v>202</v>
      </c>
      <c r="J14" s="54" t="n">
        <v>2</v>
      </c>
      <c r="K14" s="54" t="n">
        <v>4</v>
      </c>
      <c r="L14" s="47" t="n">
        <v>2.05</v>
      </c>
      <c r="M14" s="55" t="n">
        <f aca="false">J14*K14*L14</f>
        <v>16.4</v>
      </c>
      <c r="N14" s="30" t="n">
        <f aca="false">INDEX(Исходные!$B$13:$B$25,MATCH(G14,Исходные!$A$13:$A$25,0))</f>
        <v>2.466</v>
      </c>
      <c r="O14" s="7" t="n">
        <f aca="false">M14*N14</f>
        <v>40.4424</v>
      </c>
      <c r="P14" s="18" t="s">
        <v>229</v>
      </c>
      <c r="Q14" s="18" t="s">
        <v>204</v>
      </c>
      <c r="R14" s="18" t="s">
        <v>213</v>
      </c>
      <c r="S14" s="18" t="s">
        <v>72</v>
      </c>
      <c r="T14" s="18" t="s">
        <v>224</v>
      </c>
    </row>
    <row r="15" customFormat="false" ht="23.85" hidden="false" customHeight="false" outlineLevel="0" collapsed="false">
      <c r="A15" s="5" t="n">
        <v>11</v>
      </c>
      <c r="B15" s="18" t="s">
        <v>72</v>
      </c>
      <c r="C15" s="18" t="s">
        <v>223</v>
      </c>
      <c r="D15" s="18" t="s">
        <v>224</v>
      </c>
      <c r="E15" s="5" t="s">
        <v>214</v>
      </c>
      <c r="F15" s="18" t="s">
        <v>215</v>
      </c>
      <c r="G15" s="54" t="n">
        <v>8</v>
      </c>
      <c r="H15" s="5" t="s">
        <v>216</v>
      </c>
      <c r="I15" s="5" t="s">
        <v>217</v>
      </c>
      <c r="J15" s="54" t="n">
        <v>2</v>
      </c>
      <c r="K15" s="54" t="n">
        <v>27</v>
      </c>
      <c r="L15" s="47" t="n">
        <v>2.44</v>
      </c>
      <c r="M15" s="55" t="n">
        <f aca="false">J15*K15*L15</f>
        <v>131.76</v>
      </c>
      <c r="N15" s="30" t="n">
        <f aca="false">INDEX(Исходные!$B$13:$B$25,MATCH(G15,Исходные!$A$13:$A$25,0))</f>
        <v>0.395</v>
      </c>
      <c r="O15" s="7" t="n">
        <f aca="false">M15*N15</f>
        <v>52.0452</v>
      </c>
      <c r="P15" s="18" t="s">
        <v>218</v>
      </c>
      <c r="Q15" s="56" t="s">
        <v>219</v>
      </c>
      <c r="R15" s="18"/>
      <c r="S15" s="18" t="s">
        <v>72</v>
      </c>
      <c r="T15" s="18" t="s">
        <v>224</v>
      </c>
    </row>
    <row r="16" customFormat="false" ht="23.85" hidden="false" customHeight="false" outlineLevel="0" collapsed="false">
      <c r="A16" s="5" t="n">
        <v>12</v>
      </c>
      <c r="B16" s="18" t="s">
        <v>72</v>
      </c>
      <c r="C16" s="18" t="s">
        <v>223</v>
      </c>
      <c r="D16" s="18" t="s">
        <v>224</v>
      </c>
      <c r="E16" s="5" t="s">
        <v>220</v>
      </c>
      <c r="F16" s="18" t="s">
        <v>221</v>
      </c>
      <c r="G16" s="54" t="n">
        <v>8</v>
      </c>
      <c r="H16" s="5" t="s">
        <v>216</v>
      </c>
      <c r="I16" s="5" t="n">
        <v>200</v>
      </c>
      <c r="J16" s="54" t="n">
        <v>2</v>
      </c>
      <c r="K16" s="54" t="n">
        <v>30</v>
      </c>
      <c r="L16" s="47" t="n">
        <v>1.96</v>
      </c>
      <c r="M16" s="55" t="n">
        <f aca="false">J16*K16*L16</f>
        <v>117.6</v>
      </c>
      <c r="N16" s="30" t="n">
        <f aca="false">INDEX(Исходные!$B$13:$B$25,MATCH(G16,Исходные!$A$13:$A$25,0))</f>
        <v>0.395</v>
      </c>
      <c r="O16" s="7" t="n">
        <f aca="false">M16*N16</f>
        <v>46.452</v>
      </c>
      <c r="P16" s="18" t="s">
        <v>222</v>
      </c>
      <c r="Q16" s="56" t="s">
        <v>219</v>
      </c>
      <c r="R16" s="18"/>
      <c r="S16" s="18" t="s">
        <v>72</v>
      </c>
      <c r="T16" s="18" t="s">
        <v>224</v>
      </c>
    </row>
    <row r="17" customFormat="false" ht="35.05" hidden="false" customHeight="false" outlineLevel="0" collapsed="false">
      <c r="A17" s="5" t="n">
        <v>13</v>
      </c>
      <c r="B17" s="18" t="s">
        <v>232</v>
      </c>
      <c r="C17" s="18" t="s">
        <v>233</v>
      </c>
      <c r="D17" s="18" t="s">
        <v>234</v>
      </c>
      <c r="E17" s="5" t="s">
        <v>225</v>
      </c>
      <c r="F17" s="18" t="s">
        <v>235</v>
      </c>
      <c r="G17" s="54" t="n">
        <v>28</v>
      </c>
      <c r="H17" s="5" t="s">
        <v>201</v>
      </c>
      <c r="I17" s="5" t="s">
        <v>202</v>
      </c>
      <c r="J17" s="54" t="n">
        <v>1</v>
      </c>
      <c r="K17" s="54" t="n">
        <v>4</v>
      </c>
      <c r="L17" s="47" t="n">
        <v>7</v>
      </c>
      <c r="M17" s="55" t="n">
        <f aca="false">J17*K17*L17</f>
        <v>28</v>
      </c>
      <c r="N17" s="30" t="n">
        <f aca="false">INDEX(Исходные!$B$13:$B$25,MATCH(G17,Исходные!$A$13:$A$25,0))</f>
        <v>4.834</v>
      </c>
      <c r="O17" s="7" t="n">
        <f aca="false">M17*N17</f>
        <v>135.352</v>
      </c>
      <c r="P17" s="18" t="s">
        <v>236</v>
      </c>
      <c r="Q17" s="18" t="s">
        <v>237</v>
      </c>
      <c r="R17" s="18"/>
      <c r="S17" s="18" t="s">
        <v>4</v>
      </c>
      <c r="T17" s="18" t="s">
        <v>234</v>
      </c>
    </row>
    <row r="18" customFormat="false" ht="23.85" hidden="false" customHeight="false" outlineLevel="0" collapsed="false">
      <c r="A18" s="5" t="n">
        <v>14</v>
      </c>
      <c r="B18" s="18" t="s">
        <v>232</v>
      </c>
      <c r="C18" s="18" t="s">
        <v>233</v>
      </c>
      <c r="D18" s="18" t="s">
        <v>234</v>
      </c>
      <c r="E18" s="5" t="s">
        <v>238</v>
      </c>
      <c r="F18" s="18" t="s">
        <v>239</v>
      </c>
      <c r="G18" s="54" t="n">
        <v>18</v>
      </c>
      <c r="H18" s="5" t="s">
        <v>201</v>
      </c>
      <c r="I18" s="5" t="s">
        <v>202</v>
      </c>
      <c r="J18" s="54" t="n">
        <v>1</v>
      </c>
      <c r="K18" s="54" t="n">
        <v>2</v>
      </c>
      <c r="L18" s="47" t="n">
        <v>7</v>
      </c>
      <c r="M18" s="55" t="n">
        <f aca="false">J18*K18*L18</f>
        <v>14</v>
      </c>
      <c r="N18" s="30" t="n">
        <f aca="false">INDEX(Исходные!$B$13:$B$25,MATCH(G18,Исходные!$A$13:$A$25,0))</f>
        <v>1.998</v>
      </c>
      <c r="O18" s="7" t="n">
        <f aca="false">M18*N18</f>
        <v>27.972</v>
      </c>
      <c r="P18" s="18" t="s">
        <v>240</v>
      </c>
      <c r="Q18" s="18" t="s">
        <v>237</v>
      </c>
      <c r="R18" s="18"/>
      <c r="S18" s="18" t="s">
        <v>4</v>
      </c>
      <c r="T18" s="18" t="s">
        <v>234</v>
      </c>
    </row>
    <row r="19" customFormat="false" ht="23.85" hidden="false" customHeight="false" outlineLevel="0" collapsed="false">
      <c r="A19" s="5" t="n">
        <v>15</v>
      </c>
      <c r="B19" s="18" t="s">
        <v>232</v>
      </c>
      <c r="C19" s="18" t="s">
        <v>233</v>
      </c>
      <c r="D19" s="18" t="s">
        <v>234</v>
      </c>
      <c r="E19" s="5" t="s">
        <v>241</v>
      </c>
      <c r="F19" s="18" t="s">
        <v>242</v>
      </c>
      <c r="G19" s="54" t="n">
        <v>16</v>
      </c>
      <c r="H19" s="5" t="s">
        <v>201</v>
      </c>
      <c r="I19" s="5" t="s">
        <v>202</v>
      </c>
      <c r="J19" s="54" t="n">
        <v>1</v>
      </c>
      <c r="K19" s="54" t="n">
        <v>2</v>
      </c>
      <c r="L19" s="47" t="n">
        <v>7</v>
      </c>
      <c r="M19" s="55" t="n">
        <f aca="false">J19*K19*L19</f>
        <v>14</v>
      </c>
      <c r="N19" s="30" t="n">
        <f aca="false">INDEX(Исходные!$B$13:$B$25,MATCH(G19,Исходные!$A$13:$A$25,0))</f>
        <v>1.578</v>
      </c>
      <c r="O19" s="7" t="n">
        <f aca="false">M19*N19</f>
        <v>22.092</v>
      </c>
      <c r="P19" s="18" t="s">
        <v>243</v>
      </c>
      <c r="Q19" s="18" t="s">
        <v>237</v>
      </c>
      <c r="R19" s="18"/>
      <c r="S19" s="18" t="s">
        <v>4</v>
      </c>
      <c r="T19" s="18" t="s">
        <v>234</v>
      </c>
    </row>
    <row r="20" customFormat="false" ht="23.85" hidden="false" customHeight="false" outlineLevel="0" collapsed="false">
      <c r="A20" s="5" t="n">
        <v>16</v>
      </c>
      <c r="B20" s="18" t="s">
        <v>232</v>
      </c>
      <c r="C20" s="18" t="s">
        <v>233</v>
      </c>
      <c r="D20" s="18" t="s">
        <v>234</v>
      </c>
      <c r="E20" s="5" t="s">
        <v>244</v>
      </c>
      <c r="F20" s="18" t="s">
        <v>245</v>
      </c>
      <c r="G20" s="54" t="n">
        <v>8</v>
      </c>
      <c r="H20" s="5" t="s">
        <v>216</v>
      </c>
      <c r="I20" s="5" t="s">
        <v>246</v>
      </c>
      <c r="J20" s="54" t="n">
        <v>1</v>
      </c>
      <c r="K20" s="54" t="n">
        <v>51</v>
      </c>
      <c r="L20" s="47" t="n">
        <v>2.06</v>
      </c>
      <c r="M20" s="55" t="n">
        <f aca="false">J20*K20*L20</f>
        <v>105.06</v>
      </c>
      <c r="N20" s="30" t="n">
        <f aca="false">INDEX(Исходные!$B$13:$B$25,MATCH(G20,Исходные!$A$13:$A$25,0))</f>
        <v>0.395</v>
      </c>
      <c r="O20" s="7" t="n">
        <f aca="false">M20*N20</f>
        <v>41.4987</v>
      </c>
      <c r="P20" s="18" t="s">
        <v>247</v>
      </c>
      <c r="Q20" s="18" t="s">
        <v>204</v>
      </c>
      <c r="R20" s="18" t="s">
        <v>248</v>
      </c>
      <c r="S20" s="18" t="s">
        <v>4</v>
      </c>
      <c r="T20" s="18" t="s">
        <v>234</v>
      </c>
    </row>
    <row r="21" customFormat="false" ht="23.85" hidden="false" customHeight="false" outlineLevel="0" collapsed="false">
      <c r="A21" s="5" t="n">
        <v>17</v>
      </c>
      <c r="B21" s="18" t="s">
        <v>232</v>
      </c>
      <c r="C21" s="18" t="s">
        <v>233</v>
      </c>
      <c r="D21" s="18" t="s">
        <v>234</v>
      </c>
      <c r="E21" s="5" t="s">
        <v>249</v>
      </c>
      <c r="F21" s="18" t="s">
        <v>250</v>
      </c>
      <c r="G21" s="54" t="n">
        <v>8</v>
      </c>
      <c r="H21" s="5" t="s">
        <v>216</v>
      </c>
      <c r="I21" s="5" t="s">
        <v>251</v>
      </c>
      <c r="J21" s="54" t="n">
        <v>1</v>
      </c>
      <c r="K21" s="54" t="n">
        <v>30</v>
      </c>
      <c r="L21" s="47" t="n">
        <v>0.75</v>
      </c>
      <c r="M21" s="55" t="n">
        <f aca="false">J21*K21*L21</f>
        <v>22.5</v>
      </c>
      <c r="N21" s="30" t="n">
        <f aca="false">INDEX(Исходные!$B$13:$B$25,MATCH(G21,Исходные!$A$13:$A$25,0))</f>
        <v>0.395</v>
      </c>
      <c r="O21" s="7" t="n">
        <f aca="false">M21*N21</f>
        <v>8.8875</v>
      </c>
      <c r="P21" s="18" t="s">
        <v>252</v>
      </c>
      <c r="Q21" s="18" t="s">
        <v>204</v>
      </c>
      <c r="R21" s="18"/>
      <c r="S21" s="18" t="s">
        <v>4</v>
      </c>
      <c r="T21" s="18" t="s">
        <v>234</v>
      </c>
    </row>
    <row r="22" customFormat="false" ht="23.85" hidden="false" customHeight="false" outlineLevel="0" collapsed="false">
      <c r="A22" s="5" t="n">
        <v>18</v>
      </c>
      <c r="B22" s="18" t="s">
        <v>232</v>
      </c>
      <c r="C22" s="18" t="s">
        <v>233</v>
      </c>
      <c r="D22" s="18" t="s">
        <v>234</v>
      </c>
      <c r="E22" s="5" t="s">
        <v>253</v>
      </c>
      <c r="F22" s="18" t="s">
        <v>254</v>
      </c>
      <c r="G22" s="54" t="n">
        <v>8</v>
      </c>
      <c r="H22" s="5" t="s">
        <v>216</v>
      </c>
      <c r="I22" s="5" t="n">
        <v>300</v>
      </c>
      <c r="J22" s="54" t="n">
        <v>1</v>
      </c>
      <c r="K22" s="54" t="n">
        <v>20</v>
      </c>
      <c r="L22" s="47" t="n">
        <v>0.58</v>
      </c>
      <c r="M22" s="55" t="n">
        <f aca="false">J22*K22*L22</f>
        <v>11.6</v>
      </c>
      <c r="N22" s="30" t="n">
        <f aca="false">INDEX(Исходные!$B$13:$B$25,MATCH(G22,Исходные!$A$13:$A$25,0))</f>
        <v>0.395</v>
      </c>
      <c r="O22" s="7" t="n">
        <f aca="false">M22*N22</f>
        <v>4.582</v>
      </c>
      <c r="P22" s="18" t="s">
        <v>255</v>
      </c>
      <c r="Q22" s="56" t="s">
        <v>219</v>
      </c>
      <c r="R22" s="18"/>
      <c r="S22" s="18" t="s">
        <v>4</v>
      </c>
      <c r="T22" s="18" t="s">
        <v>234</v>
      </c>
    </row>
    <row r="23" customFormat="false" ht="35.05" hidden="false" customHeight="false" outlineLevel="0" collapsed="false">
      <c r="A23" s="5" t="n">
        <v>19</v>
      </c>
      <c r="B23" s="18" t="s">
        <v>232</v>
      </c>
      <c r="C23" s="18" t="s">
        <v>256</v>
      </c>
      <c r="D23" s="18" t="s">
        <v>257</v>
      </c>
      <c r="E23" s="5" t="s">
        <v>225</v>
      </c>
      <c r="F23" s="18" t="s">
        <v>235</v>
      </c>
      <c r="G23" s="54" t="n">
        <v>28</v>
      </c>
      <c r="H23" s="5" t="s">
        <v>201</v>
      </c>
      <c r="I23" s="5" t="s">
        <v>202</v>
      </c>
      <c r="J23" s="54" t="n">
        <v>1</v>
      </c>
      <c r="K23" s="54" t="n">
        <v>4</v>
      </c>
      <c r="L23" s="47" t="n">
        <v>7</v>
      </c>
      <c r="M23" s="55" t="n">
        <f aca="false">J23*K23*L23</f>
        <v>28</v>
      </c>
      <c r="N23" s="30" t="n">
        <f aca="false">INDEX(Исходные!$B$13:$B$25,MATCH(G23,Исходные!$A$13:$A$25,0))</f>
        <v>4.834</v>
      </c>
      <c r="O23" s="7" t="n">
        <f aca="false">M23*N23</f>
        <v>135.352</v>
      </c>
      <c r="P23" s="18" t="s">
        <v>258</v>
      </c>
      <c r="Q23" s="18" t="s">
        <v>237</v>
      </c>
      <c r="R23" s="18"/>
      <c r="S23" s="18" t="s">
        <v>4</v>
      </c>
      <c r="T23" s="18" t="s">
        <v>257</v>
      </c>
    </row>
    <row r="24" customFormat="false" ht="23.85" hidden="false" customHeight="false" outlineLevel="0" collapsed="false">
      <c r="A24" s="5" t="n">
        <v>20</v>
      </c>
      <c r="B24" s="18" t="s">
        <v>232</v>
      </c>
      <c r="C24" s="18" t="s">
        <v>256</v>
      </c>
      <c r="D24" s="18" t="s">
        <v>257</v>
      </c>
      <c r="E24" s="5" t="s">
        <v>238</v>
      </c>
      <c r="F24" s="18" t="s">
        <v>239</v>
      </c>
      <c r="G24" s="54" t="n">
        <v>18</v>
      </c>
      <c r="H24" s="5" t="s">
        <v>201</v>
      </c>
      <c r="I24" s="5" t="s">
        <v>202</v>
      </c>
      <c r="J24" s="54" t="n">
        <v>1</v>
      </c>
      <c r="K24" s="54" t="n">
        <v>2</v>
      </c>
      <c r="L24" s="47" t="n">
        <v>7</v>
      </c>
      <c r="M24" s="55" t="n">
        <f aca="false">J24*K24*L24</f>
        <v>14</v>
      </c>
      <c r="N24" s="30" t="n">
        <f aca="false">INDEX(Исходные!$B$13:$B$25,MATCH(G24,Исходные!$A$13:$A$25,0))</f>
        <v>1.998</v>
      </c>
      <c r="O24" s="7" t="n">
        <f aca="false">M24*N24</f>
        <v>27.972</v>
      </c>
      <c r="P24" s="18" t="s">
        <v>240</v>
      </c>
      <c r="Q24" s="18" t="s">
        <v>237</v>
      </c>
      <c r="R24" s="18"/>
      <c r="S24" s="18" t="s">
        <v>4</v>
      </c>
      <c r="T24" s="18" t="s">
        <v>257</v>
      </c>
    </row>
    <row r="25" customFormat="false" ht="23.85" hidden="false" customHeight="false" outlineLevel="0" collapsed="false">
      <c r="A25" s="5" t="n">
        <v>21</v>
      </c>
      <c r="B25" s="18" t="s">
        <v>232</v>
      </c>
      <c r="C25" s="18" t="s">
        <v>256</v>
      </c>
      <c r="D25" s="18" t="s">
        <v>257</v>
      </c>
      <c r="E25" s="5" t="s">
        <v>241</v>
      </c>
      <c r="F25" s="18" t="s">
        <v>242</v>
      </c>
      <c r="G25" s="54" t="n">
        <v>16</v>
      </c>
      <c r="H25" s="5" t="s">
        <v>201</v>
      </c>
      <c r="I25" s="5" t="s">
        <v>202</v>
      </c>
      <c r="J25" s="54" t="n">
        <v>1</v>
      </c>
      <c r="K25" s="54" t="n">
        <v>2</v>
      </c>
      <c r="L25" s="47" t="n">
        <v>7</v>
      </c>
      <c r="M25" s="55" t="n">
        <f aca="false">J25*K25*L25</f>
        <v>14</v>
      </c>
      <c r="N25" s="30" t="n">
        <f aca="false">INDEX(Исходные!$B$13:$B$25,MATCH(G25,Исходные!$A$13:$A$25,0))</f>
        <v>1.578</v>
      </c>
      <c r="O25" s="7" t="n">
        <f aca="false">M25*N25</f>
        <v>22.092</v>
      </c>
      <c r="P25" s="18" t="s">
        <v>243</v>
      </c>
      <c r="Q25" s="18" t="s">
        <v>237</v>
      </c>
      <c r="R25" s="18"/>
      <c r="S25" s="18" t="s">
        <v>4</v>
      </c>
      <c r="T25" s="18" t="s">
        <v>257</v>
      </c>
    </row>
    <row r="26" customFormat="false" ht="23.85" hidden="false" customHeight="false" outlineLevel="0" collapsed="false">
      <c r="A26" s="5" t="n">
        <v>22</v>
      </c>
      <c r="B26" s="18" t="s">
        <v>232</v>
      </c>
      <c r="C26" s="18" t="s">
        <v>256</v>
      </c>
      <c r="D26" s="18" t="s">
        <v>257</v>
      </c>
      <c r="E26" s="5" t="s">
        <v>244</v>
      </c>
      <c r="F26" s="18" t="s">
        <v>245</v>
      </c>
      <c r="G26" s="54" t="n">
        <v>8</v>
      </c>
      <c r="H26" s="5" t="s">
        <v>216</v>
      </c>
      <c r="I26" s="5" t="s">
        <v>246</v>
      </c>
      <c r="J26" s="54" t="n">
        <v>1</v>
      </c>
      <c r="K26" s="54" t="n">
        <v>48</v>
      </c>
      <c r="L26" s="47" t="n">
        <v>2.06</v>
      </c>
      <c r="M26" s="55" t="n">
        <f aca="false">J26*K26*L26</f>
        <v>98.88</v>
      </c>
      <c r="N26" s="30" t="n">
        <f aca="false">INDEX(Исходные!$B$13:$B$25,MATCH(G26,Исходные!$A$13:$A$25,0))</f>
        <v>0.395</v>
      </c>
      <c r="O26" s="7" t="n">
        <f aca="false">M26*N26</f>
        <v>39.0576</v>
      </c>
      <c r="P26" s="18" t="s">
        <v>247</v>
      </c>
      <c r="Q26" s="18" t="s">
        <v>204</v>
      </c>
      <c r="R26" s="18" t="s">
        <v>259</v>
      </c>
      <c r="S26" s="18" t="s">
        <v>4</v>
      </c>
      <c r="T26" s="18" t="s">
        <v>257</v>
      </c>
    </row>
    <row r="27" customFormat="false" ht="23.85" hidden="false" customHeight="false" outlineLevel="0" collapsed="false">
      <c r="A27" s="5" t="n">
        <v>23</v>
      </c>
      <c r="B27" s="18" t="s">
        <v>232</v>
      </c>
      <c r="C27" s="18" t="s">
        <v>256</v>
      </c>
      <c r="D27" s="18" t="s">
        <v>257</v>
      </c>
      <c r="E27" s="5" t="s">
        <v>249</v>
      </c>
      <c r="F27" s="18" t="s">
        <v>250</v>
      </c>
      <c r="G27" s="54" t="n">
        <v>8</v>
      </c>
      <c r="H27" s="5" t="s">
        <v>216</v>
      </c>
      <c r="I27" s="5" t="s">
        <v>251</v>
      </c>
      <c r="J27" s="54" t="n">
        <v>1</v>
      </c>
      <c r="K27" s="54" t="n">
        <v>32</v>
      </c>
      <c r="L27" s="47" t="n">
        <v>0.75</v>
      </c>
      <c r="M27" s="55" t="n">
        <f aca="false">J27*K27*L27</f>
        <v>24</v>
      </c>
      <c r="N27" s="30" t="n">
        <f aca="false">INDEX(Исходные!$B$13:$B$25,MATCH(G27,Исходные!$A$13:$A$25,0))</f>
        <v>0.395</v>
      </c>
      <c r="O27" s="7" t="n">
        <f aca="false">M27*N27</f>
        <v>9.48</v>
      </c>
      <c r="P27" s="18" t="s">
        <v>252</v>
      </c>
      <c r="Q27" s="18" t="s">
        <v>204</v>
      </c>
      <c r="R27" s="18"/>
      <c r="S27" s="18" t="s">
        <v>4</v>
      </c>
      <c r="T27" s="18" t="s">
        <v>257</v>
      </c>
    </row>
    <row r="28" customFormat="false" ht="23.85" hidden="false" customHeight="false" outlineLevel="0" collapsed="false">
      <c r="A28" s="5" t="n">
        <v>24</v>
      </c>
      <c r="B28" s="18" t="s">
        <v>232</v>
      </c>
      <c r="C28" s="18" t="s">
        <v>256</v>
      </c>
      <c r="D28" s="18" t="s">
        <v>257</v>
      </c>
      <c r="E28" s="5" t="s">
        <v>253</v>
      </c>
      <c r="F28" s="18" t="s">
        <v>254</v>
      </c>
      <c r="G28" s="54" t="n">
        <v>8</v>
      </c>
      <c r="H28" s="5" t="s">
        <v>216</v>
      </c>
      <c r="I28" s="5" t="n">
        <v>300</v>
      </c>
      <c r="J28" s="54" t="n">
        <v>1</v>
      </c>
      <c r="K28" s="54" t="n">
        <v>20</v>
      </c>
      <c r="L28" s="47" t="n">
        <v>0.58</v>
      </c>
      <c r="M28" s="55" t="n">
        <f aca="false">J28*K28*L28</f>
        <v>11.6</v>
      </c>
      <c r="N28" s="30" t="n">
        <f aca="false">INDEX(Исходные!$B$13:$B$25,MATCH(G28,Исходные!$A$13:$A$25,0))</f>
        <v>0.395</v>
      </c>
      <c r="O28" s="7" t="n">
        <f aca="false">M28*N28</f>
        <v>4.582</v>
      </c>
      <c r="P28" s="18" t="s">
        <v>255</v>
      </c>
      <c r="Q28" s="56" t="s">
        <v>219</v>
      </c>
      <c r="R28" s="18"/>
      <c r="S28" s="18" t="s">
        <v>4</v>
      </c>
      <c r="T28" s="18" t="s">
        <v>257</v>
      </c>
    </row>
    <row r="29" customFormat="false" ht="35.05" hidden="false" customHeight="false" outlineLevel="0" collapsed="false">
      <c r="A29" s="5" t="n">
        <v>25</v>
      </c>
      <c r="B29" s="18" t="s">
        <v>232</v>
      </c>
      <c r="C29" s="18" t="s">
        <v>260</v>
      </c>
      <c r="D29" s="18" t="s">
        <v>261</v>
      </c>
      <c r="E29" s="5" t="s">
        <v>225</v>
      </c>
      <c r="F29" s="18" t="s">
        <v>262</v>
      </c>
      <c r="G29" s="54" t="n">
        <v>28</v>
      </c>
      <c r="H29" s="5" t="s">
        <v>201</v>
      </c>
      <c r="I29" s="5" t="s">
        <v>202</v>
      </c>
      <c r="J29" s="54" t="n">
        <v>1</v>
      </c>
      <c r="K29" s="54" t="n">
        <v>4</v>
      </c>
      <c r="L29" s="47" t="n">
        <v>7</v>
      </c>
      <c r="M29" s="55" t="n">
        <f aca="false">J29*K29*L29</f>
        <v>28</v>
      </c>
      <c r="N29" s="30" t="n">
        <f aca="false">INDEX(Исходные!$B$13:$B$25,MATCH(G29,Исходные!$A$13:$A$25,0))</f>
        <v>4.834</v>
      </c>
      <c r="O29" s="7" t="n">
        <f aca="false">M29*N29</f>
        <v>135.352</v>
      </c>
      <c r="P29" s="18" t="s">
        <v>263</v>
      </c>
      <c r="Q29" s="18" t="s">
        <v>237</v>
      </c>
      <c r="R29" s="18"/>
      <c r="S29" s="18" t="s">
        <v>4</v>
      </c>
      <c r="T29" s="18" t="s">
        <v>261</v>
      </c>
    </row>
    <row r="30" customFormat="false" ht="23.85" hidden="false" customHeight="false" outlineLevel="0" collapsed="false">
      <c r="A30" s="5" t="n">
        <v>26</v>
      </c>
      <c r="B30" s="18" t="s">
        <v>232</v>
      </c>
      <c r="C30" s="18" t="s">
        <v>260</v>
      </c>
      <c r="D30" s="18" t="s">
        <v>261</v>
      </c>
      <c r="E30" s="5" t="s">
        <v>238</v>
      </c>
      <c r="F30" s="18" t="s">
        <v>264</v>
      </c>
      <c r="G30" s="54" t="n">
        <v>18</v>
      </c>
      <c r="H30" s="5" t="s">
        <v>201</v>
      </c>
      <c r="I30" s="5" t="s">
        <v>202</v>
      </c>
      <c r="J30" s="54" t="n">
        <v>1</v>
      </c>
      <c r="K30" s="54" t="n">
        <v>2</v>
      </c>
      <c r="L30" s="47" t="n">
        <v>7</v>
      </c>
      <c r="M30" s="55" t="n">
        <f aca="false">J30*K30*L30</f>
        <v>14</v>
      </c>
      <c r="N30" s="30" t="n">
        <f aca="false">INDEX(Исходные!$B$13:$B$25,MATCH(G30,Исходные!$A$13:$A$25,0))</f>
        <v>1.998</v>
      </c>
      <c r="O30" s="7" t="n">
        <f aca="false">M30*N30</f>
        <v>27.972</v>
      </c>
      <c r="P30" s="18" t="s">
        <v>265</v>
      </c>
      <c r="Q30" s="18" t="s">
        <v>237</v>
      </c>
      <c r="R30" s="18"/>
      <c r="S30" s="18" t="s">
        <v>4</v>
      </c>
      <c r="T30" s="18" t="s">
        <v>261</v>
      </c>
    </row>
    <row r="31" customFormat="false" ht="23.85" hidden="false" customHeight="false" outlineLevel="0" collapsed="false">
      <c r="A31" s="5" t="n">
        <v>27</v>
      </c>
      <c r="B31" s="18" t="s">
        <v>232</v>
      </c>
      <c r="C31" s="18" t="s">
        <v>260</v>
      </c>
      <c r="D31" s="18" t="s">
        <v>261</v>
      </c>
      <c r="E31" s="5" t="s">
        <v>241</v>
      </c>
      <c r="F31" s="18" t="s">
        <v>266</v>
      </c>
      <c r="G31" s="54" t="n">
        <v>16</v>
      </c>
      <c r="H31" s="5" t="s">
        <v>201</v>
      </c>
      <c r="I31" s="5" t="s">
        <v>202</v>
      </c>
      <c r="J31" s="54" t="n">
        <v>1</v>
      </c>
      <c r="K31" s="54" t="n">
        <v>2</v>
      </c>
      <c r="L31" s="47" t="n">
        <v>7</v>
      </c>
      <c r="M31" s="55" t="n">
        <f aca="false">J31*K31*L31</f>
        <v>14</v>
      </c>
      <c r="N31" s="30" t="n">
        <f aca="false">INDEX(Исходные!$B$13:$B$25,MATCH(G31,Исходные!$A$13:$A$25,0))</f>
        <v>1.578</v>
      </c>
      <c r="O31" s="7" t="n">
        <f aca="false">M31*N31</f>
        <v>22.092</v>
      </c>
      <c r="P31" s="18" t="s">
        <v>267</v>
      </c>
      <c r="Q31" s="18" t="s">
        <v>237</v>
      </c>
      <c r="R31" s="18"/>
      <c r="S31" s="18" t="s">
        <v>4</v>
      </c>
      <c r="T31" s="18" t="s">
        <v>261</v>
      </c>
    </row>
    <row r="32" customFormat="false" ht="23.85" hidden="false" customHeight="false" outlineLevel="0" collapsed="false">
      <c r="A32" s="5" t="n">
        <v>28</v>
      </c>
      <c r="B32" s="18" t="s">
        <v>232</v>
      </c>
      <c r="C32" s="18" t="s">
        <v>260</v>
      </c>
      <c r="D32" s="18" t="s">
        <v>261</v>
      </c>
      <c r="E32" s="5" t="s">
        <v>244</v>
      </c>
      <c r="F32" s="18" t="s">
        <v>245</v>
      </c>
      <c r="G32" s="54" t="n">
        <v>8</v>
      </c>
      <c r="H32" s="5" t="s">
        <v>216</v>
      </c>
      <c r="I32" s="5" t="s">
        <v>246</v>
      </c>
      <c r="J32" s="54" t="n">
        <v>1</v>
      </c>
      <c r="K32" s="54" t="n">
        <v>47</v>
      </c>
      <c r="L32" s="47" t="n">
        <v>2.06</v>
      </c>
      <c r="M32" s="55" t="n">
        <f aca="false">J32*K32*L32</f>
        <v>96.82</v>
      </c>
      <c r="N32" s="30" t="n">
        <f aca="false">INDEX(Исходные!$B$13:$B$25,MATCH(G32,Исходные!$A$13:$A$25,0))</f>
        <v>0.395</v>
      </c>
      <c r="O32" s="7" t="n">
        <f aca="false">M32*N32</f>
        <v>38.2439</v>
      </c>
      <c r="P32" s="18" t="s">
        <v>247</v>
      </c>
      <c r="Q32" s="18" t="s">
        <v>204</v>
      </c>
      <c r="R32" s="18" t="s">
        <v>268</v>
      </c>
      <c r="S32" s="18" t="s">
        <v>4</v>
      </c>
      <c r="T32" s="18" t="s">
        <v>261</v>
      </c>
    </row>
    <row r="33" customFormat="false" ht="23.85" hidden="false" customHeight="false" outlineLevel="0" collapsed="false">
      <c r="A33" s="5" t="n">
        <v>29</v>
      </c>
      <c r="B33" s="18" t="s">
        <v>232</v>
      </c>
      <c r="C33" s="18" t="s">
        <v>260</v>
      </c>
      <c r="D33" s="18" t="s">
        <v>261</v>
      </c>
      <c r="E33" s="5" t="s">
        <v>249</v>
      </c>
      <c r="F33" s="18" t="s">
        <v>250</v>
      </c>
      <c r="G33" s="54" t="n">
        <v>8</v>
      </c>
      <c r="H33" s="5" t="s">
        <v>216</v>
      </c>
      <c r="I33" s="5" t="s">
        <v>251</v>
      </c>
      <c r="J33" s="54" t="n">
        <v>1</v>
      </c>
      <c r="K33" s="54" t="n">
        <v>33</v>
      </c>
      <c r="L33" s="47" t="n">
        <v>0.75</v>
      </c>
      <c r="M33" s="55" t="n">
        <f aca="false">J33*K33*L33</f>
        <v>24.75</v>
      </c>
      <c r="N33" s="30" t="n">
        <f aca="false">INDEX(Исходные!$B$13:$B$25,MATCH(G33,Исходные!$A$13:$A$25,0))</f>
        <v>0.395</v>
      </c>
      <c r="O33" s="7" t="n">
        <f aca="false">M33*N33</f>
        <v>9.77625</v>
      </c>
      <c r="P33" s="18" t="s">
        <v>252</v>
      </c>
      <c r="Q33" s="18" t="s">
        <v>204</v>
      </c>
      <c r="R33" s="18"/>
      <c r="S33" s="18" t="s">
        <v>4</v>
      </c>
      <c r="T33" s="18" t="s">
        <v>261</v>
      </c>
    </row>
    <row r="34" customFormat="false" ht="23.85" hidden="false" customHeight="false" outlineLevel="0" collapsed="false">
      <c r="A34" s="5" t="n">
        <v>30</v>
      </c>
      <c r="B34" s="18" t="s">
        <v>232</v>
      </c>
      <c r="C34" s="18" t="s">
        <v>260</v>
      </c>
      <c r="D34" s="18" t="s">
        <v>261</v>
      </c>
      <c r="E34" s="5" t="s">
        <v>253</v>
      </c>
      <c r="F34" s="18" t="s">
        <v>254</v>
      </c>
      <c r="G34" s="54" t="n">
        <v>8</v>
      </c>
      <c r="H34" s="5" t="s">
        <v>216</v>
      </c>
      <c r="I34" s="5" t="n">
        <v>300</v>
      </c>
      <c r="J34" s="54" t="n">
        <v>1</v>
      </c>
      <c r="K34" s="54" t="n">
        <v>20</v>
      </c>
      <c r="L34" s="47" t="n">
        <v>0.58</v>
      </c>
      <c r="M34" s="55" t="n">
        <f aca="false">J34*K34*L34</f>
        <v>11.6</v>
      </c>
      <c r="N34" s="30" t="n">
        <f aca="false">INDEX(Исходные!$B$13:$B$25,MATCH(G34,Исходные!$A$13:$A$25,0))</f>
        <v>0.395</v>
      </c>
      <c r="O34" s="7" t="n">
        <f aca="false">M34*N34</f>
        <v>4.582</v>
      </c>
      <c r="P34" s="18" t="s">
        <v>255</v>
      </c>
      <c r="Q34" s="56" t="s">
        <v>219</v>
      </c>
      <c r="R34" s="18"/>
      <c r="S34" s="18" t="s">
        <v>4</v>
      </c>
      <c r="T34" s="18" t="s">
        <v>261</v>
      </c>
    </row>
    <row r="35" customFormat="false" ht="35.05" hidden="false" customHeight="false" outlineLevel="0" collapsed="false">
      <c r="A35" s="5" t="n">
        <v>31</v>
      </c>
      <c r="B35" s="18" t="s">
        <v>232</v>
      </c>
      <c r="C35" s="18" t="s">
        <v>269</v>
      </c>
      <c r="D35" s="18" t="s">
        <v>270</v>
      </c>
      <c r="E35" s="5" t="s">
        <v>225</v>
      </c>
      <c r="F35" s="18" t="s">
        <v>262</v>
      </c>
      <c r="G35" s="54" t="n">
        <v>28</v>
      </c>
      <c r="H35" s="5" t="s">
        <v>201</v>
      </c>
      <c r="I35" s="5" t="s">
        <v>202</v>
      </c>
      <c r="J35" s="54" t="n">
        <v>1</v>
      </c>
      <c r="K35" s="54" t="n">
        <v>4</v>
      </c>
      <c r="L35" s="47" t="n">
        <v>7</v>
      </c>
      <c r="M35" s="55" t="n">
        <f aca="false">J35*K35*L35</f>
        <v>28</v>
      </c>
      <c r="N35" s="30" t="n">
        <f aca="false">INDEX(Исходные!$B$13:$B$25,MATCH(G35,Исходные!$A$13:$A$25,0))</f>
        <v>4.834</v>
      </c>
      <c r="O35" s="7" t="n">
        <f aca="false">M35*N35</f>
        <v>135.352</v>
      </c>
      <c r="P35" s="18" t="s">
        <v>271</v>
      </c>
      <c r="Q35" s="18" t="s">
        <v>237</v>
      </c>
      <c r="R35" s="18"/>
      <c r="S35" s="18" t="s">
        <v>4</v>
      </c>
      <c r="T35" s="18" t="s">
        <v>270</v>
      </c>
    </row>
    <row r="36" customFormat="false" ht="23.85" hidden="false" customHeight="false" outlineLevel="0" collapsed="false">
      <c r="A36" s="5" t="n">
        <v>32</v>
      </c>
      <c r="B36" s="18" t="s">
        <v>232</v>
      </c>
      <c r="C36" s="18" t="s">
        <v>269</v>
      </c>
      <c r="D36" s="18" t="s">
        <v>270</v>
      </c>
      <c r="E36" s="5" t="s">
        <v>238</v>
      </c>
      <c r="F36" s="18" t="s">
        <v>264</v>
      </c>
      <c r="G36" s="54" t="n">
        <v>18</v>
      </c>
      <c r="H36" s="5" t="s">
        <v>201</v>
      </c>
      <c r="I36" s="5" t="s">
        <v>202</v>
      </c>
      <c r="J36" s="54" t="n">
        <v>1</v>
      </c>
      <c r="K36" s="54" t="n">
        <v>2</v>
      </c>
      <c r="L36" s="47" t="n">
        <v>7</v>
      </c>
      <c r="M36" s="55" t="n">
        <f aca="false">J36*K36*L36</f>
        <v>14</v>
      </c>
      <c r="N36" s="30" t="n">
        <f aca="false">INDEX(Исходные!$B$13:$B$25,MATCH(G36,Исходные!$A$13:$A$25,0))</f>
        <v>1.998</v>
      </c>
      <c r="O36" s="7" t="n">
        <f aca="false">M36*N36</f>
        <v>27.972</v>
      </c>
      <c r="P36" s="18" t="s">
        <v>265</v>
      </c>
      <c r="Q36" s="18" t="s">
        <v>237</v>
      </c>
      <c r="R36" s="18"/>
      <c r="S36" s="18" t="s">
        <v>4</v>
      </c>
      <c r="T36" s="18" t="s">
        <v>270</v>
      </c>
    </row>
    <row r="37" customFormat="false" ht="23.85" hidden="false" customHeight="false" outlineLevel="0" collapsed="false">
      <c r="A37" s="5" t="n">
        <v>33</v>
      </c>
      <c r="B37" s="18" t="s">
        <v>232</v>
      </c>
      <c r="C37" s="18" t="s">
        <v>269</v>
      </c>
      <c r="D37" s="18" t="s">
        <v>270</v>
      </c>
      <c r="E37" s="5" t="s">
        <v>241</v>
      </c>
      <c r="F37" s="18" t="s">
        <v>266</v>
      </c>
      <c r="G37" s="54" t="n">
        <v>16</v>
      </c>
      <c r="H37" s="5" t="s">
        <v>201</v>
      </c>
      <c r="I37" s="5" t="s">
        <v>202</v>
      </c>
      <c r="J37" s="54" t="n">
        <v>1</v>
      </c>
      <c r="K37" s="54" t="n">
        <v>2</v>
      </c>
      <c r="L37" s="47" t="n">
        <v>7</v>
      </c>
      <c r="M37" s="55" t="n">
        <f aca="false">J37*K37*L37</f>
        <v>14</v>
      </c>
      <c r="N37" s="30" t="n">
        <f aca="false">INDEX(Исходные!$B$13:$B$25,MATCH(G37,Исходные!$A$13:$A$25,0))</f>
        <v>1.578</v>
      </c>
      <c r="O37" s="7" t="n">
        <f aca="false">M37*N37</f>
        <v>22.092</v>
      </c>
      <c r="P37" s="18" t="s">
        <v>267</v>
      </c>
      <c r="Q37" s="18" t="s">
        <v>237</v>
      </c>
      <c r="R37" s="18"/>
      <c r="S37" s="18" t="s">
        <v>4</v>
      </c>
      <c r="T37" s="18" t="s">
        <v>270</v>
      </c>
    </row>
    <row r="38" customFormat="false" ht="23.85" hidden="false" customHeight="false" outlineLevel="0" collapsed="false">
      <c r="A38" s="5" t="n">
        <v>34</v>
      </c>
      <c r="B38" s="18" t="s">
        <v>232</v>
      </c>
      <c r="C38" s="18" t="s">
        <v>269</v>
      </c>
      <c r="D38" s="18" t="s">
        <v>270</v>
      </c>
      <c r="E38" s="5" t="s">
        <v>244</v>
      </c>
      <c r="F38" s="18" t="s">
        <v>245</v>
      </c>
      <c r="G38" s="54" t="n">
        <v>8</v>
      </c>
      <c r="H38" s="5" t="s">
        <v>216</v>
      </c>
      <c r="I38" s="5" t="s">
        <v>246</v>
      </c>
      <c r="J38" s="54" t="n">
        <v>1</v>
      </c>
      <c r="K38" s="54" t="n">
        <v>47</v>
      </c>
      <c r="L38" s="47" t="n">
        <v>2.06</v>
      </c>
      <c r="M38" s="55" t="n">
        <f aca="false">J38*K38*L38</f>
        <v>96.82</v>
      </c>
      <c r="N38" s="30" t="n">
        <f aca="false">INDEX(Исходные!$B$13:$B$25,MATCH(G38,Исходные!$A$13:$A$25,0))</f>
        <v>0.395</v>
      </c>
      <c r="O38" s="7" t="n">
        <f aca="false">M38*N38</f>
        <v>38.2439</v>
      </c>
      <c r="P38" s="18" t="s">
        <v>247</v>
      </c>
      <c r="Q38" s="18" t="s">
        <v>204</v>
      </c>
      <c r="R38" s="18" t="s">
        <v>268</v>
      </c>
      <c r="S38" s="18" t="s">
        <v>4</v>
      </c>
      <c r="T38" s="18" t="s">
        <v>270</v>
      </c>
    </row>
    <row r="39" customFormat="false" ht="23.85" hidden="false" customHeight="false" outlineLevel="0" collapsed="false">
      <c r="A39" s="5" t="n">
        <v>35</v>
      </c>
      <c r="B39" s="18" t="s">
        <v>232</v>
      </c>
      <c r="C39" s="18" t="s">
        <v>269</v>
      </c>
      <c r="D39" s="18" t="s">
        <v>270</v>
      </c>
      <c r="E39" s="5" t="s">
        <v>249</v>
      </c>
      <c r="F39" s="18" t="s">
        <v>250</v>
      </c>
      <c r="G39" s="54" t="n">
        <v>8</v>
      </c>
      <c r="H39" s="5" t="s">
        <v>216</v>
      </c>
      <c r="I39" s="5" t="s">
        <v>251</v>
      </c>
      <c r="J39" s="54" t="n">
        <v>1</v>
      </c>
      <c r="K39" s="54" t="n">
        <v>33</v>
      </c>
      <c r="L39" s="47" t="n">
        <v>0.75</v>
      </c>
      <c r="M39" s="55" t="n">
        <f aca="false">J39*K39*L39</f>
        <v>24.75</v>
      </c>
      <c r="N39" s="30" t="n">
        <f aca="false">INDEX(Исходные!$B$13:$B$25,MATCH(G39,Исходные!$A$13:$A$25,0))</f>
        <v>0.395</v>
      </c>
      <c r="O39" s="7" t="n">
        <f aca="false">M39*N39</f>
        <v>9.77625</v>
      </c>
      <c r="P39" s="18" t="s">
        <v>252</v>
      </c>
      <c r="Q39" s="18" t="s">
        <v>204</v>
      </c>
      <c r="R39" s="18"/>
      <c r="S39" s="18" t="s">
        <v>4</v>
      </c>
      <c r="T39" s="18" t="s">
        <v>270</v>
      </c>
    </row>
    <row r="40" customFormat="false" ht="23.85" hidden="false" customHeight="false" outlineLevel="0" collapsed="false">
      <c r="A40" s="5" t="n">
        <v>36</v>
      </c>
      <c r="B40" s="18" t="s">
        <v>232</v>
      </c>
      <c r="C40" s="18" t="s">
        <v>269</v>
      </c>
      <c r="D40" s="18" t="s">
        <v>270</v>
      </c>
      <c r="E40" s="5" t="s">
        <v>253</v>
      </c>
      <c r="F40" s="18" t="s">
        <v>254</v>
      </c>
      <c r="G40" s="54" t="n">
        <v>8</v>
      </c>
      <c r="H40" s="5" t="s">
        <v>216</v>
      </c>
      <c r="I40" s="5" t="n">
        <v>300</v>
      </c>
      <c r="J40" s="54" t="n">
        <v>1</v>
      </c>
      <c r="K40" s="54" t="n">
        <v>20</v>
      </c>
      <c r="L40" s="47" t="n">
        <v>0.58</v>
      </c>
      <c r="M40" s="55" t="n">
        <f aca="false">J40*K40*L40</f>
        <v>11.6</v>
      </c>
      <c r="N40" s="30" t="n">
        <f aca="false">INDEX(Исходные!$B$13:$B$25,MATCH(G40,Исходные!$A$13:$A$25,0))</f>
        <v>0.395</v>
      </c>
      <c r="O40" s="7" t="n">
        <f aca="false">M40*N40</f>
        <v>4.582</v>
      </c>
      <c r="P40" s="18" t="s">
        <v>255</v>
      </c>
      <c r="Q40" s="56" t="s">
        <v>219</v>
      </c>
      <c r="R40" s="18"/>
      <c r="S40" s="18" t="s">
        <v>4</v>
      </c>
      <c r="T40" s="18" t="s">
        <v>270</v>
      </c>
    </row>
    <row r="41" customFormat="false" ht="23.85" hidden="false" customHeight="false" outlineLevel="0" collapsed="false">
      <c r="A41" s="5" t="n">
        <v>37</v>
      </c>
      <c r="B41" s="18" t="s">
        <v>272</v>
      </c>
      <c r="C41" s="18" t="s">
        <v>273</v>
      </c>
      <c r="D41" s="18" t="s">
        <v>274</v>
      </c>
      <c r="E41" s="5" t="s">
        <v>275</v>
      </c>
      <c r="F41" s="18" t="s">
        <v>276</v>
      </c>
      <c r="G41" s="54" t="n">
        <v>10</v>
      </c>
      <c r="H41" s="5" t="s">
        <v>201</v>
      </c>
      <c r="I41" s="5" t="n">
        <v>200</v>
      </c>
      <c r="J41" s="54" t="n">
        <v>1</v>
      </c>
      <c r="K41" s="54" t="n">
        <v>21</v>
      </c>
      <c r="L41" s="47" t="n">
        <v>6.9</v>
      </c>
      <c r="M41" s="55" t="n">
        <f aca="false">J41*K41*L41</f>
        <v>144.9</v>
      </c>
      <c r="N41" s="30" t="n">
        <f aca="false">INDEX(Исходные!$B$13:$B$25,MATCH(G41,Исходные!$A$13:$A$25,0))</f>
        <v>0.617</v>
      </c>
      <c r="O41" s="7" t="n">
        <f aca="false">M41*N41</f>
        <v>89.4033</v>
      </c>
      <c r="P41" s="18" t="s">
        <v>277</v>
      </c>
      <c r="Q41" s="18" t="s">
        <v>237</v>
      </c>
      <c r="R41" s="18"/>
      <c r="S41" s="18" t="s">
        <v>4</v>
      </c>
      <c r="T41" s="18" t="s">
        <v>278</v>
      </c>
    </row>
    <row r="42" customFormat="false" ht="23.85" hidden="false" customHeight="false" outlineLevel="0" collapsed="false">
      <c r="A42" s="5" t="n">
        <v>38</v>
      </c>
      <c r="B42" s="18" t="s">
        <v>272</v>
      </c>
      <c r="C42" s="18" t="s">
        <v>273</v>
      </c>
      <c r="D42" s="18" t="s">
        <v>274</v>
      </c>
      <c r="E42" s="5" t="s">
        <v>275</v>
      </c>
      <c r="F42" s="18" t="s">
        <v>276</v>
      </c>
      <c r="G42" s="54" t="n">
        <v>10</v>
      </c>
      <c r="H42" s="5" t="s">
        <v>201</v>
      </c>
      <c r="I42" s="5" t="n">
        <v>200</v>
      </c>
      <c r="J42" s="54" t="n">
        <v>1</v>
      </c>
      <c r="K42" s="54" t="n">
        <v>13</v>
      </c>
      <c r="L42" s="47" t="n">
        <v>5.575</v>
      </c>
      <c r="M42" s="55" t="n">
        <f aca="false">J42*K42*L42</f>
        <v>72.475</v>
      </c>
      <c r="N42" s="30" t="n">
        <f aca="false">INDEX(Исходные!$B$13:$B$25,MATCH(G42,Исходные!$A$13:$A$25,0))</f>
        <v>0.617</v>
      </c>
      <c r="O42" s="7" t="n">
        <f aca="false">M42*N42</f>
        <v>44.717075</v>
      </c>
      <c r="P42" s="18" t="s">
        <v>277</v>
      </c>
      <c r="Q42" s="18" t="s">
        <v>237</v>
      </c>
      <c r="R42" s="18"/>
      <c r="S42" s="18" t="s">
        <v>4</v>
      </c>
      <c r="T42" s="18" t="s">
        <v>278</v>
      </c>
    </row>
    <row r="43" customFormat="false" ht="23.85" hidden="false" customHeight="false" outlineLevel="0" collapsed="false">
      <c r="A43" s="5" t="n">
        <v>39</v>
      </c>
      <c r="B43" s="18" t="s">
        <v>272</v>
      </c>
      <c r="C43" s="18" t="s">
        <v>273</v>
      </c>
      <c r="D43" s="18" t="s">
        <v>274</v>
      </c>
      <c r="E43" s="5" t="s">
        <v>275</v>
      </c>
      <c r="F43" s="18" t="s">
        <v>276</v>
      </c>
      <c r="G43" s="54" t="n">
        <v>10</v>
      </c>
      <c r="H43" s="5" t="s">
        <v>201</v>
      </c>
      <c r="I43" s="5" t="n">
        <v>200</v>
      </c>
      <c r="J43" s="54" t="n">
        <v>1</v>
      </c>
      <c r="K43" s="54" t="n">
        <v>2</v>
      </c>
      <c r="L43" s="47" t="n">
        <v>2.775</v>
      </c>
      <c r="M43" s="55" t="n">
        <f aca="false">J43*K43*L43</f>
        <v>5.55</v>
      </c>
      <c r="N43" s="30" t="n">
        <f aca="false">INDEX(Исходные!$B$13:$B$25,MATCH(G43,Исходные!$A$13:$A$25,0))</f>
        <v>0.617</v>
      </c>
      <c r="O43" s="7" t="n">
        <f aca="false">M43*N43</f>
        <v>3.42435</v>
      </c>
      <c r="P43" s="18" t="s">
        <v>277</v>
      </c>
      <c r="Q43" s="18" t="s">
        <v>237</v>
      </c>
      <c r="R43" s="18"/>
      <c r="S43" s="18" t="s">
        <v>4</v>
      </c>
      <c r="T43" s="18" t="s">
        <v>278</v>
      </c>
    </row>
    <row r="44" customFormat="false" ht="23.85" hidden="false" customHeight="false" outlineLevel="0" collapsed="false">
      <c r="A44" s="5" t="n">
        <v>40</v>
      </c>
      <c r="B44" s="18" t="s">
        <v>272</v>
      </c>
      <c r="C44" s="18" t="s">
        <v>273</v>
      </c>
      <c r="D44" s="18" t="s">
        <v>274</v>
      </c>
      <c r="E44" s="5" t="s">
        <v>275</v>
      </c>
      <c r="F44" s="18" t="s">
        <v>276</v>
      </c>
      <c r="G44" s="54" t="n">
        <v>10</v>
      </c>
      <c r="H44" s="5" t="s">
        <v>201</v>
      </c>
      <c r="I44" s="5" t="n">
        <v>200</v>
      </c>
      <c r="J44" s="54" t="n">
        <v>1</v>
      </c>
      <c r="K44" s="54" t="n">
        <v>15</v>
      </c>
      <c r="L44" s="47" t="n">
        <v>0.4</v>
      </c>
      <c r="M44" s="55" t="n">
        <f aca="false">J44*K44*L44</f>
        <v>6</v>
      </c>
      <c r="N44" s="30" t="n">
        <f aca="false">INDEX(Исходные!$B$13:$B$25,MATCH(G44,Исходные!$A$13:$A$25,0))</f>
        <v>0.617</v>
      </c>
      <c r="O44" s="7" t="n">
        <f aca="false">M44*N44</f>
        <v>3.702</v>
      </c>
      <c r="P44" s="18" t="s">
        <v>277</v>
      </c>
      <c r="Q44" s="18" t="s">
        <v>237</v>
      </c>
      <c r="R44" s="18"/>
      <c r="S44" s="18" t="s">
        <v>4</v>
      </c>
      <c r="T44" s="18" t="s">
        <v>278</v>
      </c>
    </row>
    <row r="45" customFormat="false" ht="23.85" hidden="false" customHeight="false" outlineLevel="0" collapsed="false">
      <c r="A45" s="5" t="n">
        <v>41</v>
      </c>
      <c r="B45" s="18" t="s">
        <v>272</v>
      </c>
      <c r="C45" s="18" t="s">
        <v>273</v>
      </c>
      <c r="D45" s="18" t="s">
        <v>274</v>
      </c>
      <c r="E45" s="5" t="s">
        <v>279</v>
      </c>
      <c r="F45" s="18" t="s">
        <v>280</v>
      </c>
      <c r="G45" s="54" t="n">
        <v>10</v>
      </c>
      <c r="H45" s="5" t="s">
        <v>201</v>
      </c>
      <c r="I45" s="5" t="n">
        <v>200</v>
      </c>
      <c r="J45" s="54" t="n">
        <v>1</v>
      </c>
      <c r="K45" s="54" t="n">
        <v>18</v>
      </c>
      <c r="L45" s="47" t="n">
        <v>7.045</v>
      </c>
      <c r="M45" s="55" t="n">
        <f aca="false">J45*K45*L45</f>
        <v>126.81</v>
      </c>
      <c r="N45" s="30" t="n">
        <f aca="false">INDEX(Исходные!$B$13:$B$25,MATCH(G45,Исходные!$A$13:$A$25,0))</f>
        <v>0.617</v>
      </c>
      <c r="O45" s="7" t="n">
        <f aca="false">M45*N45</f>
        <v>78.24177</v>
      </c>
      <c r="P45" s="18" t="s">
        <v>277</v>
      </c>
      <c r="Q45" s="18" t="s">
        <v>237</v>
      </c>
      <c r="R45" s="18"/>
      <c r="S45" s="18" t="s">
        <v>4</v>
      </c>
      <c r="T45" s="18" t="s">
        <v>278</v>
      </c>
    </row>
    <row r="46" customFormat="false" ht="23.85" hidden="false" customHeight="false" outlineLevel="0" collapsed="false">
      <c r="A46" s="5" t="n">
        <v>42</v>
      </c>
      <c r="B46" s="18" t="s">
        <v>272</v>
      </c>
      <c r="C46" s="18" t="s">
        <v>273</v>
      </c>
      <c r="D46" s="18" t="s">
        <v>274</v>
      </c>
      <c r="E46" s="5" t="s">
        <v>279</v>
      </c>
      <c r="F46" s="18" t="s">
        <v>280</v>
      </c>
      <c r="G46" s="54" t="n">
        <v>10</v>
      </c>
      <c r="H46" s="5" t="s">
        <v>201</v>
      </c>
      <c r="I46" s="5" t="n">
        <v>200</v>
      </c>
      <c r="J46" s="54" t="n">
        <v>1</v>
      </c>
      <c r="K46" s="54" t="n">
        <v>13</v>
      </c>
      <c r="L46" s="47" t="n">
        <v>6.11</v>
      </c>
      <c r="M46" s="55" t="n">
        <f aca="false">J46*K46*L46</f>
        <v>79.43</v>
      </c>
      <c r="N46" s="30" t="n">
        <f aca="false">INDEX(Исходные!$B$13:$B$25,MATCH(G46,Исходные!$A$13:$A$25,0))</f>
        <v>0.617</v>
      </c>
      <c r="O46" s="7" t="n">
        <f aca="false">M46*N46</f>
        <v>49.00831</v>
      </c>
      <c r="P46" s="18" t="s">
        <v>277</v>
      </c>
      <c r="Q46" s="18" t="s">
        <v>237</v>
      </c>
      <c r="R46" s="18"/>
      <c r="S46" s="18" t="s">
        <v>4</v>
      </c>
      <c r="T46" s="18" t="s">
        <v>278</v>
      </c>
    </row>
    <row r="47" customFormat="false" ht="23.85" hidden="false" customHeight="false" outlineLevel="0" collapsed="false">
      <c r="A47" s="5" t="n">
        <v>43</v>
      </c>
      <c r="B47" s="18" t="s">
        <v>272</v>
      </c>
      <c r="C47" s="18" t="s">
        <v>273</v>
      </c>
      <c r="D47" s="18" t="s">
        <v>274</v>
      </c>
      <c r="E47" s="5" t="s">
        <v>279</v>
      </c>
      <c r="F47" s="18" t="s">
        <v>280</v>
      </c>
      <c r="G47" s="54" t="n">
        <v>10</v>
      </c>
      <c r="H47" s="5" t="s">
        <v>201</v>
      </c>
      <c r="I47" s="5" t="n">
        <v>200</v>
      </c>
      <c r="J47" s="54" t="n">
        <v>1</v>
      </c>
      <c r="K47" s="54" t="n">
        <v>4</v>
      </c>
      <c r="L47" s="47" t="n">
        <v>3.51</v>
      </c>
      <c r="M47" s="55" t="n">
        <f aca="false">J47*K47*L47</f>
        <v>14.04</v>
      </c>
      <c r="N47" s="30" t="n">
        <f aca="false">INDEX(Исходные!$B$13:$B$25,MATCH(G47,Исходные!$A$13:$A$25,0))</f>
        <v>0.617</v>
      </c>
      <c r="O47" s="7" t="n">
        <f aca="false">M47*N47</f>
        <v>8.66268</v>
      </c>
      <c r="P47" s="18" t="s">
        <v>277</v>
      </c>
      <c r="Q47" s="18" t="s">
        <v>237</v>
      </c>
      <c r="R47" s="18"/>
      <c r="S47" s="18" t="s">
        <v>4</v>
      </c>
      <c r="T47" s="18" t="s">
        <v>278</v>
      </c>
    </row>
    <row r="48" customFormat="false" ht="23.85" hidden="false" customHeight="false" outlineLevel="0" collapsed="false">
      <c r="A48" s="5" t="n">
        <v>44</v>
      </c>
      <c r="B48" s="18" t="s">
        <v>272</v>
      </c>
      <c r="C48" s="18" t="s">
        <v>273</v>
      </c>
      <c r="D48" s="18" t="s">
        <v>274</v>
      </c>
      <c r="E48" s="5" t="s">
        <v>279</v>
      </c>
      <c r="F48" s="18" t="s">
        <v>280</v>
      </c>
      <c r="G48" s="54" t="n">
        <v>10</v>
      </c>
      <c r="H48" s="5" t="s">
        <v>201</v>
      </c>
      <c r="I48" s="5" t="n">
        <v>200</v>
      </c>
      <c r="J48" s="54" t="n">
        <v>1</v>
      </c>
      <c r="K48" s="54" t="n">
        <v>17</v>
      </c>
      <c r="L48" s="47" t="n">
        <v>0.4</v>
      </c>
      <c r="M48" s="55" t="n">
        <f aca="false">J48*K48*L48</f>
        <v>6.8</v>
      </c>
      <c r="N48" s="30" t="n">
        <f aca="false">INDEX(Исходные!$B$13:$B$25,MATCH(G48,Исходные!$A$13:$A$25,0))</f>
        <v>0.617</v>
      </c>
      <c r="O48" s="7" t="n">
        <f aca="false">M48*N48</f>
        <v>4.1956</v>
      </c>
      <c r="P48" s="18" t="s">
        <v>277</v>
      </c>
      <c r="Q48" s="18" t="s">
        <v>237</v>
      </c>
      <c r="R48" s="18"/>
      <c r="S48" s="18" t="s">
        <v>4</v>
      </c>
      <c r="T48" s="18" t="s">
        <v>278</v>
      </c>
    </row>
    <row r="49" customFormat="false" ht="23.85" hidden="false" customHeight="false" outlineLevel="0" collapsed="false">
      <c r="A49" s="5" t="n">
        <v>45</v>
      </c>
      <c r="B49" s="18" t="s">
        <v>272</v>
      </c>
      <c r="C49" s="18" t="s">
        <v>273</v>
      </c>
      <c r="D49" s="18" t="s">
        <v>274</v>
      </c>
      <c r="E49" s="5" t="s">
        <v>281</v>
      </c>
      <c r="F49" s="18" t="s">
        <v>282</v>
      </c>
      <c r="G49" s="54" t="n">
        <v>10</v>
      </c>
      <c r="H49" s="5" t="s">
        <v>201</v>
      </c>
      <c r="I49" s="5" t="n">
        <v>200</v>
      </c>
      <c r="J49" s="54" t="n">
        <v>1</v>
      </c>
      <c r="K49" s="54" t="n">
        <v>21</v>
      </c>
      <c r="L49" s="47" t="n">
        <v>6.9</v>
      </c>
      <c r="M49" s="55" t="n">
        <f aca="false">J49*K49*L49</f>
        <v>144.9</v>
      </c>
      <c r="N49" s="30" t="n">
        <f aca="false">INDEX(Исходные!$B$13:$B$25,MATCH(G49,Исходные!$A$13:$A$25,0))</f>
        <v>0.617</v>
      </c>
      <c r="O49" s="7" t="n">
        <f aca="false">M49*N49</f>
        <v>89.4033</v>
      </c>
      <c r="P49" s="18" t="s">
        <v>277</v>
      </c>
      <c r="Q49" s="18" t="s">
        <v>237</v>
      </c>
      <c r="R49" s="18"/>
      <c r="S49" s="18" t="s">
        <v>4</v>
      </c>
      <c r="T49" s="18" t="s">
        <v>278</v>
      </c>
    </row>
    <row r="50" customFormat="false" ht="23.85" hidden="false" customHeight="false" outlineLevel="0" collapsed="false">
      <c r="A50" s="5" t="n">
        <v>46</v>
      </c>
      <c r="B50" s="18" t="s">
        <v>272</v>
      </c>
      <c r="C50" s="18" t="s">
        <v>273</v>
      </c>
      <c r="D50" s="18" t="s">
        <v>274</v>
      </c>
      <c r="E50" s="5" t="s">
        <v>281</v>
      </c>
      <c r="F50" s="18" t="s">
        <v>282</v>
      </c>
      <c r="G50" s="54" t="n">
        <v>10</v>
      </c>
      <c r="H50" s="5" t="s">
        <v>201</v>
      </c>
      <c r="I50" s="5" t="n">
        <v>200</v>
      </c>
      <c r="J50" s="54" t="n">
        <v>1</v>
      </c>
      <c r="K50" s="54" t="n">
        <v>13</v>
      </c>
      <c r="L50" s="47" t="n">
        <v>5.575</v>
      </c>
      <c r="M50" s="55" t="n">
        <f aca="false">J50*K50*L50</f>
        <v>72.475</v>
      </c>
      <c r="N50" s="30" t="n">
        <f aca="false">INDEX(Исходные!$B$13:$B$25,MATCH(G50,Исходные!$A$13:$A$25,0))</f>
        <v>0.617</v>
      </c>
      <c r="O50" s="7" t="n">
        <f aca="false">M50*N50</f>
        <v>44.717075</v>
      </c>
      <c r="P50" s="18" t="s">
        <v>277</v>
      </c>
      <c r="Q50" s="18" t="s">
        <v>237</v>
      </c>
      <c r="R50" s="18"/>
      <c r="S50" s="18" t="s">
        <v>4</v>
      </c>
      <c r="T50" s="18" t="s">
        <v>278</v>
      </c>
    </row>
    <row r="51" customFormat="false" ht="23.85" hidden="false" customHeight="false" outlineLevel="0" collapsed="false">
      <c r="A51" s="5" t="n">
        <v>47</v>
      </c>
      <c r="B51" s="18" t="s">
        <v>272</v>
      </c>
      <c r="C51" s="18" t="s">
        <v>273</v>
      </c>
      <c r="D51" s="18" t="s">
        <v>274</v>
      </c>
      <c r="E51" s="5" t="s">
        <v>281</v>
      </c>
      <c r="F51" s="18" t="s">
        <v>282</v>
      </c>
      <c r="G51" s="54" t="n">
        <v>10</v>
      </c>
      <c r="H51" s="5" t="s">
        <v>201</v>
      </c>
      <c r="I51" s="5" t="n">
        <v>200</v>
      </c>
      <c r="J51" s="54" t="n">
        <v>1</v>
      </c>
      <c r="K51" s="54" t="n">
        <v>2</v>
      </c>
      <c r="L51" s="47" t="n">
        <v>2.775</v>
      </c>
      <c r="M51" s="55" t="n">
        <f aca="false">J51*K51*L51</f>
        <v>5.55</v>
      </c>
      <c r="N51" s="30" t="n">
        <f aca="false">INDEX(Исходные!$B$13:$B$25,MATCH(G51,Исходные!$A$13:$A$25,0))</f>
        <v>0.617</v>
      </c>
      <c r="O51" s="7" t="n">
        <f aca="false">M51*N51</f>
        <v>3.42435</v>
      </c>
      <c r="P51" s="18" t="s">
        <v>277</v>
      </c>
      <c r="Q51" s="18" t="s">
        <v>237</v>
      </c>
      <c r="R51" s="18"/>
      <c r="S51" s="18" t="s">
        <v>4</v>
      </c>
      <c r="T51" s="18" t="s">
        <v>278</v>
      </c>
    </row>
    <row r="52" customFormat="false" ht="23.85" hidden="false" customHeight="false" outlineLevel="0" collapsed="false">
      <c r="A52" s="5" t="n">
        <v>48</v>
      </c>
      <c r="B52" s="18" t="s">
        <v>272</v>
      </c>
      <c r="C52" s="18" t="s">
        <v>273</v>
      </c>
      <c r="D52" s="18" t="s">
        <v>274</v>
      </c>
      <c r="E52" s="5" t="s">
        <v>281</v>
      </c>
      <c r="F52" s="18" t="s">
        <v>282</v>
      </c>
      <c r="G52" s="54" t="n">
        <v>10</v>
      </c>
      <c r="H52" s="5" t="s">
        <v>201</v>
      </c>
      <c r="I52" s="5" t="n">
        <v>200</v>
      </c>
      <c r="J52" s="54" t="n">
        <v>1</v>
      </c>
      <c r="K52" s="54" t="n">
        <v>15</v>
      </c>
      <c r="L52" s="47" t="n">
        <v>0.4</v>
      </c>
      <c r="M52" s="55" t="n">
        <f aca="false">J52*K52*L52</f>
        <v>6</v>
      </c>
      <c r="N52" s="30" t="n">
        <f aca="false">INDEX(Исходные!$B$13:$B$25,MATCH(G52,Исходные!$A$13:$A$25,0))</f>
        <v>0.617</v>
      </c>
      <c r="O52" s="7" t="n">
        <f aca="false">M52*N52</f>
        <v>3.702</v>
      </c>
      <c r="P52" s="18" t="s">
        <v>277</v>
      </c>
      <c r="Q52" s="18" t="s">
        <v>237</v>
      </c>
      <c r="R52" s="18"/>
      <c r="S52" s="18" t="s">
        <v>4</v>
      </c>
      <c r="T52" s="18" t="s">
        <v>278</v>
      </c>
    </row>
    <row r="53" customFormat="false" ht="23.85" hidden="false" customHeight="false" outlineLevel="0" collapsed="false">
      <c r="A53" s="5" t="n">
        <v>49</v>
      </c>
      <c r="B53" s="18" t="s">
        <v>272</v>
      </c>
      <c r="C53" s="18" t="s">
        <v>273</v>
      </c>
      <c r="D53" s="18" t="s">
        <v>274</v>
      </c>
      <c r="E53" s="5" t="s">
        <v>283</v>
      </c>
      <c r="F53" s="18" t="s">
        <v>284</v>
      </c>
      <c r="G53" s="54" t="n">
        <v>10</v>
      </c>
      <c r="H53" s="5" t="s">
        <v>201</v>
      </c>
      <c r="I53" s="5" t="n">
        <v>200</v>
      </c>
      <c r="J53" s="54" t="n">
        <v>1</v>
      </c>
      <c r="K53" s="54" t="n">
        <v>18</v>
      </c>
      <c r="L53" s="47" t="n">
        <v>7.045</v>
      </c>
      <c r="M53" s="55" t="n">
        <f aca="false">J53*K53*L53</f>
        <v>126.81</v>
      </c>
      <c r="N53" s="30" t="n">
        <f aca="false">INDEX(Исходные!$B$13:$B$25,MATCH(G53,Исходные!$A$13:$A$25,0))</f>
        <v>0.617</v>
      </c>
      <c r="O53" s="7" t="n">
        <f aca="false">M53*N53</f>
        <v>78.24177</v>
      </c>
      <c r="P53" s="18" t="s">
        <v>277</v>
      </c>
      <c r="Q53" s="18" t="s">
        <v>237</v>
      </c>
      <c r="R53" s="18"/>
      <c r="S53" s="18" t="s">
        <v>4</v>
      </c>
      <c r="T53" s="18" t="s">
        <v>278</v>
      </c>
    </row>
    <row r="54" customFormat="false" ht="23.85" hidden="false" customHeight="false" outlineLevel="0" collapsed="false">
      <c r="A54" s="5" t="n">
        <v>50</v>
      </c>
      <c r="B54" s="18" t="s">
        <v>272</v>
      </c>
      <c r="C54" s="18" t="s">
        <v>273</v>
      </c>
      <c r="D54" s="18" t="s">
        <v>274</v>
      </c>
      <c r="E54" s="5" t="s">
        <v>283</v>
      </c>
      <c r="F54" s="18" t="s">
        <v>284</v>
      </c>
      <c r="G54" s="54" t="n">
        <v>10</v>
      </c>
      <c r="H54" s="5" t="s">
        <v>201</v>
      </c>
      <c r="I54" s="5" t="n">
        <v>200</v>
      </c>
      <c r="J54" s="54" t="n">
        <v>1</v>
      </c>
      <c r="K54" s="54" t="n">
        <v>13</v>
      </c>
      <c r="L54" s="47" t="n">
        <v>6.11</v>
      </c>
      <c r="M54" s="55" t="n">
        <f aca="false">J54*K54*L54</f>
        <v>79.43</v>
      </c>
      <c r="N54" s="30" t="n">
        <f aca="false">INDEX(Исходные!$B$13:$B$25,MATCH(G54,Исходные!$A$13:$A$25,0))</f>
        <v>0.617</v>
      </c>
      <c r="O54" s="7" t="n">
        <f aca="false">M54*N54</f>
        <v>49.00831</v>
      </c>
      <c r="P54" s="18" t="s">
        <v>277</v>
      </c>
      <c r="Q54" s="18" t="s">
        <v>237</v>
      </c>
      <c r="R54" s="18"/>
      <c r="S54" s="18" t="s">
        <v>4</v>
      </c>
      <c r="T54" s="18" t="s">
        <v>278</v>
      </c>
    </row>
    <row r="55" customFormat="false" ht="23.85" hidden="false" customHeight="false" outlineLevel="0" collapsed="false">
      <c r="A55" s="5" t="n">
        <v>51</v>
      </c>
      <c r="B55" s="18" t="s">
        <v>272</v>
      </c>
      <c r="C55" s="18" t="s">
        <v>273</v>
      </c>
      <c r="D55" s="18" t="s">
        <v>274</v>
      </c>
      <c r="E55" s="5" t="s">
        <v>283</v>
      </c>
      <c r="F55" s="18" t="s">
        <v>284</v>
      </c>
      <c r="G55" s="54" t="n">
        <v>10</v>
      </c>
      <c r="H55" s="5" t="s">
        <v>201</v>
      </c>
      <c r="I55" s="5" t="n">
        <v>200</v>
      </c>
      <c r="J55" s="54" t="n">
        <v>1</v>
      </c>
      <c r="K55" s="54" t="n">
        <v>4</v>
      </c>
      <c r="L55" s="47" t="n">
        <v>3.51</v>
      </c>
      <c r="M55" s="55" t="n">
        <f aca="false">J55*K55*L55</f>
        <v>14.04</v>
      </c>
      <c r="N55" s="30" t="n">
        <f aca="false">INDEX(Исходные!$B$13:$B$25,MATCH(G55,Исходные!$A$13:$A$25,0))</f>
        <v>0.617</v>
      </c>
      <c r="O55" s="7" t="n">
        <f aca="false">M55*N55</f>
        <v>8.66268</v>
      </c>
      <c r="P55" s="18" t="s">
        <v>277</v>
      </c>
      <c r="Q55" s="18" t="s">
        <v>237</v>
      </c>
      <c r="R55" s="18"/>
      <c r="S55" s="18" t="s">
        <v>4</v>
      </c>
      <c r="T55" s="18" t="s">
        <v>278</v>
      </c>
    </row>
    <row r="56" customFormat="false" ht="23.85" hidden="false" customHeight="false" outlineLevel="0" collapsed="false">
      <c r="A56" s="5" t="n">
        <v>52</v>
      </c>
      <c r="B56" s="18" t="s">
        <v>272</v>
      </c>
      <c r="C56" s="18" t="s">
        <v>273</v>
      </c>
      <c r="D56" s="18" t="s">
        <v>274</v>
      </c>
      <c r="E56" s="5" t="s">
        <v>283</v>
      </c>
      <c r="F56" s="18" t="s">
        <v>284</v>
      </c>
      <c r="G56" s="54" t="n">
        <v>10</v>
      </c>
      <c r="H56" s="5" t="s">
        <v>201</v>
      </c>
      <c r="I56" s="5" t="n">
        <v>200</v>
      </c>
      <c r="J56" s="54" t="n">
        <v>1</v>
      </c>
      <c r="K56" s="54" t="n">
        <v>17</v>
      </c>
      <c r="L56" s="47" t="n">
        <v>0.4</v>
      </c>
      <c r="M56" s="55" t="n">
        <f aca="false">J56*K56*L56</f>
        <v>6.8</v>
      </c>
      <c r="N56" s="30" t="n">
        <f aca="false">INDEX(Исходные!$B$13:$B$25,MATCH(G56,Исходные!$A$13:$A$25,0))</f>
        <v>0.617</v>
      </c>
      <c r="O56" s="7" t="n">
        <f aca="false">M56*N56</f>
        <v>4.1956</v>
      </c>
      <c r="P56" s="18" t="s">
        <v>277</v>
      </c>
      <c r="Q56" s="18" t="s">
        <v>237</v>
      </c>
      <c r="R56" s="18"/>
      <c r="S56" s="18" t="s">
        <v>4</v>
      </c>
      <c r="T56" s="18" t="s">
        <v>278</v>
      </c>
    </row>
    <row r="57" customFormat="false" ht="23.85" hidden="false" customHeight="false" outlineLevel="0" collapsed="false">
      <c r="A57" s="5" t="n">
        <v>53</v>
      </c>
      <c r="B57" s="18" t="s">
        <v>272</v>
      </c>
      <c r="C57" s="18" t="s">
        <v>285</v>
      </c>
      <c r="D57" s="18" t="s">
        <v>286</v>
      </c>
      <c r="E57" s="5" t="s">
        <v>286</v>
      </c>
      <c r="F57" s="18" t="s">
        <v>287</v>
      </c>
      <c r="G57" s="54" t="n">
        <v>10</v>
      </c>
      <c r="H57" s="5" t="s">
        <v>216</v>
      </c>
      <c r="I57" s="5" t="s">
        <v>288</v>
      </c>
      <c r="J57" s="54" t="n">
        <v>1</v>
      </c>
      <c r="K57" s="54" t="n">
        <v>71</v>
      </c>
      <c r="L57" s="47" t="n">
        <v>0.42</v>
      </c>
      <c r="M57" s="55" t="n">
        <f aca="false">J57*K57*L57</f>
        <v>29.82</v>
      </c>
      <c r="N57" s="30" t="n">
        <f aca="false">INDEX(Исходные!$B$13:$B$25,MATCH(G57,Исходные!$A$13:$A$25,0))</f>
        <v>0.617</v>
      </c>
      <c r="O57" s="7" t="n">
        <f aca="false">M57*N57</f>
        <v>18.39894</v>
      </c>
      <c r="P57" s="18" t="s">
        <v>289</v>
      </c>
      <c r="Q57" s="56" t="s">
        <v>290</v>
      </c>
      <c r="R57" s="18"/>
      <c r="S57" s="18" t="s">
        <v>4</v>
      </c>
      <c r="T57" s="18" t="s">
        <v>291</v>
      </c>
    </row>
    <row r="58" customFormat="false" ht="23.85" hidden="false" customHeight="false" outlineLevel="0" collapsed="false">
      <c r="A58" s="5" t="n">
        <v>54</v>
      </c>
      <c r="B58" s="18" t="s">
        <v>272</v>
      </c>
      <c r="C58" s="18" t="s">
        <v>285</v>
      </c>
      <c r="D58" s="18" t="s">
        <v>292</v>
      </c>
      <c r="E58" s="5" t="s">
        <v>292</v>
      </c>
      <c r="F58" s="18" t="s">
        <v>293</v>
      </c>
      <c r="G58" s="54" t="n">
        <v>8</v>
      </c>
      <c r="H58" s="5" t="s">
        <v>216</v>
      </c>
      <c r="I58" s="5" t="s">
        <v>294</v>
      </c>
      <c r="J58" s="54" t="n">
        <v>1</v>
      </c>
      <c r="K58" s="54" t="n">
        <v>71</v>
      </c>
      <c r="L58" s="47" t="n">
        <v>0.22</v>
      </c>
      <c r="M58" s="55" t="n">
        <f aca="false">J58*K58*L58</f>
        <v>15.62</v>
      </c>
      <c r="N58" s="30" t="n">
        <f aca="false">INDEX(Исходные!$B$13:$B$25,MATCH(G58,Исходные!$A$13:$A$25,0))</f>
        <v>0.395</v>
      </c>
      <c r="O58" s="7" t="n">
        <f aca="false">M58*N58</f>
        <v>6.1699</v>
      </c>
      <c r="P58" s="18" t="s">
        <v>295</v>
      </c>
      <c r="Q58" s="56" t="s">
        <v>290</v>
      </c>
      <c r="R58" s="18"/>
      <c r="S58" s="18" t="s">
        <v>4</v>
      </c>
      <c r="T58" s="18" t="s">
        <v>291</v>
      </c>
    </row>
    <row r="59" customFormat="false" ht="35.05" hidden="false" customHeight="false" outlineLevel="0" collapsed="false">
      <c r="A59" s="5" t="n">
        <v>55</v>
      </c>
      <c r="B59" s="18" t="s">
        <v>296</v>
      </c>
      <c r="C59" s="18" t="s">
        <v>297</v>
      </c>
      <c r="D59" s="18" t="s">
        <v>298</v>
      </c>
      <c r="E59" s="5" t="s">
        <v>299</v>
      </c>
      <c r="F59" s="18" t="s">
        <v>300</v>
      </c>
      <c r="G59" s="54" t="n">
        <v>25</v>
      </c>
      <c r="H59" s="5" t="s">
        <v>201</v>
      </c>
      <c r="I59" s="5" t="s">
        <v>202</v>
      </c>
      <c r="J59" s="54" t="n">
        <v>1</v>
      </c>
      <c r="K59" s="54" t="n">
        <v>4</v>
      </c>
      <c r="L59" s="47" t="n">
        <v>6.9</v>
      </c>
      <c r="M59" s="55" t="n">
        <f aca="false">J59*K59*L59</f>
        <v>27.6</v>
      </c>
      <c r="N59" s="30" t="n">
        <f aca="false">INDEX(Исходные!$B$13:$B$25,MATCH(G59,Исходные!$A$13:$A$25,0))</f>
        <v>3.853</v>
      </c>
      <c r="O59" s="7" t="n">
        <f aca="false">M59*N59</f>
        <v>106.3428</v>
      </c>
      <c r="P59" s="18" t="s">
        <v>301</v>
      </c>
      <c r="Q59" s="18" t="s">
        <v>237</v>
      </c>
      <c r="R59" s="18" t="s">
        <v>302</v>
      </c>
      <c r="S59" s="18" t="s">
        <v>4</v>
      </c>
      <c r="T59" s="18" t="s">
        <v>303</v>
      </c>
    </row>
    <row r="60" customFormat="false" ht="35.05" hidden="false" customHeight="false" outlineLevel="0" collapsed="false">
      <c r="A60" s="5" t="n">
        <v>56</v>
      </c>
      <c r="B60" s="18" t="s">
        <v>296</v>
      </c>
      <c r="C60" s="18" t="s">
        <v>304</v>
      </c>
      <c r="D60" s="18" t="s">
        <v>298</v>
      </c>
      <c r="E60" s="5" t="s">
        <v>299</v>
      </c>
      <c r="F60" s="18" t="s">
        <v>305</v>
      </c>
      <c r="G60" s="54" t="n">
        <v>25</v>
      </c>
      <c r="H60" s="5" t="s">
        <v>201</v>
      </c>
      <c r="I60" s="5" t="s">
        <v>202</v>
      </c>
      <c r="J60" s="54" t="n">
        <v>1</v>
      </c>
      <c r="K60" s="54" t="n">
        <v>4</v>
      </c>
      <c r="L60" s="47" t="n">
        <v>6.9</v>
      </c>
      <c r="M60" s="55" t="n">
        <f aca="false">J60*K60*L60</f>
        <v>27.6</v>
      </c>
      <c r="N60" s="30" t="n">
        <f aca="false">INDEX(Исходные!$B$13:$B$25,MATCH(G60,Исходные!$A$13:$A$25,0))</f>
        <v>3.853</v>
      </c>
      <c r="O60" s="7" t="n">
        <f aca="false">M60*N60</f>
        <v>106.3428</v>
      </c>
      <c r="P60" s="18" t="s">
        <v>301</v>
      </c>
      <c r="Q60" s="18" t="s">
        <v>237</v>
      </c>
      <c r="R60" s="18" t="s">
        <v>306</v>
      </c>
      <c r="S60" s="18" t="s">
        <v>4</v>
      </c>
      <c r="T60" s="18" t="s">
        <v>303</v>
      </c>
    </row>
    <row r="61" customFormat="false" ht="35.05" hidden="false" customHeight="false" outlineLevel="0" collapsed="false">
      <c r="A61" s="5" t="n">
        <v>57</v>
      </c>
      <c r="B61" s="18" t="s">
        <v>296</v>
      </c>
      <c r="C61" s="18" t="s">
        <v>307</v>
      </c>
      <c r="D61" s="18" t="s">
        <v>308</v>
      </c>
      <c r="E61" s="5" t="s">
        <v>206</v>
      </c>
      <c r="F61" s="18" t="s">
        <v>309</v>
      </c>
      <c r="G61" s="54" t="n">
        <v>20</v>
      </c>
      <c r="H61" s="5" t="s">
        <v>201</v>
      </c>
      <c r="I61" s="5" t="s">
        <v>202</v>
      </c>
      <c r="J61" s="54" t="n">
        <v>1</v>
      </c>
      <c r="K61" s="54" t="n">
        <v>4</v>
      </c>
      <c r="L61" s="47" t="n">
        <v>3.785</v>
      </c>
      <c r="M61" s="55" t="n">
        <f aca="false">J61*K61*L61</f>
        <v>15.14</v>
      </c>
      <c r="N61" s="30" t="n">
        <f aca="false">INDEX(Исходные!$B$13:$B$25,MATCH(G61,Исходные!$A$13:$A$25,0))</f>
        <v>2.466</v>
      </c>
      <c r="O61" s="7" t="n">
        <f aca="false">M61*N61</f>
        <v>37.33524</v>
      </c>
      <c r="P61" s="18" t="s">
        <v>310</v>
      </c>
      <c r="Q61" s="18" t="s">
        <v>237</v>
      </c>
      <c r="R61" s="18" t="s">
        <v>311</v>
      </c>
      <c r="S61" s="18" t="s">
        <v>4</v>
      </c>
      <c r="T61" s="18" t="s">
        <v>303</v>
      </c>
    </row>
    <row r="62" customFormat="false" ht="35.05" hidden="false" customHeight="false" outlineLevel="0" collapsed="false">
      <c r="A62" s="5" t="n">
        <v>58</v>
      </c>
      <c r="B62" s="18" t="s">
        <v>296</v>
      </c>
      <c r="C62" s="18" t="s">
        <v>312</v>
      </c>
      <c r="D62" s="18" t="s">
        <v>308</v>
      </c>
      <c r="E62" s="5" t="s">
        <v>206</v>
      </c>
      <c r="F62" s="18" t="s">
        <v>313</v>
      </c>
      <c r="G62" s="54" t="n">
        <v>20</v>
      </c>
      <c r="H62" s="5" t="s">
        <v>201</v>
      </c>
      <c r="I62" s="5" t="s">
        <v>202</v>
      </c>
      <c r="J62" s="54" t="n">
        <v>1</v>
      </c>
      <c r="K62" s="54" t="n">
        <v>4</v>
      </c>
      <c r="L62" s="47" t="n">
        <v>3.05</v>
      </c>
      <c r="M62" s="55" t="n">
        <f aca="false">J62*K62*L62</f>
        <v>12.2</v>
      </c>
      <c r="N62" s="30" t="n">
        <f aca="false">INDEX(Исходные!$B$13:$B$25,MATCH(G62,Исходные!$A$13:$A$25,0))</f>
        <v>2.466</v>
      </c>
      <c r="O62" s="7" t="n">
        <f aca="false">M62*N62</f>
        <v>30.0852</v>
      </c>
      <c r="P62" s="18" t="s">
        <v>310</v>
      </c>
      <c r="Q62" s="18" t="s">
        <v>237</v>
      </c>
      <c r="R62" s="18" t="s">
        <v>314</v>
      </c>
      <c r="S62" s="18" t="s">
        <v>4</v>
      </c>
      <c r="T62" s="18" t="s">
        <v>303</v>
      </c>
    </row>
    <row r="63" customFormat="false" ht="35.05" hidden="false" customHeight="false" outlineLevel="0" collapsed="false">
      <c r="A63" s="5" t="n">
        <v>59</v>
      </c>
      <c r="B63" s="18" t="s">
        <v>296</v>
      </c>
      <c r="C63" s="18" t="s">
        <v>315</v>
      </c>
      <c r="D63" s="18" t="s">
        <v>316</v>
      </c>
      <c r="E63" s="5" t="s">
        <v>214</v>
      </c>
      <c r="F63" s="18" t="s">
        <v>317</v>
      </c>
      <c r="G63" s="54" t="n">
        <v>8</v>
      </c>
      <c r="H63" s="5" t="s">
        <v>216</v>
      </c>
      <c r="I63" s="5" t="s">
        <v>217</v>
      </c>
      <c r="J63" s="54" t="n">
        <v>1</v>
      </c>
      <c r="K63" s="54" t="n">
        <v>91</v>
      </c>
      <c r="L63" s="47" t="n">
        <v>1.24</v>
      </c>
      <c r="M63" s="55" t="n">
        <f aca="false">J63*K63*L63</f>
        <v>112.84</v>
      </c>
      <c r="N63" s="30" t="n">
        <f aca="false">INDEX(Исходные!$B$13:$B$25,MATCH(G63,Исходные!$A$13:$A$25,0))</f>
        <v>0.395</v>
      </c>
      <c r="O63" s="7" t="n">
        <f aca="false">M63*N63</f>
        <v>44.5718</v>
      </c>
      <c r="P63" s="18" t="s">
        <v>318</v>
      </c>
      <c r="Q63" s="18" t="s">
        <v>204</v>
      </c>
      <c r="R63" s="18"/>
      <c r="S63" s="18" t="s">
        <v>4</v>
      </c>
      <c r="T63" s="18" t="s">
        <v>319</v>
      </c>
    </row>
    <row r="64" customFormat="false" ht="35.05" hidden="false" customHeight="false" outlineLevel="0" collapsed="false">
      <c r="A64" s="5" t="n">
        <v>60</v>
      </c>
      <c r="B64" s="18" t="s">
        <v>296</v>
      </c>
      <c r="C64" s="18" t="s">
        <v>320</v>
      </c>
      <c r="D64" s="18" t="s">
        <v>321</v>
      </c>
      <c r="E64" s="5" t="s">
        <v>322</v>
      </c>
      <c r="F64" s="18" t="s">
        <v>323</v>
      </c>
      <c r="G64" s="54" t="n">
        <v>8</v>
      </c>
      <c r="H64" s="5" t="s">
        <v>216</v>
      </c>
      <c r="I64" s="5" t="s">
        <v>217</v>
      </c>
      <c r="J64" s="54" t="n">
        <v>1</v>
      </c>
      <c r="K64" s="54" t="n">
        <v>43</v>
      </c>
      <c r="L64" s="47" t="n">
        <v>1.04</v>
      </c>
      <c r="M64" s="55" t="n">
        <f aca="false">J64*K64*L64</f>
        <v>44.72</v>
      </c>
      <c r="N64" s="30" t="n">
        <f aca="false">INDEX(Исходные!$B$13:$B$25,MATCH(G64,Исходные!$A$13:$A$25,0))</f>
        <v>0.395</v>
      </c>
      <c r="O64" s="7" t="n">
        <f aca="false">M64*N64</f>
        <v>17.6644</v>
      </c>
      <c r="P64" s="18" t="s">
        <v>324</v>
      </c>
      <c r="Q64" s="18" t="s">
        <v>204</v>
      </c>
      <c r="R64" s="18"/>
      <c r="S64" s="18" t="s">
        <v>4</v>
      </c>
      <c r="T64" s="18" t="s">
        <v>319</v>
      </c>
    </row>
    <row r="65" customFormat="false" ht="23.85" hidden="false" customHeight="false" outlineLevel="0" collapsed="false">
      <c r="A65" s="5" t="n">
        <v>61</v>
      </c>
      <c r="B65" s="18" t="s">
        <v>325</v>
      </c>
      <c r="C65" s="18" t="s">
        <v>326</v>
      </c>
      <c r="D65" s="18" t="s">
        <v>85</v>
      </c>
      <c r="E65" s="5" t="s">
        <v>199</v>
      </c>
      <c r="F65" s="18" t="s">
        <v>327</v>
      </c>
      <c r="G65" s="54" t="n">
        <v>10</v>
      </c>
      <c r="H65" s="5" t="s">
        <v>201</v>
      </c>
      <c r="I65" s="5" t="n">
        <v>90</v>
      </c>
      <c r="J65" s="54" t="n">
        <v>40</v>
      </c>
      <c r="K65" s="54" t="n">
        <v>7</v>
      </c>
      <c r="L65" s="47" t="n">
        <v>0.57</v>
      </c>
      <c r="M65" s="55" t="n">
        <f aca="false">J65*K65*L65</f>
        <v>159.6</v>
      </c>
      <c r="N65" s="30" t="n">
        <f aca="false">INDEX(Исходные!$B$13:$B$25,MATCH(G65,Исходные!$A$13:$A$25,0))</f>
        <v>0.617</v>
      </c>
      <c r="O65" s="7" t="n">
        <f aca="false">M65*N65</f>
        <v>98.4732</v>
      </c>
      <c r="P65" s="18" t="s">
        <v>328</v>
      </c>
      <c r="Q65" s="56" t="s">
        <v>219</v>
      </c>
      <c r="R65" s="18"/>
      <c r="S65" s="18" t="s">
        <v>4</v>
      </c>
      <c r="T65" s="18" t="s">
        <v>85</v>
      </c>
    </row>
    <row r="66" customFormat="false" ht="15" hidden="false" customHeight="false" outlineLevel="0" collapsed="false">
      <c r="F66" s="20" t="s">
        <v>329</v>
      </c>
      <c r="M66" s="38" t="n">
        <f aca="false">SUM(M5:M65)</f>
        <v>2730.25</v>
      </c>
      <c r="O66" s="38" t="n">
        <f aca="false">SUM(O5:O65)</f>
        <v>2566.64735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10"/>
  </cols>
  <sheetData>
    <row r="1" customFormat="false" ht="17.35" hidden="false" customHeight="false" outlineLevel="0" collapsed="false">
      <c r="A1" s="45" t="s">
        <v>330</v>
      </c>
    </row>
    <row r="3" customFormat="false" ht="36" hidden="false" customHeight="true" outlineLevel="0" collapsed="false">
      <c r="A3" s="3" t="s">
        <v>331</v>
      </c>
      <c r="B3" s="3" t="s">
        <v>185</v>
      </c>
      <c r="C3" s="3" t="s">
        <v>332</v>
      </c>
      <c r="D3" s="3" t="s">
        <v>333</v>
      </c>
      <c r="E3" s="3" t="s">
        <v>334</v>
      </c>
      <c r="F3" s="3" t="s">
        <v>335</v>
      </c>
      <c r="G3" s="3" t="s">
        <v>336</v>
      </c>
      <c r="H3" s="3" t="s">
        <v>9</v>
      </c>
      <c r="I3" s="3" t="s">
        <v>337</v>
      </c>
    </row>
    <row r="4" customFormat="false" ht="15" hidden="false" customHeight="false" outlineLevel="0" collapsed="false">
      <c r="A4" s="42" t="n">
        <v>32</v>
      </c>
      <c r="B4" s="5" t="s">
        <v>201</v>
      </c>
      <c r="C4" s="49" t="n">
        <v>18.4</v>
      </c>
      <c r="D4" s="44" t="n">
        <v>2</v>
      </c>
      <c r="E4" s="8" t="n">
        <f aca="false">D4*Исходные!$B$8*INDEX(Исходные!$B$13:$B$25,MATCH(A4,Исходные!$A$13:$A$25,0))</f>
        <v>147.7242</v>
      </c>
      <c r="F4" s="8" t="n">
        <f aca="false">C4*INDEX(Исходные!$B$13:$B$25,MATCH(A4,Исходные!$A$13:$A$25,0))</f>
        <v>116.1592</v>
      </c>
      <c r="G4" s="8" t="n">
        <f aca="false">E4-F4</f>
        <v>31.565</v>
      </c>
      <c r="H4" s="57" t="n">
        <f aca="false">IF(E4&gt;0,G4/E4,0)</f>
        <v>0.213675213675214</v>
      </c>
      <c r="I4" s="18" t="s">
        <v>338</v>
      </c>
    </row>
    <row r="5" customFormat="false" ht="15" hidden="false" customHeight="false" outlineLevel="0" collapsed="false">
      <c r="A5" s="42" t="n">
        <v>28</v>
      </c>
      <c r="B5" s="5" t="s">
        <v>201</v>
      </c>
      <c r="C5" s="49" t="n">
        <v>130.4</v>
      </c>
      <c r="D5" s="44" t="n">
        <v>16</v>
      </c>
      <c r="E5" s="8" t="n">
        <f aca="false">D5*Исходные!$B$8*INDEX(Исходные!$B$13:$B$25,MATCH(A5,Исходные!$A$13:$A$25,0))</f>
        <v>904.9248</v>
      </c>
      <c r="F5" s="8" t="n">
        <f aca="false">C5*INDEX(Исходные!$B$13:$B$25,MATCH(A5,Исходные!$A$13:$A$25,0))</f>
        <v>630.3536</v>
      </c>
      <c r="G5" s="8" t="n">
        <f aca="false">E5-F5</f>
        <v>274.5712</v>
      </c>
      <c r="H5" s="57" t="n">
        <f aca="false">IF(E5&gt;0,G5/E5,0)</f>
        <v>0.303418803418803</v>
      </c>
      <c r="I5" s="18" t="s">
        <v>339</v>
      </c>
    </row>
    <row r="6" customFormat="false" ht="15" hidden="false" customHeight="false" outlineLevel="0" collapsed="false">
      <c r="A6" s="42" t="n">
        <v>25</v>
      </c>
      <c r="B6" s="5" t="s">
        <v>201</v>
      </c>
      <c r="C6" s="49" t="n">
        <v>55.2</v>
      </c>
      <c r="D6" s="44" t="n">
        <v>8</v>
      </c>
      <c r="E6" s="8" t="n">
        <f aca="false">D6*Исходные!$B$8*INDEX(Исходные!$B$13:$B$25,MATCH(A6,Исходные!$A$13:$A$25,0))</f>
        <v>360.6408</v>
      </c>
      <c r="F6" s="8" t="n">
        <f aca="false">C6*INDEX(Исходные!$B$13:$B$25,MATCH(A6,Исходные!$A$13:$A$25,0))</f>
        <v>212.6856</v>
      </c>
      <c r="G6" s="8" t="n">
        <f aca="false">E6-F6</f>
        <v>147.9552</v>
      </c>
      <c r="H6" s="57" t="n">
        <f aca="false">IF(E6&gt;0,G6/E6,0)</f>
        <v>0.41025641025641</v>
      </c>
      <c r="I6" s="18" t="s">
        <v>340</v>
      </c>
    </row>
    <row r="7" customFormat="false" ht="23.85" hidden="false" customHeight="false" outlineLevel="0" collapsed="false">
      <c r="A7" s="42" t="n">
        <v>20</v>
      </c>
      <c r="B7" s="5" t="s">
        <v>201</v>
      </c>
      <c r="C7" s="49" t="n">
        <v>100.94</v>
      </c>
      <c r="D7" s="44" t="n">
        <v>10</v>
      </c>
      <c r="E7" s="8" t="n">
        <f aca="false">D7*Исходные!$B$8*INDEX(Исходные!$B$13:$B$25,MATCH(A7,Исходные!$A$13:$A$25,0))</f>
        <v>288.522</v>
      </c>
      <c r="F7" s="8" t="n">
        <f aca="false">C7*INDEX(Исходные!$B$13:$B$25,MATCH(A7,Исходные!$A$13:$A$25,0))</f>
        <v>248.91804</v>
      </c>
      <c r="G7" s="8" t="n">
        <f aca="false">E7-F7</f>
        <v>39.60396</v>
      </c>
      <c r="H7" s="57" t="n">
        <f aca="false">IF(E7&gt;0,G7/E7,0)</f>
        <v>0.137264957264957</v>
      </c>
      <c r="I7" s="18" t="s">
        <v>341</v>
      </c>
    </row>
    <row r="8" customFormat="false" ht="15" hidden="false" customHeight="false" outlineLevel="0" collapsed="false">
      <c r="A8" s="42" t="n">
        <v>18</v>
      </c>
      <c r="B8" s="5" t="s">
        <v>201</v>
      </c>
      <c r="C8" s="49" t="n">
        <v>56</v>
      </c>
      <c r="D8" s="44" t="n">
        <v>8</v>
      </c>
      <c r="E8" s="8" t="n">
        <f aca="false">D8*Исходные!$B$8*INDEX(Исходные!$B$13:$B$25,MATCH(A8,Исходные!$A$13:$A$25,0))</f>
        <v>187.0128</v>
      </c>
      <c r="F8" s="8" t="n">
        <f aca="false">C8*INDEX(Исходные!$B$13:$B$25,MATCH(A8,Исходные!$A$13:$A$25,0))</f>
        <v>111.888</v>
      </c>
      <c r="G8" s="8" t="n">
        <f aca="false">E8-F8</f>
        <v>75.1248</v>
      </c>
      <c r="H8" s="57" t="n">
        <f aca="false">IF(E8&gt;0,G8/E8,0)</f>
        <v>0.401709401709402</v>
      </c>
      <c r="I8" s="18" t="s">
        <v>342</v>
      </c>
    </row>
    <row r="9" customFormat="false" ht="15" hidden="false" customHeight="false" outlineLevel="0" collapsed="false">
      <c r="A9" s="42" t="n">
        <v>16</v>
      </c>
      <c r="B9" s="5" t="s">
        <v>201</v>
      </c>
      <c r="C9" s="49" t="n">
        <v>56</v>
      </c>
      <c r="D9" s="44" t="n">
        <v>8</v>
      </c>
      <c r="E9" s="8" t="n">
        <f aca="false">D9*Исходные!$B$8*INDEX(Исходные!$B$13:$B$25,MATCH(A9,Исходные!$A$13:$A$25,0))</f>
        <v>147.7008</v>
      </c>
      <c r="F9" s="8" t="n">
        <f aca="false">C9*INDEX(Исходные!$B$13:$B$25,MATCH(A9,Исходные!$A$13:$A$25,0))</f>
        <v>88.368</v>
      </c>
      <c r="G9" s="8" t="n">
        <f aca="false">E9-F9</f>
        <v>59.3328</v>
      </c>
      <c r="H9" s="57" t="n">
        <f aca="false">IF(E9&gt;0,G9/E9,0)</f>
        <v>0.401709401709402</v>
      </c>
      <c r="I9" s="18" t="s">
        <v>342</v>
      </c>
    </row>
    <row r="10" customFormat="false" ht="23.85" hidden="false" customHeight="false" outlineLevel="0" collapsed="false">
      <c r="A10" s="42" t="n">
        <v>10</v>
      </c>
      <c r="B10" s="5" t="s">
        <v>201</v>
      </c>
      <c r="C10" s="49" t="n">
        <v>1071.61</v>
      </c>
      <c r="D10" s="44" t="n">
        <v>104</v>
      </c>
      <c r="E10" s="8" t="n">
        <f aca="false">D10*Исходные!$B$8*INDEX(Исходные!$B$13:$B$25,MATCH(A10,Исходные!$A$13:$A$25,0))</f>
        <v>750.7656</v>
      </c>
      <c r="F10" s="8" t="n">
        <f aca="false">C10*INDEX(Исходные!$B$13:$B$25,MATCH(A10,Исходные!$A$13:$A$25,0))</f>
        <v>661.18337</v>
      </c>
      <c r="G10" s="8" t="n">
        <f aca="false">E10-F10</f>
        <v>89.58223</v>
      </c>
      <c r="H10" s="57" t="n">
        <f aca="false">IF(E10&gt;0,G10/E10,0)</f>
        <v>0.119321170282709</v>
      </c>
      <c r="I10" s="18" t="s">
        <v>343</v>
      </c>
    </row>
    <row r="11" customFormat="false" ht="15" hidden="false" customHeight="false" outlineLevel="0" collapsed="false">
      <c r="A11" s="42" t="n">
        <v>10</v>
      </c>
      <c r="B11" s="5" t="s">
        <v>216</v>
      </c>
      <c r="C11" s="49" t="n">
        <v>29.82</v>
      </c>
      <c r="D11" s="44" t="n">
        <v>3</v>
      </c>
      <c r="E11" s="8" t="n">
        <f aca="false">D11*Исходные!$B$8*INDEX(Исходные!$B$13:$B$25,MATCH(A11,Исходные!$A$13:$A$25,0))</f>
        <v>21.6567</v>
      </c>
      <c r="F11" s="8" t="n">
        <f aca="false">C11*INDEX(Исходные!$B$13:$B$25,MATCH(A11,Исходные!$A$13:$A$25,0))</f>
        <v>18.39894</v>
      </c>
      <c r="G11" s="8" t="n">
        <f aca="false">E11-F11</f>
        <v>3.25776</v>
      </c>
      <c r="H11" s="57" t="n">
        <f aca="false">IF(E11&gt;0,G11/E11,0)</f>
        <v>0.15042735042735</v>
      </c>
      <c r="I11" s="18" t="s">
        <v>344</v>
      </c>
    </row>
    <row r="12" customFormat="false" ht="35.05" hidden="false" customHeight="false" outlineLevel="0" collapsed="false">
      <c r="A12" s="42" t="n">
        <v>8</v>
      </c>
      <c r="B12" s="5" t="s">
        <v>216</v>
      </c>
      <c r="C12" s="49" t="n">
        <v>1211.88</v>
      </c>
      <c r="D12" s="44" t="n">
        <v>105</v>
      </c>
      <c r="E12" s="8" t="n">
        <f aca="false">D12*Исходные!$B$8*INDEX(Исходные!$B$13:$B$25,MATCH(A12,Исходные!$A$13:$A$25,0))</f>
        <v>485.2575</v>
      </c>
      <c r="F12" s="8" t="n">
        <f aca="false">C12*INDEX(Исходные!$B$13:$B$25,MATCH(A12,Исходные!$A$13:$A$25,0))</f>
        <v>478.6926</v>
      </c>
      <c r="G12" s="8" t="n">
        <f aca="false">E12-F12</f>
        <v>6.56489999999997</v>
      </c>
      <c r="H12" s="57" t="n">
        <f aca="false">IF(E12&gt;0,G12/E12,0)</f>
        <v>0.0135286935286935</v>
      </c>
      <c r="I12" s="18" t="s">
        <v>345</v>
      </c>
    </row>
    <row r="13" customFormat="false" ht="15" hidden="false" customHeight="false" outlineLevel="0" collapsed="false">
      <c r="B13" s="20" t="s">
        <v>346</v>
      </c>
      <c r="D13" s="58" t="n">
        <f aca="false">SUM(D4:D12)</f>
        <v>264</v>
      </c>
      <c r="E13" s="38" t="n">
        <f aca="false">SUM(E4:E12)</f>
        <v>3294.2052</v>
      </c>
      <c r="F13" s="38" t="n">
        <f aca="false">SUM(F4:F12)</f>
        <v>2566.64735</v>
      </c>
      <c r="G13" s="38" t="n">
        <f aca="false">SUM(G4:G12)</f>
        <v>727.55785</v>
      </c>
      <c r="H13" s="59" t="n">
        <f aca="false">IF(E13&gt;0,G13/E13,0)</f>
        <v>0.220859905752076</v>
      </c>
    </row>
    <row r="15" customFormat="false" ht="15" hidden="false" customHeight="false" outlineLevel="0" collapsed="false">
      <c r="A15" s="19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45" t="s">
        <v>348</v>
      </c>
    </row>
    <row r="3" customFormat="false" ht="15" hidden="false" customHeight="true" outlineLevel="0" collapsed="false">
      <c r="A3" s="2" t="s">
        <v>349</v>
      </c>
      <c r="B3" s="2"/>
    </row>
    <row r="4" customFormat="false" ht="23.85" hidden="false" customHeight="false" outlineLevel="0" collapsed="false">
      <c r="A4" s="60" t="s">
        <v>350</v>
      </c>
      <c r="B4" s="18" t="s">
        <v>351</v>
      </c>
    </row>
    <row r="5" customFormat="false" ht="23.85" hidden="false" customHeight="false" outlineLevel="0" collapsed="false">
      <c r="A5" s="60" t="s">
        <v>352</v>
      </c>
      <c r="B5" s="18" t="s">
        <v>353</v>
      </c>
    </row>
    <row r="6" customFormat="false" ht="15" hidden="false" customHeight="false" outlineLevel="0" collapsed="false">
      <c r="A6" s="60" t="s">
        <v>354</v>
      </c>
      <c r="B6" s="18" t="s">
        <v>355</v>
      </c>
    </row>
    <row r="7" customFormat="false" ht="23.85" hidden="false" customHeight="false" outlineLevel="0" collapsed="false">
      <c r="A7" s="60" t="s">
        <v>356</v>
      </c>
      <c r="B7" s="18" t="s">
        <v>357</v>
      </c>
    </row>
    <row r="8" customFormat="false" ht="23.85" hidden="false" customHeight="false" outlineLevel="0" collapsed="false">
      <c r="A8" s="60" t="s">
        <v>358</v>
      </c>
      <c r="B8" s="18" t="s">
        <v>359</v>
      </c>
    </row>
    <row r="9" customFormat="false" ht="23.85" hidden="false" customHeight="false" outlineLevel="0" collapsed="false">
      <c r="A9" s="60" t="s">
        <v>360</v>
      </c>
      <c r="B9" s="18" t="s">
        <v>361</v>
      </c>
    </row>
    <row r="10" customFormat="false" ht="23.85" hidden="false" customHeight="false" outlineLevel="0" collapsed="false">
      <c r="A10" s="60" t="s">
        <v>73</v>
      </c>
      <c r="B10" s="18" t="s">
        <v>362</v>
      </c>
    </row>
    <row r="11" customFormat="false" ht="35.05" hidden="false" customHeight="false" outlineLevel="0" collapsed="false">
      <c r="A11" s="60" t="s">
        <v>363</v>
      </c>
      <c r="B11" s="18" t="s">
        <v>364</v>
      </c>
    </row>
    <row r="12" customFormat="false" ht="23.85" hidden="false" customHeight="false" outlineLevel="0" collapsed="false">
      <c r="A12" s="60" t="s">
        <v>365</v>
      </c>
      <c r="B12" s="18" t="s">
        <v>366</v>
      </c>
    </row>
    <row r="13" customFormat="false" ht="15" hidden="false" customHeight="false" outlineLevel="0" collapsed="false">
      <c r="A13" s="60" t="s">
        <v>85</v>
      </c>
      <c r="B13" s="18" t="s">
        <v>367</v>
      </c>
    </row>
    <row r="14" customFormat="false" ht="35.05" hidden="false" customHeight="false" outlineLevel="0" collapsed="false">
      <c r="A14" s="60" t="s">
        <v>368</v>
      </c>
      <c r="B14" s="18" t="s">
        <v>369</v>
      </c>
    </row>
    <row r="15" customFormat="false" ht="15" hidden="false" customHeight="false" outlineLevel="0" collapsed="false">
      <c r="A15" s="60" t="s">
        <v>370</v>
      </c>
      <c r="B15" s="18" t="s">
        <v>371</v>
      </c>
    </row>
    <row r="17" customFormat="false" ht="15" hidden="false" customHeight="true" outlineLevel="0" collapsed="false">
      <c r="A17" s="2" t="s">
        <v>372</v>
      </c>
      <c r="B17" s="2"/>
    </row>
    <row r="18" customFormat="false" ht="15" hidden="false" customHeight="false" outlineLevel="0" collapsed="false">
      <c r="A18" s="60" t="s">
        <v>373</v>
      </c>
      <c r="B18" s="61" t="n">
        <f aca="false">Ведомость!O66</f>
        <v>2566.64735</v>
      </c>
    </row>
    <row r="19" customFormat="false" ht="15" hidden="false" customHeight="false" outlineLevel="0" collapsed="false">
      <c r="A19" s="60" t="s">
        <v>111</v>
      </c>
      <c r="B19" s="62" t="n">
        <f aca="false">'По осям'!M22</f>
        <v>16.10466</v>
      </c>
    </row>
    <row r="20" customFormat="false" ht="23.85" hidden="false" customHeight="false" outlineLevel="0" collapsed="false">
      <c r="A20" s="60" t="s">
        <v>374</v>
      </c>
      <c r="B20" s="63" t="n">
        <f aca="false">ABS('По осям'!O19)+ABS(потребность!E15)</f>
        <v>0</v>
      </c>
    </row>
  </sheetData>
  <mergeCells count="2">
    <mergeCell ref="A3:B3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2026-10-12T04:36:10Z</dcterms:created>
  <dc:creator>openpyxl</dc:creator>
  <dc:description/>
  <dc:language>en-US</dc:language>
  <cp:lastModifiedBy/>
  <dcterms:modified xsi:type="dcterms:W3CDTF">2026-10-12T04:36:10Z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