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отребность" sheetId="1" state="visible" r:id="rId1"/>
    <sheet xmlns:r="http://schemas.openxmlformats.org/officeDocument/2006/relationships" name="По осям" sheetId="2" state="visible" r:id="rId2"/>
    <sheet xmlns:r="http://schemas.openxmlformats.org/officeDocument/2006/relationships" name="Сверка ПТО" sheetId="3" state="visible" r:id="rId3"/>
    <sheet xmlns:r="http://schemas.openxmlformats.org/officeDocument/2006/relationships" name="Исходные" sheetId="4" state="visible" r:id="rId4"/>
    <sheet xmlns:r="http://schemas.openxmlformats.org/officeDocument/2006/relationships" name="Ведомость" sheetId="5" state="visible" r:id="rId5"/>
    <sheet xmlns:r="http://schemas.openxmlformats.org/officeDocument/2006/relationships" name="Раскрой 11,7м" sheetId="6" state="visible" r:id="rId6"/>
    <sheet xmlns:r="http://schemas.openxmlformats.org/officeDocument/2006/relationships" name="Проверки" sheetId="7" state="visible" r:id="rId7"/>
  </sheets>
  <definedNames>
    <definedName name="_xlnm._FilterDatabase" localSheetId="4" hidden="1">'Ведомость'!$A$4:$W$1270</definedName>
    <definedName name="_xlnm.Print_Titles" localSheetId="4">'Ведомость'!$4:$4</definedName>
    <definedName name="_xlnm.Print_Titles" localSheetId="5">'Раскрой 11,7м'!$4:$4</definedName>
  </definedNames>
  <calcPr calcId="124519" fullCalcOnLoad="1"/>
</workbook>
</file>

<file path=xl/styles.xml><?xml version="1.0" encoding="utf-8"?>
<styleSheet xmlns="http://schemas.openxmlformats.org/spreadsheetml/2006/main">
  <numFmts count="16">
    <numFmt numFmtId="164" formatCode="0.000"/>
    <numFmt numFmtId="165" formatCode="0.##"/>
    <numFmt numFmtId="166" formatCode="0.0"/>
    <numFmt numFmtId="167" formatCode="0.0%"/>
    <numFmt numFmtId="168" formatCode="0;-0;&quot;&quot;"/>
    <numFmt numFmtId="169" formatCode="0.0;-0.0;&quot;&quot;"/>
    <numFmt numFmtId="170" formatCode="0.00;-0.00;&quot;&quot;"/>
    <numFmt numFmtId="171" formatCode="#,##0.0"/>
    <numFmt numFmtId="172" formatCode="0.0;-0.0;&quot;–&quot;"/>
    <numFmt numFmtId="173" formatCode="0;-0;&quot;–&quot;"/>
    <numFmt numFmtId="174" formatCode="#,##0.00;-#,##0.00;&quot;–&quot;"/>
    <numFmt numFmtId="175" formatCode="#,##0.0;-#,##0.0;&quot;–&quot;"/>
    <numFmt numFmtId="176" formatCode="+#,##0.0;-#,##0.0;&quot;–&quot;"/>
    <numFmt numFmtId="177" formatCode="+0.0%;-0.0%;&quot;–&quot;"/>
    <numFmt numFmtId="178" formatCode="+#,##0.0;-#,##0.0"/>
    <numFmt numFmtId="179" formatCode="+0.0%;-0.0%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sz val="10"/>
    </font>
    <font>
      <name val="Arial"/>
      <sz val="10"/>
    </font>
    <font>
      <name val="Arial"/>
      <color rgb="000000FF"/>
      <sz val="10"/>
    </font>
    <font>
      <name val="Arial"/>
      <b val="1"/>
      <sz val="12"/>
    </font>
    <font>
      <name val="Arial"/>
      <color rgb="00008000"/>
      <sz val="10"/>
    </font>
    <font>
      <name val="Arial"/>
      <b val="1"/>
      <sz val="16"/>
    </font>
  </fonts>
  <fills count="8">
    <fill>
      <patternFill/>
    </fill>
    <fill>
      <patternFill patternType="gray125"/>
    </fill>
    <fill>
      <patternFill patternType="solid">
        <fgColor rgb="0093DBFF"/>
      </patternFill>
    </fill>
    <fill>
      <patternFill patternType="solid">
        <fgColor rgb="00FFF2CC"/>
      </patternFill>
    </fill>
    <fill>
      <patternFill patternType="solid">
        <fgColor rgb="0066CCFF"/>
      </patternFill>
    </fill>
    <fill>
      <patternFill patternType="solid">
        <fgColor rgb="00BDE9FF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/>
      <right/>
      <top style="thin">
        <color rgb="00808080"/>
      </top>
      <bottom/>
      <diagonal/>
    </border>
    <border>
      <left/>
      <right style="thin">
        <color rgb="00808080"/>
      </right>
      <top style="thin">
        <color rgb="00808080"/>
      </top>
      <bottom/>
      <diagonal/>
    </border>
    <border>
      <left/>
      <right/>
      <top style="thin">
        <color rgb="00808080"/>
      </top>
      <bottom style="thin">
        <color rgb="00808080"/>
      </bottom>
      <diagonal/>
    </border>
    <border>
      <left/>
      <right style="thin">
        <color rgb="00808080"/>
      </right>
      <top style="thin">
        <color rgb="00808080"/>
      </top>
      <bottom style="thin">
        <color rgb="00808080"/>
      </bottom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7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center" wrapText="1"/>
    </xf>
    <xf numFmtId="0" fontId="3" fillId="5" borderId="1" applyAlignment="1" pivotButton="0" quotePrefix="0" xfId="0">
      <alignment horizontal="center" vertical="center" wrapText="1"/>
    </xf>
    <xf numFmtId="172" fontId="6" fillId="5" borderId="1" applyAlignment="1" pivotButton="0" quotePrefix="0" xfId="0">
      <alignment horizontal="center" vertical="center" wrapText="1"/>
    </xf>
    <xf numFmtId="172" fontId="2" fillId="5" borderId="1" applyAlignment="1" pivotButton="0" quotePrefix="0" xfId="0">
      <alignment horizontal="center" vertical="center" wrapText="1"/>
    </xf>
    <xf numFmtId="172" fontId="3" fillId="5" borderId="1" applyAlignment="1" pivotButton="0" quotePrefix="0" xfId="0">
      <alignment horizontal="center" vertical="center" wrapText="1"/>
    </xf>
    <xf numFmtId="173" fontId="6" fillId="5" borderId="1" applyAlignment="1" pivotButton="0" quotePrefix="0" xfId="0">
      <alignment horizontal="center" vertical="center" wrapText="1"/>
    </xf>
    <xf numFmtId="167" fontId="6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right" vertical="center"/>
    </xf>
    <xf numFmtId="0" fontId="2" fillId="5" borderId="1" applyAlignment="1" pivotButton="0" quotePrefix="0" xfId="0">
      <alignment horizontal="center" vertical="center" wrapText="1"/>
    </xf>
    <xf numFmtId="173" fontId="2" fillId="5" borderId="1" applyAlignment="1" pivotButton="0" quotePrefix="0" xfId="0">
      <alignment horizontal="center" vertical="center" wrapText="1"/>
    </xf>
    <xf numFmtId="164" fontId="2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right" vertical="center"/>
    </xf>
    <xf numFmtId="0" fontId="2" fillId="6" borderId="1" applyAlignment="1" pivotButton="0" quotePrefix="0" xfId="0">
      <alignment horizontal="center" vertical="center" wrapText="1"/>
    </xf>
    <xf numFmtId="171" fontId="2" fillId="6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166" fontId="2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2" fontId="6" fillId="5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 vertical="center" wrapText="1"/>
    </xf>
    <xf numFmtId="168" fontId="6" fillId="5" borderId="1" applyAlignment="1" pivotButton="0" quotePrefix="0" xfId="0">
      <alignment horizontal="center" vertical="center" wrapText="1"/>
    </xf>
    <xf numFmtId="1" fontId="2" fillId="5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4" borderId="1" applyAlignment="1" pivotButton="0" quotePrefix="0" xfId="0">
      <alignment vertical="center"/>
    </xf>
    <xf numFmtId="2" fontId="6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169" fontId="3" fillId="0" borderId="1" applyAlignment="1" pivotButton="0" quotePrefix="0" xfId="0">
      <alignment horizontal="center" vertical="center" wrapText="1"/>
    </xf>
    <xf numFmtId="169" fontId="2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9" fontId="3" fillId="5" borderId="1" applyAlignment="1" pivotButton="0" quotePrefix="0" xfId="0">
      <alignment horizontal="center" vertical="center" wrapText="1"/>
    </xf>
    <xf numFmtId="164" fontId="3" fillId="5" borderId="1" applyAlignment="1" pivotButton="0" quotePrefix="0" xfId="0">
      <alignment horizontal="center" vertical="center" wrapText="1"/>
    </xf>
    <xf numFmtId="169" fontId="2" fillId="5" borderId="1" applyAlignment="1" pivotButton="0" quotePrefix="0" xfId="0">
      <alignment horizontal="center" vertical="center" wrapText="1"/>
    </xf>
    <xf numFmtId="170" fontId="3" fillId="0" borderId="1" applyAlignment="1" pivotButton="0" quotePrefix="0" xfId="0">
      <alignment horizontal="center" vertical="center" wrapText="1"/>
    </xf>
    <xf numFmtId="168" fontId="2" fillId="6" borderId="1" applyAlignment="1" pivotButton="0" quotePrefix="0" xfId="0">
      <alignment horizontal="center" vertical="center" wrapText="1"/>
    </xf>
    <xf numFmtId="1" fontId="2" fillId="6" borderId="1" applyAlignment="1" pivotButton="0" quotePrefix="0" xfId="0">
      <alignment horizontal="center" vertical="center" wrapText="1"/>
    </xf>
    <xf numFmtId="168" fontId="2" fillId="2" borderId="1" applyAlignment="1" pivotButton="0" quotePrefix="0" xfId="0">
      <alignment horizontal="center" vertical="center" wrapText="1"/>
    </xf>
    <xf numFmtId="1" fontId="2" fillId="2" borderId="1" applyAlignment="1" pivotButton="0" quotePrefix="0" xfId="0">
      <alignment horizontal="center" vertical="center" wrapText="1"/>
    </xf>
    <xf numFmtId="164" fontId="2" fillId="2" borderId="1" applyAlignment="1" pivotButton="0" quotePrefix="0" xfId="0">
      <alignment horizontal="center" vertical="center" wrapText="1"/>
    </xf>
    <xf numFmtId="2" fontId="2" fillId="0" borderId="1" applyAlignment="1" pivotButton="0" quotePrefix="0" xfId="0">
      <alignment horizontal="center" vertical="center" wrapText="1"/>
    </xf>
    <xf numFmtId="2" fontId="3" fillId="5" borderId="1" applyAlignment="1" pivotButton="0" quotePrefix="0" xfId="0">
      <alignment horizontal="center" vertical="center" wrapText="1"/>
    </xf>
    <xf numFmtId="1" fontId="3" fillId="0" borderId="1" applyAlignment="1" pivotButton="0" quotePrefix="0" xfId="0">
      <alignment horizontal="center" vertical="center" wrapText="1"/>
    </xf>
    <xf numFmtId="168" fontId="3" fillId="0" borderId="1" applyAlignment="1" pivotButton="0" quotePrefix="0" xfId="0">
      <alignment horizontal="center" vertical="center" wrapText="1"/>
    </xf>
    <xf numFmtId="1" fontId="4" fillId="0" borderId="1" applyAlignment="1" pivotButton="0" quotePrefix="0" xfId="0">
      <alignment horizontal="center" vertical="center" wrapText="1"/>
    </xf>
    <xf numFmtId="168" fontId="2" fillId="0" borderId="1" applyAlignment="1" pivotButton="0" quotePrefix="0" xfId="0">
      <alignment horizontal="center" vertical="center" wrapText="1"/>
    </xf>
    <xf numFmtId="168" fontId="3" fillId="5" borderId="1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2" fontId="4" fillId="3" borderId="1" applyAlignment="1" pivotButton="0" quotePrefix="0" xfId="0">
      <alignment horizontal="center" vertical="center" wrapText="1"/>
    </xf>
    <xf numFmtId="174" fontId="4" fillId="0" borderId="1" applyAlignment="1" pivotButton="0" quotePrefix="0" xfId="0">
      <alignment horizontal="center" vertical="center" wrapText="1"/>
    </xf>
    <xf numFmtId="175" fontId="2" fillId="0" borderId="1" applyAlignment="1" pivotButton="0" quotePrefix="0" xfId="0">
      <alignment horizontal="center" vertical="center" wrapText="1"/>
    </xf>
    <xf numFmtId="175" fontId="6" fillId="0" borderId="1" applyAlignment="1" pivotButton="0" quotePrefix="0" xfId="0">
      <alignment horizontal="center" vertical="center" wrapText="1"/>
    </xf>
    <xf numFmtId="176" fontId="2" fillId="0" borderId="1" applyAlignment="1" pivotButton="0" quotePrefix="0" xfId="0">
      <alignment horizontal="center" vertical="center" wrapText="1"/>
    </xf>
    <xf numFmtId="177" fontId="3" fillId="0" borderId="1" applyAlignment="1" pivotButton="0" quotePrefix="0" xfId="0">
      <alignment horizontal="center" vertical="center" wrapText="1"/>
    </xf>
    <xf numFmtId="171" fontId="2" fillId="2" borderId="1" applyAlignment="1" pivotButton="0" quotePrefix="0" xfId="0">
      <alignment horizontal="center" vertical="center" wrapText="1"/>
    </xf>
    <xf numFmtId="178" fontId="2" fillId="2" borderId="1" applyAlignment="1" pivotButton="0" quotePrefix="0" xfId="0">
      <alignment horizontal="center" vertical="center" wrapText="1"/>
    </xf>
    <xf numFmtId="179" fontId="2" fillId="2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/>
    </xf>
    <xf numFmtId="175" fontId="4" fillId="0" borderId="1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 wrapText="1"/>
    </xf>
    <xf numFmtId="2" fontId="4" fillId="3" borderId="1" applyAlignment="1" pivotButton="0" quotePrefix="0" xfId="0">
      <alignment vertical="center" wrapText="1"/>
    </xf>
    <xf numFmtId="164" fontId="4" fillId="0" borderId="1" applyAlignment="1" pivotButton="0" quotePrefix="0" xfId="0">
      <alignment horizontal="center" vertical="center" wrapText="1"/>
    </xf>
    <xf numFmtId="2" fontId="3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 wrapText="1"/>
    </xf>
    <xf numFmtId="165" fontId="4" fillId="0" borderId="1" applyAlignment="1" pivotButton="0" quotePrefix="0" xfId="0">
      <alignment horizontal="center" vertical="center" wrapText="1"/>
    </xf>
    <xf numFmtId="166" fontId="3" fillId="0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166" fontId="2" fillId="2" borderId="1" applyAlignment="1" pivotButton="0" quotePrefix="0" xfId="0">
      <alignment horizontal="center" vertical="center" wrapText="1"/>
    </xf>
    <xf numFmtId="1" fontId="2" fillId="0" borderId="1" applyAlignment="1" pivotButton="0" quotePrefix="0" xfId="0">
      <alignment horizontal="center" vertical="center" wrapText="1"/>
    </xf>
    <xf numFmtId="167" fontId="3" fillId="0" borderId="1" applyAlignment="1" pivotButton="0" quotePrefix="0" xfId="0">
      <alignment horizontal="center" vertical="center" wrapText="1"/>
    </xf>
    <xf numFmtId="167" fontId="2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171" fontId="3" fillId="0" borderId="1" applyAlignment="1" pivotButton="0" quotePrefix="0" xfId="0">
      <alignment horizontal="left"/>
    </xf>
    <xf numFmtId="166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ПТО</author>
  </authors>
  <commentList>
    <comment ref="B31" authorId="0" shapeId="0">
      <text>
        <t>Дм: (колонна 600×600 + полки 700×400 + ребро ×400) × (4,0 − 0,12 плита).</t>
      </text>
    </comment>
    <comment ref="D31" authorId="0" shapeId="0">
      <text>
        <t>Колонны 600×600 × (4,0 − 0,12), включая узел с ригелем.</t>
      </text>
    </comment>
    <comment ref="E31" authorId="0" shapeId="0">
      <text>
        <t>Ригель 450 × (600 − 120 плита) × сумма пролётов в свету между гранями колонн и диафрагм.</t>
      </text>
    </comment>
    <comment ref="V31" authorId="0" shapeId="0">
      <text>
        <t>Площадь плиты по контуру АС-47 за вычетом проёмов = 542.03 м² × 0,12 м.</t>
      </text>
    </comment>
    <comment ref="AC40" authorId="0" shapeId="0">
      <text>
        <t>АС-68 узел «2»: «Аш-6» на концах 18Ø18 у балки. По таблице АС-33 для Ø18 — Аш-3. Посчитано как Аш-6 по узлу — уточнить.</t>
      </text>
    </comment>
    <comment ref="AF40" authorId="0" shapeId="0">
      <text>
        <t>АС-69: Аш-6 на концах 4Ø25 ригеля (2 конца) и 4Ø25 стойки (2 конца) = 16 шт.</t>
      </text>
    </comment>
    <comment ref="E41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  <comment ref="B77" authorId="0" shapeId="0">
      <text>
        <t>Дм: (колонна 600×600 + полки 700×400 + ребро ×400) × (3,6 − 0,12 плита).</t>
      </text>
    </comment>
    <comment ref="D77" authorId="0" shapeId="0">
      <text>
        <t>Колонны 600×600 × (3,6 − 0,12), включая узел с ригелем.</t>
      </text>
    </comment>
    <comment ref="E77" authorId="0" shapeId="0">
      <text>
        <t>Ригель 450 × (600 − 120 плита) × сумма пролётов в свету между гранями колонн и диафрагм.</t>
      </text>
    </comment>
    <comment ref="V77" authorId="0" shapeId="0">
      <text>
        <t>Площадь плиты по контуру АС-48 за вычетом проёмов = 541.54 м² × 0,12 м.</t>
      </text>
    </comment>
    <comment ref="AF86" authorId="0" shapeId="0">
      <text>
        <t>АС-69: Аш-6 на концах 4Ø25 ригеля (2 конца) и 4Ø25 стойки (2 конца) = 16 шт.</t>
      </text>
    </comment>
    <comment ref="E87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  <comment ref="B123" authorId="0" shapeId="0">
      <text>
        <t>Дм: (колонна 600×600 + полки 700×400 + ребро ×400) × (3,6 − 0,12 плита).</t>
      </text>
    </comment>
    <comment ref="D123" authorId="0" shapeId="0">
      <text>
        <t>Колонны 600×600 × (3,6 − 0,12), включая узел с ригелем.</t>
      </text>
    </comment>
    <comment ref="E123" authorId="0" shapeId="0">
      <text>
        <t>Ригель 450 × (600 − 120 плита) × сумма пролётов в свету между гранями колонн и диафрагм.</t>
      </text>
    </comment>
    <comment ref="V123" authorId="0" shapeId="0">
      <text>
        <t>Площадь плиты по контуру АС-48 за вычетом проёмов = 541.54 м² × 0,12 м.</t>
      </text>
    </comment>
    <comment ref="AF132" authorId="0" shapeId="0">
      <text>
        <t>АС-69: Аш-6 на концах 4Ø25 ригеля (2 конца) и 4Ø25 стойки (2 конца) = 16 шт.</t>
      </text>
    </comment>
    <comment ref="E133" authorId="0" shapeId="0">
      <text>
        <t>Аш (АС-33): на концах стержней Ø&gt;20 у торцов рамы — 4Ø28 поз.2 × 2 конца + ОС у торцов (Б-Б АС-31). Аш балок плиты не считались.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53"/>
  <sheetViews>
    <sheetView zoomScale="9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7" customWidth="1" min="2" max="2"/>
    <col width="12.5" customWidth="1" min="3" max="3"/>
    <col width="12.5" customWidth="1" min="4" max="4"/>
    <col width="12.5" customWidth="1" min="5" max="5"/>
    <col width="12.5" customWidth="1" min="6" max="6"/>
    <col width="12.5" customWidth="1" min="7" max="7"/>
    <col width="12.5" customWidth="1" min="8" max="8"/>
    <col width="12.5" customWidth="1" min="9" max="9"/>
    <col width="12.5" customWidth="1" min="10" max="10"/>
    <col width="12.5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>
      <c r="A1" s="1" t="inlineStr">
        <is>
          <t>Блок 14, ул. Токомбаева — потребность по этажам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Арматура (чистая проектная масса, без запаса)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>
      <c r="A3" s="5" t="inlineStr">
        <is>
          <t>Диаметр</t>
        </is>
      </c>
      <c r="B3" s="5" t="inlineStr">
        <is>
          <t>Ед. изм.</t>
        </is>
      </c>
      <c r="C3" s="5" t="inlineStr">
        <is>
          <t>1 этаж (-0.050…+3.950)</t>
        </is>
      </c>
      <c r="D3" s="5" t="n"/>
      <c r="E3" s="5" t="n"/>
      <c r="F3" s="5" t="inlineStr">
        <is>
          <t>2 этаж (+3.950…+7.550)</t>
        </is>
      </c>
      <c r="G3" s="5" t="n"/>
      <c r="H3" s="5" t="n"/>
      <c r="I3" s="5" t="inlineStr">
        <is>
          <t>3 этаж (+7.550…+11.150)</t>
        </is>
      </c>
      <c r="J3" s="5" t="n"/>
      <c r="K3" s="5" t="n"/>
      <c r="L3" s="5" t="inlineStr">
        <is>
          <t>Итого 1–3 этаж</t>
        </is>
      </c>
      <c r="M3" s="5" t="inlineStr">
        <is>
          <t>Итого × К зап</t>
        </is>
      </c>
      <c r="N3" s="5" t="inlineStr">
        <is>
          <t>Заказ (раскрой поэтажно под прутки 11,7 м)</t>
        </is>
      </c>
      <c r="O3" s="5" t="n"/>
      <c r="P3" s="5" t="n"/>
    </row>
    <row r="4" ht="48" customHeight="1">
      <c r="A4" s="5" t="n"/>
      <c r="B4" s="5" t="n"/>
      <c r="C4" s="5" t="inlineStr">
        <is>
          <t>Колонны, диафрагмы</t>
        </is>
      </c>
      <c r="D4" s="5" t="inlineStr">
        <is>
          <t>Плита перекрытия, балки, ригели, С-1</t>
        </is>
      </c>
      <c r="E4" s="5" t="inlineStr">
        <is>
          <t>Лестницы и лест. рамы</t>
        </is>
      </c>
      <c r="F4" s="5" t="inlineStr">
        <is>
          <t>Колонны, диафрагмы</t>
        </is>
      </c>
      <c r="G4" s="5" t="inlineStr">
        <is>
          <t>Плита перекрытия, балки, ригели, С-1</t>
        </is>
      </c>
      <c r="H4" s="5" t="inlineStr">
        <is>
          <t>Лестницы и лест. рамы</t>
        </is>
      </c>
      <c r="I4" s="5" t="inlineStr">
        <is>
          <t>Колонны, диафрагмы</t>
        </is>
      </c>
      <c r="J4" s="5" t="inlineStr">
        <is>
          <t>Плита перекрытия, балки, ригели, С-1</t>
        </is>
      </c>
      <c r="K4" s="5" t="inlineStr">
        <is>
          <t>Лестницы и лест. рамы</t>
        </is>
      </c>
      <c r="L4" s="5" t="n"/>
      <c r="M4" s="5" t="n"/>
      <c r="N4" s="5" t="inlineStr">
        <is>
          <t>Прутков 11,7 м, шт</t>
        </is>
      </c>
      <c r="O4" s="5" t="inlineStr">
        <is>
          <t>Масса заказа, кг</t>
        </is>
      </c>
      <c r="P4" s="5" t="inlineStr">
        <is>
          <t>Отход, %</t>
        </is>
      </c>
    </row>
    <row r="5">
      <c r="A5" s="6" t="inlineStr">
        <is>
          <t>Диаметр 32 А500С</t>
        </is>
      </c>
      <c r="B5" s="7" t="inlineStr">
        <is>
          <t>кг</t>
        </is>
      </c>
      <c r="C5" s="8">
        <f>'По осям'!AJ8*'По осям'!AK8</f>
        <v/>
      </c>
      <c r="D5" s="8">
        <f>'По осям'!AM8*'По осям'!AN8</f>
        <v/>
      </c>
      <c r="E5" s="8">
        <f>'По осям'!AP8*'По осям'!AQ8</f>
        <v/>
      </c>
      <c r="F5" s="8">
        <f>'По осям'!AJ54*'По осям'!AK54</f>
        <v/>
      </c>
      <c r="G5" s="8">
        <f>'По осям'!AM54*'По осям'!AN54</f>
        <v/>
      </c>
      <c r="H5" s="8">
        <f>'По осям'!AP54*'По осям'!AQ54</f>
        <v/>
      </c>
      <c r="I5" s="8">
        <f>'По осям'!AJ100*'По осям'!AK100</f>
        <v/>
      </c>
      <c r="J5" s="8">
        <f>'По осям'!AM100*'По осям'!AN100</f>
        <v/>
      </c>
      <c r="K5" s="8">
        <f>'По осям'!AP100*'По осям'!AQ100</f>
        <v/>
      </c>
      <c r="L5" s="9">
        <f>SUM(C5:K5)</f>
        <v/>
      </c>
      <c r="M5" s="10">
        <f>L5*Исходные!$B$14</f>
        <v/>
      </c>
      <c r="N5" s="11">
        <f>'Раскрой 11,7м'!D666</f>
        <v/>
      </c>
      <c r="O5" s="8">
        <f>'Раскрой 11,7м'!E666</f>
        <v/>
      </c>
      <c r="P5" s="12">
        <f>'Раскрой 11,7м'!H666</f>
        <v/>
      </c>
    </row>
    <row r="6">
      <c r="A6" s="6" t="inlineStr">
        <is>
          <t>Диаметр 28 А500С</t>
        </is>
      </c>
      <c r="B6" s="7" t="inlineStr">
        <is>
          <t>кг</t>
        </is>
      </c>
      <c r="C6" s="8">
        <f>'По осям'!AJ9*'По осям'!AK9</f>
        <v/>
      </c>
      <c r="D6" s="8">
        <f>'По осям'!AM9*'По осям'!AN9</f>
        <v/>
      </c>
      <c r="E6" s="8">
        <f>'По осям'!AP9*'По осям'!AQ9</f>
        <v/>
      </c>
      <c r="F6" s="8">
        <f>'По осям'!AJ55*'По осям'!AK55</f>
        <v/>
      </c>
      <c r="G6" s="8">
        <f>'По осям'!AM55*'По осям'!AN55</f>
        <v/>
      </c>
      <c r="H6" s="8">
        <f>'По осям'!AP55*'По осям'!AQ55</f>
        <v/>
      </c>
      <c r="I6" s="8">
        <f>'По осям'!AJ101*'По осям'!AK101</f>
        <v/>
      </c>
      <c r="J6" s="8">
        <f>'По осям'!AM101*'По осям'!AN101</f>
        <v/>
      </c>
      <c r="K6" s="8">
        <f>'По осям'!AP101*'По осям'!AQ101</f>
        <v/>
      </c>
      <c r="L6" s="9">
        <f>SUM(C6:K6)</f>
        <v/>
      </c>
      <c r="M6" s="10">
        <f>L6*Исходные!$B$14</f>
        <v/>
      </c>
      <c r="N6" s="11">
        <f>'Раскрой 11,7м'!D667</f>
        <v/>
      </c>
      <c r="O6" s="8">
        <f>'Раскрой 11,7м'!E667</f>
        <v/>
      </c>
      <c r="P6" s="12">
        <f>'Раскрой 11,7м'!H667</f>
        <v/>
      </c>
    </row>
    <row r="7">
      <c r="A7" s="6" t="inlineStr">
        <is>
          <t>Диаметр 25 А500С</t>
        </is>
      </c>
      <c r="B7" s="7" t="inlineStr">
        <is>
          <t>кг</t>
        </is>
      </c>
      <c r="C7" s="8">
        <f>'По осям'!AJ10*'По осям'!AK10</f>
        <v/>
      </c>
      <c r="D7" s="8">
        <f>'По осям'!AM10*'По осям'!AN10</f>
        <v/>
      </c>
      <c r="E7" s="8">
        <f>'По осям'!AP10*'По осям'!AQ10</f>
        <v/>
      </c>
      <c r="F7" s="8">
        <f>'По осям'!AJ56*'По осям'!AK56</f>
        <v/>
      </c>
      <c r="G7" s="8">
        <f>'По осям'!AM56*'По осям'!AN56</f>
        <v/>
      </c>
      <c r="H7" s="8">
        <f>'По осям'!AP56*'По осям'!AQ56</f>
        <v/>
      </c>
      <c r="I7" s="8">
        <f>'По осям'!AJ102*'По осям'!AK102</f>
        <v/>
      </c>
      <c r="J7" s="8">
        <f>'По осям'!AM102*'По осям'!AN102</f>
        <v/>
      </c>
      <c r="K7" s="8">
        <f>'По осям'!AP102*'По осям'!AQ102</f>
        <v/>
      </c>
      <c r="L7" s="9">
        <f>SUM(C7:K7)</f>
        <v/>
      </c>
      <c r="M7" s="10">
        <f>L7*Исходные!$B$14</f>
        <v/>
      </c>
      <c r="N7" s="11">
        <f>'Раскрой 11,7м'!D668</f>
        <v/>
      </c>
      <c r="O7" s="8">
        <f>'Раскрой 11,7м'!E668</f>
        <v/>
      </c>
      <c r="P7" s="12">
        <f>'Раскрой 11,7м'!H668</f>
        <v/>
      </c>
    </row>
    <row r="8">
      <c r="A8" s="6" t="inlineStr">
        <is>
          <t>Диаметр 22 А500С</t>
        </is>
      </c>
      <c r="B8" s="7" t="inlineStr">
        <is>
          <t>кг</t>
        </is>
      </c>
      <c r="C8" s="8">
        <f>'По осям'!AJ11*'По осям'!AK11</f>
        <v/>
      </c>
      <c r="D8" s="8">
        <f>'По осям'!AM11*'По осям'!AN11</f>
        <v/>
      </c>
      <c r="E8" s="8">
        <f>'По осям'!AP11*'По осям'!AQ11</f>
        <v/>
      </c>
      <c r="F8" s="8">
        <f>'По осям'!AJ57*'По осям'!AK57</f>
        <v/>
      </c>
      <c r="G8" s="8">
        <f>'По осям'!AM57*'По осям'!AN57</f>
        <v/>
      </c>
      <c r="H8" s="8">
        <f>'По осям'!AP57*'По осям'!AQ57</f>
        <v/>
      </c>
      <c r="I8" s="8">
        <f>'По осям'!AJ103*'По осям'!AK103</f>
        <v/>
      </c>
      <c r="J8" s="8">
        <f>'По осям'!AM103*'По осям'!AN103</f>
        <v/>
      </c>
      <c r="K8" s="8">
        <f>'По осям'!AP103*'По осям'!AQ103</f>
        <v/>
      </c>
      <c r="L8" s="9">
        <f>SUM(C8:K8)</f>
        <v/>
      </c>
      <c r="M8" s="10">
        <f>L8*Исходные!$B$14</f>
        <v/>
      </c>
      <c r="N8" s="11">
        <f>'Раскрой 11,7м'!D669</f>
        <v/>
      </c>
      <c r="O8" s="8">
        <f>'Раскрой 11,7м'!E669</f>
        <v/>
      </c>
      <c r="P8" s="12">
        <f>'Раскрой 11,7м'!H669</f>
        <v/>
      </c>
    </row>
    <row r="9">
      <c r="A9" s="6" t="inlineStr">
        <is>
          <t>Диаметр 20 А500С</t>
        </is>
      </c>
      <c r="B9" s="7" t="inlineStr">
        <is>
          <t>кг</t>
        </is>
      </c>
      <c r="C9" s="8">
        <f>'По осям'!AJ12*'По осям'!AK12</f>
        <v/>
      </c>
      <c r="D9" s="8">
        <f>'По осям'!AM12*'По осям'!AN12</f>
        <v/>
      </c>
      <c r="E9" s="8">
        <f>'По осям'!AP12*'По осям'!AQ12</f>
        <v/>
      </c>
      <c r="F9" s="8">
        <f>'По осям'!AJ58*'По осям'!AK58</f>
        <v/>
      </c>
      <c r="G9" s="8">
        <f>'По осям'!AM58*'По осям'!AN58</f>
        <v/>
      </c>
      <c r="H9" s="8">
        <f>'По осям'!AP58*'По осям'!AQ58</f>
        <v/>
      </c>
      <c r="I9" s="8">
        <f>'По осям'!AJ104*'По осям'!AK104</f>
        <v/>
      </c>
      <c r="J9" s="8">
        <f>'По осям'!AM104*'По осям'!AN104</f>
        <v/>
      </c>
      <c r="K9" s="8">
        <f>'По осям'!AP104*'По осям'!AQ104</f>
        <v/>
      </c>
      <c r="L9" s="9">
        <f>SUM(C9:K9)</f>
        <v/>
      </c>
      <c r="M9" s="10">
        <f>L9*Исходные!$B$14</f>
        <v/>
      </c>
      <c r="N9" s="11">
        <f>'Раскрой 11,7м'!D670</f>
        <v/>
      </c>
      <c r="O9" s="8">
        <f>'Раскрой 11,7м'!E670</f>
        <v/>
      </c>
      <c r="P9" s="12">
        <f>'Раскрой 11,7м'!H670</f>
        <v/>
      </c>
    </row>
    <row r="10">
      <c r="A10" s="6" t="inlineStr">
        <is>
          <t>Диаметр 18 А500С</t>
        </is>
      </c>
      <c r="B10" s="7" t="inlineStr">
        <is>
          <t>кг</t>
        </is>
      </c>
      <c r="C10" s="8">
        <f>'По осям'!AJ13*'По осям'!AK13</f>
        <v/>
      </c>
      <c r="D10" s="8">
        <f>'По осям'!AM13*'По осям'!AN13</f>
        <v/>
      </c>
      <c r="E10" s="8">
        <f>'По осям'!AP13*'По осям'!AQ13</f>
        <v/>
      </c>
      <c r="F10" s="8">
        <f>'По осям'!AJ59*'По осям'!AK59</f>
        <v/>
      </c>
      <c r="G10" s="8">
        <f>'По осям'!AM59*'По осям'!AN59</f>
        <v/>
      </c>
      <c r="H10" s="8">
        <f>'По осям'!AP59*'По осям'!AQ59</f>
        <v/>
      </c>
      <c r="I10" s="8">
        <f>'По осям'!AJ105*'По осям'!AK105</f>
        <v/>
      </c>
      <c r="J10" s="8">
        <f>'По осям'!AM105*'По осям'!AN105</f>
        <v/>
      </c>
      <c r="K10" s="8">
        <f>'По осям'!AP105*'По осям'!AQ105</f>
        <v/>
      </c>
      <c r="L10" s="9">
        <f>SUM(C10:K10)</f>
        <v/>
      </c>
      <c r="M10" s="10">
        <f>L10*Исходные!$B$14</f>
        <v/>
      </c>
      <c r="N10" s="11">
        <f>'Раскрой 11,7м'!D671</f>
        <v/>
      </c>
      <c r="O10" s="8">
        <f>'Раскрой 11,7м'!E671</f>
        <v/>
      </c>
      <c r="P10" s="12">
        <f>'Раскрой 11,7м'!H671</f>
        <v/>
      </c>
    </row>
    <row r="11">
      <c r="A11" s="6" t="inlineStr">
        <is>
          <t>Диаметр 16 А500С</t>
        </is>
      </c>
      <c r="B11" s="7" t="inlineStr">
        <is>
          <t>кг</t>
        </is>
      </c>
      <c r="C11" s="8">
        <f>'По осям'!AJ14*'По осям'!AK14</f>
        <v/>
      </c>
      <c r="D11" s="8">
        <f>'По осям'!AM14*'По осям'!AN14</f>
        <v/>
      </c>
      <c r="E11" s="8">
        <f>'По осям'!AP14*'По осям'!AQ14</f>
        <v/>
      </c>
      <c r="F11" s="8">
        <f>'По осям'!AJ60*'По осям'!AK60</f>
        <v/>
      </c>
      <c r="G11" s="8">
        <f>'По осям'!AM60*'По осям'!AN60</f>
        <v/>
      </c>
      <c r="H11" s="8">
        <f>'По осям'!AP60*'По осям'!AQ60</f>
        <v/>
      </c>
      <c r="I11" s="8">
        <f>'По осям'!AJ106*'По осям'!AK106</f>
        <v/>
      </c>
      <c r="J11" s="8">
        <f>'По осям'!AM106*'По осям'!AN106</f>
        <v/>
      </c>
      <c r="K11" s="8">
        <f>'По осям'!AP106*'По осям'!AQ106</f>
        <v/>
      </c>
      <c r="L11" s="9">
        <f>SUM(C11:K11)</f>
        <v/>
      </c>
      <c r="M11" s="10">
        <f>L11*Исходные!$B$14</f>
        <v/>
      </c>
      <c r="N11" s="11">
        <f>'Раскрой 11,7м'!D672</f>
        <v/>
      </c>
      <c r="O11" s="8">
        <f>'Раскрой 11,7м'!E672</f>
        <v/>
      </c>
      <c r="P11" s="12">
        <f>'Раскрой 11,7м'!H672</f>
        <v/>
      </c>
    </row>
    <row r="12">
      <c r="A12" s="6" t="inlineStr">
        <is>
          <t>Диаметр 14 А500С</t>
        </is>
      </c>
      <c r="B12" s="7" t="inlineStr">
        <is>
          <t>кг</t>
        </is>
      </c>
      <c r="C12" s="8">
        <f>'По осям'!AJ15*'По осям'!AK15</f>
        <v/>
      </c>
      <c r="D12" s="8">
        <f>'По осям'!AM15*'По осям'!AN15</f>
        <v/>
      </c>
      <c r="E12" s="8">
        <f>'По осям'!AP15*'По осям'!AQ15</f>
        <v/>
      </c>
      <c r="F12" s="8">
        <f>'По осям'!AJ61*'По осям'!AK61</f>
        <v/>
      </c>
      <c r="G12" s="8">
        <f>'По осям'!AM61*'По осям'!AN61</f>
        <v/>
      </c>
      <c r="H12" s="8">
        <f>'По осям'!AP61*'По осям'!AQ61</f>
        <v/>
      </c>
      <c r="I12" s="8">
        <f>'По осям'!AJ107*'По осям'!AK107</f>
        <v/>
      </c>
      <c r="J12" s="8">
        <f>'По осям'!AM107*'По осям'!AN107</f>
        <v/>
      </c>
      <c r="K12" s="8">
        <f>'По осям'!AP107*'По осям'!AQ107</f>
        <v/>
      </c>
      <c r="L12" s="9">
        <f>SUM(C12:K12)</f>
        <v/>
      </c>
      <c r="M12" s="10">
        <f>L12*Исходные!$B$14</f>
        <v/>
      </c>
      <c r="N12" s="11">
        <f>'Раскрой 11,7м'!D673</f>
        <v/>
      </c>
      <c r="O12" s="8">
        <f>'Раскрой 11,7м'!E673</f>
        <v/>
      </c>
      <c r="P12" s="12">
        <f>'Раскрой 11,7м'!H673</f>
        <v/>
      </c>
    </row>
    <row r="13">
      <c r="A13" s="6" t="inlineStr">
        <is>
          <t>Диаметр 12 А500С</t>
        </is>
      </c>
      <c r="B13" s="7" t="inlineStr">
        <is>
          <t>кг</t>
        </is>
      </c>
      <c r="C13" s="8">
        <f>'По осям'!AJ16*'По осям'!AK16</f>
        <v/>
      </c>
      <c r="D13" s="8">
        <f>'По осям'!AM16*'По осям'!AN16</f>
        <v/>
      </c>
      <c r="E13" s="8">
        <f>'По осям'!AP16*'По осям'!AQ16</f>
        <v/>
      </c>
      <c r="F13" s="8">
        <f>'По осям'!AJ62*'По осям'!AK62</f>
        <v/>
      </c>
      <c r="G13" s="8">
        <f>'По осям'!AM62*'По осям'!AN62</f>
        <v/>
      </c>
      <c r="H13" s="8">
        <f>'По осям'!AP62*'По осям'!AQ62</f>
        <v/>
      </c>
      <c r="I13" s="8">
        <f>'По осям'!AJ108*'По осям'!AK108</f>
        <v/>
      </c>
      <c r="J13" s="8">
        <f>'По осям'!AM108*'По осям'!AN108</f>
        <v/>
      </c>
      <c r="K13" s="8">
        <f>'По осям'!AP108*'По осям'!AQ108</f>
        <v/>
      </c>
      <c r="L13" s="9">
        <f>SUM(C13:K13)</f>
        <v/>
      </c>
      <c r="M13" s="10">
        <f>L13*Исходные!$B$14</f>
        <v/>
      </c>
      <c r="N13" s="11">
        <f>'Раскрой 11,7м'!D674</f>
        <v/>
      </c>
      <c r="O13" s="8">
        <f>'Раскрой 11,7м'!E674</f>
        <v/>
      </c>
      <c r="P13" s="12">
        <f>'Раскрой 11,7м'!H674</f>
        <v/>
      </c>
    </row>
    <row r="14">
      <c r="A14" s="6" t="inlineStr">
        <is>
          <t>Диаметр 10 А500С</t>
        </is>
      </c>
      <c r="B14" s="7" t="inlineStr">
        <is>
          <t>кг</t>
        </is>
      </c>
      <c r="C14" s="8">
        <f>'По осям'!AJ17*'По осям'!AK17</f>
        <v/>
      </c>
      <c r="D14" s="8">
        <f>'По осям'!AM17*'По осям'!AN17</f>
        <v/>
      </c>
      <c r="E14" s="8">
        <f>'По осям'!AP17*'По осям'!AQ17</f>
        <v/>
      </c>
      <c r="F14" s="8">
        <f>'По осям'!AJ63*'По осям'!AK63</f>
        <v/>
      </c>
      <c r="G14" s="8">
        <f>'По осям'!AM63*'По осям'!AN63</f>
        <v/>
      </c>
      <c r="H14" s="8">
        <f>'По осям'!AP63*'По осям'!AQ63</f>
        <v/>
      </c>
      <c r="I14" s="8">
        <f>'По осям'!AJ109*'По осям'!AK109</f>
        <v/>
      </c>
      <c r="J14" s="8">
        <f>'По осям'!AM109*'По осям'!AN109</f>
        <v/>
      </c>
      <c r="K14" s="8">
        <f>'По осям'!AP109*'По осям'!AQ109</f>
        <v/>
      </c>
      <c r="L14" s="9">
        <f>SUM(C14:K14)</f>
        <v/>
      </c>
      <c r="M14" s="10">
        <f>L14*Исходные!$B$14</f>
        <v/>
      </c>
      <c r="N14" s="11">
        <f>'Раскрой 11,7м'!D675</f>
        <v/>
      </c>
      <c r="O14" s="8">
        <f>'Раскрой 11,7м'!E675</f>
        <v/>
      </c>
      <c r="P14" s="12">
        <f>'Раскрой 11,7м'!H675</f>
        <v/>
      </c>
    </row>
    <row r="15">
      <c r="A15" s="6" t="inlineStr">
        <is>
          <t>Диаметр 8 А500С</t>
        </is>
      </c>
      <c r="B15" s="7" t="inlineStr">
        <is>
          <t>кг</t>
        </is>
      </c>
      <c r="C15" s="8">
        <f>'По осям'!AJ18*'По осям'!AK18</f>
        <v/>
      </c>
      <c r="D15" s="8">
        <f>'По осям'!AM18*'По осям'!AN18</f>
        <v/>
      </c>
      <c r="E15" s="8">
        <f>'По осям'!AP18*'По осям'!AQ18</f>
        <v/>
      </c>
      <c r="F15" s="8">
        <f>'По осям'!AJ64*'По осям'!AK64</f>
        <v/>
      </c>
      <c r="G15" s="8">
        <f>'По осям'!AM64*'По осям'!AN64</f>
        <v/>
      </c>
      <c r="H15" s="8">
        <f>'По осям'!AP64*'По осям'!AQ64</f>
        <v/>
      </c>
      <c r="I15" s="8">
        <f>'По осям'!AJ110*'По осям'!AK110</f>
        <v/>
      </c>
      <c r="J15" s="8">
        <f>'По осям'!AM110*'По осям'!AN110</f>
        <v/>
      </c>
      <c r="K15" s="8">
        <f>'По осям'!AP110*'По осям'!AQ110</f>
        <v/>
      </c>
      <c r="L15" s="9">
        <f>SUM(C15:K15)</f>
        <v/>
      </c>
      <c r="M15" s="10">
        <f>L15*Исходные!$B$14</f>
        <v/>
      </c>
      <c r="N15" s="11">
        <f>'Раскрой 11,7м'!D676</f>
        <v/>
      </c>
      <c r="O15" s="8">
        <f>'Раскрой 11,7м'!E676</f>
        <v/>
      </c>
      <c r="P15" s="12">
        <f>'Раскрой 11,7м'!H676</f>
        <v/>
      </c>
    </row>
    <row r="16">
      <c r="A16" s="6" t="inlineStr">
        <is>
          <t>Диаметр 16 А240</t>
        </is>
      </c>
      <c r="B16" s="7" t="inlineStr">
        <is>
          <t>кг</t>
        </is>
      </c>
      <c r="C16" s="8">
        <f>'По осям'!AJ19*'По осям'!AK19</f>
        <v/>
      </c>
      <c r="D16" s="8">
        <f>'По осям'!AM19*'По осям'!AN19</f>
        <v/>
      </c>
      <c r="E16" s="8">
        <f>'По осям'!AP19*'По осям'!AQ19</f>
        <v/>
      </c>
      <c r="F16" s="8">
        <f>'По осям'!AJ65*'По осям'!AK65</f>
        <v/>
      </c>
      <c r="G16" s="8">
        <f>'По осям'!AM65*'По осям'!AN65</f>
        <v/>
      </c>
      <c r="H16" s="8">
        <f>'По осям'!AP65*'По осям'!AQ65</f>
        <v/>
      </c>
      <c r="I16" s="8">
        <f>'По осям'!AJ111*'По осям'!AK111</f>
        <v/>
      </c>
      <c r="J16" s="8">
        <f>'По осям'!AM111*'По осям'!AN111</f>
        <v/>
      </c>
      <c r="K16" s="8">
        <f>'По осям'!AP111*'По осям'!AQ111</f>
        <v/>
      </c>
      <c r="L16" s="9">
        <f>SUM(C16:K16)</f>
        <v/>
      </c>
      <c r="M16" s="10">
        <f>L16*Исходные!$B$14</f>
        <v/>
      </c>
      <c r="N16" s="11">
        <f>'Раскрой 11,7м'!D677</f>
        <v/>
      </c>
      <c r="O16" s="8">
        <f>'Раскрой 11,7м'!E677</f>
        <v/>
      </c>
      <c r="P16" s="12">
        <f>'Раскрой 11,7м'!H677</f>
        <v/>
      </c>
    </row>
    <row r="17">
      <c r="A17" s="6" t="inlineStr">
        <is>
          <t>Диаметр 12 А240</t>
        </is>
      </c>
      <c r="B17" s="7" t="inlineStr">
        <is>
          <t>кг</t>
        </is>
      </c>
      <c r="C17" s="8">
        <f>'По осям'!AJ20*'По осям'!AK20</f>
        <v/>
      </c>
      <c r="D17" s="8">
        <f>'По осям'!AM20*'По осям'!AN20</f>
        <v/>
      </c>
      <c r="E17" s="8">
        <f>'По осям'!AP20*'По осям'!AQ20</f>
        <v/>
      </c>
      <c r="F17" s="8">
        <f>'По осям'!AJ66*'По осям'!AK66</f>
        <v/>
      </c>
      <c r="G17" s="8">
        <f>'По осям'!AM66*'По осям'!AN66</f>
        <v/>
      </c>
      <c r="H17" s="8">
        <f>'По осям'!AP66*'По осям'!AQ66</f>
        <v/>
      </c>
      <c r="I17" s="8">
        <f>'По осям'!AJ112*'По осям'!AK112</f>
        <v/>
      </c>
      <c r="J17" s="8">
        <f>'По осям'!AM112*'По осям'!AN112</f>
        <v/>
      </c>
      <c r="K17" s="8">
        <f>'По осям'!AP112*'По осям'!AQ112</f>
        <v/>
      </c>
      <c r="L17" s="9">
        <f>SUM(C17:K17)</f>
        <v/>
      </c>
      <c r="M17" s="10">
        <f>L17*Исходные!$B$14</f>
        <v/>
      </c>
      <c r="N17" s="11">
        <f>'Раскрой 11,7м'!D678</f>
        <v/>
      </c>
      <c r="O17" s="8">
        <f>'Раскрой 11,7м'!E678</f>
        <v/>
      </c>
      <c r="P17" s="12">
        <f>'Раскрой 11,7м'!H678</f>
        <v/>
      </c>
    </row>
    <row r="18">
      <c r="A18" s="6" t="inlineStr">
        <is>
          <t>Диаметр 10 А240</t>
        </is>
      </c>
      <c r="B18" s="7" t="inlineStr">
        <is>
          <t>кг</t>
        </is>
      </c>
      <c r="C18" s="8">
        <f>'По осям'!AJ21*'По осям'!AK21</f>
        <v/>
      </c>
      <c r="D18" s="8">
        <f>'По осям'!AM21*'По осям'!AN21</f>
        <v/>
      </c>
      <c r="E18" s="8">
        <f>'По осям'!AP21*'По осям'!AQ21</f>
        <v/>
      </c>
      <c r="F18" s="8">
        <f>'По осям'!AJ67*'По осям'!AK67</f>
        <v/>
      </c>
      <c r="G18" s="8">
        <f>'По осям'!AM67*'По осям'!AN67</f>
        <v/>
      </c>
      <c r="H18" s="8">
        <f>'По осям'!AP67*'По осям'!AQ67</f>
        <v/>
      </c>
      <c r="I18" s="8">
        <f>'По осям'!AJ113*'По осям'!AK113</f>
        <v/>
      </c>
      <c r="J18" s="8">
        <f>'По осям'!AM113*'По осям'!AN113</f>
        <v/>
      </c>
      <c r="K18" s="8">
        <f>'По осям'!AP113*'По осям'!AQ113</f>
        <v/>
      </c>
      <c r="L18" s="9">
        <f>SUM(C18:K18)</f>
        <v/>
      </c>
      <c r="M18" s="10">
        <f>L18*Исходные!$B$14</f>
        <v/>
      </c>
      <c r="N18" s="11">
        <f>'Раскрой 11,7м'!D679</f>
        <v/>
      </c>
      <c r="O18" s="8">
        <f>'Раскрой 11,7м'!E679</f>
        <v/>
      </c>
      <c r="P18" s="12">
        <f>'Раскрой 11,7м'!H679</f>
        <v/>
      </c>
    </row>
    <row r="19">
      <c r="A19" s="6" t="inlineStr">
        <is>
          <t>Диаметр 8 А240</t>
        </is>
      </c>
      <c r="B19" s="7" t="inlineStr">
        <is>
          <t>кг</t>
        </is>
      </c>
      <c r="C19" s="8">
        <f>'По осям'!AJ22*'По осям'!AK22</f>
        <v/>
      </c>
      <c r="D19" s="8">
        <f>'По осям'!AM22*'По осям'!AN22</f>
        <v/>
      </c>
      <c r="E19" s="8">
        <f>'По осям'!AP22*'По осям'!AQ22</f>
        <v/>
      </c>
      <c r="F19" s="8">
        <f>'По осям'!AJ68*'По осям'!AK68</f>
        <v/>
      </c>
      <c r="G19" s="8">
        <f>'По осям'!AM68*'По осям'!AN68</f>
        <v/>
      </c>
      <c r="H19" s="8">
        <f>'По осям'!AP68*'По осям'!AQ68</f>
        <v/>
      </c>
      <c r="I19" s="8">
        <f>'По осям'!AJ114*'По осям'!AK114</f>
        <v/>
      </c>
      <c r="J19" s="8">
        <f>'По осям'!AM114*'По осям'!AN114</f>
        <v/>
      </c>
      <c r="K19" s="8">
        <f>'По осям'!AP114*'По осям'!AQ114</f>
        <v/>
      </c>
      <c r="L19" s="9">
        <f>SUM(C19:K19)</f>
        <v/>
      </c>
      <c r="M19" s="10">
        <f>L19*Исходные!$B$14</f>
        <v/>
      </c>
      <c r="N19" s="11">
        <f>'Раскрой 11,7м'!D680</f>
        <v/>
      </c>
      <c r="O19" s="8">
        <f>'Раскрой 11,7м'!E680</f>
        <v/>
      </c>
      <c r="P19" s="12">
        <f>'Раскрой 11,7м'!H680</f>
        <v/>
      </c>
    </row>
    <row r="20">
      <c r="A20" s="6" t="inlineStr">
        <is>
          <t>Диаметр 6 А240</t>
        </is>
      </c>
      <c r="B20" s="7" t="inlineStr">
        <is>
          <t>кг</t>
        </is>
      </c>
      <c r="C20" s="8">
        <f>'По осям'!AJ23*'По осям'!AK23</f>
        <v/>
      </c>
      <c r="D20" s="8">
        <f>'По осям'!AM23*'По осям'!AN23</f>
        <v/>
      </c>
      <c r="E20" s="8">
        <f>'По осям'!AP23*'По осям'!AQ23</f>
        <v/>
      </c>
      <c r="F20" s="8">
        <f>'По осям'!AJ69*'По осям'!AK69</f>
        <v/>
      </c>
      <c r="G20" s="8">
        <f>'По осям'!AM69*'По осям'!AN69</f>
        <v/>
      </c>
      <c r="H20" s="8">
        <f>'По осям'!AP69*'По осям'!AQ69</f>
        <v/>
      </c>
      <c r="I20" s="8">
        <f>'По осям'!AJ115*'По осям'!AK115</f>
        <v/>
      </c>
      <c r="J20" s="8">
        <f>'По осям'!AM115*'По осям'!AN115</f>
        <v/>
      </c>
      <c r="K20" s="8">
        <f>'По осям'!AP115*'По осям'!AQ115</f>
        <v/>
      </c>
      <c r="L20" s="9">
        <f>SUM(C20:K20)</f>
        <v/>
      </c>
      <c r="M20" s="10">
        <f>L20*Исходные!$B$14</f>
        <v/>
      </c>
      <c r="N20" s="11">
        <f>'Раскрой 11,7м'!D681</f>
        <v/>
      </c>
      <c r="O20" s="8">
        <f>'Раскрой 11,7м'!E681</f>
        <v/>
      </c>
      <c r="P20" s="12">
        <f>'Раскрой 11,7м'!H681</f>
        <v/>
      </c>
    </row>
    <row r="21">
      <c r="A21" s="6" t="inlineStr">
        <is>
          <t>Сетка Ø5 Вр-I 100×100 (лестница)</t>
        </is>
      </c>
      <c r="B21" s="7" t="inlineStr">
        <is>
          <t>кг</t>
        </is>
      </c>
      <c r="C21" s="8">
        <f>'По осям'!AJ24*'По осям'!AK24</f>
        <v/>
      </c>
      <c r="D21" s="8">
        <f>'По осям'!AM24*'По осям'!AN24</f>
        <v/>
      </c>
      <c r="E21" s="8">
        <f>'По осям'!AP24*'По осям'!AQ24</f>
        <v/>
      </c>
      <c r="F21" s="8">
        <f>'По осям'!AJ70*'По осям'!AK70</f>
        <v/>
      </c>
      <c r="G21" s="8">
        <f>'По осям'!AM70*'По осям'!AN70</f>
        <v/>
      </c>
      <c r="H21" s="8">
        <f>'По осям'!AP70*'По осям'!AQ70</f>
        <v/>
      </c>
      <c r="I21" s="8">
        <f>'По осям'!AJ116*'По осям'!AK116</f>
        <v/>
      </c>
      <c r="J21" s="8">
        <f>'По осям'!AM116*'По осям'!AN116</f>
        <v/>
      </c>
      <c r="K21" s="8">
        <f>'По осям'!AP116*'По осям'!AQ116</f>
        <v/>
      </c>
      <c r="L21" s="9">
        <f>SUM(C21:K21)</f>
        <v/>
      </c>
      <c r="M21" s="10">
        <f>L21*Исходные!$B$14</f>
        <v/>
      </c>
      <c r="N21" s="11">
        <f>'Раскрой 11,7м'!D682</f>
        <v/>
      </c>
      <c r="O21" s="8">
        <f>'Раскрой 11,7м'!E682</f>
        <v/>
      </c>
      <c r="P21" s="12">
        <f>'Раскрой 11,7м'!H682</f>
        <v/>
      </c>
    </row>
    <row r="22">
      <c r="A22" s="13" t="inlineStr">
        <is>
          <t>Итого:</t>
        </is>
      </c>
      <c r="B22" s="14" t="inlineStr">
        <is>
          <t>кг</t>
        </is>
      </c>
      <c r="C22" s="9">
        <f>SUM(C5:C21)</f>
        <v/>
      </c>
      <c r="D22" s="9">
        <f>SUM(D5:D21)</f>
        <v/>
      </c>
      <c r="E22" s="9">
        <f>SUM(E5:E21)</f>
        <v/>
      </c>
      <c r="F22" s="9">
        <f>SUM(F5:F21)</f>
        <v/>
      </c>
      <c r="G22" s="9">
        <f>SUM(G5:G21)</f>
        <v/>
      </c>
      <c r="H22" s="9">
        <f>SUM(H5:H21)</f>
        <v/>
      </c>
      <c r="I22" s="9">
        <f>SUM(I5:I21)</f>
        <v/>
      </c>
      <c r="J22" s="9">
        <f>SUM(J5:J21)</f>
        <v/>
      </c>
      <c r="K22" s="9">
        <f>SUM(K5:K21)</f>
        <v/>
      </c>
      <c r="L22" s="9">
        <f>SUM(L5:L21)</f>
        <v/>
      </c>
      <c r="M22" s="9">
        <f>SUM(M5:M21)</f>
        <v/>
      </c>
      <c r="N22" s="15">
        <f>SUM(N5:N21)</f>
        <v/>
      </c>
      <c r="O22" s="9">
        <f>SUM(O5:O21)</f>
        <v/>
      </c>
      <c r="P22" s="12">
        <f>'Раскрой 11,7м'!H683</f>
        <v/>
      </c>
    </row>
    <row r="23">
      <c r="A23" s="13" t="inlineStr">
        <is>
          <t>Итого:</t>
        </is>
      </c>
      <c r="B23" s="14" t="inlineStr">
        <is>
          <t>т</t>
        </is>
      </c>
      <c r="C23" s="16">
        <f>C22/1000</f>
        <v/>
      </c>
      <c r="D23" s="16">
        <f>D22/1000</f>
        <v/>
      </c>
      <c r="E23" s="16">
        <f>E22/1000</f>
        <v/>
      </c>
      <c r="F23" s="16">
        <f>F22/1000</f>
        <v/>
      </c>
      <c r="G23" s="16">
        <f>G22/1000</f>
        <v/>
      </c>
      <c r="H23" s="16">
        <f>H22/1000</f>
        <v/>
      </c>
      <c r="I23" s="16">
        <f>I22/1000</f>
        <v/>
      </c>
      <c r="J23" s="16">
        <f>J22/1000</f>
        <v/>
      </c>
      <c r="K23" s="16">
        <f>K22/1000</f>
        <v/>
      </c>
      <c r="L23" s="16">
        <f>L22/1000</f>
        <v/>
      </c>
      <c r="M23" s="16">
        <f>M22/1000</f>
        <v/>
      </c>
      <c r="O23" s="16">
        <f>O22/1000</f>
        <v/>
      </c>
    </row>
    <row r="24">
      <c r="A24" s="17" t="inlineStr">
        <is>
          <t>Итого по этажу, кг</t>
        </is>
      </c>
      <c r="B24" s="18" t="inlineStr">
        <is>
          <t>кг</t>
        </is>
      </c>
      <c r="C24" s="19">
        <f>SUM(C22:E22)</f>
        <v/>
      </c>
      <c r="D24" s="20" t="n"/>
      <c r="E24" s="20" t="n"/>
      <c r="F24" s="19">
        <f>SUM(F22:H22)</f>
        <v/>
      </c>
      <c r="G24" s="20" t="n"/>
      <c r="H24" s="20" t="n"/>
      <c r="I24" s="19">
        <f>SUM(I22:K22)</f>
        <v/>
      </c>
      <c r="J24" s="20" t="n"/>
      <c r="K24" s="20" t="n"/>
      <c r="L24" s="19">
        <f>L22</f>
        <v/>
      </c>
    </row>
    <row r="25">
      <c r="A25" s="21" t="inlineStr">
        <is>
          <t>Контроль: = «Ведомость» и «По осям»</t>
        </is>
      </c>
      <c r="L25" s="22">
        <f>ROUND(L22-Ведомость!P1274,1)+ROUND(L22-'По осям'!AI25-'По осям'!AI71-'По осям'!AI117,1)</f>
        <v/>
      </c>
      <c r="M25" s="23" t="inlineStr">
        <is>
          <t>← должно быть 0</t>
        </is>
      </c>
    </row>
    <row r="27">
      <c r="A27" s="4" t="inlineStr">
        <is>
          <t>Бетон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</row>
    <row r="28">
      <c r="A28" s="5" t="inlineStr">
        <is>
          <t>Марка</t>
        </is>
      </c>
      <c r="B28" s="5" t="inlineStr">
        <is>
          <t>Ед. изм.</t>
        </is>
      </c>
      <c r="C28" s="5" t="inlineStr">
        <is>
          <t>1 этаж (-0.050…+3.950)</t>
        </is>
      </c>
      <c r="D28" s="5" t="n"/>
      <c r="E28" s="5" t="n"/>
      <c r="F28" s="5" t="inlineStr">
        <is>
          <t>2 этаж (+3.950…+7.550)</t>
        </is>
      </c>
      <c r="G28" s="5" t="n"/>
      <c r="H28" s="5" t="n"/>
      <c r="I28" s="5" t="inlineStr">
        <is>
          <t>3 этаж (+7.550…+11.150)</t>
        </is>
      </c>
      <c r="J28" s="5" t="n"/>
      <c r="K28" s="5" t="n"/>
      <c r="L28" s="5" t="inlineStr">
        <is>
          <t>Итого 1–3 этаж</t>
        </is>
      </c>
    </row>
    <row r="29" ht="48" customHeight="1">
      <c r="A29" s="5" t="n"/>
      <c r="B29" s="5" t="n"/>
      <c r="C29" s="5" t="inlineStr">
        <is>
          <t>Колонны, диафрагмы</t>
        </is>
      </c>
      <c r="D29" s="5" t="inlineStr">
        <is>
          <t>Плита перекрытия, балки, ригели, С-1</t>
        </is>
      </c>
      <c r="E29" s="5" t="inlineStr">
        <is>
          <t>Лестницы и лест. рамы</t>
        </is>
      </c>
      <c r="F29" s="5" t="inlineStr">
        <is>
          <t>Колонны, диафрагмы</t>
        </is>
      </c>
      <c r="G29" s="5" t="inlineStr">
        <is>
          <t>Плита перекрытия, балки, ригели, С-1</t>
        </is>
      </c>
      <c r="H29" s="5" t="inlineStr">
        <is>
          <t>Лестницы и лест. рамы</t>
        </is>
      </c>
      <c r="I29" s="5" t="inlineStr">
        <is>
          <t>Колонны, диафрагмы</t>
        </is>
      </c>
      <c r="J29" s="5" t="inlineStr">
        <is>
          <t>Плита перекрытия, балки, ригели, С-1</t>
        </is>
      </c>
      <c r="K29" s="5" t="inlineStr">
        <is>
          <t>Лестницы и лест. рамы</t>
        </is>
      </c>
      <c r="L29" s="5" t="n"/>
    </row>
    <row r="30">
      <c r="A30" s="6" t="inlineStr">
        <is>
          <t>В25</t>
        </is>
      </c>
      <c r="B30" s="7" t="inlineStr">
        <is>
          <t>м3</t>
        </is>
      </c>
      <c r="C30" s="24">
        <f>'По осям'!AL31</f>
        <v/>
      </c>
      <c r="D30" s="24">
        <f>'По осям'!AO31</f>
        <v/>
      </c>
      <c r="E30" s="24">
        <f>'По осям'!AR31</f>
        <v/>
      </c>
      <c r="F30" s="24">
        <f>'По осям'!AL77</f>
        <v/>
      </c>
      <c r="G30" s="24">
        <f>'По осям'!AO77</f>
        <v/>
      </c>
      <c r="H30" s="24">
        <f>'По осям'!AR77</f>
        <v/>
      </c>
      <c r="I30" s="24">
        <f>'По осям'!AL123</f>
        <v/>
      </c>
      <c r="J30" s="24">
        <f>'По осям'!AO123</f>
        <v/>
      </c>
      <c r="K30" s="24">
        <f>'По осям'!AR123</f>
        <v/>
      </c>
      <c r="L30" s="25">
        <f>SUM(C30:K30)</f>
        <v/>
      </c>
    </row>
    <row r="32">
      <c r="A32" s="4" t="inlineStr">
        <is>
          <t>Прочие материалы</t>
        </is>
      </c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</row>
    <row r="33">
      <c r="A33" s="5" t="inlineStr">
        <is>
          <t>Наименование</t>
        </is>
      </c>
      <c r="B33" s="5" t="inlineStr">
        <is>
          <t>Ед. изм.</t>
        </is>
      </c>
      <c r="C33" s="5" t="inlineStr">
        <is>
          <t>1 этаж (-0.050…+3.950)</t>
        </is>
      </c>
      <c r="D33" s="5" t="n"/>
      <c r="E33" s="5" t="n"/>
      <c r="F33" s="5" t="inlineStr">
        <is>
          <t>2 этаж (+3.950…+7.550)</t>
        </is>
      </c>
      <c r="G33" s="5" t="n"/>
      <c r="H33" s="5" t="n"/>
      <c r="I33" s="5" t="inlineStr">
        <is>
          <t>3 этаж (+7.550…+11.150)</t>
        </is>
      </c>
      <c r="J33" s="5" t="n"/>
      <c r="K33" s="5" t="n"/>
      <c r="L33" s="5" t="inlineStr">
        <is>
          <t>Итого 1–3 этаж</t>
        </is>
      </c>
    </row>
    <row r="34" ht="48" customHeight="1">
      <c r="A34" s="5" t="n"/>
      <c r="B34" s="5" t="n"/>
      <c r="C34" s="5" t="inlineStr">
        <is>
          <t>Колонны, диафрагмы</t>
        </is>
      </c>
      <c r="D34" s="5" t="inlineStr">
        <is>
          <t>Плита перекрытия, балки, ригели, С-1</t>
        </is>
      </c>
      <c r="E34" s="5" t="inlineStr">
        <is>
          <t>Лестницы и лест. рамы</t>
        </is>
      </c>
      <c r="F34" s="5" t="inlineStr">
        <is>
          <t>Колонны, диафрагмы</t>
        </is>
      </c>
      <c r="G34" s="5" t="inlineStr">
        <is>
          <t>Плита перекрытия, балки, ригели, С-1</t>
        </is>
      </c>
      <c r="H34" s="5" t="inlineStr">
        <is>
          <t>Лестницы и лест. рамы</t>
        </is>
      </c>
      <c r="I34" s="5" t="inlineStr">
        <is>
          <t>Колонны, диафрагмы</t>
        </is>
      </c>
      <c r="J34" s="5" t="inlineStr">
        <is>
          <t>Плита перекрытия, балки, ригели, С-1</t>
        </is>
      </c>
      <c r="K34" s="5" t="inlineStr">
        <is>
          <t>Лестницы и лест. рамы</t>
        </is>
      </c>
      <c r="L34" s="5" t="n"/>
    </row>
    <row r="35">
      <c r="A35" s="6" t="inlineStr">
        <is>
          <t>Анкерная шайба АШ-1 (14)</t>
        </is>
      </c>
      <c r="B35" s="7" t="inlineStr">
        <is>
          <t>шт.</t>
        </is>
      </c>
      <c r="C35" s="26">
        <f>'По осям'!AJ35</f>
        <v/>
      </c>
      <c r="D35" s="26">
        <f>'По осям'!AM35</f>
        <v/>
      </c>
      <c r="E35" s="26">
        <f>'По осям'!AP35</f>
        <v/>
      </c>
      <c r="F35" s="26">
        <f>'По осям'!AJ81</f>
        <v/>
      </c>
      <c r="G35" s="26">
        <f>'По осям'!AM81</f>
        <v/>
      </c>
      <c r="H35" s="26">
        <f>'По осям'!AP81</f>
        <v/>
      </c>
      <c r="I35" s="26">
        <f>'По осям'!AJ127</f>
        <v/>
      </c>
      <c r="J35" s="26">
        <f>'По осям'!AM127</f>
        <v/>
      </c>
      <c r="K35" s="26">
        <f>'По осям'!AP127</f>
        <v/>
      </c>
      <c r="L35" s="27">
        <f>SUM(C35:K35)</f>
        <v/>
      </c>
    </row>
    <row r="36">
      <c r="A36" s="6" t="inlineStr">
        <is>
          <t>Анкерная шайба АШ-2 (16)</t>
        </is>
      </c>
      <c r="B36" s="7" t="inlineStr">
        <is>
          <t>шт.</t>
        </is>
      </c>
      <c r="C36" s="26">
        <f>'По осям'!AJ36</f>
        <v/>
      </c>
      <c r="D36" s="26">
        <f>'По осям'!AM36</f>
        <v/>
      </c>
      <c r="E36" s="26">
        <f>'По осям'!AP36</f>
        <v/>
      </c>
      <c r="F36" s="26">
        <f>'По осям'!AJ82</f>
        <v/>
      </c>
      <c r="G36" s="26">
        <f>'По осям'!AM82</f>
        <v/>
      </c>
      <c r="H36" s="26">
        <f>'По осям'!AP82</f>
        <v/>
      </c>
      <c r="I36" s="26">
        <f>'По осям'!AJ128</f>
        <v/>
      </c>
      <c r="J36" s="26">
        <f>'По осям'!AM128</f>
        <v/>
      </c>
      <c r="K36" s="26">
        <f>'По осям'!AP128</f>
        <v/>
      </c>
      <c r="L36" s="27">
        <f>SUM(C36:K36)</f>
        <v/>
      </c>
    </row>
    <row r="37">
      <c r="A37" s="6" t="inlineStr">
        <is>
          <t>Анкерная шайба АШ-3 (18)</t>
        </is>
      </c>
      <c r="B37" s="7" t="inlineStr">
        <is>
          <t>шт.</t>
        </is>
      </c>
      <c r="C37" s="26">
        <f>'По осям'!AJ37</f>
        <v/>
      </c>
      <c r="D37" s="26">
        <f>'По осям'!AM37</f>
        <v/>
      </c>
      <c r="E37" s="26">
        <f>'По осям'!AP37</f>
        <v/>
      </c>
      <c r="F37" s="26">
        <f>'По осям'!AJ83</f>
        <v/>
      </c>
      <c r="G37" s="26">
        <f>'По осям'!AM83</f>
        <v/>
      </c>
      <c r="H37" s="26">
        <f>'По осям'!AP83</f>
        <v/>
      </c>
      <c r="I37" s="26">
        <f>'По осям'!AJ129</f>
        <v/>
      </c>
      <c r="J37" s="26">
        <f>'По осям'!AM129</f>
        <v/>
      </c>
      <c r="K37" s="26">
        <f>'По осям'!AP129</f>
        <v/>
      </c>
      <c r="L37" s="27">
        <f>SUM(C37:K37)</f>
        <v/>
      </c>
    </row>
    <row r="38">
      <c r="A38" s="6" t="inlineStr">
        <is>
          <t>Анкерная шайба АШ-4 (20)</t>
        </is>
      </c>
      <c r="B38" s="7" t="inlineStr">
        <is>
          <t>шт.</t>
        </is>
      </c>
      <c r="C38" s="26">
        <f>'По осям'!AJ38</f>
        <v/>
      </c>
      <c r="D38" s="26">
        <f>'По осям'!AM38</f>
        <v/>
      </c>
      <c r="E38" s="26">
        <f>'По осям'!AP38</f>
        <v/>
      </c>
      <c r="F38" s="26">
        <f>'По осям'!AJ84</f>
        <v/>
      </c>
      <c r="G38" s="26">
        <f>'По осям'!AM84</f>
        <v/>
      </c>
      <c r="H38" s="26">
        <f>'По осям'!AP84</f>
        <v/>
      </c>
      <c r="I38" s="26">
        <f>'По осям'!AJ130</f>
        <v/>
      </c>
      <c r="J38" s="26">
        <f>'По осям'!AM130</f>
        <v/>
      </c>
      <c r="K38" s="26">
        <f>'По осям'!AP130</f>
        <v/>
      </c>
      <c r="L38" s="27">
        <f>SUM(C38:K38)</f>
        <v/>
      </c>
    </row>
    <row r="39">
      <c r="A39" s="6" t="inlineStr">
        <is>
          <t>Анкерная шайба АШ-5 (22)</t>
        </is>
      </c>
      <c r="B39" s="7" t="inlineStr">
        <is>
          <t>шт.</t>
        </is>
      </c>
      <c r="C39" s="26">
        <f>'По осям'!AJ39</f>
        <v/>
      </c>
      <c r="D39" s="26">
        <f>'По осям'!AM39</f>
        <v/>
      </c>
      <c r="E39" s="26">
        <f>'По осям'!AP39</f>
        <v/>
      </c>
      <c r="F39" s="26">
        <f>'По осям'!AJ85</f>
        <v/>
      </c>
      <c r="G39" s="26">
        <f>'По осям'!AM85</f>
        <v/>
      </c>
      <c r="H39" s="26">
        <f>'По осям'!AP85</f>
        <v/>
      </c>
      <c r="I39" s="26">
        <f>'По осям'!AJ131</f>
        <v/>
      </c>
      <c r="J39" s="26">
        <f>'По осям'!AM131</f>
        <v/>
      </c>
      <c r="K39" s="26">
        <f>'По осям'!AP131</f>
        <v/>
      </c>
      <c r="L39" s="27">
        <f>SUM(C39:K39)</f>
        <v/>
      </c>
    </row>
    <row r="40">
      <c r="A40" s="6" t="inlineStr">
        <is>
          <t>Анкерная шайба АШ-6 (25)</t>
        </is>
      </c>
      <c r="B40" s="7" t="inlineStr">
        <is>
          <t>шт.</t>
        </is>
      </c>
      <c r="C40" s="26">
        <f>'По осям'!AJ40</f>
        <v/>
      </c>
      <c r="D40" s="26">
        <f>'По осям'!AM40</f>
        <v/>
      </c>
      <c r="E40" s="26">
        <f>'По осям'!AP40</f>
        <v/>
      </c>
      <c r="F40" s="26">
        <f>'По осям'!AJ86</f>
        <v/>
      </c>
      <c r="G40" s="26">
        <f>'По осям'!AM86</f>
        <v/>
      </c>
      <c r="H40" s="26">
        <f>'По осям'!AP86</f>
        <v/>
      </c>
      <c r="I40" s="26">
        <f>'По осям'!AJ132</f>
        <v/>
      </c>
      <c r="J40" s="26">
        <f>'По осям'!AM132</f>
        <v/>
      </c>
      <c r="K40" s="26">
        <f>'По осям'!AP132</f>
        <v/>
      </c>
      <c r="L40" s="27">
        <f>SUM(C40:K40)</f>
        <v/>
      </c>
    </row>
    <row r="41">
      <c r="A41" s="6" t="inlineStr">
        <is>
          <t>Анкерная шайба АШ-7 (28)</t>
        </is>
      </c>
      <c r="B41" s="7" t="inlineStr">
        <is>
          <t>шт.</t>
        </is>
      </c>
      <c r="C41" s="26">
        <f>'По осям'!AJ41</f>
        <v/>
      </c>
      <c r="D41" s="26">
        <f>'По осям'!AM41</f>
        <v/>
      </c>
      <c r="E41" s="26">
        <f>'По осям'!AP41</f>
        <v/>
      </c>
      <c r="F41" s="26">
        <f>'По осям'!AJ87</f>
        <v/>
      </c>
      <c r="G41" s="26">
        <f>'По осям'!AM87</f>
        <v/>
      </c>
      <c r="H41" s="26">
        <f>'По осям'!AP87</f>
        <v/>
      </c>
      <c r="I41" s="26">
        <f>'По осям'!AJ133</f>
        <v/>
      </c>
      <c r="J41" s="26">
        <f>'По осям'!AM133</f>
        <v/>
      </c>
      <c r="K41" s="26">
        <f>'По осям'!AP133</f>
        <v/>
      </c>
      <c r="L41" s="27">
        <f>SUM(C41:K41)</f>
        <v/>
      </c>
    </row>
    <row r="42">
      <c r="A42" s="6" t="inlineStr">
        <is>
          <t>Анкерная шайба АШ-8 (32)</t>
        </is>
      </c>
      <c r="B42" s="7" t="inlineStr">
        <is>
          <t>шт.</t>
        </is>
      </c>
      <c r="C42" s="26">
        <f>'По осям'!AJ42</f>
        <v/>
      </c>
      <c r="D42" s="26">
        <f>'По осям'!AM42</f>
        <v/>
      </c>
      <c r="E42" s="26">
        <f>'По осям'!AP42</f>
        <v/>
      </c>
      <c r="F42" s="26">
        <f>'По осям'!AJ88</f>
        <v/>
      </c>
      <c r="G42" s="26">
        <f>'По осям'!AM88</f>
        <v/>
      </c>
      <c r="H42" s="26">
        <f>'По осям'!AP88</f>
        <v/>
      </c>
      <c r="I42" s="26">
        <f>'По осям'!AJ134</f>
        <v/>
      </c>
      <c r="J42" s="26">
        <f>'По осям'!AM134</f>
        <v/>
      </c>
      <c r="K42" s="26">
        <f>'По осям'!AP134</f>
        <v/>
      </c>
      <c r="L42" s="27">
        <f>SUM(C42:K42)</f>
        <v/>
      </c>
    </row>
    <row r="43">
      <c r="A43" s="6" t="inlineStr">
        <is>
          <t>Ванночка d32 (стыков ванной сваркой)</t>
        </is>
      </c>
      <c r="B43" s="7" t="inlineStr">
        <is>
          <t>шт.</t>
        </is>
      </c>
      <c r="C43" s="26">
        <f>'По осям'!AJ43</f>
        <v/>
      </c>
      <c r="D43" s="26">
        <f>'По осям'!AM43</f>
        <v/>
      </c>
      <c r="E43" s="26">
        <f>'По осям'!AP43</f>
        <v/>
      </c>
      <c r="F43" s="26">
        <f>'По осям'!AJ89</f>
        <v/>
      </c>
      <c r="G43" s="26">
        <f>'По осям'!AM89</f>
        <v/>
      </c>
      <c r="H43" s="26">
        <f>'По осям'!AP89</f>
        <v/>
      </c>
      <c r="I43" s="26">
        <f>'По осям'!AJ135</f>
        <v/>
      </c>
      <c r="J43" s="26">
        <f>'По осям'!AM135</f>
        <v/>
      </c>
      <c r="K43" s="26">
        <f>'По осям'!AP135</f>
        <v/>
      </c>
      <c r="L43" s="27">
        <f>SUM(C43:K43)</f>
        <v/>
      </c>
    </row>
    <row r="44">
      <c r="A44" s="6" t="inlineStr">
        <is>
          <t>Ванночка d28 (стыков ванной сваркой)</t>
        </is>
      </c>
      <c r="B44" s="7" t="inlineStr">
        <is>
          <t>шт.</t>
        </is>
      </c>
      <c r="C44" s="26">
        <f>'По осям'!AJ44</f>
        <v/>
      </c>
      <c r="D44" s="26">
        <f>'По осям'!AM44</f>
        <v/>
      </c>
      <c r="E44" s="26">
        <f>'По осям'!AP44</f>
        <v/>
      </c>
      <c r="F44" s="26">
        <f>'По осям'!AJ90</f>
        <v/>
      </c>
      <c r="G44" s="26">
        <f>'По осям'!AM90</f>
        <v/>
      </c>
      <c r="H44" s="26">
        <f>'По осям'!AP90</f>
        <v/>
      </c>
      <c r="I44" s="26">
        <f>'По осям'!AJ136</f>
        <v/>
      </c>
      <c r="J44" s="26">
        <f>'По осям'!AM136</f>
        <v/>
      </c>
      <c r="K44" s="26">
        <f>'По осям'!AP136</f>
        <v/>
      </c>
      <c r="L44" s="27">
        <f>SUM(C44:K44)</f>
        <v/>
      </c>
    </row>
    <row r="45">
      <c r="A45" s="6" t="inlineStr">
        <is>
          <t>Ванночка d25 (стыков ванной сваркой)</t>
        </is>
      </c>
      <c r="B45" s="7" t="inlineStr">
        <is>
          <t>шт.</t>
        </is>
      </c>
      <c r="C45" s="26">
        <f>'По осям'!AJ45</f>
        <v/>
      </c>
      <c r="D45" s="26">
        <f>'По осям'!AM45</f>
        <v/>
      </c>
      <c r="E45" s="26">
        <f>'По осям'!AP45</f>
        <v/>
      </c>
      <c r="F45" s="26">
        <f>'По осям'!AJ91</f>
        <v/>
      </c>
      <c r="G45" s="26">
        <f>'По осям'!AM91</f>
        <v/>
      </c>
      <c r="H45" s="26">
        <f>'По осям'!AP91</f>
        <v/>
      </c>
      <c r="I45" s="26">
        <f>'По осям'!AJ137</f>
        <v/>
      </c>
      <c r="J45" s="26">
        <f>'По осям'!AM137</f>
        <v/>
      </c>
      <c r="K45" s="26">
        <f>'По осям'!AP137</f>
        <v/>
      </c>
      <c r="L45" s="27">
        <f>SUM(C45:K45)</f>
        <v/>
      </c>
    </row>
    <row r="46">
      <c r="A46" s="6" t="inlineStr">
        <is>
          <t>Ванночка d22 (стыков ванной сваркой)</t>
        </is>
      </c>
      <c r="B46" s="7" t="inlineStr">
        <is>
          <t>шт.</t>
        </is>
      </c>
      <c r="C46" s="26">
        <f>'По осям'!AJ46</f>
        <v/>
      </c>
      <c r="D46" s="26">
        <f>'По осям'!AM46</f>
        <v/>
      </c>
      <c r="E46" s="26">
        <f>'По осям'!AP46</f>
        <v/>
      </c>
      <c r="F46" s="26">
        <f>'По осям'!AJ92</f>
        <v/>
      </c>
      <c r="G46" s="26">
        <f>'По осям'!AM92</f>
        <v/>
      </c>
      <c r="H46" s="26">
        <f>'По осям'!AP92</f>
        <v/>
      </c>
      <c r="I46" s="26">
        <f>'По осям'!AJ138</f>
        <v/>
      </c>
      <c r="J46" s="26">
        <f>'По осям'!AM138</f>
        <v/>
      </c>
      <c r="K46" s="26">
        <f>'По осям'!AP138</f>
        <v/>
      </c>
      <c r="L46" s="27">
        <f>SUM(C46:K46)</f>
        <v/>
      </c>
    </row>
    <row r="47">
      <c r="A47" s="6" t="inlineStr">
        <is>
          <t>Ванночка d20 (стыков ванной сваркой)</t>
        </is>
      </c>
      <c r="B47" s="7" t="inlineStr">
        <is>
          <t>шт.</t>
        </is>
      </c>
      <c r="C47" s="26">
        <f>'По осям'!AJ47</f>
        <v/>
      </c>
      <c r="D47" s="26">
        <f>'По осям'!AM47</f>
        <v/>
      </c>
      <c r="E47" s="26">
        <f>'По осям'!AP47</f>
        <v/>
      </c>
      <c r="F47" s="26">
        <f>'По осям'!AJ93</f>
        <v/>
      </c>
      <c r="G47" s="26">
        <f>'По осям'!AM93</f>
        <v/>
      </c>
      <c r="H47" s="26">
        <f>'По осям'!AP93</f>
        <v/>
      </c>
      <c r="I47" s="26">
        <f>'По осям'!AJ139</f>
        <v/>
      </c>
      <c r="J47" s="26">
        <f>'По осям'!AM139</f>
        <v/>
      </c>
      <c r="K47" s="26">
        <f>'По осям'!AP139</f>
        <v/>
      </c>
      <c r="L47" s="27">
        <f>SUM(C47:K47)</f>
        <v/>
      </c>
    </row>
    <row r="49">
      <c r="A49" s="28" t="inlineStr">
        <is>
          <t>Примечания:</t>
        </is>
      </c>
    </row>
    <row r="50">
      <c r="A50" s="29" t="inlineStr">
        <is>
          <t>1. Колонки этажей — чистая проектная масса (с нахлёстами, где они нужны), без запаса. «Итого × К зап» — с коэффициентом из листа «Исходные» (1,07, как в вашем шаблоне).</t>
        </is>
      </c>
    </row>
    <row r="51">
      <c r="A51" s="29" t="inlineStr">
        <is>
          <t>2. Заказ — по фактическому раскрою под прутки 11,7 м поэтажно (лист «Раскрой 11,7м»); при совместном заказе этажей прутков меньше (там же, колонка «Справочно»).</t>
        </is>
      </c>
    </row>
    <row r="52">
      <c r="A52" s="29" t="inlineStr">
        <is>
          <t>3. Сетки-гребёнки С-1 отнесены к «плите, балкам, ригелям». Лестница: 1 этаж — марши 1, 2, площадка 1.920, Лрм-1; 2 этаж — марши 3, 4, площадка 5.800, Лрм-2; 3 этаж — марши 5, 6, площадка 9.400, Лрм-2.</t>
        </is>
      </c>
    </row>
    <row r="53">
      <c r="A53" s="29" t="inlineStr">
        <is>
          <t>4. Сомнительные места и принятые допущения — лист «Проверки».</t>
        </is>
      </c>
    </row>
  </sheetData>
  <mergeCells count="23">
    <mergeCell ref="I28:K28"/>
    <mergeCell ref="F33:H33"/>
    <mergeCell ref="L3:L4"/>
    <mergeCell ref="B3:B4"/>
    <mergeCell ref="L28:L29"/>
    <mergeCell ref="I3:K3"/>
    <mergeCell ref="I33:K33"/>
    <mergeCell ref="I24:K24"/>
    <mergeCell ref="F28:H28"/>
    <mergeCell ref="A3:A4"/>
    <mergeCell ref="L33:L34"/>
    <mergeCell ref="M3:M4"/>
    <mergeCell ref="B28:B29"/>
    <mergeCell ref="C28:E28"/>
    <mergeCell ref="A33:A34"/>
    <mergeCell ref="B33:B34"/>
    <mergeCell ref="C3:E3"/>
    <mergeCell ref="C24:E24"/>
    <mergeCell ref="C33:E33"/>
    <mergeCell ref="A28:A29"/>
    <mergeCell ref="F3:H3"/>
    <mergeCell ref="N3:P3"/>
    <mergeCell ref="F24:H24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R147"/>
  <sheetViews>
    <sheetView zoomScale="9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  <col width="10.5" customWidth="1" min="17" max="17"/>
    <col width="10.5" customWidth="1" min="18" max="18"/>
    <col width="10.5" customWidth="1" min="19" max="19"/>
    <col width="10.5" customWidth="1" min="20" max="20"/>
    <col width="10.5" customWidth="1" min="21" max="21"/>
    <col width="10.5" customWidth="1" min="22" max="22"/>
    <col width="10.5" customWidth="1" min="23" max="23"/>
    <col width="10.5" customWidth="1" min="24" max="24"/>
    <col width="10.5" customWidth="1" min="25" max="25"/>
    <col width="10.5" customWidth="1" min="26" max="26"/>
    <col width="10.5" customWidth="1" min="27" max="27"/>
    <col width="10.5" customWidth="1" min="28" max="28"/>
    <col width="10.5" customWidth="1" min="29" max="29"/>
    <col width="10.5" customWidth="1" min="30" max="30"/>
    <col width="10.5" customWidth="1" min="31" max="31"/>
    <col width="10.5" customWidth="1" min="32" max="32"/>
    <col width="9.5" customWidth="1" min="33" max="33"/>
    <col width="9.5" customWidth="1" min="34" max="34"/>
    <col width="9.5" customWidth="1" min="35" max="35"/>
    <col width="9.5" customWidth="1" min="36" max="36"/>
    <col width="9.5" customWidth="1" min="37" max="37"/>
    <col width="9.5" customWidth="1" min="38" max="38"/>
    <col width="9.5" customWidth="1" min="39" max="39"/>
    <col width="9.5" customWidth="1" min="40" max="40"/>
    <col width="9.5" customWidth="1" min="41" max="41"/>
    <col width="9.5" customWidth="1" min="42" max="42"/>
    <col width="9.5" customWidth="1" min="43" max="43"/>
    <col width="9.5" customWidth="1" min="44" max="44"/>
  </cols>
  <sheetData>
    <row r="1">
      <c r="A1" s="30" t="inlineStr">
        <is>
          <t>Блок 14, ул. Токомбаева — подсчёт арматуры по осям: 1–3 этаж (м.п. → кг)</t>
        </is>
      </c>
      <c r="AJ1" s="5" t="inlineStr">
        <is>
          <t>К зап</t>
        </is>
      </c>
      <c r="AK1" s="5" t="inlineStr">
        <is>
          <t>К зап бетон</t>
        </is>
      </c>
    </row>
    <row r="2">
      <c r="A2" s="29" t="inlineStr">
        <is>
          <t>м.п. = SUMIFS из «Ведомости» (этаж, Ø, класс, колонка); Всего = м.п. × кг/м × К зап (как в шаблоне); чистая масса без запаса — отдельной строкой</t>
        </is>
      </c>
      <c r="AJ2" s="31">
        <f>Исходные!$B$14</f>
        <v/>
      </c>
      <c r="AK2" s="31">
        <f>Исходные!$B$15</f>
        <v/>
      </c>
    </row>
    <row r="4" ht="30" customHeight="1">
      <c r="A4" s="32" t="inlineStr">
        <is>
          <t>1 ЭТАЖ</t>
        </is>
      </c>
      <c r="B4" s="32" t="inlineStr">
        <is>
          <t>Рамы</t>
        </is>
      </c>
      <c r="C4" s="33" t="n"/>
      <c r="D4" s="33" t="n"/>
      <c r="E4" s="33" t="n"/>
      <c r="F4" s="33" t="n"/>
      <c r="G4" s="33" t="n"/>
      <c r="H4" s="33" t="n"/>
      <c r="I4" s="33" t="n"/>
      <c r="J4" s="33" t="n"/>
      <c r="K4" s="33" t="n"/>
      <c r="L4" s="33" t="n"/>
      <c r="M4" s="33" t="n"/>
      <c r="N4" s="33" t="n"/>
      <c r="O4" s="33" t="n"/>
      <c r="P4" s="33" t="n"/>
      <c r="Q4" s="33" t="n"/>
      <c r="R4" s="34" t="n"/>
      <c r="S4" s="32" t="inlineStr">
        <is>
          <t>Балки</t>
        </is>
      </c>
      <c r="T4" s="33" t="n"/>
      <c r="U4" s="34" t="n"/>
      <c r="V4" s="32" t="inlineStr">
        <is>
          <t>Перекрытие</t>
        </is>
      </c>
      <c r="W4" s="33" t="n"/>
      <c r="X4" s="33" t="n"/>
      <c r="Y4" s="33" t="n"/>
      <c r="Z4" s="33" t="n"/>
      <c r="AA4" s="34" t="n"/>
      <c r="AB4" s="32" t="inlineStr">
        <is>
          <t>Сетки С-1</t>
        </is>
      </c>
      <c r="AC4" s="32" t="inlineStr">
        <is>
          <t>Лестничный марш</t>
        </is>
      </c>
      <c r="AD4" s="33" t="n"/>
      <c r="AE4" s="33" t="n"/>
      <c r="AF4" s="34" t="n"/>
      <c r="AG4" s="32" t="n"/>
      <c r="AH4" s="32" t="n"/>
      <c r="AI4" s="32" t="n"/>
      <c r="AJ4" s="32" t="inlineStr">
        <is>
          <t>Колонны, диафрагмы</t>
        </is>
      </c>
      <c r="AK4" s="33" t="n"/>
      <c r="AL4" s="34" t="n"/>
      <c r="AM4" s="32" t="inlineStr">
        <is>
          <t>Ригели, балки, плита, С-1</t>
        </is>
      </c>
      <c r="AN4" s="33" t="n"/>
      <c r="AO4" s="34" t="n"/>
      <c r="AP4" s="32" t="inlineStr">
        <is>
          <t>Лестницы</t>
        </is>
      </c>
      <c r="AQ4" s="33" t="n"/>
      <c r="AR4" s="34" t="n"/>
    </row>
    <row r="5" ht="30" customHeight="1">
      <c r="A5" s="5" t="inlineStr">
        <is>
          <t>На отметке -0.050…+3.950</t>
        </is>
      </c>
      <c r="B5" s="5" t="inlineStr">
        <is>
          <t>По оси А</t>
        </is>
      </c>
      <c r="C5" s="5" t="inlineStr">
        <is>
          <t>По оси А</t>
        </is>
      </c>
      <c r="D5" s="5" t="inlineStr">
        <is>
          <t>По оси А</t>
        </is>
      </c>
      <c r="E5" s="5" t="inlineStr">
        <is>
          <t>По оси А</t>
        </is>
      </c>
      <c r="F5" s="5" t="inlineStr">
        <is>
          <t>По оси Б</t>
        </is>
      </c>
      <c r="G5" s="5" t="inlineStr">
        <is>
          <t>По оси Б</t>
        </is>
      </c>
      <c r="H5" s="5" t="inlineStr">
        <is>
          <t>По оси В</t>
        </is>
      </c>
      <c r="I5" s="5" t="inlineStr">
        <is>
          <t>По оси В</t>
        </is>
      </c>
      <c r="J5" s="5" t="inlineStr">
        <is>
          <t>По оси Г</t>
        </is>
      </c>
      <c r="K5" s="5" t="inlineStr">
        <is>
          <t>По оси Г</t>
        </is>
      </c>
      <c r="L5" s="5" t="inlineStr">
        <is>
          <t>По оси Г</t>
        </is>
      </c>
      <c r="M5" s="5" t="inlineStr">
        <is>
          <t>По оси Г</t>
        </is>
      </c>
      <c r="N5" s="5" t="inlineStr">
        <is>
          <t>По оси Г</t>
        </is>
      </c>
      <c r="O5" s="5" t="inlineStr">
        <is>
          <t>По оси 1/5</t>
        </is>
      </c>
      <c r="P5" s="5" t="inlineStr">
        <is>
          <t>По оси 2</t>
        </is>
      </c>
      <c r="Q5" s="5" t="inlineStr">
        <is>
          <t>По оси 3</t>
        </is>
      </c>
      <c r="R5" s="5" t="inlineStr">
        <is>
          <t>По оси 4</t>
        </is>
      </c>
      <c r="S5" s="5" t="inlineStr">
        <is>
          <t>Основная</t>
        </is>
      </c>
      <c r="T5" s="5" t="inlineStr">
        <is>
          <t>Хомуты</t>
        </is>
      </c>
      <c r="U5" s="5" t="inlineStr">
        <is>
          <t>Допник</t>
        </is>
      </c>
      <c r="V5" s="5" t="inlineStr">
        <is>
          <t>Основная</t>
        </is>
      </c>
      <c r="W5" s="5" t="inlineStr">
        <is>
          <t>Хомуты</t>
        </is>
      </c>
      <c r="X5" s="5" t="inlineStr">
        <is>
          <t>Отверстия</t>
        </is>
      </c>
      <c r="Y5" s="5" t="inlineStr">
        <is>
          <t>Допник</t>
        </is>
      </c>
      <c r="Z5" s="34" t="n"/>
      <c r="AA5" s="5" t="inlineStr">
        <is>
          <t>Край</t>
        </is>
      </c>
      <c r="AB5" s="5" t="inlineStr">
        <is>
          <t>С-1</t>
        </is>
      </c>
      <c r="AC5" s="5" t="inlineStr">
        <is>
          <t>Л1</t>
        </is>
      </c>
      <c r="AD5" s="5" t="inlineStr">
        <is>
          <t>Л2</t>
        </is>
      </c>
      <c r="AE5" s="5" t="inlineStr">
        <is>
          <t>Площадка</t>
        </is>
      </c>
      <c r="AF5" s="5" t="inlineStr">
        <is>
          <t>Рама</t>
        </is>
      </c>
      <c r="AG5" s="5" t="inlineStr">
        <is>
          <t>Итого:</t>
        </is>
      </c>
      <c r="AH5" s="5" t="inlineStr">
        <is>
          <t>Масса ед. кг</t>
        </is>
      </c>
      <c r="AI5" s="5" t="inlineStr">
        <is>
          <t>Всего</t>
        </is>
      </c>
      <c r="AJ5" s="5" t="inlineStr">
        <is>
          <t>Итого:</t>
        </is>
      </c>
      <c r="AK5" s="5" t="inlineStr">
        <is>
          <t>Масса ед. кг</t>
        </is>
      </c>
      <c r="AL5" s="5" t="inlineStr">
        <is>
          <t>Всего</t>
        </is>
      </c>
      <c r="AM5" s="5" t="inlineStr">
        <is>
          <t>Итого:</t>
        </is>
      </c>
      <c r="AN5" s="5" t="inlineStr">
        <is>
          <t>Масса ед. кг</t>
        </is>
      </c>
      <c r="AO5" s="5" t="inlineStr">
        <is>
          <t>Всего</t>
        </is>
      </c>
      <c r="AP5" s="5" t="inlineStr">
        <is>
          <t>Итого:</t>
        </is>
      </c>
      <c r="AQ5" s="5" t="inlineStr">
        <is>
          <t>Масса ед. кг</t>
        </is>
      </c>
      <c r="AR5" s="5" t="inlineStr">
        <is>
          <t>Всего</t>
        </is>
      </c>
    </row>
    <row r="6" ht="30" customHeight="1">
      <c r="A6" s="5" t="inlineStr">
        <is>
          <t>(1 этаж)</t>
        </is>
      </c>
      <c r="B6" s="5" t="inlineStr">
        <is>
          <t>Дм-1</t>
        </is>
      </c>
      <c r="C6" s="5" t="inlineStr">
        <is>
          <t>Дм-2</t>
        </is>
      </c>
      <c r="D6" s="5" t="inlineStr">
        <is>
          <t>К 1-1 (3)</t>
        </is>
      </c>
      <c r="E6" s="5" t="inlineStr">
        <is>
          <t>Ригель 4-4</t>
        </is>
      </c>
      <c r="F6" s="5" t="inlineStr">
        <is>
          <t>К 1-1 (5)</t>
        </is>
      </c>
      <c r="G6" s="5" t="inlineStr">
        <is>
          <t>Ригель 4-4</t>
        </is>
      </c>
      <c r="H6" s="5" t="inlineStr">
        <is>
          <t>К 1-1 (5)</t>
        </is>
      </c>
      <c r="I6" s="5" t="inlineStr">
        <is>
          <t>Ригель 4-4</t>
        </is>
      </c>
      <c r="J6" s="5" t="inlineStr">
        <is>
          <t>К 1-1 (2)</t>
        </is>
      </c>
      <c r="K6" s="5" t="inlineStr">
        <is>
          <t>Дм-3</t>
        </is>
      </c>
      <c r="L6" s="5" t="inlineStr">
        <is>
          <t>Дм-4</t>
        </is>
      </c>
      <c r="M6" s="5" t="inlineStr">
        <is>
          <t>Дм-5</t>
        </is>
      </c>
      <c r="N6" s="5" t="inlineStr">
        <is>
          <t>Ригель 4-4</t>
        </is>
      </c>
      <c r="O6" s="5" t="inlineStr">
        <is>
          <t>Ригель 5-5 (×2)</t>
        </is>
      </c>
      <c r="P6" s="5" t="inlineStr">
        <is>
          <t>Ригель 5-5</t>
        </is>
      </c>
      <c r="Q6" s="5" t="inlineStr">
        <is>
          <t>Ригель 5-5</t>
        </is>
      </c>
      <c r="R6" s="5" t="inlineStr">
        <is>
          <t>Ригель 5-5</t>
        </is>
      </c>
      <c r="S6" s="5" t="inlineStr"/>
      <c r="T6" s="5" t="inlineStr"/>
      <c r="U6" s="5" t="inlineStr">
        <is>
          <t>Ø18 L=1200</t>
        </is>
      </c>
      <c r="V6" s="5" t="inlineStr"/>
      <c r="W6" s="5" t="inlineStr">
        <is>
          <t>Ф-1, шп.</t>
        </is>
      </c>
      <c r="X6" s="5" t="inlineStr"/>
      <c r="Y6" s="5" t="inlineStr">
        <is>
          <t>Низ</t>
        </is>
      </c>
      <c r="Z6" s="5" t="inlineStr">
        <is>
          <t>Верх</t>
        </is>
      </c>
      <c r="AA6" s="5" t="inlineStr">
        <is>
          <t>сеч.6-6</t>
        </is>
      </c>
      <c r="AB6" s="5" t="inlineStr">
        <is>
          <t>200 шт</t>
        </is>
      </c>
      <c r="AC6" s="5" t="inlineStr">
        <is>
          <t>марш 1</t>
        </is>
      </c>
      <c r="AD6" s="5" t="inlineStr">
        <is>
          <t>марш 2</t>
        </is>
      </c>
      <c r="AE6" s="5" t="inlineStr">
        <is>
          <t>отм. 1.920</t>
        </is>
      </c>
      <c r="AF6" s="5" t="inlineStr">
        <is>
          <t>Лрм-1</t>
        </is>
      </c>
      <c r="AG6" s="5" t="inlineStr">
        <is>
          <t>(м.п.)</t>
        </is>
      </c>
      <c r="AH6" s="5" t="inlineStr"/>
      <c r="AI6" s="5" t="inlineStr">
        <is>
          <t>кг</t>
        </is>
      </c>
      <c r="AJ6" s="5" t="inlineStr">
        <is>
          <t>(м.п.)</t>
        </is>
      </c>
      <c r="AK6" s="5" t="inlineStr"/>
      <c r="AL6" s="5" t="inlineStr">
        <is>
          <t>кг</t>
        </is>
      </c>
      <c r="AM6" s="5" t="inlineStr">
        <is>
          <t>(м.п.)</t>
        </is>
      </c>
      <c r="AN6" s="5" t="inlineStr"/>
      <c r="AO6" s="5" t="inlineStr">
        <is>
          <t>кг</t>
        </is>
      </c>
      <c r="AP6" s="5" t="inlineStr">
        <is>
          <t>(м.п.)</t>
        </is>
      </c>
      <c r="AQ6" s="5" t="inlineStr"/>
      <c r="AR6" s="5" t="inlineStr">
        <is>
          <t>кг</t>
        </is>
      </c>
    </row>
    <row r="7">
      <c r="A7" s="4" t="inlineStr">
        <is>
          <t>Арматура, (м.п.)</t>
        </is>
      </c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  <c r="AB7" s="4" t="n"/>
      <c r="AC7" s="4" t="n"/>
      <c r="AD7" s="4" t="n"/>
      <c r="AE7" s="4" t="n"/>
      <c r="AF7" s="4" t="n"/>
      <c r="AG7" s="4" t="n"/>
      <c r="AH7" s="4" t="n"/>
      <c r="AI7" s="4" t="n"/>
      <c r="AJ7" s="4" t="n"/>
      <c r="AK7" s="4" t="n"/>
      <c r="AL7" s="4" t="n"/>
      <c r="AM7" s="4" t="n"/>
      <c r="AN7" s="4" t="n"/>
      <c r="AO7" s="4" t="n"/>
      <c r="AP7" s="4" t="n"/>
      <c r="AQ7" s="4" t="n"/>
      <c r="AR7" s="4" t="n"/>
    </row>
    <row r="8">
      <c r="A8" s="6" t="inlineStr">
        <is>
          <t>Диаметр 32 А500С, L=м.п.</t>
        </is>
      </c>
      <c r="B8" s="35">
        <f>SUMIFS(Ведомость!$N$5:$N$1270,Ведомость!$H$5:$H$1270,32,Ведомость!$I$5:$I$1270,"А500С",Ведомость!$V$5:$V$1270,"Дм-1",Ведомость!$W$5:$W$1270,1)</f>
        <v/>
      </c>
      <c r="C8" s="35">
        <f>SUMIFS(Ведомость!$N$5:$N$1270,Ведомость!$H$5:$H$1270,32,Ведомость!$I$5:$I$1270,"А500С",Ведомость!$V$5:$V$1270,"Дм-2",Ведомость!$W$5:$W$1270,1)</f>
        <v/>
      </c>
      <c r="D8" s="35">
        <f>SUMIFS(Ведомость!$N$5:$N$1270,Ведомость!$H$5:$H$1270,32,Ведомость!$I$5:$I$1270,"А500С",Ведомость!$V$5:$V$1270,"К-А",Ведомость!$W$5:$W$1270,1)</f>
        <v/>
      </c>
      <c r="E8" s="35">
        <f>SUMIFS(Ведомость!$N$5:$N$1270,Ведомость!$H$5:$H$1270,32,Ведомость!$I$5:$I$1270,"А500С",Ведомость!$V$5:$V$1270,"Р-А",Ведомость!$W$5:$W$1270,1)</f>
        <v/>
      </c>
      <c r="F8" s="35">
        <f>SUMIFS(Ведомость!$N$5:$N$1270,Ведомость!$H$5:$H$1270,32,Ведомость!$I$5:$I$1270,"А500С",Ведомость!$V$5:$V$1270,"К-Б",Ведомость!$W$5:$W$1270,1)</f>
        <v/>
      </c>
      <c r="G8" s="35">
        <f>SUMIFS(Ведомость!$N$5:$N$1270,Ведомость!$H$5:$H$1270,32,Ведомость!$I$5:$I$1270,"А500С",Ведомость!$V$5:$V$1270,"Р-Б",Ведомость!$W$5:$W$1270,1)</f>
        <v/>
      </c>
      <c r="H8" s="35">
        <f>SUMIFS(Ведомость!$N$5:$N$1270,Ведомость!$H$5:$H$1270,32,Ведомость!$I$5:$I$1270,"А500С",Ведомость!$V$5:$V$1270,"К-В",Ведомость!$W$5:$W$1270,1)</f>
        <v/>
      </c>
      <c r="I8" s="35">
        <f>SUMIFS(Ведомость!$N$5:$N$1270,Ведомость!$H$5:$H$1270,32,Ведомость!$I$5:$I$1270,"А500С",Ведомость!$V$5:$V$1270,"Р-В",Ведомость!$W$5:$W$1270,1)</f>
        <v/>
      </c>
      <c r="J8" s="35">
        <f>SUMIFS(Ведомость!$N$5:$N$1270,Ведомость!$H$5:$H$1270,32,Ведомость!$I$5:$I$1270,"А500С",Ведомость!$V$5:$V$1270,"К-Г",Ведомость!$W$5:$W$1270,1)</f>
        <v/>
      </c>
      <c r="K8" s="35">
        <f>SUMIFS(Ведомость!$N$5:$N$1270,Ведомость!$H$5:$H$1270,32,Ведомость!$I$5:$I$1270,"А500С",Ведомость!$V$5:$V$1270,"Дм-3",Ведомость!$W$5:$W$1270,1)</f>
        <v/>
      </c>
      <c r="L8" s="35">
        <f>SUMIFS(Ведомость!$N$5:$N$1270,Ведомость!$H$5:$H$1270,32,Ведомость!$I$5:$I$1270,"А500С",Ведомость!$V$5:$V$1270,"Дм-4",Ведомость!$W$5:$W$1270,1)</f>
        <v/>
      </c>
      <c r="M8" s="35">
        <f>SUMIFS(Ведомость!$N$5:$N$1270,Ведомость!$H$5:$H$1270,32,Ведомость!$I$5:$I$1270,"А500С",Ведомость!$V$5:$V$1270,"Дм-5",Ведомость!$W$5:$W$1270,1)</f>
        <v/>
      </c>
      <c r="N8" s="35">
        <f>SUMIFS(Ведомость!$N$5:$N$1270,Ведомость!$H$5:$H$1270,32,Ведомость!$I$5:$I$1270,"А500С",Ведомость!$V$5:$V$1270,"Р-Г",Ведомость!$W$5:$W$1270,1)</f>
        <v/>
      </c>
      <c r="O8" s="35">
        <f>SUMIFS(Ведомость!$N$5:$N$1270,Ведомость!$H$5:$H$1270,32,Ведомость!$I$5:$I$1270,"А500С",Ведомость!$V$5:$V$1270,"Р-1, 5",Ведомость!$W$5:$W$1270,1)</f>
        <v/>
      </c>
      <c r="P8" s="35">
        <f>SUMIFS(Ведомость!$N$5:$N$1270,Ведомость!$H$5:$H$1270,32,Ведомость!$I$5:$I$1270,"А500С",Ведомость!$V$5:$V$1270,"Р-2",Ведомость!$W$5:$W$1270,1)</f>
        <v/>
      </c>
      <c r="Q8" s="35">
        <f>SUMIFS(Ведомость!$N$5:$N$1270,Ведомость!$H$5:$H$1270,32,Ведомость!$I$5:$I$1270,"А500С",Ведомость!$V$5:$V$1270,"Р-3",Ведомость!$W$5:$W$1270,1)</f>
        <v/>
      </c>
      <c r="R8" s="35">
        <f>SUMIFS(Ведомость!$N$5:$N$1270,Ведомость!$H$5:$H$1270,32,Ведомость!$I$5:$I$1270,"А500С",Ведомость!$V$5:$V$1270,"Р-4",Ведомость!$W$5:$W$1270,1)</f>
        <v/>
      </c>
      <c r="S8" s="35">
        <f>SUMIFS(Ведомость!$N$5:$N$1270,Ведомость!$H$5:$H$1270,32,Ведомость!$I$5:$I$1270,"А500С",Ведомость!$V$5:$V$1270,"Б-основная",Ведомость!$W$5:$W$1270,1)</f>
        <v/>
      </c>
      <c r="T8" s="35">
        <f>SUMIFS(Ведомость!$N$5:$N$1270,Ведомость!$H$5:$H$1270,32,Ведомость!$I$5:$I$1270,"А500С",Ведомость!$V$5:$V$1270,"Б-хомуты",Ведомость!$W$5:$W$1270,1)</f>
        <v/>
      </c>
      <c r="U8" s="35">
        <f>SUMIFS(Ведомость!$N$5:$N$1270,Ведомость!$H$5:$H$1270,32,Ведомость!$I$5:$I$1270,"А500С",Ведомость!$V$5:$V$1270,"Б-допник",Ведомость!$W$5:$W$1270,1)</f>
        <v/>
      </c>
      <c r="V8" s="35">
        <f>SUMIFS(Ведомость!$N$5:$N$1270,Ведомость!$H$5:$H$1270,32,Ведомость!$I$5:$I$1270,"А500С",Ведомость!$V$5:$V$1270,"П-сетка",Ведомость!$W$5:$W$1270,1)</f>
        <v/>
      </c>
      <c r="W8" s="35">
        <f>SUMIFS(Ведомость!$N$5:$N$1270,Ведомость!$H$5:$H$1270,32,Ведомость!$I$5:$I$1270,"А500С",Ведомость!$V$5:$V$1270,"П-фикс",Ведомость!$W$5:$W$1270,1)</f>
        <v/>
      </c>
      <c r="X8" s="35">
        <f>SUMIFS(Ведомость!$N$5:$N$1270,Ведомость!$H$5:$H$1270,32,Ведомость!$I$5:$I$1270,"А500С",Ведомость!$V$5:$V$1270,"П-отв",Ведомость!$W$5:$W$1270,1)</f>
        <v/>
      </c>
      <c r="Y8" s="35">
        <f>SUMIFS(Ведомость!$N$5:$N$1270,Ведомость!$H$5:$H$1270,32,Ведомость!$I$5:$I$1270,"А500С",Ведомость!$V$5:$V$1270,"П-доп-низ",Ведомость!$W$5:$W$1270,1)</f>
        <v/>
      </c>
      <c r="Z8" s="35">
        <f>SUMIFS(Ведомость!$N$5:$N$1270,Ведомость!$H$5:$H$1270,32,Ведомость!$I$5:$I$1270,"А500С",Ведомость!$V$5:$V$1270,"П-доп-верх",Ведомость!$W$5:$W$1270,1)</f>
        <v/>
      </c>
      <c r="AA8" s="35">
        <f>SUMIFS(Ведомость!$N$5:$N$1270,Ведомость!$H$5:$H$1270,32,Ведомость!$I$5:$I$1270,"А500С",Ведомость!$V$5:$V$1270,"П-край",Ведомость!$W$5:$W$1270,1)</f>
        <v/>
      </c>
      <c r="AB8" s="35">
        <f>SUMIFS(Ведомость!$N$5:$N$1270,Ведомость!$H$5:$H$1270,32,Ведомость!$I$5:$I$1270,"А500С",Ведомость!$V$5:$V$1270,"С-1",Ведомость!$W$5:$W$1270,1)</f>
        <v/>
      </c>
      <c r="AC8" s="35">
        <f>SUMIFS(Ведомость!$N$5:$N$1270,Ведомость!$H$5:$H$1270,32,Ведомость!$I$5:$I$1270,"А500С",Ведомость!$V$5:$V$1270,"Л1",Ведомость!$W$5:$W$1270,1)</f>
        <v/>
      </c>
      <c r="AD8" s="35">
        <f>SUMIFS(Ведомость!$N$5:$N$1270,Ведомость!$H$5:$H$1270,32,Ведомость!$I$5:$I$1270,"А500С",Ведомость!$V$5:$V$1270,"Л2",Ведомость!$W$5:$W$1270,1)</f>
        <v/>
      </c>
      <c r="AE8" s="35">
        <f>SUMIFS(Ведомость!$N$5:$N$1270,Ведомость!$H$5:$H$1270,32,Ведомость!$I$5:$I$1270,"А500С",Ведомость!$V$5:$V$1270,"Л-пл",Ведомость!$W$5:$W$1270,1)</f>
        <v/>
      </c>
      <c r="AF8" s="35">
        <f>SUMIFS(Ведомость!$N$5:$N$1270,Ведомость!$H$5:$H$1270,32,Ведомость!$I$5:$I$1270,"А500С",Ведомость!$V$5:$V$1270,"Л-рама",Ведомость!$W$5:$W$1270,1)</f>
        <v/>
      </c>
      <c r="AG8" s="36">
        <f>SUM(B8:AF8)</f>
        <v/>
      </c>
      <c r="AH8" s="37">
        <f>IFERROR(INDEX(Исходные!$B$19:$B$31,MATCH(32,Исходные!$A$19:$A$31,0)),0)</f>
        <v/>
      </c>
      <c r="AI8" s="36">
        <f>AG8*AH8*$AJ$2</f>
        <v/>
      </c>
      <c r="AJ8" s="38">
        <f>SUM(B8:D8,F8,H8,J8:M8)</f>
        <v/>
      </c>
      <c r="AK8" s="39">
        <f>AH8</f>
        <v/>
      </c>
      <c r="AL8" s="40">
        <f>AJ8*AK8*$AJ$2</f>
        <v/>
      </c>
      <c r="AM8" s="38">
        <f>SUM(E8,G8,I8,N8:AB8)</f>
        <v/>
      </c>
      <c r="AN8" s="39">
        <f>AH8</f>
        <v/>
      </c>
      <c r="AO8" s="40">
        <f>AM8*AN8*$AJ$2</f>
        <v/>
      </c>
      <c r="AP8" s="38">
        <f>SUM(AC8:AF8)</f>
        <v/>
      </c>
      <c r="AQ8" s="39">
        <f>AH8</f>
        <v/>
      </c>
      <c r="AR8" s="40">
        <f>AP8*AQ8*$AJ$2</f>
        <v/>
      </c>
    </row>
    <row r="9">
      <c r="A9" s="6" t="inlineStr">
        <is>
          <t>Диаметр 28 А500С, L=м.п.</t>
        </is>
      </c>
      <c r="B9" s="35">
        <f>SUMIFS(Ведомость!$N$5:$N$1270,Ведомость!$H$5:$H$1270,28,Ведомость!$I$5:$I$1270,"А500С",Ведомость!$V$5:$V$1270,"Дм-1",Ведомость!$W$5:$W$1270,1)</f>
        <v/>
      </c>
      <c r="C9" s="35">
        <f>SUMIFS(Ведомость!$N$5:$N$1270,Ведомость!$H$5:$H$1270,28,Ведомость!$I$5:$I$1270,"А500С",Ведомость!$V$5:$V$1270,"Дм-2",Ведомость!$W$5:$W$1270,1)</f>
        <v/>
      </c>
      <c r="D9" s="35">
        <f>SUMIFS(Ведомость!$N$5:$N$1270,Ведомость!$H$5:$H$1270,28,Ведомость!$I$5:$I$1270,"А500С",Ведомость!$V$5:$V$1270,"К-А",Ведомость!$W$5:$W$1270,1)</f>
        <v/>
      </c>
      <c r="E9" s="35">
        <f>SUMIFS(Ведомость!$N$5:$N$1270,Ведомость!$H$5:$H$1270,28,Ведомость!$I$5:$I$1270,"А500С",Ведомость!$V$5:$V$1270,"Р-А",Ведомость!$W$5:$W$1270,1)</f>
        <v/>
      </c>
      <c r="F9" s="35">
        <f>SUMIFS(Ведомость!$N$5:$N$1270,Ведомость!$H$5:$H$1270,28,Ведомость!$I$5:$I$1270,"А500С",Ведомость!$V$5:$V$1270,"К-Б",Ведомость!$W$5:$W$1270,1)</f>
        <v/>
      </c>
      <c r="G9" s="35">
        <f>SUMIFS(Ведомость!$N$5:$N$1270,Ведомость!$H$5:$H$1270,28,Ведомость!$I$5:$I$1270,"А500С",Ведомость!$V$5:$V$1270,"Р-Б",Ведомость!$W$5:$W$1270,1)</f>
        <v/>
      </c>
      <c r="H9" s="35">
        <f>SUMIFS(Ведомость!$N$5:$N$1270,Ведомость!$H$5:$H$1270,28,Ведомость!$I$5:$I$1270,"А500С",Ведомость!$V$5:$V$1270,"К-В",Ведомость!$W$5:$W$1270,1)</f>
        <v/>
      </c>
      <c r="I9" s="35">
        <f>SUMIFS(Ведомость!$N$5:$N$1270,Ведомость!$H$5:$H$1270,28,Ведомость!$I$5:$I$1270,"А500С",Ведомость!$V$5:$V$1270,"Р-В",Ведомость!$W$5:$W$1270,1)</f>
        <v/>
      </c>
      <c r="J9" s="35">
        <f>SUMIFS(Ведомость!$N$5:$N$1270,Ведомость!$H$5:$H$1270,28,Ведомость!$I$5:$I$1270,"А500С",Ведомость!$V$5:$V$1270,"К-Г",Ведомость!$W$5:$W$1270,1)</f>
        <v/>
      </c>
      <c r="K9" s="35">
        <f>SUMIFS(Ведомость!$N$5:$N$1270,Ведомость!$H$5:$H$1270,28,Ведомость!$I$5:$I$1270,"А500С",Ведомость!$V$5:$V$1270,"Дм-3",Ведомость!$W$5:$W$1270,1)</f>
        <v/>
      </c>
      <c r="L9" s="35">
        <f>SUMIFS(Ведомость!$N$5:$N$1270,Ведомость!$H$5:$H$1270,28,Ведомость!$I$5:$I$1270,"А500С",Ведомость!$V$5:$V$1270,"Дм-4",Ведомость!$W$5:$W$1270,1)</f>
        <v/>
      </c>
      <c r="M9" s="35">
        <f>SUMIFS(Ведомость!$N$5:$N$1270,Ведомость!$H$5:$H$1270,28,Ведомость!$I$5:$I$1270,"А500С",Ведомость!$V$5:$V$1270,"Дм-5",Ведомость!$W$5:$W$1270,1)</f>
        <v/>
      </c>
      <c r="N9" s="35">
        <f>SUMIFS(Ведомость!$N$5:$N$1270,Ведомость!$H$5:$H$1270,28,Ведомость!$I$5:$I$1270,"А500С",Ведомость!$V$5:$V$1270,"Р-Г",Ведомость!$W$5:$W$1270,1)</f>
        <v/>
      </c>
      <c r="O9" s="35">
        <f>SUMIFS(Ведомость!$N$5:$N$1270,Ведомость!$H$5:$H$1270,28,Ведомость!$I$5:$I$1270,"А500С",Ведомость!$V$5:$V$1270,"Р-1, 5",Ведомость!$W$5:$W$1270,1)</f>
        <v/>
      </c>
      <c r="P9" s="35">
        <f>SUMIFS(Ведомость!$N$5:$N$1270,Ведомость!$H$5:$H$1270,28,Ведомость!$I$5:$I$1270,"А500С",Ведомость!$V$5:$V$1270,"Р-2",Ведомость!$W$5:$W$1270,1)</f>
        <v/>
      </c>
      <c r="Q9" s="35">
        <f>SUMIFS(Ведомость!$N$5:$N$1270,Ведомость!$H$5:$H$1270,28,Ведомость!$I$5:$I$1270,"А500С",Ведомость!$V$5:$V$1270,"Р-3",Ведомость!$W$5:$W$1270,1)</f>
        <v/>
      </c>
      <c r="R9" s="35">
        <f>SUMIFS(Ведомость!$N$5:$N$1270,Ведомость!$H$5:$H$1270,28,Ведомость!$I$5:$I$1270,"А500С",Ведомость!$V$5:$V$1270,"Р-4",Ведомость!$W$5:$W$1270,1)</f>
        <v/>
      </c>
      <c r="S9" s="35">
        <f>SUMIFS(Ведомость!$N$5:$N$1270,Ведомость!$H$5:$H$1270,28,Ведомость!$I$5:$I$1270,"А500С",Ведомость!$V$5:$V$1270,"Б-основная",Ведомость!$W$5:$W$1270,1)</f>
        <v/>
      </c>
      <c r="T9" s="35">
        <f>SUMIFS(Ведомость!$N$5:$N$1270,Ведомость!$H$5:$H$1270,28,Ведомость!$I$5:$I$1270,"А500С",Ведомость!$V$5:$V$1270,"Б-хомуты",Ведомость!$W$5:$W$1270,1)</f>
        <v/>
      </c>
      <c r="U9" s="35">
        <f>SUMIFS(Ведомость!$N$5:$N$1270,Ведомость!$H$5:$H$1270,28,Ведомость!$I$5:$I$1270,"А500С",Ведомость!$V$5:$V$1270,"Б-допник",Ведомость!$W$5:$W$1270,1)</f>
        <v/>
      </c>
      <c r="V9" s="35">
        <f>SUMIFS(Ведомость!$N$5:$N$1270,Ведомость!$H$5:$H$1270,28,Ведомость!$I$5:$I$1270,"А500С",Ведомость!$V$5:$V$1270,"П-сетка",Ведомость!$W$5:$W$1270,1)</f>
        <v/>
      </c>
      <c r="W9" s="35">
        <f>SUMIFS(Ведомость!$N$5:$N$1270,Ведомость!$H$5:$H$1270,28,Ведомость!$I$5:$I$1270,"А500С",Ведомость!$V$5:$V$1270,"П-фикс",Ведомость!$W$5:$W$1270,1)</f>
        <v/>
      </c>
      <c r="X9" s="35">
        <f>SUMIFS(Ведомость!$N$5:$N$1270,Ведомость!$H$5:$H$1270,28,Ведомость!$I$5:$I$1270,"А500С",Ведомость!$V$5:$V$1270,"П-отв",Ведомость!$W$5:$W$1270,1)</f>
        <v/>
      </c>
      <c r="Y9" s="35">
        <f>SUMIFS(Ведомость!$N$5:$N$1270,Ведомость!$H$5:$H$1270,28,Ведомость!$I$5:$I$1270,"А500С",Ведомость!$V$5:$V$1270,"П-доп-низ",Ведомость!$W$5:$W$1270,1)</f>
        <v/>
      </c>
      <c r="Z9" s="35">
        <f>SUMIFS(Ведомость!$N$5:$N$1270,Ведомость!$H$5:$H$1270,28,Ведомость!$I$5:$I$1270,"А500С",Ведомость!$V$5:$V$1270,"П-доп-верх",Ведомость!$W$5:$W$1270,1)</f>
        <v/>
      </c>
      <c r="AA9" s="35">
        <f>SUMIFS(Ведомость!$N$5:$N$1270,Ведомость!$H$5:$H$1270,28,Ведомость!$I$5:$I$1270,"А500С",Ведомость!$V$5:$V$1270,"П-край",Ведомость!$W$5:$W$1270,1)</f>
        <v/>
      </c>
      <c r="AB9" s="35">
        <f>SUMIFS(Ведомость!$N$5:$N$1270,Ведомость!$H$5:$H$1270,28,Ведомость!$I$5:$I$1270,"А500С",Ведомость!$V$5:$V$1270,"С-1",Ведомость!$W$5:$W$1270,1)</f>
        <v/>
      </c>
      <c r="AC9" s="35">
        <f>SUMIFS(Ведомость!$N$5:$N$1270,Ведомость!$H$5:$H$1270,28,Ведомость!$I$5:$I$1270,"А500С",Ведомость!$V$5:$V$1270,"Л1",Ведомость!$W$5:$W$1270,1)</f>
        <v/>
      </c>
      <c r="AD9" s="35">
        <f>SUMIFS(Ведомость!$N$5:$N$1270,Ведомость!$H$5:$H$1270,28,Ведомость!$I$5:$I$1270,"А500С",Ведомость!$V$5:$V$1270,"Л2",Ведомость!$W$5:$W$1270,1)</f>
        <v/>
      </c>
      <c r="AE9" s="35">
        <f>SUMIFS(Ведомость!$N$5:$N$1270,Ведомость!$H$5:$H$1270,28,Ведомость!$I$5:$I$1270,"А500С",Ведомость!$V$5:$V$1270,"Л-пл",Ведомость!$W$5:$W$1270,1)</f>
        <v/>
      </c>
      <c r="AF9" s="35">
        <f>SUMIFS(Ведомость!$N$5:$N$1270,Ведомость!$H$5:$H$1270,28,Ведомость!$I$5:$I$1270,"А500С",Ведомость!$V$5:$V$1270,"Л-рама",Ведомость!$W$5:$W$1270,1)</f>
        <v/>
      </c>
      <c r="AG9" s="36">
        <f>SUM(B9:AF9)</f>
        <v/>
      </c>
      <c r="AH9" s="37">
        <f>IFERROR(INDEX(Исходные!$B$19:$B$31,MATCH(28,Исходные!$A$19:$A$31,0)),0)</f>
        <v/>
      </c>
      <c r="AI9" s="36">
        <f>AG9*AH9*$AJ$2</f>
        <v/>
      </c>
      <c r="AJ9" s="38">
        <f>SUM(B9:D9,F9,H9,J9:M9)</f>
        <v/>
      </c>
      <c r="AK9" s="39">
        <f>AH9</f>
        <v/>
      </c>
      <c r="AL9" s="40">
        <f>AJ9*AK9*$AJ$2</f>
        <v/>
      </c>
      <c r="AM9" s="38">
        <f>SUM(E9,G9,I9,N9:AB9)</f>
        <v/>
      </c>
      <c r="AN9" s="39">
        <f>AH9</f>
        <v/>
      </c>
      <c r="AO9" s="40">
        <f>AM9*AN9*$AJ$2</f>
        <v/>
      </c>
      <c r="AP9" s="38">
        <f>SUM(AC9:AF9)</f>
        <v/>
      </c>
      <c r="AQ9" s="39">
        <f>AH9</f>
        <v/>
      </c>
      <c r="AR9" s="40">
        <f>AP9*AQ9*$AJ$2</f>
        <v/>
      </c>
    </row>
    <row r="10">
      <c r="A10" s="6" t="inlineStr">
        <is>
          <t>Диаметр 25 А500С, L=м.п.</t>
        </is>
      </c>
      <c r="B10" s="35">
        <f>SUMIFS(Ведомость!$N$5:$N$1270,Ведомость!$H$5:$H$1270,25,Ведомость!$I$5:$I$1270,"А500С",Ведомость!$V$5:$V$1270,"Дм-1",Ведомость!$W$5:$W$1270,1)</f>
        <v/>
      </c>
      <c r="C10" s="35">
        <f>SUMIFS(Ведомость!$N$5:$N$1270,Ведомость!$H$5:$H$1270,25,Ведомость!$I$5:$I$1270,"А500С",Ведомость!$V$5:$V$1270,"Дм-2",Ведомость!$W$5:$W$1270,1)</f>
        <v/>
      </c>
      <c r="D10" s="35">
        <f>SUMIFS(Ведомость!$N$5:$N$1270,Ведомость!$H$5:$H$1270,25,Ведомость!$I$5:$I$1270,"А500С",Ведомость!$V$5:$V$1270,"К-А",Ведомость!$W$5:$W$1270,1)</f>
        <v/>
      </c>
      <c r="E10" s="35">
        <f>SUMIFS(Ведомость!$N$5:$N$1270,Ведомость!$H$5:$H$1270,25,Ведомость!$I$5:$I$1270,"А500С",Ведомость!$V$5:$V$1270,"Р-А",Ведомость!$W$5:$W$1270,1)</f>
        <v/>
      </c>
      <c r="F10" s="35">
        <f>SUMIFS(Ведомость!$N$5:$N$1270,Ведомость!$H$5:$H$1270,25,Ведомость!$I$5:$I$1270,"А500С",Ведомость!$V$5:$V$1270,"К-Б",Ведомость!$W$5:$W$1270,1)</f>
        <v/>
      </c>
      <c r="G10" s="35">
        <f>SUMIFS(Ведомость!$N$5:$N$1270,Ведомость!$H$5:$H$1270,25,Ведомость!$I$5:$I$1270,"А500С",Ведомость!$V$5:$V$1270,"Р-Б",Ведомость!$W$5:$W$1270,1)</f>
        <v/>
      </c>
      <c r="H10" s="35">
        <f>SUMIFS(Ведомость!$N$5:$N$1270,Ведомость!$H$5:$H$1270,25,Ведомость!$I$5:$I$1270,"А500С",Ведомость!$V$5:$V$1270,"К-В",Ведомость!$W$5:$W$1270,1)</f>
        <v/>
      </c>
      <c r="I10" s="35">
        <f>SUMIFS(Ведомость!$N$5:$N$1270,Ведомость!$H$5:$H$1270,25,Ведомость!$I$5:$I$1270,"А500С",Ведомость!$V$5:$V$1270,"Р-В",Ведомость!$W$5:$W$1270,1)</f>
        <v/>
      </c>
      <c r="J10" s="35">
        <f>SUMIFS(Ведомость!$N$5:$N$1270,Ведомость!$H$5:$H$1270,25,Ведомость!$I$5:$I$1270,"А500С",Ведомость!$V$5:$V$1270,"К-Г",Ведомость!$W$5:$W$1270,1)</f>
        <v/>
      </c>
      <c r="K10" s="35">
        <f>SUMIFS(Ведомость!$N$5:$N$1270,Ведомость!$H$5:$H$1270,25,Ведомость!$I$5:$I$1270,"А500С",Ведомость!$V$5:$V$1270,"Дм-3",Ведомость!$W$5:$W$1270,1)</f>
        <v/>
      </c>
      <c r="L10" s="35">
        <f>SUMIFS(Ведомость!$N$5:$N$1270,Ведомость!$H$5:$H$1270,25,Ведомость!$I$5:$I$1270,"А500С",Ведомость!$V$5:$V$1270,"Дм-4",Ведомость!$W$5:$W$1270,1)</f>
        <v/>
      </c>
      <c r="M10" s="35">
        <f>SUMIFS(Ведомость!$N$5:$N$1270,Ведомость!$H$5:$H$1270,25,Ведомость!$I$5:$I$1270,"А500С",Ведомость!$V$5:$V$1270,"Дм-5",Ведомость!$W$5:$W$1270,1)</f>
        <v/>
      </c>
      <c r="N10" s="35">
        <f>SUMIFS(Ведомость!$N$5:$N$1270,Ведомость!$H$5:$H$1270,25,Ведомость!$I$5:$I$1270,"А500С",Ведомость!$V$5:$V$1270,"Р-Г",Ведомость!$W$5:$W$1270,1)</f>
        <v/>
      </c>
      <c r="O10" s="35">
        <f>SUMIFS(Ведомость!$N$5:$N$1270,Ведомость!$H$5:$H$1270,25,Ведомость!$I$5:$I$1270,"А500С",Ведомость!$V$5:$V$1270,"Р-1, 5",Ведомость!$W$5:$W$1270,1)</f>
        <v/>
      </c>
      <c r="P10" s="35">
        <f>SUMIFS(Ведомость!$N$5:$N$1270,Ведомость!$H$5:$H$1270,25,Ведомость!$I$5:$I$1270,"А500С",Ведомость!$V$5:$V$1270,"Р-2",Ведомость!$W$5:$W$1270,1)</f>
        <v/>
      </c>
      <c r="Q10" s="35">
        <f>SUMIFS(Ведомость!$N$5:$N$1270,Ведомость!$H$5:$H$1270,25,Ведомость!$I$5:$I$1270,"А500С",Ведомость!$V$5:$V$1270,"Р-3",Ведомость!$W$5:$W$1270,1)</f>
        <v/>
      </c>
      <c r="R10" s="35">
        <f>SUMIFS(Ведомость!$N$5:$N$1270,Ведомость!$H$5:$H$1270,25,Ведомость!$I$5:$I$1270,"А500С",Ведомость!$V$5:$V$1270,"Р-4",Ведомость!$W$5:$W$1270,1)</f>
        <v/>
      </c>
      <c r="S10" s="35">
        <f>SUMIFS(Ведомость!$N$5:$N$1270,Ведомость!$H$5:$H$1270,25,Ведомость!$I$5:$I$1270,"А500С",Ведомость!$V$5:$V$1270,"Б-основная",Ведомость!$W$5:$W$1270,1)</f>
        <v/>
      </c>
      <c r="T10" s="35">
        <f>SUMIFS(Ведомость!$N$5:$N$1270,Ведомость!$H$5:$H$1270,25,Ведомость!$I$5:$I$1270,"А500С",Ведомость!$V$5:$V$1270,"Б-хомуты",Ведомость!$W$5:$W$1270,1)</f>
        <v/>
      </c>
      <c r="U10" s="35">
        <f>SUMIFS(Ведомость!$N$5:$N$1270,Ведомость!$H$5:$H$1270,25,Ведомость!$I$5:$I$1270,"А500С",Ведомость!$V$5:$V$1270,"Б-допник",Ведомость!$W$5:$W$1270,1)</f>
        <v/>
      </c>
      <c r="V10" s="35">
        <f>SUMIFS(Ведомость!$N$5:$N$1270,Ведомость!$H$5:$H$1270,25,Ведомость!$I$5:$I$1270,"А500С",Ведомость!$V$5:$V$1270,"П-сетка",Ведомость!$W$5:$W$1270,1)</f>
        <v/>
      </c>
      <c r="W10" s="35">
        <f>SUMIFS(Ведомость!$N$5:$N$1270,Ведомость!$H$5:$H$1270,25,Ведомость!$I$5:$I$1270,"А500С",Ведомость!$V$5:$V$1270,"П-фикс",Ведомость!$W$5:$W$1270,1)</f>
        <v/>
      </c>
      <c r="X10" s="35">
        <f>SUMIFS(Ведомость!$N$5:$N$1270,Ведомость!$H$5:$H$1270,25,Ведомость!$I$5:$I$1270,"А500С",Ведомость!$V$5:$V$1270,"П-отв",Ведомость!$W$5:$W$1270,1)</f>
        <v/>
      </c>
      <c r="Y10" s="35">
        <f>SUMIFS(Ведомость!$N$5:$N$1270,Ведомость!$H$5:$H$1270,25,Ведомость!$I$5:$I$1270,"А500С",Ведомость!$V$5:$V$1270,"П-доп-низ",Ведомость!$W$5:$W$1270,1)</f>
        <v/>
      </c>
      <c r="Z10" s="35">
        <f>SUMIFS(Ведомость!$N$5:$N$1270,Ведомость!$H$5:$H$1270,25,Ведомость!$I$5:$I$1270,"А500С",Ведомость!$V$5:$V$1270,"П-доп-верх",Ведомость!$W$5:$W$1270,1)</f>
        <v/>
      </c>
      <c r="AA10" s="35">
        <f>SUMIFS(Ведомость!$N$5:$N$1270,Ведомость!$H$5:$H$1270,25,Ведомость!$I$5:$I$1270,"А500С",Ведомость!$V$5:$V$1270,"П-край",Ведомость!$W$5:$W$1270,1)</f>
        <v/>
      </c>
      <c r="AB10" s="35">
        <f>SUMIFS(Ведомость!$N$5:$N$1270,Ведомость!$H$5:$H$1270,25,Ведомость!$I$5:$I$1270,"А500С",Ведомость!$V$5:$V$1270,"С-1",Ведомость!$W$5:$W$1270,1)</f>
        <v/>
      </c>
      <c r="AC10" s="35">
        <f>SUMIFS(Ведомость!$N$5:$N$1270,Ведомость!$H$5:$H$1270,25,Ведомость!$I$5:$I$1270,"А500С",Ведомость!$V$5:$V$1270,"Л1",Ведомость!$W$5:$W$1270,1)</f>
        <v/>
      </c>
      <c r="AD10" s="35">
        <f>SUMIFS(Ведомость!$N$5:$N$1270,Ведомость!$H$5:$H$1270,25,Ведомость!$I$5:$I$1270,"А500С",Ведомость!$V$5:$V$1270,"Л2",Ведомость!$W$5:$W$1270,1)</f>
        <v/>
      </c>
      <c r="AE10" s="35">
        <f>SUMIFS(Ведомость!$N$5:$N$1270,Ведомость!$H$5:$H$1270,25,Ведомость!$I$5:$I$1270,"А500С",Ведомость!$V$5:$V$1270,"Л-пл",Ведомость!$W$5:$W$1270,1)</f>
        <v/>
      </c>
      <c r="AF10" s="35">
        <f>SUMIFS(Ведомость!$N$5:$N$1270,Ведомость!$H$5:$H$1270,25,Ведомость!$I$5:$I$1270,"А500С",Ведомость!$V$5:$V$1270,"Л-рама",Ведомость!$W$5:$W$1270,1)</f>
        <v/>
      </c>
      <c r="AG10" s="36">
        <f>SUM(B10:AF10)</f>
        <v/>
      </c>
      <c r="AH10" s="37">
        <f>IFERROR(INDEX(Исходные!$B$19:$B$31,MATCH(25,Исходные!$A$19:$A$31,0)),0)</f>
        <v/>
      </c>
      <c r="AI10" s="36">
        <f>AG10*AH10*$AJ$2</f>
        <v/>
      </c>
      <c r="AJ10" s="38">
        <f>SUM(B10:D10,F10,H10,J10:M10)</f>
        <v/>
      </c>
      <c r="AK10" s="39">
        <f>AH10</f>
        <v/>
      </c>
      <c r="AL10" s="40">
        <f>AJ10*AK10*$AJ$2</f>
        <v/>
      </c>
      <c r="AM10" s="38">
        <f>SUM(E10,G10,I10,N10:AB10)</f>
        <v/>
      </c>
      <c r="AN10" s="39">
        <f>AH10</f>
        <v/>
      </c>
      <c r="AO10" s="40">
        <f>AM10*AN10*$AJ$2</f>
        <v/>
      </c>
      <c r="AP10" s="38">
        <f>SUM(AC10:AF10)</f>
        <v/>
      </c>
      <c r="AQ10" s="39">
        <f>AH10</f>
        <v/>
      </c>
      <c r="AR10" s="40">
        <f>AP10*AQ10*$AJ$2</f>
        <v/>
      </c>
    </row>
    <row r="11">
      <c r="A11" s="6" t="inlineStr">
        <is>
          <t>Диаметр 22 А500С, L=м.п.</t>
        </is>
      </c>
      <c r="B11" s="35">
        <f>SUMIFS(Ведомость!$N$5:$N$1270,Ведомость!$H$5:$H$1270,22,Ведомость!$I$5:$I$1270,"А500С",Ведомость!$V$5:$V$1270,"Дм-1",Ведомость!$W$5:$W$1270,1)</f>
        <v/>
      </c>
      <c r="C11" s="35">
        <f>SUMIFS(Ведомость!$N$5:$N$1270,Ведомость!$H$5:$H$1270,22,Ведомость!$I$5:$I$1270,"А500С",Ведомость!$V$5:$V$1270,"Дм-2",Ведомость!$W$5:$W$1270,1)</f>
        <v/>
      </c>
      <c r="D11" s="35">
        <f>SUMIFS(Ведомость!$N$5:$N$1270,Ведомость!$H$5:$H$1270,22,Ведомость!$I$5:$I$1270,"А500С",Ведомость!$V$5:$V$1270,"К-А",Ведомость!$W$5:$W$1270,1)</f>
        <v/>
      </c>
      <c r="E11" s="35">
        <f>SUMIFS(Ведомость!$N$5:$N$1270,Ведомость!$H$5:$H$1270,22,Ведомость!$I$5:$I$1270,"А500С",Ведомость!$V$5:$V$1270,"Р-А",Ведомость!$W$5:$W$1270,1)</f>
        <v/>
      </c>
      <c r="F11" s="35">
        <f>SUMIFS(Ведомость!$N$5:$N$1270,Ведомость!$H$5:$H$1270,22,Ведомость!$I$5:$I$1270,"А500С",Ведомость!$V$5:$V$1270,"К-Б",Ведомость!$W$5:$W$1270,1)</f>
        <v/>
      </c>
      <c r="G11" s="35">
        <f>SUMIFS(Ведомость!$N$5:$N$1270,Ведомость!$H$5:$H$1270,22,Ведомость!$I$5:$I$1270,"А500С",Ведомость!$V$5:$V$1270,"Р-Б",Ведомость!$W$5:$W$1270,1)</f>
        <v/>
      </c>
      <c r="H11" s="35">
        <f>SUMIFS(Ведомость!$N$5:$N$1270,Ведомость!$H$5:$H$1270,22,Ведомость!$I$5:$I$1270,"А500С",Ведомость!$V$5:$V$1270,"К-В",Ведомость!$W$5:$W$1270,1)</f>
        <v/>
      </c>
      <c r="I11" s="35">
        <f>SUMIFS(Ведомость!$N$5:$N$1270,Ведомость!$H$5:$H$1270,22,Ведомость!$I$5:$I$1270,"А500С",Ведомость!$V$5:$V$1270,"Р-В",Ведомость!$W$5:$W$1270,1)</f>
        <v/>
      </c>
      <c r="J11" s="35">
        <f>SUMIFS(Ведомость!$N$5:$N$1270,Ведомость!$H$5:$H$1270,22,Ведомость!$I$5:$I$1270,"А500С",Ведомость!$V$5:$V$1270,"К-Г",Ведомость!$W$5:$W$1270,1)</f>
        <v/>
      </c>
      <c r="K11" s="35">
        <f>SUMIFS(Ведомость!$N$5:$N$1270,Ведомость!$H$5:$H$1270,22,Ведомость!$I$5:$I$1270,"А500С",Ведомость!$V$5:$V$1270,"Дм-3",Ведомость!$W$5:$W$1270,1)</f>
        <v/>
      </c>
      <c r="L11" s="35">
        <f>SUMIFS(Ведомость!$N$5:$N$1270,Ведомость!$H$5:$H$1270,22,Ведомость!$I$5:$I$1270,"А500С",Ведомость!$V$5:$V$1270,"Дм-4",Ведомость!$W$5:$W$1270,1)</f>
        <v/>
      </c>
      <c r="M11" s="35">
        <f>SUMIFS(Ведомость!$N$5:$N$1270,Ведомость!$H$5:$H$1270,22,Ведомость!$I$5:$I$1270,"А500С",Ведомость!$V$5:$V$1270,"Дм-5",Ведомость!$W$5:$W$1270,1)</f>
        <v/>
      </c>
      <c r="N11" s="35">
        <f>SUMIFS(Ведомость!$N$5:$N$1270,Ведомость!$H$5:$H$1270,22,Ведомость!$I$5:$I$1270,"А500С",Ведомость!$V$5:$V$1270,"Р-Г",Ведомость!$W$5:$W$1270,1)</f>
        <v/>
      </c>
      <c r="O11" s="35">
        <f>SUMIFS(Ведомость!$N$5:$N$1270,Ведомость!$H$5:$H$1270,22,Ведомость!$I$5:$I$1270,"А500С",Ведомость!$V$5:$V$1270,"Р-1, 5",Ведомость!$W$5:$W$1270,1)</f>
        <v/>
      </c>
      <c r="P11" s="35">
        <f>SUMIFS(Ведомость!$N$5:$N$1270,Ведомость!$H$5:$H$1270,22,Ведомость!$I$5:$I$1270,"А500С",Ведомость!$V$5:$V$1270,"Р-2",Ведомость!$W$5:$W$1270,1)</f>
        <v/>
      </c>
      <c r="Q11" s="35">
        <f>SUMIFS(Ведомость!$N$5:$N$1270,Ведомость!$H$5:$H$1270,22,Ведомость!$I$5:$I$1270,"А500С",Ведомость!$V$5:$V$1270,"Р-3",Ведомость!$W$5:$W$1270,1)</f>
        <v/>
      </c>
      <c r="R11" s="35">
        <f>SUMIFS(Ведомость!$N$5:$N$1270,Ведомость!$H$5:$H$1270,22,Ведомость!$I$5:$I$1270,"А500С",Ведомость!$V$5:$V$1270,"Р-4",Ведомость!$W$5:$W$1270,1)</f>
        <v/>
      </c>
      <c r="S11" s="35">
        <f>SUMIFS(Ведомость!$N$5:$N$1270,Ведомость!$H$5:$H$1270,22,Ведомость!$I$5:$I$1270,"А500С",Ведомость!$V$5:$V$1270,"Б-основная",Ведомость!$W$5:$W$1270,1)</f>
        <v/>
      </c>
      <c r="T11" s="35">
        <f>SUMIFS(Ведомость!$N$5:$N$1270,Ведомость!$H$5:$H$1270,22,Ведомость!$I$5:$I$1270,"А500С",Ведомость!$V$5:$V$1270,"Б-хомуты",Ведомость!$W$5:$W$1270,1)</f>
        <v/>
      </c>
      <c r="U11" s="35">
        <f>SUMIFS(Ведомость!$N$5:$N$1270,Ведомость!$H$5:$H$1270,22,Ведомость!$I$5:$I$1270,"А500С",Ведомость!$V$5:$V$1270,"Б-допник",Ведомость!$W$5:$W$1270,1)</f>
        <v/>
      </c>
      <c r="V11" s="35">
        <f>SUMIFS(Ведомость!$N$5:$N$1270,Ведомость!$H$5:$H$1270,22,Ведомость!$I$5:$I$1270,"А500С",Ведомость!$V$5:$V$1270,"П-сетка",Ведомость!$W$5:$W$1270,1)</f>
        <v/>
      </c>
      <c r="W11" s="35">
        <f>SUMIFS(Ведомость!$N$5:$N$1270,Ведомость!$H$5:$H$1270,22,Ведомость!$I$5:$I$1270,"А500С",Ведомость!$V$5:$V$1270,"П-фикс",Ведомость!$W$5:$W$1270,1)</f>
        <v/>
      </c>
      <c r="X11" s="35">
        <f>SUMIFS(Ведомость!$N$5:$N$1270,Ведомость!$H$5:$H$1270,22,Ведомость!$I$5:$I$1270,"А500С",Ведомость!$V$5:$V$1270,"П-отв",Ведомость!$W$5:$W$1270,1)</f>
        <v/>
      </c>
      <c r="Y11" s="35">
        <f>SUMIFS(Ведомость!$N$5:$N$1270,Ведомость!$H$5:$H$1270,22,Ведомость!$I$5:$I$1270,"А500С",Ведомость!$V$5:$V$1270,"П-доп-низ",Ведомость!$W$5:$W$1270,1)</f>
        <v/>
      </c>
      <c r="Z11" s="35">
        <f>SUMIFS(Ведомость!$N$5:$N$1270,Ведомость!$H$5:$H$1270,22,Ведомость!$I$5:$I$1270,"А500С",Ведомость!$V$5:$V$1270,"П-доп-верх",Ведомость!$W$5:$W$1270,1)</f>
        <v/>
      </c>
      <c r="AA11" s="35">
        <f>SUMIFS(Ведомость!$N$5:$N$1270,Ведомость!$H$5:$H$1270,22,Ведомость!$I$5:$I$1270,"А500С",Ведомость!$V$5:$V$1270,"П-край",Ведомость!$W$5:$W$1270,1)</f>
        <v/>
      </c>
      <c r="AB11" s="35">
        <f>SUMIFS(Ведомость!$N$5:$N$1270,Ведомость!$H$5:$H$1270,22,Ведомость!$I$5:$I$1270,"А500С",Ведомость!$V$5:$V$1270,"С-1",Ведомость!$W$5:$W$1270,1)</f>
        <v/>
      </c>
      <c r="AC11" s="35">
        <f>SUMIFS(Ведомость!$N$5:$N$1270,Ведомость!$H$5:$H$1270,22,Ведомость!$I$5:$I$1270,"А500С",Ведомость!$V$5:$V$1270,"Л1",Ведомость!$W$5:$W$1270,1)</f>
        <v/>
      </c>
      <c r="AD11" s="35">
        <f>SUMIFS(Ведомость!$N$5:$N$1270,Ведомость!$H$5:$H$1270,22,Ведомость!$I$5:$I$1270,"А500С",Ведомость!$V$5:$V$1270,"Л2",Ведомость!$W$5:$W$1270,1)</f>
        <v/>
      </c>
      <c r="AE11" s="35">
        <f>SUMIFS(Ведомость!$N$5:$N$1270,Ведомость!$H$5:$H$1270,22,Ведомость!$I$5:$I$1270,"А500С",Ведомость!$V$5:$V$1270,"Л-пл",Ведомость!$W$5:$W$1270,1)</f>
        <v/>
      </c>
      <c r="AF11" s="35">
        <f>SUMIFS(Ведомость!$N$5:$N$1270,Ведомость!$H$5:$H$1270,22,Ведомость!$I$5:$I$1270,"А500С",Ведомость!$V$5:$V$1270,"Л-рама",Ведомость!$W$5:$W$1270,1)</f>
        <v/>
      </c>
      <c r="AG11" s="36">
        <f>SUM(B11:AF11)</f>
        <v/>
      </c>
      <c r="AH11" s="37">
        <f>IFERROR(INDEX(Исходные!$B$19:$B$31,MATCH(22,Исходные!$A$19:$A$31,0)),0)</f>
        <v/>
      </c>
      <c r="AI11" s="36">
        <f>AG11*AH11*$AJ$2</f>
        <v/>
      </c>
      <c r="AJ11" s="38">
        <f>SUM(B11:D11,F11,H11,J11:M11)</f>
        <v/>
      </c>
      <c r="AK11" s="39">
        <f>AH11</f>
        <v/>
      </c>
      <c r="AL11" s="40">
        <f>AJ11*AK11*$AJ$2</f>
        <v/>
      </c>
      <c r="AM11" s="38">
        <f>SUM(E11,G11,I11,N11:AB11)</f>
        <v/>
      </c>
      <c r="AN11" s="39">
        <f>AH11</f>
        <v/>
      </c>
      <c r="AO11" s="40">
        <f>AM11*AN11*$AJ$2</f>
        <v/>
      </c>
      <c r="AP11" s="38">
        <f>SUM(AC11:AF11)</f>
        <v/>
      </c>
      <c r="AQ11" s="39">
        <f>AH11</f>
        <v/>
      </c>
      <c r="AR11" s="40">
        <f>AP11*AQ11*$AJ$2</f>
        <v/>
      </c>
    </row>
    <row r="12">
      <c r="A12" s="6" t="inlineStr">
        <is>
          <t>Диаметр 20 А500С, L=м.п.</t>
        </is>
      </c>
      <c r="B12" s="35">
        <f>SUMIFS(Ведомость!$N$5:$N$1270,Ведомость!$H$5:$H$1270,20,Ведомость!$I$5:$I$1270,"А500С",Ведомость!$V$5:$V$1270,"Дм-1",Ведомость!$W$5:$W$1270,1)</f>
        <v/>
      </c>
      <c r="C12" s="35">
        <f>SUMIFS(Ведомость!$N$5:$N$1270,Ведомость!$H$5:$H$1270,20,Ведомость!$I$5:$I$1270,"А500С",Ведомость!$V$5:$V$1270,"Дм-2",Ведомость!$W$5:$W$1270,1)</f>
        <v/>
      </c>
      <c r="D12" s="35">
        <f>SUMIFS(Ведомость!$N$5:$N$1270,Ведомость!$H$5:$H$1270,20,Ведомость!$I$5:$I$1270,"А500С",Ведомость!$V$5:$V$1270,"К-А",Ведомость!$W$5:$W$1270,1)</f>
        <v/>
      </c>
      <c r="E12" s="35">
        <f>SUMIFS(Ведомость!$N$5:$N$1270,Ведомость!$H$5:$H$1270,20,Ведомость!$I$5:$I$1270,"А500С",Ведомость!$V$5:$V$1270,"Р-А",Ведомость!$W$5:$W$1270,1)</f>
        <v/>
      </c>
      <c r="F12" s="35">
        <f>SUMIFS(Ведомость!$N$5:$N$1270,Ведомость!$H$5:$H$1270,20,Ведомость!$I$5:$I$1270,"А500С",Ведомость!$V$5:$V$1270,"К-Б",Ведомость!$W$5:$W$1270,1)</f>
        <v/>
      </c>
      <c r="G12" s="35">
        <f>SUMIFS(Ведомость!$N$5:$N$1270,Ведомость!$H$5:$H$1270,20,Ведомость!$I$5:$I$1270,"А500С",Ведомость!$V$5:$V$1270,"Р-Б",Ведомость!$W$5:$W$1270,1)</f>
        <v/>
      </c>
      <c r="H12" s="35">
        <f>SUMIFS(Ведомость!$N$5:$N$1270,Ведомость!$H$5:$H$1270,20,Ведомость!$I$5:$I$1270,"А500С",Ведомость!$V$5:$V$1270,"К-В",Ведомость!$W$5:$W$1270,1)</f>
        <v/>
      </c>
      <c r="I12" s="35">
        <f>SUMIFS(Ведомость!$N$5:$N$1270,Ведомость!$H$5:$H$1270,20,Ведомость!$I$5:$I$1270,"А500С",Ведомость!$V$5:$V$1270,"Р-В",Ведомость!$W$5:$W$1270,1)</f>
        <v/>
      </c>
      <c r="J12" s="35">
        <f>SUMIFS(Ведомость!$N$5:$N$1270,Ведомость!$H$5:$H$1270,20,Ведомость!$I$5:$I$1270,"А500С",Ведомость!$V$5:$V$1270,"К-Г",Ведомость!$W$5:$W$1270,1)</f>
        <v/>
      </c>
      <c r="K12" s="35">
        <f>SUMIFS(Ведомость!$N$5:$N$1270,Ведомость!$H$5:$H$1270,20,Ведомость!$I$5:$I$1270,"А500С",Ведомость!$V$5:$V$1270,"Дм-3",Ведомость!$W$5:$W$1270,1)</f>
        <v/>
      </c>
      <c r="L12" s="35">
        <f>SUMIFS(Ведомость!$N$5:$N$1270,Ведомость!$H$5:$H$1270,20,Ведомость!$I$5:$I$1270,"А500С",Ведомость!$V$5:$V$1270,"Дм-4",Ведомость!$W$5:$W$1270,1)</f>
        <v/>
      </c>
      <c r="M12" s="35">
        <f>SUMIFS(Ведомость!$N$5:$N$1270,Ведомость!$H$5:$H$1270,20,Ведомость!$I$5:$I$1270,"А500С",Ведомость!$V$5:$V$1270,"Дм-5",Ведомость!$W$5:$W$1270,1)</f>
        <v/>
      </c>
      <c r="N12" s="35">
        <f>SUMIFS(Ведомость!$N$5:$N$1270,Ведомость!$H$5:$H$1270,20,Ведомость!$I$5:$I$1270,"А500С",Ведомость!$V$5:$V$1270,"Р-Г",Ведомость!$W$5:$W$1270,1)</f>
        <v/>
      </c>
      <c r="O12" s="35">
        <f>SUMIFS(Ведомость!$N$5:$N$1270,Ведомость!$H$5:$H$1270,20,Ведомость!$I$5:$I$1270,"А500С",Ведомость!$V$5:$V$1270,"Р-1, 5",Ведомость!$W$5:$W$1270,1)</f>
        <v/>
      </c>
      <c r="P12" s="35">
        <f>SUMIFS(Ведомость!$N$5:$N$1270,Ведомость!$H$5:$H$1270,20,Ведомость!$I$5:$I$1270,"А500С",Ведомость!$V$5:$V$1270,"Р-2",Ведомость!$W$5:$W$1270,1)</f>
        <v/>
      </c>
      <c r="Q12" s="35">
        <f>SUMIFS(Ведомость!$N$5:$N$1270,Ведомость!$H$5:$H$1270,20,Ведомость!$I$5:$I$1270,"А500С",Ведомость!$V$5:$V$1270,"Р-3",Ведомость!$W$5:$W$1270,1)</f>
        <v/>
      </c>
      <c r="R12" s="35">
        <f>SUMIFS(Ведомость!$N$5:$N$1270,Ведомость!$H$5:$H$1270,20,Ведомость!$I$5:$I$1270,"А500С",Ведомость!$V$5:$V$1270,"Р-4",Ведомость!$W$5:$W$1270,1)</f>
        <v/>
      </c>
      <c r="S12" s="35">
        <f>SUMIFS(Ведомость!$N$5:$N$1270,Ведомость!$H$5:$H$1270,20,Ведомость!$I$5:$I$1270,"А500С",Ведомость!$V$5:$V$1270,"Б-основная",Ведомость!$W$5:$W$1270,1)</f>
        <v/>
      </c>
      <c r="T12" s="35">
        <f>SUMIFS(Ведомость!$N$5:$N$1270,Ведомость!$H$5:$H$1270,20,Ведомость!$I$5:$I$1270,"А500С",Ведомость!$V$5:$V$1270,"Б-хомуты",Ведомость!$W$5:$W$1270,1)</f>
        <v/>
      </c>
      <c r="U12" s="35">
        <f>SUMIFS(Ведомость!$N$5:$N$1270,Ведомость!$H$5:$H$1270,20,Ведомость!$I$5:$I$1270,"А500С",Ведомость!$V$5:$V$1270,"Б-допник",Ведомость!$W$5:$W$1270,1)</f>
        <v/>
      </c>
      <c r="V12" s="35">
        <f>SUMIFS(Ведомость!$N$5:$N$1270,Ведомость!$H$5:$H$1270,20,Ведомость!$I$5:$I$1270,"А500С",Ведомость!$V$5:$V$1270,"П-сетка",Ведомость!$W$5:$W$1270,1)</f>
        <v/>
      </c>
      <c r="W12" s="35">
        <f>SUMIFS(Ведомость!$N$5:$N$1270,Ведомость!$H$5:$H$1270,20,Ведомость!$I$5:$I$1270,"А500С",Ведомость!$V$5:$V$1270,"П-фикс",Ведомость!$W$5:$W$1270,1)</f>
        <v/>
      </c>
      <c r="X12" s="35">
        <f>SUMIFS(Ведомость!$N$5:$N$1270,Ведомость!$H$5:$H$1270,20,Ведомость!$I$5:$I$1270,"А500С",Ведомость!$V$5:$V$1270,"П-отв",Ведомость!$W$5:$W$1270,1)</f>
        <v/>
      </c>
      <c r="Y12" s="35">
        <f>SUMIFS(Ведомость!$N$5:$N$1270,Ведомость!$H$5:$H$1270,20,Ведомость!$I$5:$I$1270,"А500С",Ведомость!$V$5:$V$1270,"П-доп-низ",Ведомость!$W$5:$W$1270,1)</f>
        <v/>
      </c>
      <c r="Z12" s="35">
        <f>SUMIFS(Ведомость!$N$5:$N$1270,Ведомость!$H$5:$H$1270,20,Ведомость!$I$5:$I$1270,"А500С",Ведомость!$V$5:$V$1270,"П-доп-верх",Ведомость!$W$5:$W$1270,1)</f>
        <v/>
      </c>
      <c r="AA12" s="35">
        <f>SUMIFS(Ведомость!$N$5:$N$1270,Ведомость!$H$5:$H$1270,20,Ведомость!$I$5:$I$1270,"А500С",Ведомость!$V$5:$V$1270,"П-край",Ведомость!$W$5:$W$1270,1)</f>
        <v/>
      </c>
      <c r="AB12" s="35">
        <f>SUMIFS(Ведомость!$N$5:$N$1270,Ведомость!$H$5:$H$1270,20,Ведомость!$I$5:$I$1270,"А500С",Ведомость!$V$5:$V$1270,"С-1",Ведомость!$W$5:$W$1270,1)</f>
        <v/>
      </c>
      <c r="AC12" s="35">
        <f>SUMIFS(Ведомость!$N$5:$N$1270,Ведомость!$H$5:$H$1270,20,Ведомость!$I$5:$I$1270,"А500С",Ведомость!$V$5:$V$1270,"Л1",Ведомость!$W$5:$W$1270,1)</f>
        <v/>
      </c>
      <c r="AD12" s="35">
        <f>SUMIFS(Ведомость!$N$5:$N$1270,Ведомость!$H$5:$H$1270,20,Ведомость!$I$5:$I$1270,"А500С",Ведомость!$V$5:$V$1270,"Л2",Ведомость!$W$5:$W$1270,1)</f>
        <v/>
      </c>
      <c r="AE12" s="35">
        <f>SUMIFS(Ведомость!$N$5:$N$1270,Ведомость!$H$5:$H$1270,20,Ведомость!$I$5:$I$1270,"А500С",Ведомость!$V$5:$V$1270,"Л-пл",Ведомость!$W$5:$W$1270,1)</f>
        <v/>
      </c>
      <c r="AF12" s="35">
        <f>SUMIFS(Ведомость!$N$5:$N$1270,Ведомость!$H$5:$H$1270,20,Ведомость!$I$5:$I$1270,"А500С",Ведомость!$V$5:$V$1270,"Л-рама",Ведомость!$W$5:$W$1270,1)</f>
        <v/>
      </c>
      <c r="AG12" s="36">
        <f>SUM(B12:AF12)</f>
        <v/>
      </c>
      <c r="AH12" s="37">
        <f>IFERROR(INDEX(Исходные!$B$19:$B$31,MATCH(20,Исходные!$A$19:$A$31,0)),0)</f>
        <v/>
      </c>
      <c r="AI12" s="36">
        <f>AG12*AH12*$AJ$2</f>
        <v/>
      </c>
      <c r="AJ12" s="38">
        <f>SUM(B12:D12,F12,H12,J12:M12)</f>
        <v/>
      </c>
      <c r="AK12" s="39">
        <f>AH12</f>
        <v/>
      </c>
      <c r="AL12" s="40">
        <f>AJ12*AK12*$AJ$2</f>
        <v/>
      </c>
      <c r="AM12" s="38">
        <f>SUM(E12,G12,I12,N12:AB12)</f>
        <v/>
      </c>
      <c r="AN12" s="39">
        <f>AH12</f>
        <v/>
      </c>
      <c r="AO12" s="40">
        <f>AM12*AN12*$AJ$2</f>
        <v/>
      </c>
      <c r="AP12" s="38">
        <f>SUM(AC12:AF12)</f>
        <v/>
      </c>
      <c r="AQ12" s="39">
        <f>AH12</f>
        <v/>
      </c>
      <c r="AR12" s="40">
        <f>AP12*AQ12*$AJ$2</f>
        <v/>
      </c>
    </row>
    <row r="13">
      <c r="A13" s="6" t="inlineStr">
        <is>
          <t>Диаметр 18 А500С, L=м.п.</t>
        </is>
      </c>
      <c r="B13" s="35">
        <f>SUMIFS(Ведомость!$N$5:$N$1270,Ведомость!$H$5:$H$1270,18,Ведомость!$I$5:$I$1270,"А500С",Ведомость!$V$5:$V$1270,"Дм-1",Ведомость!$W$5:$W$1270,1)</f>
        <v/>
      </c>
      <c r="C13" s="35">
        <f>SUMIFS(Ведомость!$N$5:$N$1270,Ведомость!$H$5:$H$1270,18,Ведомость!$I$5:$I$1270,"А500С",Ведомость!$V$5:$V$1270,"Дм-2",Ведомость!$W$5:$W$1270,1)</f>
        <v/>
      </c>
      <c r="D13" s="35">
        <f>SUMIFS(Ведомость!$N$5:$N$1270,Ведомость!$H$5:$H$1270,18,Ведомость!$I$5:$I$1270,"А500С",Ведомость!$V$5:$V$1270,"К-А",Ведомость!$W$5:$W$1270,1)</f>
        <v/>
      </c>
      <c r="E13" s="35">
        <f>SUMIFS(Ведомость!$N$5:$N$1270,Ведомость!$H$5:$H$1270,18,Ведомость!$I$5:$I$1270,"А500С",Ведомость!$V$5:$V$1270,"Р-А",Ведомость!$W$5:$W$1270,1)</f>
        <v/>
      </c>
      <c r="F13" s="35">
        <f>SUMIFS(Ведомость!$N$5:$N$1270,Ведомость!$H$5:$H$1270,18,Ведомость!$I$5:$I$1270,"А500С",Ведомость!$V$5:$V$1270,"К-Б",Ведомость!$W$5:$W$1270,1)</f>
        <v/>
      </c>
      <c r="G13" s="35">
        <f>SUMIFS(Ведомость!$N$5:$N$1270,Ведомость!$H$5:$H$1270,18,Ведомость!$I$5:$I$1270,"А500С",Ведомость!$V$5:$V$1270,"Р-Б",Ведомость!$W$5:$W$1270,1)</f>
        <v/>
      </c>
      <c r="H13" s="35">
        <f>SUMIFS(Ведомость!$N$5:$N$1270,Ведомость!$H$5:$H$1270,18,Ведомость!$I$5:$I$1270,"А500С",Ведомость!$V$5:$V$1270,"К-В",Ведомость!$W$5:$W$1270,1)</f>
        <v/>
      </c>
      <c r="I13" s="35">
        <f>SUMIFS(Ведомость!$N$5:$N$1270,Ведомость!$H$5:$H$1270,18,Ведомость!$I$5:$I$1270,"А500С",Ведомость!$V$5:$V$1270,"Р-В",Ведомость!$W$5:$W$1270,1)</f>
        <v/>
      </c>
      <c r="J13" s="35">
        <f>SUMIFS(Ведомость!$N$5:$N$1270,Ведомость!$H$5:$H$1270,18,Ведомость!$I$5:$I$1270,"А500С",Ведомость!$V$5:$V$1270,"К-Г",Ведомость!$W$5:$W$1270,1)</f>
        <v/>
      </c>
      <c r="K13" s="35">
        <f>SUMIFS(Ведомость!$N$5:$N$1270,Ведомость!$H$5:$H$1270,18,Ведомость!$I$5:$I$1270,"А500С",Ведомость!$V$5:$V$1270,"Дм-3",Ведомость!$W$5:$W$1270,1)</f>
        <v/>
      </c>
      <c r="L13" s="35">
        <f>SUMIFS(Ведомость!$N$5:$N$1270,Ведомость!$H$5:$H$1270,18,Ведомость!$I$5:$I$1270,"А500С",Ведомость!$V$5:$V$1270,"Дм-4",Ведомость!$W$5:$W$1270,1)</f>
        <v/>
      </c>
      <c r="M13" s="35">
        <f>SUMIFS(Ведомость!$N$5:$N$1270,Ведомость!$H$5:$H$1270,18,Ведомость!$I$5:$I$1270,"А500С",Ведомость!$V$5:$V$1270,"Дм-5",Ведомость!$W$5:$W$1270,1)</f>
        <v/>
      </c>
      <c r="N13" s="35">
        <f>SUMIFS(Ведомость!$N$5:$N$1270,Ведомость!$H$5:$H$1270,18,Ведомость!$I$5:$I$1270,"А500С",Ведомость!$V$5:$V$1270,"Р-Г",Ведомость!$W$5:$W$1270,1)</f>
        <v/>
      </c>
      <c r="O13" s="35">
        <f>SUMIFS(Ведомость!$N$5:$N$1270,Ведомость!$H$5:$H$1270,18,Ведомость!$I$5:$I$1270,"А500С",Ведомость!$V$5:$V$1270,"Р-1, 5",Ведомость!$W$5:$W$1270,1)</f>
        <v/>
      </c>
      <c r="P13" s="35">
        <f>SUMIFS(Ведомость!$N$5:$N$1270,Ведомость!$H$5:$H$1270,18,Ведомость!$I$5:$I$1270,"А500С",Ведомость!$V$5:$V$1270,"Р-2",Ведомость!$W$5:$W$1270,1)</f>
        <v/>
      </c>
      <c r="Q13" s="35">
        <f>SUMIFS(Ведомость!$N$5:$N$1270,Ведомость!$H$5:$H$1270,18,Ведомость!$I$5:$I$1270,"А500С",Ведомость!$V$5:$V$1270,"Р-3",Ведомость!$W$5:$W$1270,1)</f>
        <v/>
      </c>
      <c r="R13" s="35">
        <f>SUMIFS(Ведомость!$N$5:$N$1270,Ведомость!$H$5:$H$1270,18,Ведомость!$I$5:$I$1270,"А500С",Ведомость!$V$5:$V$1270,"Р-4",Ведомость!$W$5:$W$1270,1)</f>
        <v/>
      </c>
      <c r="S13" s="35">
        <f>SUMIFS(Ведомость!$N$5:$N$1270,Ведомость!$H$5:$H$1270,18,Ведомость!$I$5:$I$1270,"А500С",Ведомость!$V$5:$V$1270,"Б-основная",Ведомость!$W$5:$W$1270,1)</f>
        <v/>
      </c>
      <c r="T13" s="35">
        <f>SUMIFS(Ведомость!$N$5:$N$1270,Ведомость!$H$5:$H$1270,18,Ведомость!$I$5:$I$1270,"А500С",Ведомость!$V$5:$V$1270,"Б-хомуты",Ведомость!$W$5:$W$1270,1)</f>
        <v/>
      </c>
      <c r="U13" s="35">
        <f>SUMIFS(Ведомость!$N$5:$N$1270,Ведомость!$H$5:$H$1270,18,Ведомость!$I$5:$I$1270,"А500С",Ведомость!$V$5:$V$1270,"Б-допник",Ведомость!$W$5:$W$1270,1)</f>
        <v/>
      </c>
      <c r="V13" s="35">
        <f>SUMIFS(Ведомость!$N$5:$N$1270,Ведомость!$H$5:$H$1270,18,Ведомость!$I$5:$I$1270,"А500С",Ведомость!$V$5:$V$1270,"П-сетка",Ведомость!$W$5:$W$1270,1)</f>
        <v/>
      </c>
      <c r="W13" s="35">
        <f>SUMIFS(Ведомость!$N$5:$N$1270,Ведомость!$H$5:$H$1270,18,Ведомость!$I$5:$I$1270,"А500С",Ведомость!$V$5:$V$1270,"П-фикс",Ведомость!$W$5:$W$1270,1)</f>
        <v/>
      </c>
      <c r="X13" s="35">
        <f>SUMIFS(Ведомость!$N$5:$N$1270,Ведомость!$H$5:$H$1270,18,Ведомость!$I$5:$I$1270,"А500С",Ведомость!$V$5:$V$1270,"П-отв",Ведомость!$W$5:$W$1270,1)</f>
        <v/>
      </c>
      <c r="Y13" s="35">
        <f>SUMIFS(Ведомость!$N$5:$N$1270,Ведомость!$H$5:$H$1270,18,Ведомость!$I$5:$I$1270,"А500С",Ведомость!$V$5:$V$1270,"П-доп-низ",Ведомость!$W$5:$W$1270,1)</f>
        <v/>
      </c>
      <c r="Z13" s="35">
        <f>SUMIFS(Ведомость!$N$5:$N$1270,Ведомость!$H$5:$H$1270,18,Ведомость!$I$5:$I$1270,"А500С",Ведомость!$V$5:$V$1270,"П-доп-верх",Ведомость!$W$5:$W$1270,1)</f>
        <v/>
      </c>
      <c r="AA13" s="35">
        <f>SUMIFS(Ведомость!$N$5:$N$1270,Ведомость!$H$5:$H$1270,18,Ведомость!$I$5:$I$1270,"А500С",Ведомость!$V$5:$V$1270,"П-край",Ведомость!$W$5:$W$1270,1)</f>
        <v/>
      </c>
      <c r="AB13" s="35">
        <f>SUMIFS(Ведомость!$N$5:$N$1270,Ведомость!$H$5:$H$1270,18,Ведомость!$I$5:$I$1270,"А500С",Ведомость!$V$5:$V$1270,"С-1",Ведомость!$W$5:$W$1270,1)</f>
        <v/>
      </c>
      <c r="AC13" s="35">
        <f>SUMIFS(Ведомость!$N$5:$N$1270,Ведомость!$H$5:$H$1270,18,Ведомость!$I$5:$I$1270,"А500С",Ведомость!$V$5:$V$1270,"Л1",Ведомость!$W$5:$W$1270,1)</f>
        <v/>
      </c>
      <c r="AD13" s="35">
        <f>SUMIFS(Ведомость!$N$5:$N$1270,Ведомость!$H$5:$H$1270,18,Ведомость!$I$5:$I$1270,"А500С",Ведомость!$V$5:$V$1270,"Л2",Ведомость!$W$5:$W$1270,1)</f>
        <v/>
      </c>
      <c r="AE13" s="35">
        <f>SUMIFS(Ведомость!$N$5:$N$1270,Ведомость!$H$5:$H$1270,18,Ведомость!$I$5:$I$1270,"А500С",Ведомость!$V$5:$V$1270,"Л-пл",Ведомость!$W$5:$W$1270,1)</f>
        <v/>
      </c>
      <c r="AF13" s="35">
        <f>SUMIFS(Ведомость!$N$5:$N$1270,Ведомость!$H$5:$H$1270,18,Ведомость!$I$5:$I$1270,"А500С",Ведомость!$V$5:$V$1270,"Л-рама",Ведомость!$W$5:$W$1270,1)</f>
        <v/>
      </c>
      <c r="AG13" s="36">
        <f>SUM(B13:AF13)</f>
        <v/>
      </c>
      <c r="AH13" s="37">
        <f>IFERROR(INDEX(Исходные!$B$19:$B$31,MATCH(18,Исходные!$A$19:$A$31,0)),0)</f>
        <v/>
      </c>
      <c r="AI13" s="36">
        <f>AG13*AH13*$AJ$2</f>
        <v/>
      </c>
      <c r="AJ13" s="38">
        <f>SUM(B13:D13,F13,H13,J13:M13)</f>
        <v/>
      </c>
      <c r="AK13" s="39">
        <f>AH13</f>
        <v/>
      </c>
      <c r="AL13" s="40">
        <f>AJ13*AK13*$AJ$2</f>
        <v/>
      </c>
      <c r="AM13" s="38">
        <f>SUM(E13,G13,I13,N13:AB13)</f>
        <v/>
      </c>
      <c r="AN13" s="39">
        <f>AH13</f>
        <v/>
      </c>
      <c r="AO13" s="40">
        <f>AM13*AN13*$AJ$2</f>
        <v/>
      </c>
      <c r="AP13" s="38">
        <f>SUM(AC13:AF13)</f>
        <v/>
      </c>
      <c r="AQ13" s="39">
        <f>AH13</f>
        <v/>
      </c>
      <c r="AR13" s="40">
        <f>AP13*AQ13*$AJ$2</f>
        <v/>
      </c>
    </row>
    <row r="14">
      <c r="A14" s="6" t="inlineStr">
        <is>
          <t>Диаметр 16 А500С, L=м.п.</t>
        </is>
      </c>
      <c r="B14" s="35">
        <f>SUMIFS(Ведомость!$N$5:$N$1270,Ведомость!$H$5:$H$1270,16,Ведомость!$I$5:$I$1270,"А500С",Ведомость!$V$5:$V$1270,"Дм-1",Ведомость!$W$5:$W$1270,1)</f>
        <v/>
      </c>
      <c r="C14" s="35">
        <f>SUMIFS(Ведомость!$N$5:$N$1270,Ведомость!$H$5:$H$1270,16,Ведомость!$I$5:$I$1270,"А500С",Ведомость!$V$5:$V$1270,"Дм-2",Ведомость!$W$5:$W$1270,1)</f>
        <v/>
      </c>
      <c r="D14" s="35">
        <f>SUMIFS(Ведомость!$N$5:$N$1270,Ведомость!$H$5:$H$1270,16,Ведомость!$I$5:$I$1270,"А500С",Ведомость!$V$5:$V$1270,"К-А",Ведомость!$W$5:$W$1270,1)</f>
        <v/>
      </c>
      <c r="E14" s="35">
        <f>SUMIFS(Ведомость!$N$5:$N$1270,Ведомость!$H$5:$H$1270,16,Ведомость!$I$5:$I$1270,"А500С",Ведомость!$V$5:$V$1270,"Р-А",Ведомость!$W$5:$W$1270,1)</f>
        <v/>
      </c>
      <c r="F14" s="35">
        <f>SUMIFS(Ведомость!$N$5:$N$1270,Ведомость!$H$5:$H$1270,16,Ведомость!$I$5:$I$1270,"А500С",Ведомость!$V$5:$V$1270,"К-Б",Ведомость!$W$5:$W$1270,1)</f>
        <v/>
      </c>
      <c r="G14" s="35">
        <f>SUMIFS(Ведомость!$N$5:$N$1270,Ведомость!$H$5:$H$1270,16,Ведомость!$I$5:$I$1270,"А500С",Ведомость!$V$5:$V$1270,"Р-Б",Ведомость!$W$5:$W$1270,1)</f>
        <v/>
      </c>
      <c r="H14" s="35">
        <f>SUMIFS(Ведомость!$N$5:$N$1270,Ведомость!$H$5:$H$1270,16,Ведомость!$I$5:$I$1270,"А500С",Ведомость!$V$5:$V$1270,"К-В",Ведомость!$W$5:$W$1270,1)</f>
        <v/>
      </c>
      <c r="I14" s="35">
        <f>SUMIFS(Ведомость!$N$5:$N$1270,Ведомость!$H$5:$H$1270,16,Ведомость!$I$5:$I$1270,"А500С",Ведомость!$V$5:$V$1270,"Р-В",Ведомость!$W$5:$W$1270,1)</f>
        <v/>
      </c>
      <c r="J14" s="35">
        <f>SUMIFS(Ведомость!$N$5:$N$1270,Ведомость!$H$5:$H$1270,16,Ведомость!$I$5:$I$1270,"А500С",Ведомость!$V$5:$V$1270,"К-Г",Ведомость!$W$5:$W$1270,1)</f>
        <v/>
      </c>
      <c r="K14" s="35">
        <f>SUMIFS(Ведомость!$N$5:$N$1270,Ведомость!$H$5:$H$1270,16,Ведомость!$I$5:$I$1270,"А500С",Ведомость!$V$5:$V$1270,"Дм-3",Ведомость!$W$5:$W$1270,1)</f>
        <v/>
      </c>
      <c r="L14" s="35">
        <f>SUMIFS(Ведомость!$N$5:$N$1270,Ведомость!$H$5:$H$1270,16,Ведомость!$I$5:$I$1270,"А500С",Ведомость!$V$5:$V$1270,"Дм-4",Ведомость!$W$5:$W$1270,1)</f>
        <v/>
      </c>
      <c r="M14" s="35">
        <f>SUMIFS(Ведомость!$N$5:$N$1270,Ведомость!$H$5:$H$1270,16,Ведомость!$I$5:$I$1270,"А500С",Ведомость!$V$5:$V$1270,"Дм-5",Ведомость!$W$5:$W$1270,1)</f>
        <v/>
      </c>
      <c r="N14" s="35">
        <f>SUMIFS(Ведомость!$N$5:$N$1270,Ведомость!$H$5:$H$1270,16,Ведомость!$I$5:$I$1270,"А500С",Ведомость!$V$5:$V$1270,"Р-Г",Ведомость!$W$5:$W$1270,1)</f>
        <v/>
      </c>
      <c r="O14" s="35">
        <f>SUMIFS(Ведомость!$N$5:$N$1270,Ведомость!$H$5:$H$1270,16,Ведомость!$I$5:$I$1270,"А500С",Ведомость!$V$5:$V$1270,"Р-1, 5",Ведомость!$W$5:$W$1270,1)</f>
        <v/>
      </c>
      <c r="P14" s="35">
        <f>SUMIFS(Ведомость!$N$5:$N$1270,Ведомость!$H$5:$H$1270,16,Ведомость!$I$5:$I$1270,"А500С",Ведомость!$V$5:$V$1270,"Р-2",Ведомость!$W$5:$W$1270,1)</f>
        <v/>
      </c>
      <c r="Q14" s="35">
        <f>SUMIFS(Ведомость!$N$5:$N$1270,Ведомость!$H$5:$H$1270,16,Ведомость!$I$5:$I$1270,"А500С",Ведомость!$V$5:$V$1270,"Р-3",Ведомость!$W$5:$W$1270,1)</f>
        <v/>
      </c>
      <c r="R14" s="35">
        <f>SUMIFS(Ведомость!$N$5:$N$1270,Ведомость!$H$5:$H$1270,16,Ведомость!$I$5:$I$1270,"А500С",Ведомость!$V$5:$V$1270,"Р-4",Ведомость!$W$5:$W$1270,1)</f>
        <v/>
      </c>
      <c r="S14" s="35">
        <f>SUMIFS(Ведомость!$N$5:$N$1270,Ведомость!$H$5:$H$1270,16,Ведомость!$I$5:$I$1270,"А500С",Ведомость!$V$5:$V$1270,"Б-основная",Ведомость!$W$5:$W$1270,1)</f>
        <v/>
      </c>
      <c r="T14" s="35">
        <f>SUMIFS(Ведомость!$N$5:$N$1270,Ведомость!$H$5:$H$1270,16,Ведомость!$I$5:$I$1270,"А500С",Ведомость!$V$5:$V$1270,"Б-хомуты",Ведомость!$W$5:$W$1270,1)</f>
        <v/>
      </c>
      <c r="U14" s="35">
        <f>SUMIFS(Ведомость!$N$5:$N$1270,Ведомость!$H$5:$H$1270,16,Ведомость!$I$5:$I$1270,"А500С",Ведомость!$V$5:$V$1270,"Б-допник",Ведомость!$W$5:$W$1270,1)</f>
        <v/>
      </c>
      <c r="V14" s="35">
        <f>SUMIFS(Ведомость!$N$5:$N$1270,Ведомость!$H$5:$H$1270,16,Ведомость!$I$5:$I$1270,"А500С",Ведомость!$V$5:$V$1270,"П-сетка",Ведомость!$W$5:$W$1270,1)</f>
        <v/>
      </c>
      <c r="W14" s="35">
        <f>SUMIFS(Ведомость!$N$5:$N$1270,Ведомость!$H$5:$H$1270,16,Ведомость!$I$5:$I$1270,"А500С",Ведомость!$V$5:$V$1270,"П-фикс",Ведомость!$W$5:$W$1270,1)</f>
        <v/>
      </c>
      <c r="X14" s="35">
        <f>SUMIFS(Ведомость!$N$5:$N$1270,Ведомость!$H$5:$H$1270,16,Ведомость!$I$5:$I$1270,"А500С",Ведомость!$V$5:$V$1270,"П-отв",Ведомость!$W$5:$W$1270,1)</f>
        <v/>
      </c>
      <c r="Y14" s="35">
        <f>SUMIFS(Ведомость!$N$5:$N$1270,Ведомость!$H$5:$H$1270,16,Ведомость!$I$5:$I$1270,"А500С",Ведомость!$V$5:$V$1270,"П-доп-низ",Ведомость!$W$5:$W$1270,1)</f>
        <v/>
      </c>
      <c r="Z14" s="35">
        <f>SUMIFS(Ведомость!$N$5:$N$1270,Ведомость!$H$5:$H$1270,16,Ведомость!$I$5:$I$1270,"А500С",Ведомость!$V$5:$V$1270,"П-доп-верх",Ведомость!$W$5:$W$1270,1)</f>
        <v/>
      </c>
      <c r="AA14" s="35">
        <f>SUMIFS(Ведомость!$N$5:$N$1270,Ведомость!$H$5:$H$1270,16,Ведомость!$I$5:$I$1270,"А500С",Ведомость!$V$5:$V$1270,"П-край",Ведомость!$W$5:$W$1270,1)</f>
        <v/>
      </c>
      <c r="AB14" s="35">
        <f>SUMIFS(Ведомость!$N$5:$N$1270,Ведомость!$H$5:$H$1270,16,Ведомость!$I$5:$I$1270,"А500С",Ведомость!$V$5:$V$1270,"С-1",Ведомость!$W$5:$W$1270,1)</f>
        <v/>
      </c>
      <c r="AC14" s="35">
        <f>SUMIFS(Ведомость!$N$5:$N$1270,Ведомость!$H$5:$H$1270,16,Ведомость!$I$5:$I$1270,"А500С",Ведомость!$V$5:$V$1270,"Л1",Ведомость!$W$5:$W$1270,1)</f>
        <v/>
      </c>
      <c r="AD14" s="35">
        <f>SUMIFS(Ведомость!$N$5:$N$1270,Ведомость!$H$5:$H$1270,16,Ведомость!$I$5:$I$1270,"А500С",Ведомость!$V$5:$V$1270,"Л2",Ведомость!$W$5:$W$1270,1)</f>
        <v/>
      </c>
      <c r="AE14" s="35">
        <f>SUMIFS(Ведомость!$N$5:$N$1270,Ведомость!$H$5:$H$1270,16,Ведомость!$I$5:$I$1270,"А500С",Ведомость!$V$5:$V$1270,"Л-пл",Ведомость!$W$5:$W$1270,1)</f>
        <v/>
      </c>
      <c r="AF14" s="35">
        <f>SUMIFS(Ведомость!$N$5:$N$1270,Ведомость!$H$5:$H$1270,16,Ведомость!$I$5:$I$1270,"А500С",Ведомость!$V$5:$V$1270,"Л-рама",Ведомость!$W$5:$W$1270,1)</f>
        <v/>
      </c>
      <c r="AG14" s="36">
        <f>SUM(B14:AF14)</f>
        <v/>
      </c>
      <c r="AH14" s="37">
        <f>IFERROR(INDEX(Исходные!$B$19:$B$31,MATCH(16,Исходные!$A$19:$A$31,0)),0)</f>
        <v/>
      </c>
      <c r="AI14" s="36">
        <f>AG14*AH14*$AJ$2</f>
        <v/>
      </c>
      <c r="AJ14" s="38">
        <f>SUM(B14:D14,F14,H14,J14:M14)</f>
        <v/>
      </c>
      <c r="AK14" s="39">
        <f>AH14</f>
        <v/>
      </c>
      <c r="AL14" s="40">
        <f>AJ14*AK14*$AJ$2</f>
        <v/>
      </c>
      <c r="AM14" s="38">
        <f>SUM(E14,G14,I14,N14:AB14)</f>
        <v/>
      </c>
      <c r="AN14" s="39">
        <f>AH14</f>
        <v/>
      </c>
      <c r="AO14" s="40">
        <f>AM14*AN14*$AJ$2</f>
        <v/>
      </c>
      <c r="AP14" s="38">
        <f>SUM(AC14:AF14)</f>
        <v/>
      </c>
      <c r="AQ14" s="39">
        <f>AH14</f>
        <v/>
      </c>
      <c r="AR14" s="40">
        <f>AP14*AQ14*$AJ$2</f>
        <v/>
      </c>
    </row>
    <row r="15">
      <c r="A15" s="6" t="inlineStr">
        <is>
          <t>Диаметр 14 А500С, L=м.п.</t>
        </is>
      </c>
      <c r="B15" s="35">
        <f>SUMIFS(Ведомость!$N$5:$N$1270,Ведомость!$H$5:$H$1270,14,Ведомость!$I$5:$I$1270,"А500С",Ведомость!$V$5:$V$1270,"Дм-1",Ведомость!$W$5:$W$1270,1)</f>
        <v/>
      </c>
      <c r="C15" s="35">
        <f>SUMIFS(Ведомость!$N$5:$N$1270,Ведомость!$H$5:$H$1270,14,Ведомость!$I$5:$I$1270,"А500С",Ведомость!$V$5:$V$1270,"Дм-2",Ведомость!$W$5:$W$1270,1)</f>
        <v/>
      </c>
      <c r="D15" s="35">
        <f>SUMIFS(Ведомость!$N$5:$N$1270,Ведомость!$H$5:$H$1270,14,Ведомость!$I$5:$I$1270,"А500С",Ведомость!$V$5:$V$1270,"К-А",Ведомость!$W$5:$W$1270,1)</f>
        <v/>
      </c>
      <c r="E15" s="35">
        <f>SUMIFS(Ведомость!$N$5:$N$1270,Ведомость!$H$5:$H$1270,14,Ведомость!$I$5:$I$1270,"А500С",Ведомость!$V$5:$V$1270,"Р-А",Ведомость!$W$5:$W$1270,1)</f>
        <v/>
      </c>
      <c r="F15" s="35">
        <f>SUMIFS(Ведомость!$N$5:$N$1270,Ведомость!$H$5:$H$1270,14,Ведомость!$I$5:$I$1270,"А500С",Ведомость!$V$5:$V$1270,"К-Б",Ведомость!$W$5:$W$1270,1)</f>
        <v/>
      </c>
      <c r="G15" s="35">
        <f>SUMIFS(Ведомость!$N$5:$N$1270,Ведомость!$H$5:$H$1270,14,Ведомость!$I$5:$I$1270,"А500С",Ведомость!$V$5:$V$1270,"Р-Б",Ведомость!$W$5:$W$1270,1)</f>
        <v/>
      </c>
      <c r="H15" s="35">
        <f>SUMIFS(Ведомость!$N$5:$N$1270,Ведомость!$H$5:$H$1270,14,Ведомость!$I$5:$I$1270,"А500С",Ведомость!$V$5:$V$1270,"К-В",Ведомость!$W$5:$W$1270,1)</f>
        <v/>
      </c>
      <c r="I15" s="35">
        <f>SUMIFS(Ведомость!$N$5:$N$1270,Ведомость!$H$5:$H$1270,14,Ведомость!$I$5:$I$1270,"А500С",Ведомость!$V$5:$V$1270,"Р-В",Ведомость!$W$5:$W$1270,1)</f>
        <v/>
      </c>
      <c r="J15" s="35">
        <f>SUMIFS(Ведомость!$N$5:$N$1270,Ведомость!$H$5:$H$1270,14,Ведомость!$I$5:$I$1270,"А500С",Ведомость!$V$5:$V$1270,"К-Г",Ведомость!$W$5:$W$1270,1)</f>
        <v/>
      </c>
      <c r="K15" s="35">
        <f>SUMIFS(Ведомость!$N$5:$N$1270,Ведомость!$H$5:$H$1270,14,Ведомость!$I$5:$I$1270,"А500С",Ведомость!$V$5:$V$1270,"Дм-3",Ведомость!$W$5:$W$1270,1)</f>
        <v/>
      </c>
      <c r="L15" s="35">
        <f>SUMIFS(Ведомость!$N$5:$N$1270,Ведомость!$H$5:$H$1270,14,Ведомость!$I$5:$I$1270,"А500С",Ведомость!$V$5:$V$1270,"Дм-4",Ведомость!$W$5:$W$1270,1)</f>
        <v/>
      </c>
      <c r="M15" s="35">
        <f>SUMIFS(Ведомость!$N$5:$N$1270,Ведомость!$H$5:$H$1270,14,Ведомость!$I$5:$I$1270,"А500С",Ведомость!$V$5:$V$1270,"Дм-5",Ведомость!$W$5:$W$1270,1)</f>
        <v/>
      </c>
      <c r="N15" s="35">
        <f>SUMIFS(Ведомость!$N$5:$N$1270,Ведомость!$H$5:$H$1270,14,Ведомость!$I$5:$I$1270,"А500С",Ведомость!$V$5:$V$1270,"Р-Г",Ведомость!$W$5:$W$1270,1)</f>
        <v/>
      </c>
      <c r="O15" s="35">
        <f>SUMIFS(Ведомость!$N$5:$N$1270,Ведомость!$H$5:$H$1270,14,Ведомость!$I$5:$I$1270,"А500С",Ведомость!$V$5:$V$1270,"Р-1, 5",Ведомость!$W$5:$W$1270,1)</f>
        <v/>
      </c>
      <c r="P15" s="35">
        <f>SUMIFS(Ведомость!$N$5:$N$1270,Ведомость!$H$5:$H$1270,14,Ведомость!$I$5:$I$1270,"А500С",Ведомость!$V$5:$V$1270,"Р-2",Ведомость!$W$5:$W$1270,1)</f>
        <v/>
      </c>
      <c r="Q15" s="35">
        <f>SUMIFS(Ведомость!$N$5:$N$1270,Ведомость!$H$5:$H$1270,14,Ведомость!$I$5:$I$1270,"А500С",Ведомость!$V$5:$V$1270,"Р-3",Ведомость!$W$5:$W$1270,1)</f>
        <v/>
      </c>
      <c r="R15" s="35">
        <f>SUMIFS(Ведомость!$N$5:$N$1270,Ведомость!$H$5:$H$1270,14,Ведомость!$I$5:$I$1270,"А500С",Ведомость!$V$5:$V$1270,"Р-4",Ведомость!$W$5:$W$1270,1)</f>
        <v/>
      </c>
      <c r="S15" s="35">
        <f>SUMIFS(Ведомость!$N$5:$N$1270,Ведомость!$H$5:$H$1270,14,Ведомость!$I$5:$I$1270,"А500С",Ведомость!$V$5:$V$1270,"Б-основная",Ведомость!$W$5:$W$1270,1)</f>
        <v/>
      </c>
      <c r="T15" s="35">
        <f>SUMIFS(Ведомость!$N$5:$N$1270,Ведомость!$H$5:$H$1270,14,Ведомость!$I$5:$I$1270,"А500С",Ведомость!$V$5:$V$1270,"Б-хомуты",Ведомость!$W$5:$W$1270,1)</f>
        <v/>
      </c>
      <c r="U15" s="35">
        <f>SUMIFS(Ведомость!$N$5:$N$1270,Ведомость!$H$5:$H$1270,14,Ведомость!$I$5:$I$1270,"А500С",Ведомость!$V$5:$V$1270,"Б-допник",Ведомость!$W$5:$W$1270,1)</f>
        <v/>
      </c>
      <c r="V15" s="35">
        <f>SUMIFS(Ведомость!$N$5:$N$1270,Ведомость!$H$5:$H$1270,14,Ведомость!$I$5:$I$1270,"А500С",Ведомость!$V$5:$V$1270,"П-сетка",Ведомость!$W$5:$W$1270,1)</f>
        <v/>
      </c>
      <c r="W15" s="35">
        <f>SUMIFS(Ведомость!$N$5:$N$1270,Ведомость!$H$5:$H$1270,14,Ведомость!$I$5:$I$1270,"А500С",Ведомость!$V$5:$V$1270,"П-фикс",Ведомость!$W$5:$W$1270,1)</f>
        <v/>
      </c>
      <c r="X15" s="35">
        <f>SUMIFS(Ведомость!$N$5:$N$1270,Ведомость!$H$5:$H$1270,14,Ведомость!$I$5:$I$1270,"А500С",Ведомость!$V$5:$V$1270,"П-отв",Ведомость!$W$5:$W$1270,1)</f>
        <v/>
      </c>
      <c r="Y15" s="35">
        <f>SUMIFS(Ведомость!$N$5:$N$1270,Ведомость!$H$5:$H$1270,14,Ведомость!$I$5:$I$1270,"А500С",Ведомость!$V$5:$V$1270,"П-доп-низ",Ведомость!$W$5:$W$1270,1)</f>
        <v/>
      </c>
      <c r="Z15" s="35">
        <f>SUMIFS(Ведомость!$N$5:$N$1270,Ведомость!$H$5:$H$1270,14,Ведомость!$I$5:$I$1270,"А500С",Ведомость!$V$5:$V$1270,"П-доп-верх",Ведомость!$W$5:$W$1270,1)</f>
        <v/>
      </c>
      <c r="AA15" s="35">
        <f>SUMIFS(Ведомость!$N$5:$N$1270,Ведомость!$H$5:$H$1270,14,Ведомость!$I$5:$I$1270,"А500С",Ведомость!$V$5:$V$1270,"П-край",Ведомость!$W$5:$W$1270,1)</f>
        <v/>
      </c>
      <c r="AB15" s="35">
        <f>SUMIFS(Ведомость!$N$5:$N$1270,Ведомость!$H$5:$H$1270,14,Ведомость!$I$5:$I$1270,"А500С",Ведомость!$V$5:$V$1270,"С-1",Ведомость!$W$5:$W$1270,1)</f>
        <v/>
      </c>
      <c r="AC15" s="35">
        <f>SUMIFS(Ведомость!$N$5:$N$1270,Ведомость!$H$5:$H$1270,14,Ведомость!$I$5:$I$1270,"А500С",Ведомость!$V$5:$V$1270,"Л1",Ведомость!$W$5:$W$1270,1)</f>
        <v/>
      </c>
      <c r="AD15" s="35">
        <f>SUMIFS(Ведомость!$N$5:$N$1270,Ведомость!$H$5:$H$1270,14,Ведомость!$I$5:$I$1270,"А500С",Ведомость!$V$5:$V$1270,"Л2",Ведомость!$W$5:$W$1270,1)</f>
        <v/>
      </c>
      <c r="AE15" s="35">
        <f>SUMIFS(Ведомость!$N$5:$N$1270,Ведомость!$H$5:$H$1270,14,Ведомость!$I$5:$I$1270,"А500С",Ведомость!$V$5:$V$1270,"Л-пл",Ведомость!$W$5:$W$1270,1)</f>
        <v/>
      </c>
      <c r="AF15" s="35">
        <f>SUMIFS(Ведомость!$N$5:$N$1270,Ведомость!$H$5:$H$1270,14,Ведомость!$I$5:$I$1270,"А500С",Ведомость!$V$5:$V$1270,"Л-рама",Ведомость!$W$5:$W$1270,1)</f>
        <v/>
      </c>
      <c r="AG15" s="36">
        <f>SUM(B15:AF15)</f>
        <v/>
      </c>
      <c r="AH15" s="37">
        <f>IFERROR(INDEX(Исходные!$B$19:$B$31,MATCH(14,Исходные!$A$19:$A$31,0)),0)</f>
        <v/>
      </c>
      <c r="AI15" s="36">
        <f>AG15*AH15*$AJ$2</f>
        <v/>
      </c>
      <c r="AJ15" s="38">
        <f>SUM(B15:D15,F15,H15,J15:M15)</f>
        <v/>
      </c>
      <c r="AK15" s="39">
        <f>AH15</f>
        <v/>
      </c>
      <c r="AL15" s="40">
        <f>AJ15*AK15*$AJ$2</f>
        <v/>
      </c>
      <c r="AM15" s="38">
        <f>SUM(E15,G15,I15,N15:AB15)</f>
        <v/>
      </c>
      <c r="AN15" s="39">
        <f>AH15</f>
        <v/>
      </c>
      <c r="AO15" s="40">
        <f>AM15*AN15*$AJ$2</f>
        <v/>
      </c>
      <c r="AP15" s="38">
        <f>SUM(AC15:AF15)</f>
        <v/>
      </c>
      <c r="AQ15" s="39">
        <f>AH15</f>
        <v/>
      </c>
      <c r="AR15" s="40">
        <f>AP15*AQ15*$AJ$2</f>
        <v/>
      </c>
    </row>
    <row r="16">
      <c r="A16" s="6" t="inlineStr">
        <is>
          <t>Диаметр 12 А500С, L=м.п.</t>
        </is>
      </c>
      <c r="B16" s="35">
        <f>SUMIFS(Ведомость!$N$5:$N$1270,Ведомость!$H$5:$H$1270,12,Ведомость!$I$5:$I$1270,"А500С",Ведомость!$V$5:$V$1270,"Дм-1",Ведомость!$W$5:$W$1270,1)</f>
        <v/>
      </c>
      <c r="C16" s="35">
        <f>SUMIFS(Ведомость!$N$5:$N$1270,Ведомость!$H$5:$H$1270,12,Ведомость!$I$5:$I$1270,"А500С",Ведомость!$V$5:$V$1270,"Дм-2",Ведомость!$W$5:$W$1270,1)</f>
        <v/>
      </c>
      <c r="D16" s="35">
        <f>SUMIFS(Ведомость!$N$5:$N$1270,Ведомость!$H$5:$H$1270,12,Ведомость!$I$5:$I$1270,"А500С",Ведомость!$V$5:$V$1270,"К-А",Ведомость!$W$5:$W$1270,1)</f>
        <v/>
      </c>
      <c r="E16" s="35">
        <f>SUMIFS(Ведомость!$N$5:$N$1270,Ведомость!$H$5:$H$1270,12,Ведомость!$I$5:$I$1270,"А500С",Ведомость!$V$5:$V$1270,"Р-А",Ведомость!$W$5:$W$1270,1)</f>
        <v/>
      </c>
      <c r="F16" s="35">
        <f>SUMIFS(Ведомость!$N$5:$N$1270,Ведомость!$H$5:$H$1270,12,Ведомость!$I$5:$I$1270,"А500С",Ведомость!$V$5:$V$1270,"К-Б",Ведомость!$W$5:$W$1270,1)</f>
        <v/>
      </c>
      <c r="G16" s="35">
        <f>SUMIFS(Ведомость!$N$5:$N$1270,Ведомость!$H$5:$H$1270,12,Ведомость!$I$5:$I$1270,"А500С",Ведомость!$V$5:$V$1270,"Р-Б",Ведомость!$W$5:$W$1270,1)</f>
        <v/>
      </c>
      <c r="H16" s="35">
        <f>SUMIFS(Ведомость!$N$5:$N$1270,Ведомость!$H$5:$H$1270,12,Ведомость!$I$5:$I$1270,"А500С",Ведомость!$V$5:$V$1270,"К-В",Ведомость!$W$5:$W$1270,1)</f>
        <v/>
      </c>
      <c r="I16" s="35">
        <f>SUMIFS(Ведомость!$N$5:$N$1270,Ведомость!$H$5:$H$1270,12,Ведомость!$I$5:$I$1270,"А500С",Ведомость!$V$5:$V$1270,"Р-В",Ведомость!$W$5:$W$1270,1)</f>
        <v/>
      </c>
      <c r="J16" s="35">
        <f>SUMIFS(Ведомость!$N$5:$N$1270,Ведомость!$H$5:$H$1270,12,Ведомость!$I$5:$I$1270,"А500С",Ведомость!$V$5:$V$1270,"К-Г",Ведомость!$W$5:$W$1270,1)</f>
        <v/>
      </c>
      <c r="K16" s="35">
        <f>SUMIFS(Ведомость!$N$5:$N$1270,Ведомость!$H$5:$H$1270,12,Ведомость!$I$5:$I$1270,"А500С",Ведомость!$V$5:$V$1270,"Дм-3",Ведомость!$W$5:$W$1270,1)</f>
        <v/>
      </c>
      <c r="L16" s="35">
        <f>SUMIFS(Ведомость!$N$5:$N$1270,Ведомость!$H$5:$H$1270,12,Ведомость!$I$5:$I$1270,"А500С",Ведомость!$V$5:$V$1270,"Дм-4",Ведомость!$W$5:$W$1270,1)</f>
        <v/>
      </c>
      <c r="M16" s="35">
        <f>SUMIFS(Ведомость!$N$5:$N$1270,Ведомость!$H$5:$H$1270,12,Ведомость!$I$5:$I$1270,"А500С",Ведомость!$V$5:$V$1270,"Дм-5",Ведомость!$W$5:$W$1270,1)</f>
        <v/>
      </c>
      <c r="N16" s="35">
        <f>SUMIFS(Ведомость!$N$5:$N$1270,Ведомость!$H$5:$H$1270,12,Ведомость!$I$5:$I$1270,"А500С",Ведомость!$V$5:$V$1270,"Р-Г",Ведомость!$W$5:$W$1270,1)</f>
        <v/>
      </c>
      <c r="O16" s="35">
        <f>SUMIFS(Ведомость!$N$5:$N$1270,Ведомость!$H$5:$H$1270,12,Ведомость!$I$5:$I$1270,"А500С",Ведомость!$V$5:$V$1270,"Р-1, 5",Ведомость!$W$5:$W$1270,1)</f>
        <v/>
      </c>
      <c r="P16" s="35">
        <f>SUMIFS(Ведомость!$N$5:$N$1270,Ведомость!$H$5:$H$1270,12,Ведомость!$I$5:$I$1270,"А500С",Ведомость!$V$5:$V$1270,"Р-2",Ведомость!$W$5:$W$1270,1)</f>
        <v/>
      </c>
      <c r="Q16" s="35">
        <f>SUMIFS(Ведомость!$N$5:$N$1270,Ведомость!$H$5:$H$1270,12,Ведомость!$I$5:$I$1270,"А500С",Ведомость!$V$5:$V$1270,"Р-3",Ведомость!$W$5:$W$1270,1)</f>
        <v/>
      </c>
      <c r="R16" s="35">
        <f>SUMIFS(Ведомость!$N$5:$N$1270,Ведомость!$H$5:$H$1270,12,Ведомость!$I$5:$I$1270,"А500С",Ведомость!$V$5:$V$1270,"Р-4",Ведомость!$W$5:$W$1270,1)</f>
        <v/>
      </c>
      <c r="S16" s="35">
        <f>SUMIFS(Ведомость!$N$5:$N$1270,Ведомость!$H$5:$H$1270,12,Ведомость!$I$5:$I$1270,"А500С",Ведомость!$V$5:$V$1270,"Б-основная",Ведомость!$W$5:$W$1270,1)</f>
        <v/>
      </c>
      <c r="T16" s="35">
        <f>SUMIFS(Ведомость!$N$5:$N$1270,Ведомость!$H$5:$H$1270,12,Ведомость!$I$5:$I$1270,"А500С",Ведомость!$V$5:$V$1270,"Б-хомуты",Ведомость!$W$5:$W$1270,1)</f>
        <v/>
      </c>
      <c r="U16" s="35">
        <f>SUMIFS(Ведомость!$N$5:$N$1270,Ведомость!$H$5:$H$1270,12,Ведомость!$I$5:$I$1270,"А500С",Ведомость!$V$5:$V$1270,"Б-допник",Ведомость!$W$5:$W$1270,1)</f>
        <v/>
      </c>
      <c r="V16" s="35">
        <f>SUMIFS(Ведомость!$N$5:$N$1270,Ведомость!$H$5:$H$1270,12,Ведомость!$I$5:$I$1270,"А500С",Ведомость!$V$5:$V$1270,"П-сетка",Ведомость!$W$5:$W$1270,1)</f>
        <v/>
      </c>
      <c r="W16" s="35">
        <f>SUMIFS(Ведомость!$N$5:$N$1270,Ведомость!$H$5:$H$1270,12,Ведомость!$I$5:$I$1270,"А500С",Ведомость!$V$5:$V$1270,"П-фикс",Ведомость!$W$5:$W$1270,1)</f>
        <v/>
      </c>
      <c r="X16" s="35">
        <f>SUMIFS(Ведомость!$N$5:$N$1270,Ведомость!$H$5:$H$1270,12,Ведомость!$I$5:$I$1270,"А500С",Ведомость!$V$5:$V$1270,"П-отв",Ведомость!$W$5:$W$1270,1)</f>
        <v/>
      </c>
      <c r="Y16" s="35">
        <f>SUMIFS(Ведомость!$N$5:$N$1270,Ведомость!$H$5:$H$1270,12,Ведомость!$I$5:$I$1270,"А500С",Ведомость!$V$5:$V$1270,"П-доп-низ",Ведомость!$W$5:$W$1270,1)</f>
        <v/>
      </c>
      <c r="Z16" s="35">
        <f>SUMIFS(Ведомость!$N$5:$N$1270,Ведомость!$H$5:$H$1270,12,Ведомость!$I$5:$I$1270,"А500С",Ведомость!$V$5:$V$1270,"П-доп-верх",Ведомость!$W$5:$W$1270,1)</f>
        <v/>
      </c>
      <c r="AA16" s="35">
        <f>SUMIFS(Ведомость!$N$5:$N$1270,Ведомость!$H$5:$H$1270,12,Ведомость!$I$5:$I$1270,"А500С",Ведомость!$V$5:$V$1270,"П-край",Ведомость!$W$5:$W$1270,1)</f>
        <v/>
      </c>
      <c r="AB16" s="35">
        <f>SUMIFS(Ведомость!$N$5:$N$1270,Ведомость!$H$5:$H$1270,12,Ведомость!$I$5:$I$1270,"А500С",Ведомость!$V$5:$V$1270,"С-1",Ведомость!$W$5:$W$1270,1)</f>
        <v/>
      </c>
      <c r="AC16" s="35">
        <f>SUMIFS(Ведомость!$N$5:$N$1270,Ведомость!$H$5:$H$1270,12,Ведомость!$I$5:$I$1270,"А500С",Ведомость!$V$5:$V$1270,"Л1",Ведомость!$W$5:$W$1270,1)</f>
        <v/>
      </c>
      <c r="AD16" s="35">
        <f>SUMIFS(Ведомость!$N$5:$N$1270,Ведомость!$H$5:$H$1270,12,Ведомость!$I$5:$I$1270,"А500С",Ведомость!$V$5:$V$1270,"Л2",Ведомость!$W$5:$W$1270,1)</f>
        <v/>
      </c>
      <c r="AE16" s="35">
        <f>SUMIFS(Ведомость!$N$5:$N$1270,Ведомость!$H$5:$H$1270,12,Ведомость!$I$5:$I$1270,"А500С",Ведомость!$V$5:$V$1270,"Л-пл",Ведомость!$W$5:$W$1270,1)</f>
        <v/>
      </c>
      <c r="AF16" s="35">
        <f>SUMIFS(Ведомость!$N$5:$N$1270,Ведомость!$H$5:$H$1270,12,Ведомость!$I$5:$I$1270,"А500С",Ведомость!$V$5:$V$1270,"Л-рама",Ведомость!$W$5:$W$1270,1)</f>
        <v/>
      </c>
      <c r="AG16" s="36">
        <f>SUM(B16:AF16)</f>
        <v/>
      </c>
      <c r="AH16" s="37">
        <f>IFERROR(INDEX(Исходные!$B$19:$B$31,MATCH(12,Исходные!$A$19:$A$31,0)),0)</f>
        <v/>
      </c>
      <c r="AI16" s="36">
        <f>AG16*AH16*$AJ$2</f>
        <v/>
      </c>
      <c r="AJ16" s="38">
        <f>SUM(B16:D16,F16,H16,J16:M16)</f>
        <v/>
      </c>
      <c r="AK16" s="39">
        <f>AH16</f>
        <v/>
      </c>
      <c r="AL16" s="40">
        <f>AJ16*AK16*$AJ$2</f>
        <v/>
      </c>
      <c r="AM16" s="38">
        <f>SUM(E16,G16,I16,N16:AB16)</f>
        <v/>
      </c>
      <c r="AN16" s="39">
        <f>AH16</f>
        <v/>
      </c>
      <c r="AO16" s="40">
        <f>AM16*AN16*$AJ$2</f>
        <v/>
      </c>
      <c r="AP16" s="38">
        <f>SUM(AC16:AF16)</f>
        <v/>
      </c>
      <c r="AQ16" s="39">
        <f>AH16</f>
        <v/>
      </c>
      <c r="AR16" s="40">
        <f>AP16*AQ16*$AJ$2</f>
        <v/>
      </c>
    </row>
    <row r="17">
      <c r="A17" s="6" t="inlineStr">
        <is>
          <t>Диаметр 10 А500С, L=м.п.</t>
        </is>
      </c>
      <c r="B17" s="35">
        <f>SUMIFS(Ведомость!$N$5:$N$1270,Ведомость!$H$5:$H$1270,10,Ведомость!$I$5:$I$1270,"А500С",Ведомость!$V$5:$V$1270,"Дм-1",Ведомость!$W$5:$W$1270,1)</f>
        <v/>
      </c>
      <c r="C17" s="35">
        <f>SUMIFS(Ведомость!$N$5:$N$1270,Ведомость!$H$5:$H$1270,10,Ведомость!$I$5:$I$1270,"А500С",Ведомость!$V$5:$V$1270,"Дм-2",Ведомость!$W$5:$W$1270,1)</f>
        <v/>
      </c>
      <c r="D17" s="35">
        <f>SUMIFS(Ведомость!$N$5:$N$1270,Ведомость!$H$5:$H$1270,10,Ведомость!$I$5:$I$1270,"А500С",Ведомость!$V$5:$V$1270,"К-А",Ведомость!$W$5:$W$1270,1)</f>
        <v/>
      </c>
      <c r="E17" s="35">
        <f>SUMIFS(Ведомость!$N$5:$N$1270,Ведомость!$H$5:$H$1270,10,Ведомость!$I$5:$I$1270,"А500С",Ведомость!$V$5:$V$1270,"Р-А",Ведомость!$W$5:$W$1270,1)</f>
        <v/>
      </c>
      <c r="F17" s="35">
        <f>SUMIFS(Ведомость!$N$5:$N$1270,Ведомость!$H$5:$H$1270,10,Ведомость!$I$5:$I$1270,"А500С",Ведомость!$V$5:$V$1270,"К-Б",Ведомость!$W$5:$W$1270,1)</f>
        <v/>
      </c>
      <c r="G17" s="35">
        <f>SUMIFS(Ведомость!$N$5:$N$1270,Ведомость!$H$5:$H$1270,10,Ведомость!$I$5:$I$1270,"А500С",Ведомость!$V$5:$V$1270,"Р-Б",Ведомость!$W$5:$W$1270,1)</f>
        <v/>
      </c>
      <c r="H17" s="35">
        <f>SUMIFS(Ведомость!$N$5:$N$1270,Ведомость!$H$5:$H$1270,10,Ведомость!$I$5:$I$1270,"А500С",Ведомость!$V$5:$V$1270,"К-В",Ведомость!$W$5:$W$1270,1)</f>
        <v/>
      </c>
      <c r="I17" s="35">
        <f>SUMIFS(Ведомость!$N$5:$N$1270,Ведомость!$H$5:$H$1270,10,Ведомость!$I$5:$I$1270,"А500С",Ведомость!$V$5:$V$1270,"Р-В",Ведомость!$W$5:$W$1270,1)</f>
        <v/>
      </c>
      <c r="J17" s="35">
        <f>SUMIFS(Ведомость!$N$5:$N$1270,Ведомость!$H$5:$H$1270,10,Ведомость!$I$5:$I$1270,"А500С",Ведомость!$V$5:$V$1270,"К-Г",Ведомость!$W$5:$W$1270,1)</f>
        <v/>
      </c>
      <c r="K17" s="35">
        <f>SUMIFS(Ведомость!$N$5:$N$1270,Ведомость!$H$5:$H$1270,10,Ведомость!$I$5:$I$1270,"А500С",Ведомость!$V$5:$V$1270,"Дм-3",Ведомость!$W$5:$W$1270,1)</f>
        <v/>
      </c>
      <c r="L17" s="35">
        <f>SUMIFS(Ведомость!$N$5:$N$1270,Ведомость!$H$5:$H$1270,10,Ведомость!$I$5:$I$1270,"А500С",Ведомость!$V$5:$V$1270,"Дм-4",Ведомость!$W$5:$W$1270,1)</f>
        <v/>
      </c>
      <c r="M17" s="35">
        <f>SUMIFS(Ведомость!$N$5:$N$1270,Ведомость!$H$5:$H$1270,10,Ведомость!$I$5:$I$1270,"А500С",Ведомость!$V$5:$V$1270,"Дм-5",Ведомость!$W$5:$W$1270,1)</f>
        <v/>
      </c>
      <c r="N17" s="35">
        <f>SUMIFS(Ведомость!$N$5:$N$1270,Ведомость!$H$5:$H$1270,10,Ведомость!$I$5:$I$1270,"А500С",Ведомость!$V$5:$V$1270,"Р-Г",Ведомость!$W$5:$W$1270,1)</f>
        <v/>
      </c>
      <c r="O17" s="35">
        <f>SUMIFS(Ведомость!$N$5:$N$1270,Ведомость!$H$5:$H$1270,10,Ведомость!$I$5:$I$1270,"А500С",Ведомость!$V$5:$V$1270,"Р-1, 5",Ведомость!$W$5:$W$1270,1)</f>
        <v/>
      </c>
      <c r="P17" s="35">
        <f>SUMIFS(Ведомость!$N$5:$N$1270,Ведомость!$H$5:$H$1270,10,Ведомость!$I$5:$I$1270,"А500С",Ведомость!$V$5:$V$1270,"Р-2",Ведомость!$W$5:$W$1270,1)</f>
        <v/>
      </c>
      <c r="Q17" s="35">
        <f>SUMIFS(Ведомость!$N$5:$N$1270,Ведомость!$H$5:$H$1270,10,Ведомость!$I$5:$I$1270,"А500С",Ведомость!$V$5:$V$1270,"Р-3",Ведомость!$W$5:$W$1270,1)</f>
        <v/>
      </c>
      <c r="R17" s="35">
        <f>SUMIFS(Ведомость!$N$5:$N$1270,Ведомость!$H$5:$H$1270,10,Ведомость!$I$5:$I$1270,"А500С",Ведомость!$V$5:$V$1270,"Р-4",Ведомость!$W$5:$W$1270,1)</f>
        <v/>
      </c>
      <c r="S17" s="35">
        <f>SUMIFS(Ведомость!$N$5:$N$1270,Ведомость!$H$5:$H$1270,10,Ведомость!$I$5:$I$1270,"А500С",Ведомость!$V$5:$V$1270,"Б-основная",Ведомость!$W$5:$W$1270,1)</f>
        <v/>
      </c>
      <c r="T17" s="35">
        <f>SUMIFS(Ведомость!$N$5:$N$1270,Ведомость!$H$5:$H$1270,10,Ведомость!$I$5:$I$1270,"А500С",Ведомость!$V$5:$V$1270,"Б-хомуты",Ведомость!$W$5:$W$1270,1)</f>
        <v/>
      </c>
      <c r="U17" s="35">
        <f>SUMIFS(Ведомость!$N$5:$N$1270,Ведомость!$H$5:$H$1270,10,Ведомость!$I$5:$I$1270,"А500С",Ведомость!$V$5:$V$1270,"Б-допник",Ведомость!$W$5:$W$1270,1)</f>
        <v/>
      </c>
      <c r="V17" s="35">
        <f>SUMIFS(Ведомость!$N$5:$N$1270,Ведомость!$H$5:$H$1270,10,Ведомость!$I$5:$I$1270,"А500С",Ведомость!$V$5:$V$1270,"П-сетка",Ведомость!$W$5:$W$1270,1)</f>
        <v/>
      </c>
      <c r="W17" s="35">
        <f>SUMIFS(Ведомость!$N$5:$N$1270,Ведомость!$H$5:$H$1270,10,Ведомость!$I$5:$I$1270,"А500С",Ведомость!$V$5:$V$1270,"П-фикс",Ведомость!$W$5:$W$1270,1)</f>
        <v/>
      </c>
      <c r="X17" s="35">
        <f>SUMIFS(Ведомость!$N$5:$N$1270,Ведомость!$H$5:$H$1270,10,Ведомость!$I$5:$I$1270,"А500С",Ведомость!$V$5:$V$1270,"П-отв",Ведомость!$W$5:$W$1270,1)</f>
        <v/>
      </c>
      <c r="Y17" s="35">
        <f>SUMIFS(Ведомость!$N$5:$N$1270,Ведомость!$H$5:$H$1270,10,Ведомость!$I$5:$I$1270,"А500С",Ведомость!$V$5:$V$1270,"П-доп-низ",Ведомость!$W$5:$W$1270,1)</f>
        <v/>
      </c>
      <c r="Z17" s="35">
        <f>SUMIFS(Ведомость!$N$5:$N$1270,Ведомость!$H$5:$H$1270,10,Ведомость!$I$5:$I$1270,"А500С",Ведомость!$V$5:$V$1270,"П-доп-верх",Ведомость!$W$5:$W$1270,1)</f>
        <v/>
      </c>
      <c r="AA17" s="35">
        <f>SUMIFS(Ведомость!$N$5:$N$1270,Ведомость!$H$5:$H$1270,10,Ведомость!$I$5:$I$1270,"А500С",Ведомость!$V$5:$V$1270,"П-край",Ведомость!$W$5:$W$1270,1)</f>
        <v/>
      </c>
      <c r="AB17" s="35">
        <f>SUMIFS(Ведомость!$N$5:$N$1270,Ведомость!$H$5:$H$1270,10,Ведомость!$I$5:$I$1270,"А500С",Ведомость!$V$5:$V$1270,"С-1",Ведомость!$W$5:$W$1270,1)</f>
        <v/>
      </c>
      <c r="AC17" s="35">
        <f>SUMIFS(Ведомость!$N$5:$N$1270,Ведомость!$H$5:$H$1270,10,Ведомость!$I$5:$I$1270,"А500С",Ведомость!$V$5:$V$1270,"Л1",Ведомость!$W$5:$W$1270,1)</f>
        <v/>
      </c>
      <c r="AD17" s="35">
        <f>SUMIFS(Ведомость!$N$5:$N$1270,Ведомость!$H$5:$H$1270,10,Ведомость!$I$5:$I$1270,"А500С",Ведомость!$V$5:$V$1270,"Л2",Ведомость!$W$5:$W$1270,1)</f>
        <v/>
      </c>
      <c r="AE17" s="35">
        <f>SUMIFS(Ведомость!$N$5:$N$1270,Ведомость!$H$5:$H$1270,10,Ведомость!$I$5:$I$1270,"А500С",Ведомость!$V$5:$V$1270,"Л-пл",Ведомость!$W$5:$W$1270,1)</f>
        <v/>
      </c>
      <c r="AF17" s="35">
        <f>SUMIFS(Ведомость!$N$5:$N$1270,Ведомость!$H$5:$H$1270,10,Ведомость!$I$5:$I$1270,"А500С",Ведомость!$V$5:$V$1270,"Л-рама",Ведомость!$W$5:$W$1270,1)</f>
        <v/>
      </c>
      <c r="AG17" s="36">
        <f>SUM(B17:AF17)</f>
        <v/>
      </c>
      <c r="AH17" s="37">
        <f>IFERROR(INDEX(Исходные!$B$19:$B$31,MATCH(10,Исходные!$A$19:$A$31,0)),0)</f>
        <v/>
      </c>
      <c r="AI17" s="36">
        <f>AG17*AH17*$AJ$2</f>
        <v/>
      </c>
      <c r="AJ17" s="38">
        <f>SUM(B17:D17,F17,H17,J17:M17)</f>
        <v/>
      </c>
      <c r="AK17" s="39">
        <f>AH17</f>
        <v/>
      </c>
      <c r="AL17" s="40">
        <f>AJ17*AK17*$AJ$2</f>
        <v/>
      </c>
      <c r="AM17" s="38">
        <f>SUM(E17,G17,I17,N17:AB17)</f>
        <v/>
      </c>
      <c r="AN17" s="39">
        <f>AH17</f>
        <v/>
      </c>
      <c r="AO17" s="40">
        <f>AM17*AN17*$AJ$2</f>
        <v/>
      </c>
      <c r="AP17" s="38">
        <f>SUM(AC17:AF17)</f>
        <v/>
      </c>
      <c r="AQ17" s="39">
        <f>AH17</f>
        <v/>
      </c>
      <c r="AR17" s="40">
        <f>AP17*AQ17*$AJ$2</f>
        <v/>
      </c>
    </row>
    <row r="18">
      <c r="A18" s="6" t="inlineStr">
        <is>
          <t>Диаметр 8 А500С, L=м.п.</t>
        </is>
      </c>
      <c r="B18" s="35">
        <f>SUMIFS(Ведомость!$N$5:$N$1270,Ведомость!$H$5:$H$1270,8,Ведомость!$I$5:$I$1270,"А500С",Ведомость!$V$5:$V$1270,"Дм-1",Ведомость!$W$5:$W$1270,1)</f>
        <v/>
      </c>
      <c r="C18" s="35">
        <f>SUMIFS(Ведомость!$N$5:$N$1270,Ведомость!$H$5:$H$1270,8,Ведомость!$I$5:$I$1270,"А500С",Ведомость!$V$5:$V$1270,"Дм-2",Ведомость!$W$5:$W$1270,1)</f>
        <v/>
      </c>
      <c r="D18" s="35">
        <f>SUMIFS(Ведомость!$N$5:$N$1270,Ведомость!$H$5:$H$1270,8,Ведомость!$I$5:$I$1270,"А500С",Ведомость!$V$5:$V$1270,"К-А",Ведомость!$W$5:$W$1270,1)</f>
        <v/>
      </c>
      <c r="E18" s="35">
        <f>SUMIFS(Ведомость!$N$5:$N$1270,Ведомость!$H$5:$H$1270,8,Ведомость!$I$5:$I$1270,"А500С",Ведомость!$V$5:$V$1270,"Р-А",Ведомость!$W$5:$W$1270,1)</f>
        <v/>
      </c>
      <c r="F18" s="35">
        <f>SUMIFS(Ведомость!$N$5:$N$1270,Ведомость!$H$5:$H$1270,8,Ведомость!$I$5:$I$1270,"А500С",Ведомость!$V$5:$V$1270,"К-Б",Ведомость!$W$5:$W$1270,1)</f>
        <v/>
      </c>
      <c r="G18" s="35">
        <f>SUMIFS(Ведомость!$N$5:$N$1270,Ведомость!$H$5:$H$1270,8,Ведомость!$I$5:$I$1270,"А500С",Ведомость!$V$5:$V$1270,"Р-Б",Ведомость!$W$5:$W$1270,1)</f>
        <v/>
      </c>
      <c r="H18" s="35">
        <f>SUMIFS(Ведомость!$N$5:$N$1270,Ведомость!$H$5:$H$1270,8,Ведомость!$I$5:$I$1270,"А500С",Ведомость!$V$5:$V$1270,"К-В",Ведомость!$W$5:$W$1270,1)</f>
        <v/>
      </c>
      <c r="I18" s="35">
        <f>SUMIFS(Ведомость!$N$5:$N$1270,Ведомость!$H$5:$H$1270,8,Ведомость!$I$5:$I$1270,"А500С",Ведомость!$V$5:$V$1270,"Р-В",Ведомость!$W$5:$W$1270,1)</f>
        <v/>
      </c>
      <c r="J18" s="35">
        <f>SUMIFS(Ведомость!$N$5:$N$1270,Ведомость!$H$5:$H$1270,8,Ведомость!$I$5:$I$1270,"А500С",Ведомость!$V$5:$V$1270,"К-Г",Ведомость!$W$5:$W$1270,1)</f>
        <v/>
      </c>
      <c r="K18" s="35">
        <f>SUMIFS(Ведомость!$N$5:$N$1270,Ведомость!$H$5:$H$1270,8,Ведомость!$I$5:$I$1270,"А500С",Ведомость!$V$5:$V$1270,"Дм-3",Ведомость!$W$5:$W$1270,1)</f>
        <v/>
      </c>
      <c r="L18" s="35">
        <f>SUMIFS(Ведомость!$N$5:$N$1270,Ведомость!$H$5:$H$1270,8,Ведомость!$I$5:$I$1270,"А500С",Ведомость!$V$5:$V$1270,"Дм-4",Ведомость!$W$5:$W$1270,1)</f>
        <v/>
      </c>
      <c r="M18" s="35">
        <f>SUMIFS(Ведомость!$N$5:$N$1270,Ведомость!$H$5:$H$1270,8,Ведомость!$I$5:$I$1270,"А500С",Ведомость!$V$5:$V$1270,"Дм-5",Ведомость!$W$5:$W$1270,1)</f>
        <v/>
      </c>
      <c r="N18" s="35">
        <f>SUMIFS(Ведомость!$N$5:$N$1270,Ведомость!$H$5:$H$1270,8,Ведомость!$I$5:$I$1270,"А500С",Ведомость!$V$5:$V$1270,"Р-Г",Ведомость!$W$5:$W$1270,1)</f>
        <v/>
      </c>
      <c r="O18" s="35">
        <f>SUMIFS(Ведомость!$N$5:$N$1270,Ведомость!$H$5:$H$1270,8,Ведомость!$I$5:$I$1270,"А500С",Ведомость!$V$5:$V$1270,"Р-1, 5",Ведомость!$W$5:$W$1270,1)</f>
        <v/>
      </c>
      <c r="P18" s="35">
        <f>SUMIFS(Ведомость!$N$5:$N$1270,Ведомость!$H$5:$H$1270,8,Ведомость!$I$5:$I$1270,"А500С",Ведомость!$V$5:$V$1270,"Р-2",Ведомость!$W$5:$W$1270,1)</f>
        <v/>
      </c>
      <c r="Q18" s="35">
        <f>SUMIFS(Ведомость!$N$5:$N$1270,Ведомость!$H$5:$H$1270,8,Ведомость!$I$5:$I$1270,"А500С",Ведомость!$V$5:$V$1270,"Р-3",Ведомость!$W$5:$W$1270,1)</f>
        <v/>
      </c>
      <c r="R18" s="35">
        <f>SUMIFS(Ведомость!$N$5:$N$1270,Ведомость!$H$5:$H$1270,8,Ведомость!$I$5:$I$1270,"А500С",Ведомость!$V$5:$V$1270,"Р-4",Ведомость!$W$5:$W$1270,1)</f>
        <v/>
      </c>
      <c r="S18" s="35">
        <f>SUMIFS(Ведомость!$N$5:$N$1270,Ведомость!$H$5:$H$1270,8,Ведомость!$I$5:$I$1270,"А500С",Ведомость!$V$5:$V$1270,"Б-основная",Ведомость!$W$5:$W$1270,1)</f>
        <v/>
      </c>
      <c r="T18" s="35">
        <f>SUMIFS(Ведомость!$N$5:$N$1270,Ведомость!$H$5:$H$1270,8,Ведомость!$I$5:$I$1270,"А500С",Ведомость!$V$5:$V$1270,"Б-хомуты",Ведомость!$W$5:$W$1270,1)</f>
        <v/>
      </c>
      <c r="U18" s="35">
        <f>SUMIFS(Ведомость!$N$5:$N$1270,Ведомость!$H$5:$H$1270,8,Ведомость!$I$5:$I$1270,"А500С",Ведомость!$V$5:$V$1270,"Б-допник",Ведомость!$W$5:$W$1270,1)</f>
        <v/>
      </c>
      <c r="V18" s="35">
        <f>SUMIFS(Ведомость!$N$5:$N$1270,Ведомость!$H$5:$H$1270,8,Ведомость!$I$5:$I$1270,"А500С",Ведомость!$V$5:$V$1270,"П-сетка",Ведомость!$W$5:$W$1270,1)</f>
        <v/>
      </c>
      <c r="W18" s="35">
        <f>SUMIFS(Ведомость!$N$5:$N$1270,Ведомость!$H$5:$H$1270,8,Ведомость!$I$5:$I$1270,"А500С",Ведомость!$V$5:$V$1270,"П-фикс",Ведомость!$W$5:$W$1270,1)</f>
        <v/>
      </c>
      <c r="X18" s="35">
        <f>SUMIFS(Ведомость!$N$5:$N$1270,Ведомость!$H$5:$H$1270,8,Ведомость!$I$5:$I$1270,"А500С",Ведомость!$V$5:$V$1270,"П-отв",Ведомость!$W$5:$W$1270,1)</f>
        <v/>
      </c>
      <c r="Y18" s="35">
        <f>SUMIFS(Ведомость!$N$5:$N$1270,Ведомость!$H$5:$H$1270,8,Ведомость!$I$5:$I$1270,"А500С",Ведомость!$V$5:$V$1270,"П-доп-низ",Ведомость!$W$5:$W$1270,1)</f>
        <v/>
      </c>
      <c r="Z18" s="35">
        <f>SUMIFS(Ведомость!$N$5:$N$1270,Ведомость!$H$5:$H$1270,8,Ведомость!$I$5:$I$1270,"А500С",Ведомость!$V$5:$V$1270,"П-доп-верх",Ведомость!$W$5:$W$1270,1)</f>
        <v/>
      </c>
      <c r="AA18" s="35">
        <f>SUMIFS(Ведомость!$N$5:$N$1270,Ведомость!$H$5:$H$1270,8,Ведомость!$I$5:$I$1270,"А500С",Ведомость!$V$5:$V$1270,"П-край",Ведомость!$W$5:$W$1270,1)</f>
        <v/>
      </c>
      <c r="AB18" s="35">
        <f>SUMIFS(Ведомость!$N$5:$N$1270,Ведомость!$H$5:$H$1270,8,Ведомость!$I$5:$I$1270,"А500С",Ведомость!$V$5:$V$1270,"С-1",Ведомость!$W$5:$W$1270,1)</f>
        <v/>
      </c>
      <c r="AC18" s="35">
        <f>SUMIFS(Ведомость!$N$5:$N$1270,Ведомость!$H$5:$H$1270,8,Ведомость!$I$5:$I$1270,"А500С",Ведомость!$V$5:$V$1270,"Л1",Ведомость!$W$5:$W$1270,1)</f>
        <v/>
      </c>
      <c r="AD18" s="35">
        <f>SUMIFS(Ведомость!$N$5:$N$1270,Ведомость!$H$5:$H$1270,8,Ведомость!$I$5:$I$1270,"А500С",Ведомость!$V$5:$V$1270,"Л2",Ведомость!$W$5:$W$1270,1)</f>
        <v/>
      </c>
      <c r="AE18" s="35">
        <f>SUMIFS(Ведомость!$N$5:$N$1270,Ведомость!$H$5:$H$1270,8,Ведомость!$I$5:$I$1270,"А500С",Ведомость!$V$5:$V$1270,"Л-пл",Ведомость!$W$5:$W$1270,1)</f>
        <v/>
      </c>
      <c r="AF18" s="35">
        <f>SUMIFS(Ведомость!$N$5:$N$1270,Ведомость!$H$5:$H$1270,8,Ведомость!$I$5:$I$1270,"А500С",Ведомость!$V$5:$V$1270,"Л-рама",Ведомость!$W$5:$W$1270,1)</f>
        <v/>
      </c>
      <c r="AG18" s="36">
        <f>SUM(B18:AF18)</f>
        <v/>
      </c>
      <c r="AH18" s="37">
        <f>IFERROR(INDEX(Исходные!$B$19:$B$31,MATCH(8,Исходные!$A$19:$A$31,0)),0)</f>
        <v/>
      </c>
      <c r="AI18" s="36">
        <f>AG18*AH18*$AJ$2</f>
        <v/>
      </c>
      <c r="AJ18" s="38">
        <f>SUM(B18:D18,F18,H18,J18:M18)</f>
        <v/>
      </c>
      <c r="AK18" s="39">
        <f>AH18</f>
        <v/>
      </c>
      <c r="AL18" s="40">
        <f>AJ18*AK18*$AJ$2</f>
        <v/>
      </c>
      <c r="AM18" s="38">
        <f>SUM(E18,G18,I18,N18:AB18)</f>
        <v/>
      </c>
      <c r="AN18" s="39">
        <f>AH18</f>
        <v/>
      </c>
      <c r="AO18" s="40">
        <f>AM18*AN18*$AJ$2</f>
        <v/>
      </c>
      <c r="AP18" s="38">
        <f>SUM(AC18:AF18)</f>
        <v/>
      </c>
      <c r="AQ18" s="39">
        <f>AH18</f>
        <v/>
      </c>
      <c r="AR18" s="40">
        <f>AP18*AQ18*$AJ$2</f>
        <v/>
      </c>
    </row>
    <row r="19">
      <c r="A19" s="6" t="inlineStr">
        <is>
          <t>Диаметр 16 А240, L=м.п.</t>
        </is>
      </c>
      <c r="B19" s="35">
        <f>SUMIFS(Ведомость!$N$5:$N$1270,Ведомость!$H$5:$H$1270,16,Ведомость!$I$5:$I$1270,"А240",Ведомость!$V$5:$V$1270,"Дм-1",Ведомость!$W$5:$W$1270,1)</f>
        <v/>
      </c>
      <c r="C19" s="35">
        <f>SUMIFS(Ведомость!$N$5:$N$1270,Ведомость!$H$5:$H$1270,16,Ведомость!$I$5:$I$1270,"А240",Ведомость!$V$5:$V$1270,"Дм-2",Ведомость!$W$5:$W$1270,1)</f>
        <v/>
      </c>
      <c r="D19" s="35">
        <f>SUMIFS(Ведомость!$N$5:$N$1270,Ведомость!$H$5:$H$1270,16,Ведомость!$I$5:$I$1270,"А240",Ведомость!$V$5:$V$1270,"К-А",Ведомость!$W$5:$W$1270,1)</f>
        <v/>
      </c>
      <c r="E19" s="35">
        <f>SUMIFS(Ведомость!$N$5:$N$1270,Ведомость!$H$5:$H$1270,16,Ведомость!$I$5:$I$1270,"А240",Ведомость!$V$5:$V$1270,"Р-А",Ведомость!$W$5:$W$1270,1)</f>
        <v/>
      </c>
      <c r="F19" s="35">
        <f>SUMIFS(Ведомость!$N$5:$N$1270,Ведомость!$H$5:$H$1270,16,Ведомость!$I$5:$I$1270,"А240",Ведомость!$V$5:$V$1270,"К-Б",Ведомость!$W$5:$W$1270,1)</f>
        <v/>
      </c>
      <c r="G19" s="35">
        <f>SUMIFS(Ведомость!$N$5:$N$1270,Ведомость!$H$5:$H$1270,16,Ведомость!$I$5:$I$1270,"А240",Ведомость!$V$5:$V$1270,"Р-Б",Ведомость!$W$5:$W$1270,1)</f>
        <v/>
      </c>
      <c r="H19" s="35">
        <f>SUMIFS(Ведомость!$N$5:$N$1270,Ведомость!$H$5:$H$1270,16,Ведомость!$I$5:$I$1270,"А240",Ведомость!$V$5:$V$1270,"К-В",Ведомость!$W$5:$W$1270,1)</f>
        <v/>
      </c>
      <c r="I19" s="35">
        <f>SUMIFS(Ведомость!$N$5:$N$1270,Ведомость!$H$5:$H$1270,16,Ведомость!$I$5:$I$1270,"А240",Ведомость!$V$5:$V$1270,"Р-В",Ведомость!$W$5:$W$1270,1)</f>
        <v/>
      </c>
      <c r="J19" s="35">
        <f>SUMIFS(Ведомость!$N$5:$N$1270,Ведомость!$H$5:$H$1270,16,Ведомость!$I$5:$I$1270,"А240",Ведомость!$V$5:$V$1270,"К-Г",Ведомость!$W$5:$W$1270,1)</f>
        <v/>
      </c>
      <c r="K19" s="35">
        <f>SUMIFS(Ведомость!$N$5:$N$1270,Ведомость!$H$5:$H$1270,16,Ведомость!$I$5:$I$1270,"А240",Ведомость!$V$5:$V$1270,"Дм-3",Ведомость!$W$5:$W$1270,1)</f>
        <v/>
      </c>
      <c r="L19" s="35">
        <f>SUMIFS(Ведомость!$N$5:$N$1270,Ведомость!$H$5:$H$1270,16,Ведомость!$I$5:$I$1270,"А240",Ведомость!$V$5:$V$1270,"Дм-4",Ведомость!$W$5:$W$1270,1)</f>
        <v/>
      </c>
      <c r="M19" s="35">
        <f>SUMIFS(Ведомость!$N$5:$N$1270,Ведомость!$H$5:$H$1270,16,Ведомость!$I$5:$I$1270,"А240",Ведомость!$V$5:$V$1270,"Дм-5",Ведомость!$W$5:$W$1270,1)</f>
        <v/>
      </c>
      <c r="N19" s="35">
        <f>SUMIFS(Ведомость!$N$5:$N$1270,Ведомость!$H$5:$H$1270,16,Ведомость!$I$5:$I$1270,"А240",Ведомость!$V$5:$V$1270,"Р-Г",Ведомость!$W$5:$W$1270,1)</f>
        <v/>
      </c>
      <c r="O19" s="35">
        <f>SUMIFS(Ведомость!$N$5:$N$1270,Ведомость!$H$5:$H$1270,16,Ведомость!$I$5:$I$1270,"А240",Ведомость!$V$5:$V$1270,"Р-1, 5",Ведомость!$W$5:$W$1270,1)</f>
        <v/>
      </c>
      <c r="P19" s="35">
        <f>SUMIFS(Ведомость!$N$5:$N$1270,Ведомость!$H$5:$H$1270,16,Ведомость!$I$5:$I$1270,"А240",Ведомость!$V$5:$V$1270,"Р-2",Ведомость!$W$5:$W$1270,1)</f>
        <v/>
      </c>
      <c r="Q19" s="35">
        <f>SUMIFS(Ведомость!$N$5:$N$1270,Ведомость!$H$5:$H$1270,16,Ведомость!$I$5:$I$1270,"А240",Ведомость!$V$5:$V$1270,"Р-3",Ведомость!$W$5:$W$1270,1)</f>
        <v/>
      </c>
      <c r="R19" s="35">
        <f>SUMIFS(Ведомость!$N$5:$N$1270,Ведомость!$H$5:$H$1270,16,Ведомость!$I$5:$I$1270,"А240",Ведомость!$V$5:$V$1270,"Р-4",Ведомость!$W$5:$W$1270,1)</f>
        <v/>
      </c>
      <c r="S19" s="35">
        <f>SUMIFS(Ведомость!$N$5:$N$1270,Ведомость!$H$5:$H$1270,16,Ведомость!$I$5:$I$1270,"А240",Ведомость!$V$5:$V$1270,"Б-основная",Ведомость!$W$5:$W$1270,1)</f>
        <v/>
      </c>
      <c r="T19" s="35">
        <f>SUMIFS(Ведомость!$N$5:$N$1270,Ведомость!$H$5:$H$1270,16,Ведомость!$I$5:$I$1270,"А240",Ведомость!$V$5:$V$1270,"Б-хомуты",Ведомость!$W$5:$W$1270,1)</f>
        <v/>
      </c>
      <c r="U19" s="35">
        <f>SUMIFS(Ведомость!$N$5:$N$1270,Ведомость!$H$5:$H$1270,16,Ведомость!$I$5:$I$1270,"А240",Ведомость!$V$5:$V$1270,"Б-допник",Ведомость!$W$5:$W$1270,1)</f>
        <v/>
      </c>
      <c r="V19" s="35">
        <f>SUMIFS(Ведомость!$N$5:$N$1270,Ведомость!$H$5:$H$1270,16,Ведомость!$I$5:$I$1270,"А240",Ведомость!$V$5:$V$1270,"П-сетка",Ведомость!$W$5:$W$1270,1)</f>
        <v/>
      </c>
      <c r="W19" s="35">
        <f>SUMIFS(Ведомость!$N$5:$N$1270,Ведомость!$H$5:$H$1270,16,Ведомость!$I$5:$I$1270,"А240",Ведомость!$V$5:$V$1270,"П-фикс",Ведомость!$W$5:$W$1270,1)</f>
        <v/>
      </c>
      <c r="X19" s="35">
        <f>SUMIFS(Ведомость!$N$5:$N$1270,Ведомость!$H$5:$H$1270,16,Ведомость!$I$5:$I$1270,"А240",Ведомость!$V$5:$V$1270,"П-отв",Ведомость!$W$5:$W$1270,1)</f>
        <v/>
      </c>
      <c r="Y19" s="35">
        <f>SUMIFS(Ведомость!$N$5:$N$1270,Ведомость!$H$5:$H$1270,16,Ведомость!$I$5:$I$1270,"А240",Ведомость!$V$5:$V$1270,"П-доп-низ",Ведомость!$W$5:$W$1270,1)</f>
        <v/>
      </c>
      <c r="Z19" s="35">
        <f>SUMIFS(Ведомость!$N$5:$N$1270,Ведомость!$H$5:$H$1270,16,Ведомость!$I$5:$I$1270,"А240",Ведомость!$V$5:$V$1270,"П-доп-верх",Ведомость!$W$5:$W$1270,1)</f>
        <v/>
      </c>
      <c r="AA19" s="35">
        <f>SUMIFS(Ведомость!$N$5:$N$1270,Ведомость!$H$5:$H$1270,16,Ведомость!$I$5:$I$1270,"А240",Ведомость!$V$5:$V$1270,"П-край",Ведомость!$W$5:$W$1270,1)</f>
        <v/>
      </c>
      <c r="AB19" s="35">
        <f>SUMIFS(Ведомость!$N$5:$N$1270,Ведомость!$H$5:$H$1270,16,Ведомость!$I$5:$I$1270,"А240",Ведомость!$V$5:$V$1270,"С-1",Ведомость!$W$5:$W$1270,1)</f>
        <v/>
      </c>
      <c r="AC19" s="35">
        <f>SUMIFS(Ведомость!$N$5:$N$1270,Ведомость!$H$5:$H$1270,16,Ведомость!$I$5:$I$1270,"А240",Ведомость!$V$5:$V$1270,"Л1",Ведомость!$W$5:$W$1270,1)</f>
        <v/>
      </c>
      <c r="AD19" s="35">
        <f>SUMIFS(Ведомость!$N$5:$N$1270,Ведомость!$H$5:$H$1270,16,Ведомость!$I$5:$I$1270,"А240",Ведомость!$V$5:$V$1270,"Л2",Ведомость!$W$5:$W$1270,1)</f>
        <v/>
      </c>
      <c r="AE19" s="35">
        <f>SUMIFS(Ведомость!$N$5:$N$1270,Ведомость!$H$5:$H$1270,16,Ведомость!$I$5:$I$1270,"А240",Ведомость!$V$5:$V$1270,"Л-пл",Ведомость!$W$5:$W$1270,1)</f>
        <v/>
      </c>
      <c r="AF19" s="35">
        <f>SUMIFS(Ведомость!$N$5:$N$1270,Ведомость!$H$5:$H$1270,16,Ведомость!$I$5:$I$1270,"А240",Ведомость!$V$5:$V$1270,"Л-рама",Ведомость!$W$5:$W$1270,1)</f>
        <v/>
      </c>
      <c r="AG19" s="36">
        <f>SUM(B19:AF19)</f>
        <v/>
      </c>
      <c r="AH19" s="37">
        <f>IFERROR(INDEX(Исходные!$B$19:$B$31,MATCH(16,Исходные!$A$19:$A$31,0)),0)</f>
        <v/>
      </c>
      <c r="AI19" s="36">
        <f>AG19*AH19*$AJ$2</f>
        <v/>
      </c>
      <c r="AJ19" s="38">
        <f>SUM(B19:D19,F19,H19,J19:M19)</f>
        <v/>
      </c>
      <c r="AK19" s="39">
        <f>AH19</f>
        <v/>
      </c>
      <c r="AL19" s="40">
        <f>AJ19*AK19*$AJ$2</f>
        <v/>
      </c>
      <c r="AM19" s="38">
        <f>SUM(E19,G19,I19,N19:AB19)</f>
        <v/>
      </c>
      <c r="AN19" s="39">
        <f>AH19</f>
        <v/>
      </c>
      <c r="AO19" s="40">
        <f>AM19*AN19*$AJ$2</f>
        <v/>
      </c>
      <c r="AP19" s="38">
        <f>SUM(AC19:AF19)</f>
        <v/>
      </c>
      <c r="AQ19" s="39">
        <f>AH19</f>
        <v/>
      </c>
      <c r="AR19" s="40">
        <f>AP19*AQ19*$AJ$2</f>
        <v/>
      </c>
    </row>
    <row r="20">
      <c r="A20" s="6" t="inlineStr">
        <is>
          <t>Диаметр 12 А240, L=м.п.</t>
        </is>
      </c>
      <c r="B20" s="35">
        <f>SUMIFS(Ведомость!$N$5:$N$1270,Ведомость!$H$5:$H$1270,12,Ведомость!$I$5:$I$1270,"А240",Ведомость!$V$5:$V$1270,"Дм-1",Ведомость!$W$5:$W$1270,1)</f>
        <v/>
      </c>
      <c r="C20" s="35">
        <f>SUMIFS(Ведомость!$N$5:$N$1270,Ведомость!$H$5:$H$1270,12,Ведомость!$I$5:$I$1270,"А240",Ведомость!$V$5:$V$1270,"Дм-2",Ведомость!$W$5:$W$1270,1)</f>
        <v/>
      </c>
      <c r="D20" s="35">
        <f>SUMIFS(Ведомость!$N$5:$N$1270,Ведомость!$H$5:$H$1270,12,Ведомость!$I$5:$I$1270,"А240",Ведомость!$V$5:$V$1270,"К-А",Ведомость!$W$5:$W$1270,1)</f>
        <v/>
      </c>
      <c r="E20" s="35">
        <f>SUMIFS(Ведомость!$N$5:$N$1270,Ведомость!$H$5:$H$1270,12,Ведомость!$I$5:$I$1270,"А240",Ведомость!$V$5:$V$1270,"Р-А",Ведомость!$W$5:$W$1270,1)</f>
        <v/>
      </c>
      <c r="F20" s="35">
        <f>SUMIFS(Ведомость!$N$5:$N$1270,Ведомость!$H$5:$H$1270,12,Ведомость!$I$5:$I$1270,"А240",Ведомость!$V$5:$V$1270,"К-Б",Ведомость!$W$5:$W$1270,1)</f>
        <v/>
      </c>
      <c r="G20" s="35">
        <f>SUMIFS(Ведомость!$N$5:$N$1270,Ведомость!$H$5:$H$1270,12,Ведомость!$I$5:$I$1270,"А240",Ведомость!$V$5:$V$1270,"Р-Б",Ведомость!$W$5:$W$1270,1)</f>
        <v/>
      </c>
      <c r="H20" s="35">
        <f>SUMIFS(Ведомость!$N$5:$N$1270,Ведомость!$H$5:$H$1270,12,Ведомость!$I$5:$I$1270,"А240",Ведомость!$V$5:$V$1270,"К-В",Ведомость!$W$5:$W$1270,1)</f>
        <v/>
      </c>
      <c r="I20" s="35">
        <f>SUMIFS(Ведомость!$N$5:$N$1270,Ведомость!$H$5:$H$1270,12,Ведомость!$I$5:$I$1270,"А240",Ведомость!$V$5:$V$1270,"Р-В",Ведомость!$W$5:$W$1270,1)</f>
        <v/>
      </c>
      <c r="J20" s="35">
        <f>SUMIFS(Ведомость!$N$5:$N$1270,Ведомость!$H$5:$H$1270,12,Ведомость!$I$5:$I$1270,"А240",Ведомость!$V$5:$V$1270,"К-Г",Ведомость!$W$5:$W$1270,1)</f>
        <v/>
      </c>
      <c r="K20" s="35">
        <f>SUMIFS(Ведомость!$N$5:$N$1270,Ведомость!$H$5:$H$1270,12,Ведомость!$I$5:$I$1270,"А240",Ведомость!$V$5:$V$1270,"Дм-3",Ведомость!$W$5:$W$1270,1)</f>
        <v/>
      </c>
      <c r="L20" s="35">
        <f>SUMIFS(Ведомость!$N$5:$N$1270,Ведомость!$H$5:$H$1270,12,Ведомость!$I$5:$I$1270,"А240",Ведомость!$V$5:$V$1270,"Дм-4",Ведомость!$W$5:$W$1270,1)</f>
        <v/>
      </c>
      <c r="M20" s="35">
        <f>SUMIFS(Ведомость!$N$5:$N$1270,Ведомость!$H$5:$H$1270,12,Ведомость!$I$5:$I$1270,"А240",Ведомость!$V$5:$V$1270,"Дм-5",Ведомость!$W$5:$W$1270,1)</f>
        <v/>
      </c>
      <c r="N20" s="35">
        <f>SUMIFS(Ведомость!$N$5:$N$1270,Ведомость!$H$5:$H$1270,12,Ведомость!$I$5:$I$1270,"А240",Ведомость!$V$5:$V$1270,"Р-Г",Ведомость!$W$5:$W$1270,1)</f>
        <v/>
      </c>
      <c r="O20" s="35">
        <f>SUMIFS(Ведомость!$N$5:$N$1270,Ведомость!$H$5:$H$1270,12,Ведомость!$I$5:$I$1270,"А240",Ведомость!$V$5:$V$1270,"Р-1, 5",Ведомость!$W$5:$W$1270,1)</f>
        <v/>
      </c>
      <c r="P20" s="35">
        <f>SUMIFS(Ведомость!$N$5:$N$1270,Ведомость!$H$5:$H$1270,12,Ведомость!$I$5:$I$1270,"А240",Ведомость!$V$5:$V$1270,"Р-2",Ведомость!$W$5:$W$1270,1)</f>
        <v/>
      </c>
      <c r="Q20" s="35">
        <f>SUMIFS(Ведомость!$N$5:$N$1270,Ведомость!$H$5:$H$1270,12,Ведомость!$I$5:$I$1270,"А240",Ведомость!$V$5:$V$1270,"Р-3",Ведомость!$W$5:$W$1270,1)</f>
        <v/>
      </c>
      <c r="R20" s="35">
        <f>SUMIFS(Ведомость!$N$5:$N$1270,Ведомость!$H$5:$H$1270,12,Ведомость!$I$5:$I$1270,"А240",Ведомость!$V$5:$V$1270,"Р-4",Ведомость!$W$5:$W$1270,1)</f>
        <v/>
      </c>
      <c r="S20" s="35">
        <f>SUMIFS(Ведомость!$N$5:$N$1270,Ведомость!$H$5:$H$1270,12,Ведомость!$I$5:$I$1270,"А240",Ведомость!$V$5:$V$1270,"Б-основная",Ведомость!$W$5:$W$1270,1)</f>
        <v/>
      </c>
      <c r="T20" s="35">
        <f>SUMIFS(Ведомость!$N$5:$N$1270,Ведомость!$H$5:$H$1270,12,Ведомость!$I$5:$I$1270,"А240",Ведомость!$V$5:$V$1270,"Б-хомуты",Ведомость!$W$5:$W$1270,1)</f>
        <v/>
      </c>
      <c r="U20" s="35">
        <f>SUMIFS(Ведомость!$N$5:$N$1270,Ведомость!$H$5:$H$1270,12,Ведомость!$I$5:$I$1270,"А240",Ведомость!$V$5:$V$1270,"Б-допник",Ведомость!$W$5:$W$1270,1)</f>
        <v/>
      </c>
      <c r="V20" s="35">
        <f>SUMIFS(Ведомость!$N$5:$N$1270,Ведомость!$H$5:$H$1270,12,Ведомость!$I$5:$I$1270,"А240",Ведомость!$V$5:$V$1270,"П-сетка",Ведомость!$W$5:$W$1270,1)</f>
        <v/>
      </c>
      <c r="W20" s="35">
        <f>SUMIFS(Ведомость!$N$5:$N$1270,Ведомость!$H$5:$H$1270,12,Ведомость!$I$5:$I$1270,"А240",Ведомость!$V$5:$V$1270,"П-фикс",Ведомость!$W$5:$W$1270,1)</f>
        <v/>
      </c>
      <c r="X20" s="35">
        <f>SUMIFS(Ведомость!$N$5:$N$1270,Ведомость!$H$5:$H$1270,12,Ведомость!$I$5:$I$1270,"А240",Ведомость!$V$5:$V$1270,"П-отв",Ведомость!$W$5:$W$1270,1)</f>
        <v/>
      </c>
      <c r="Y20" s="35">
        <f>SUMIFS(Ведомость!$N$5:$N$1270,Ведомость!$H$5:$H$1270,12,Ведомость!$I$5:$I$1270,"А240",Ведомость!$V$5:$V$1270,"П-доп-низ",Ведомость!$W$5:$W$1270,1)</f>
        <v/>
      </c>
      <c r="Z20" s="35">
        <f>SUMIFS(Ведомость!$N$5:$N$1270,Ведомость!$H$5:$H$1270,12,Ведомость!$I$5:$I$1270,"А240",Ведомость!$V$5:$V$1270,"П-доп-верх",Ведомость!$W$5:$W$1270,1)</f>
        <v/>
      </c>
      <c r="AA20" s="35">
        <f>SUMIFS(Ведомость!$N$5:$N$1270,Ведомость!$H$5:$H$1270,12,Ведомость!$I$5:$I$1270,"А240",Ведомость!$V$5:$V$1270,"П-край",Ведомость!$W$5:$W$1270,1)</f>
        <v/>
      </c>
      <c r="AB20" s="35">
        <f>SUMIFS(Ведомость!$N$5:$N$1270,Ведомость!$H$5:$H$1270,12,Ведомость!$I$5:$I$1270,"А240",Ведомость!$V$5:$V$1270,"С-1",Ведомость!$W$5:$W$1270,1)</f>
        <v/>
      </c>
      <c r="AC20" s="35">
        <f>SUMIFS(Ведомость!$N$5:$N$1270,Ведомость!$H$5:$H$1270,12,Ведомость!$I$5:$I$1270,"А240",Ведомость!$V$5:$V$1270,"Л1",Ведомость!$W$5:$W$1270,1)</f>
        <v/>
      </c>
      <c r="AD20" s="35">
        <f>SUMIFS(Ведомость!$N$5:$N$1270,Ведомость!$H$5:$H$1270,12,Ведомость!$I$5:$I$1270,"А240",Ведомость!$V$5:$V$1270,"Л2",Ведомость!$W$5:$W$1270,1)</f>
        <v/>
      </c>
      <c r="AE20" s="35">
        <f>SUMIFS(Ведомость!$N$5:$N$1270,Ведомость!$H$5:$H$1270,12,Ведомость!$I$5:$I$1270,"А240",Ведомость!$V$5:$V$1270,"Л-пл",Ведомость!$W$5:$W$1270,1)</f>
        <v/>
      </c>
      <c r="AF20" s="35">
        <f>SUMIFS(Ведомость!$N$5:$N$1270,Ведомость!$H$5:$H$1270,12,Ведомость!$I$5:$I$1270,"А240",Ведомость!$V$5:$V$1270,"Л-рама",Ведомость!$W$5:$W$1270,1)</f>
        <v/>
      </c>
      <c r="AG20" s="36">
        <f>SUM(B20:AF20)</f>
        <v/>
      </c>
      <c r="AH20" s="37">
        <f>IFERROR(INDEX(Исходные!$B$19:$B$31,MATCH(12,Исходные!$A$19:$A$31,0)),0)</f>
        <v/>
      </c>
      <c r="AI20" s="36">
        <f>AG20*AH20*$AJ$2</f>
        <v/>
      </c>
      <c r="AJ20" s="38">
        <f>SUM(B20:D20,F20,H20,J20:M20)</f>
        <v/>
      </c>
      <c r="AK20" s="39">
        <f>AH20</f>
        <v/>
      </c>
      <c r="AL20" s="40">
        <f>AJ20*AK20*$AJ$2</f>
        <v/>
      </c>
      <c r="AM20" s="38">
        <f>SUM(E20,G20,I20,N20:AB20)</f>
        <v/>
      </c>
      <c r="AN20" s="39">
        <f>AH20</f>
        <v/>
      </c>
      <c r="AO20" s="40">
        <f>AM20*AN20*$AJ$2</f>
        <v/>
      </c>
      <c r="AP20" s="38">
        <f>SUM(AC20:AF20)</f>
        <v/>
      </c>
      <c r="AQ20" s="39">
        <f>AH20</f>
        <v/>
      </c>
      <c r="AR20" s="40">
        <f>AP20*AQ20*$AJ$2</f>
        <v/>
      </c>
    </row>
    <row r="21">
      <c r="A21" s="6" t="inlineStr">
        <is>
          <t>Диаметр 10 А240, L=м.п.</t>
        </is>
      </c>
      <c r="B21" s="35">
        <f>SUMIFS(Ведомость!$N$5:$N$1270,Ведомость!$H$5:$H$1270,10,Ведомость!$I$5:$I$1270,"А240",Ведомость!$V$5:$V$1270,"Дм-1",Ведомость!$W$5:$W$1270,1)</f>
        <v/>
      </c>
      <c r="C21" s="35">
        <f>SUMIFS(Ведомость!$N$5:$N$1270,Ведомость!$H$5:$H$1270,10,Ведомость!$I$5:$I$1270,"А240",Ведомость!$V$5:$V$1270,"Дм-2",Ведомость!$W$5:$W$1270,1)</f>
        <v/>
      </c>
      <c r="D21" s="35">
        <f>SUMIFS(Ведомость!$N$5:$N$1270,Ведомость!$H$5:$H$1270,10,Ведомость!$I$5:$I$1270,"А240",Ведомость!$V$5:$V$1270,"К-А",Ведомость!$W$5:$W$1270,1)</f>
        <v/>
      </c>
      <c r="E21" s="35">
        <f>SUMIFS(Ведомость!$N$5:$N$1270,Ведомость!$H$5:$H$1270,10,Ведомость!$I$5:$I$1270,"А240",Ведомость!$V$5:$V$1270,"Р-А",Ведомость!$W$5:$W$1270,1)</f>
        <v/>
      </c>
      <c r="F21" s="35">
        <f>SUMIFS(Ведомость!$N$5:$N$1270,Ведомость!$H$5:$H$1270,10,Ведомость!$I$5:$I$1270,"А240",Ведомость!$V$5:$V$1270,"К-Б",Ведомость!$W$5:$W$1270,1)</f>
        <v/>
      </c>
      <c r="G21" s="35">
        <f>SUMIFS(Ведомость!$N$5:$N$1270,Ведомость!$H$5:$H$1270,10,Ведомость!$I$5:$I$1270,"А240",Ведомость!$V$5:$V$1270,"Р-Б",Ведомость!$W$5:$W$1270,1)</f>
        <v/>
      </c>
      <c r="H21" s="35">
        <f>SUMIFS(Ведомость!$N$5:$N$1270,Ведомость!$H$5:$H$1270,10,Ведомость!$I$5:$I$1270,"А240",Ведомость!$V$5:$V$1270,"К-В",Ведомость!$W$5:$W$1270,1)</f>
        <v/>
      </c>
      <c r="I21" s="35">
        <f>SUMIFS(Ведомость!$N$5:$N$1270,Ведомость!$H$5:$H$1270,10,Ведомость!$I$5:$I$1270,"А240",Ведомость!$V$5:$V$1270,"Р-В",Ведомость!$W$5:$W$1270,1)</f>
        <v/>
      </c>
      <c r="J21" s="35">
        <f>SUMIFS(Ведомость!$N$5:$N$1270,Ведомость!$H$5:$H$1270,10,Ведомость!$I$5:$I$1270,"А240",Ведомость!$V$5:$V$1270,"К-Г",Ведомость!$W$5:$W$1270,1)</f>
        <v/>
      </c>
      <c r="K21" s="35">
        <f>SUMIFS(Ведомость!$N$5:$N$1270,Ведомость!$H$5:$H$1270,10,Ведомость!$I$5:$I$1270,"А240",Ведомость!$V$5:$V$1270,"Дм-3",Ведомость!$W$5:$W$1270,1)</f>
        <v/>
      </c>
      <c r="L21" s="35">
        <f>SUMIFS(Ведомость!$N$5:$N$1270,Ведомость!$H$5:$H$1270,10,Ведомость!$I$5:$I$1270,"А240",Ведомость!$V$5:$V$1270,"Дм-4",Ведомость!$W$5:$W$1270,1)</f>
        <v/>
      </c>
      <c r="M21" s="35">
        <f>SUMIFS(Ведомость!$N$5:$N$1270,Ведомость!$H$5:$H$1270,10,Ведомость!$I$5:$I$1270,"А240",Ведомость!$V$5:$V$1270,"Дм-5",Ведомость!$W$5:$W$1270,1)</f>
        <v/>
      </c>
      <c r="N21" s="35">
        <f>SUMIFS(Ведомость!$N$5:$N$1270,Ведомость!$H$5:$H$1270,10,Ведомость!$I$5:$I$1270,"А240",Ведомость!$V$5:$V$1270,"Р-Г",Ведомость!$W$5:$W$1270,1)</f>
        <v/>
      </c>
      <c r="O21" s="35">
        <f>SUMIFS(Ведомость!$N$5:$N$1270,Ведомость!$H$5:$H$1270,10,Ведомость!$I$5:$I$1270,"А240",Ведомость!$V$5:$V$1270,"Р-1, 5",Ведомость!$W$5:$W$1270,1)</f>
        <v/>
      </c>
      <c r="P21" s="35">
        <f>SUMIFS(Ведомость!$N$5:$N$1270,Ведомость!$H$5:$H$1270,10,Ведомость!$I$5:$I$1270,"А240",Ведомость!$V$5:$V$1270,"Р-2",Ведомость!$W$5:$W$1270,1)</f>
        <v/>
      </c>
      <c r="Q21" s="35">
        <f>SUMIFS(Ведомость!$N$5:$N$1270,Ведомость!$H$5:$H$1270,10,Ведомость!$I$5:$I$1270,"А240",Ведомость!$V$5:$V$1270,"Р-3",Ведомость!$W$5:$W$1270,1)</f>
        <v/>
      </c>
      <c r="R21" s="35">
        <f>SUMIFS(Ведомость!$N$5:$N$1270,Ведомость!$H$5:$H$1270,10,Ведомость!$I$5:$I$1270,"А240",Ведомость!$V$5:$V$1270,"Р-4",Ведомость!$W$5:$W$1270,1)</f>
        <v/>
      </c>
      <c r="S21" s="35">
        <f>SUMIFS(Ведомость!$N$5:$N$1270,Ведомость!$H$5:$H$1270,10,Ведомость!$I$5:$I$1270,"А240",Ведомость!$V$5:$V$1270,"Б-основная",Ведомость!$W$5:$W$1270,1)</f>
        <v/>
      </c>
      <c r="T21" s="35">
        <f>SUMIFS(Ведомость!$N$5:$N$1270,Ведомость!$H$5:$H$1270,10,Ведомость!$I$5:$I$1270,"А240",Ведомость!$V$5:$V$1270,"Б-хомуты",Ведомость!$W$5:$W$1270,1)</f>
        <v/>
      </c>
      <c r="U21" s="35">
        <f>SUMIFS(Ведомость!$N$5:$N$1270,Ведомость!$H$5:$H$1270,10,Ведомость!$I$5:$I$1270,"А240",Ведомость!$V$5:$V$1270,"Б-допник",Ведомость!$W$5:$W$1270,1)</f>
        <v/>
      </c>
      <c r="V21" s="35">
        <f>SUMIFS(Ведомость!$N$5:$N$1270,Ведомость!$H$5:$H$1270,10,Ведомость!$I$5:$I$1270,"А240",Ведомость!$V$5:$V$1270,"П-сетка",Ведомость!$W$5:$W$1270,1)</f>
        <v/>
      </c>
      <c r="W21" s="35">
        <f>SUMIFS(Ведомость!$N$5:$N$1270,Ведомость!$H$5:$H$1270,10,Ведомость!$I$5:$I$1270,"А240",Ведомость!$V$5:$V$1270,"П-фикс",Ведомость!$W$5:$W$1270,1)</f>
        <v/>
      </c>
      <c r="X21" s="35">
        <f>SUMIFS(Ведомость!$N$5:$N$1270,Ведомость!$H$5:$H$1270,10,Ведомость!$I$5:$I$1270,"А240",Ведомость!$V$5:$V$1270,"П-отв",Ведомость!$W$5:$W$1270,1)</f>
        <v/>
      </c>
      <c r="Y21" s="35">
        <f>SUMIFS(Ведомость!$N$5:$N$1270,Ведомость!$H$5:$H$1270,10,Ведомость!$I$5:$I$1270,"А240",Ведомость!$V$5:$V$1270,"П-доп-низ",Ведомость!$W$5:$W$1270,1)</f>
        <v/>
      </c>
      <c r="Z21" s="35">
        <f>SUMIFS(Ведомость!$N$5:$N$1270,Ведомость!$H$5:$H$1270,10,Ведомость!$I$5:$I$1270,"А240",Ведомость!$V$5:$V$1270,"П-доп-верх",Ведомость!$W$5:$W$1270,1)</f>
        <v/>
      </c>
      <c r="AA21" s="35">
        <f>SUMIFS(Ведомость!$N$5:$N$1270,Ведомость!$H$5:$H$1270,10,Ведомость!$I$5:$I$1270,"А240",Ведомость!$V$5:$V$1270,"П-край",Ведомость!$W$5:$W$1270,1)</f>
        <v/>
      </c>
      <c r="AB21" s="35">
        <f>SUMIFS(Ведомость!$N$5:$N$1270,Ведомость!$H$5:$H$1270,10,Ведомость!$I$5:$I$1270,"А240",Ведомость!$V$5:$V$1270,"С-1",Ведомость!$W$5:$W$1270,1)</f>
        <v/>
      </c>
      <c r="AC21" s="35">
        <f>SUMIFS(Ведомость!$N$5:$N$1270,Ведомость!$H$5:$H$1270,10,Ведомость!$I$5:$I$1270,"А240",Ведомость!$V$5:$V$1270,"Л1",Ведомость!$W$5:$W$1270,1)</f>
        <v/>
      </c>
      <c r="AD21" s="35">
        <f>SUMIFS(Ведомость!$N$5:$N$1270,Ведомость!$H$5:$H$1270,10,Ведомость!$I$5:$I$1270,"А240",Ведомость!$V$5:$V$1270,"Л2",Ведомость!$W$5:$W$1270,1)</f>
        <v/>
      </c>
      <c r="AE21" s="35">
        <f>SUMIFS(Ведомость!$N$5:$N$1270,Ведомость!$H$5:$H$1270,10,Ведомость!$I$5:$I$1270,"А240",Ведомость!$V$5:$V$1270,"Л-пл",Ведомость!$W$5:$W$1270,1)</f>
        <v/>
      </c>
      <c r="AF21" s="35">
        <f>SUMIFS(Ведомость!$N$5:$N$1270,Ведомость!$H$5:$H$1270,10,Ведомость!$I$5:$I$1270,"А240",Ведомость!$V$5:$V$1270,"Л-рама",Ведомость!$W$5:$W$1270,1)</f>
        <v/>
      </c>
      <c r="AG21" s="36">
        <f>SUM(B21:AF21)</f>
        <v/>
      </c>
      <c r="AH21" s="37">
        <f>IFERROR(INDEX(Исходные!$B$19:$B$31,MATCH(10,Исходные!$A$19:$A$31,0)),0)</f>
        <v/>
      </c>
      <c r="AI21" s="36">
        <f>AG21*AH21*$AJ$2</f>
        <v/>
      </c>
      <c r="AJ21" s="38">
        <f>SUM(B21:D21,F21,H21,J21:M21)</f>
        <v/>
      </c>
      <c r="AK21" s="39">
        <f>AH21</f>
        <v/>
      </c>
      <c r="AL21" s="40">
        <f>AJ21*AK21*$AJ$2</f>
        <v/>
      </c>
      <c r="AM21" s="38">
        <f>SUM(E21,G21,I21,N21:AB21)</f>
        <v/>
      </c>
      <c r="AN21" s="39">
        <f>AH21</f>
        <v/>
      </c>
      <c r="AO21" s="40">
        <f>AM21*AN21*$AJ$2</f>
        <v/>
      </c>
      <c r="AP21" s="38">
        <f>SUM(AC21:AF21)</f>
        <v/>
      </c>
      <c r="AQ21" s="39">
        <f>AH21</f>
        <v/>
      </c>
      <c r="AR21" s="40">
        <f>AP21*AQ21*$AJ$2</f>
        <v/>
      </c>
    </row>
    <row r="22">
      <c r="A22" s="6" t="inlineStr">
        <is>
          <t>Диаметр 8 А240, L=м.п.</t>
        </is>
      </c>
      <c r="B22" s="35">
        <f>SUMIFS(Ведомость!$N$5:$N$1270,Ведомость!$H$5:$H$1270,8,Ведомость!$I$5:$I$1270,"А240",Ведомость!$V$5:$V$1270,"Дм-1",Ведомость!$W$5:$W$1270,1)</f>
        <v/>
      </c>
      <c r="C22" s="35">
        <f>SUMIFS(Ведомость!$N$5:$N$1270,Ведомость!$H$5:$H$1270,8,Ведомость!$I$5:$I$1270,"А240",Ведомость!$V$5:$V$1270,"Дм-2",Ведомость!$W$5:$W$1270,1)</f>
        <v/>
      </c>
      <c r="D22" s="35">
        <f>SUMIFS(Ведомость!$N$5:$N$1270,Ведомость!$H$5:$H$1270,8,Ведомость!$I$5:$I$1270,"А240",Ведомость!$V$5:$V$1270,"К-А",Ведомость!$W$5:$W$1270,1)</f>
        <v/>
      </c>
      <c r="E22" s="35">
        <f>SUMIFS(Ведомость!$N$5:$N$1270,Ведомость!$H$5:$H$1270,8,Ведомость!$I$5:$I$1270,"А240",Ведомость!$V$5:$V$1270,"Р-А",Ведомость!$W$5:$W$1270,1)</f>
        <v/>
      </c>
      <c r="F22" s="35">
        <f>SUMIFS(Ведомость!$N$5:$N$1270,Ведомость!$H$5:$H$1270,8,Ведомость!$I$5:$I$1270,"А240",Ведомость!$V$5:$V$1270,"К-Б",Ведомость!$W$5:$W$1270,1)</f>
        <v/>
      </c>
      <c r="G22" s="35">
        <f>SUMIFS(Ведомость!$N$5:$N$1270,Ведомость!$H$5:$H$1270,8,Ведомость!$I$5:$I$1270,"А240",Ведомость!$V$5:$V$1270,"Р-Б",Ведомость!$W$5:$W$1270,1)</f>
        <v/>
      </c>
      <c r="H22" s="35">
        <f>SUMIFS(Ведомость!$N$5:$N$1270,Ведомость!$H$5:$H$1270,8,Ведомость!$I$5:$I$1270,"А240",Ведомость!$V$5:$V$1270,"К-В",Ведомость!$W$5:$W$1270,1)</f>
        <v/>
      </c>
      <c r="I22" s="35">
        <f>SUMIFS(Ведомость!$N$5:$N$1270,Ведомость!$H$5:$H$1270,8,Ведомость!$I$5:$I$1270,"А240",Ведомость!$V$5:$V$1270,"Р-В",Ведомость!$W$5:$W$1270,1)</f>
        <v/>
      </c>
      <c r="J22" s="35">
        <f>SUMIFS(Ведомость!$N$5:$N$1270,Ведомость!$H$5:$H$1270,8,Ведомость!$I$5:$I$1270,"А240",Ведомость!$V$5:$V$1270,"К-Г",Ведомость!$W$5:$W$1270,1)</f>
        <v/>
      </c>
      <c r="K22" s="35">
        <f>SUMIFS(Ведомость!$N$5:$N$1270,Ведомость!$H$5:$H$1270,8,Ведомость!$I$5:$I$1270,"А240",Ведомость!$V$5:$V$1270,"Дм-3",Ведомость!$W$5:$W$1270,1)</f>
        <v/>
      </c>
      <c r="L22" s="35">
        <f>SUMIFS(Ведомость!$N$5:$N$1270,Ведомость!$H$5:$H$1270,8,Ведомость!$I$5:$I$1270,"А240",Ведомость!$V$5:$V$1270,"Дм-4",Ведомость!$W$5:$W$1270,1)</f>
        <v/>
      </c>
      <c r="M22" s="35">
        <f>SUMIFS(Ведомость!$N$5:$N$1270,Ведомость!$H$5:$H$1270,8,Ведомость!$I$5:$I$1270,"А240",Ведомость!$V$5:$V$1270,"Дм-5",Ведомость!$W$5:$W$1270,1)</f>
        <v/>
      </c>
      <c r="N22" s="35">
        <f>SUMIFS(Ведомость!$N$5:$N$1270,Ведомость!$H$5:$H$1270,8,Ведомость!$I$5:$I$1270,"А240",Ведомость!$V$5:$V$1270,"Р-Г",Ведомость!$W$5:$W$1270,1)</f>
        <v/>
      </c>
      <c r="O22" s="35">
        <f>SUMIFS(Ведомость!$N$5:$N$1270,Ведомость!$H$5:$H$1270,8,Ведомость!$I$5:$I$1270,"А240",Ведомость!$V$5:$V$1270,"Р-1, 5",Ведомость!$W$5:$W$1270,1)</f>
        <v/>
      </c>
      <c r="P22" s="35">
        <f>SUMIFS(Ведомость!$N$5:$N$1270,Ведомость!$H$5:$H$1270,8,Ведомость!$I$5:$I$1270,"А240",Ведомость!$V$5:$V$1270,"Р-2",Ведомость!$W$5:$W$1270,1)</f>
        <v/>
      </c>
      <c r="Q22" s="35">
        <f>SUMIFS(Ведомость!$N$5:$N$1270,Ведомость!$H$5:$H$1270,8,Ведомость!$I$5:$I$1270,"А240",Ведомость!$V$5:$V$1270,"Р-3",Ведомость!$W$5:$W$1270,1)</f>
        <v/>
      </c>
      <c r="R22" s="35">
        <f>SUMIFS(Ведомость!$N$5:$N$1270,Ведомость!$H$5:$H$1270,8,Ведомость!$I$5:$I$1270,"А240",Ведомость!$V$5:$V$1270,"Р-4",Ведомость!$W$5:$W$1270,1)</f>
        <v/>
      </c>
      <c r="S22" s="35">
        <f>SUMIFS(Ведомость!$N$5:$N$1270,Ведомость!$H$5:$H$1270,8,Ведомость!$I$5:$I$1270,"А240",Ведомость!$V$5:$V$1270,"Б-основная",Ведомость!$W$5:$W$1270,1)</f>
        <v/>
      </c>
      <c r="T22" s="35">
        <f>SUMIFS(Ведомость!$N$5:$N$1270,Ведомость!$H$5:$H$1270,8,Ведомость!$I$5:$I$1270,"А240",Ведомость!$V$5:$V$1270,"Б-хомуты",Ведомость!$W$5:$W$1270,1)</f>
        <v/>
      </c>
      <c r="U22" s="35">
        <f>SUMIFS(Ведомость!$N$5:$N$1270,Ведомость!$H$5:$H$1270,8,Ведомость!$I$5:$I$1270,"А240",Ведомость!$V$5:$V$1270,"Б-допник",Ведомость!$W$5:$W$1270,1)</f>
        <v/>
      </c>
      <c r="V22" s="35">
        <f>SUMIFS(Ведомость!$N$5:$N$1270,Ведомость!$H$5:$H$1270,8,Ведомость!$I$5:$I$1270,"А240",Ведомость!$V$5:$V$1270,"П-сетка",Ведомость!$W$5:$W$1270,1)</f>
        <v/>
      </c>
      <c r="W22" s="35">
        <f>SUMIFS(Ведомость!$N$5:$N$1270,Ведомость!$H$5:$H$1270,8,Ведомость!$I$5:$I$1270,"А240",Ведомость!$V$5:$V$1270,"П-фикс",Ведомость!$W$5:$W$1270,1)</f>
        <v/>
      </c>
      <c r="X22" s="35">
        <f>SUMIFS(Ведомость!$N$5:$N$1270,Ведомость!$H$5:$H$1270,8,Ведомость!$I$5:$I$1270,"А240",Ведомость!$V$5:$V$1270,"П-отв",Ведомость!$W$5:$W$1270,1)</f>
        <v/>
      </c>
      <c r="Y22" s="35">
        <f>SUMIFS(Ведомость!$N$5:$N$1270,Ведомость!$H$5:$H$1270,8,Ведомость!$I$5:$I$1270,"А240",Ведомость!$V$5:$V$1270,"П-доп-низ",Ведомость!$W$5:$W$1270,1)</f>
        <v/>
      </c>
      <c r="Z22" s="35">
        <f>SUMIFS(Ведомость!$N$5:$N$1270,Ведомость!$H$5:$H$1270,8,Ведомость!$I$5:$I$1270,"А240",Ведомость!$V$5:$V$1270,"П-доп-верх",Ведомость!$W$5:$W$1270,1)</f>
        <v/>
      </c>
      <c r="AA22" s="35">
        <f>SUMIFS(Ведомость!$N$5:$N$1270,Ведомость!$H$5:$H$1270,8,Ведомость!$I$5:$I$1270,"А240",Ведомость!$V$5:$V$1270,"П-край",Ведомость!$W$5:$W$1270,1)</f>
        <v/>
      </c>
      <c r="AB22" s="35">
        <f>SUMIFS(Ведомость!$N$5:$N$1270,Ведомость!$H$5:$H$1270,8,Ведомость!$I$5:$I$1270,"А240",Ведомость!$V$5:$V$1270,"С-1",Ведомость!$W$5:$W$1270,1)</f>
        <v/>
      </c>
      <c r="AC22" s="35">
        <f>SUMIFS(Ведомость!$N$5:$N$1270,Ведомость!$H$5:$H$1270,8,Ведомость!$I$5:$I$1270,"А240",Ведомость!$V$5:$V$1270,"Л1",Ведомость!$W$5:$W$1270,1)</f>
        <v/>
      </c>
      <c r="AD22" s="35">
        <f>SUMIFS(Ведомость!$N$5:$N$1270,Ведомость!$H$5:$H$1270,8,Ведомость!$I$5:$I$1270,"А240",Ведомость!$V$5:$V$1270,"Л2",Ведомость!$W$5:$W$1270,1)</f>
        <v/>
      </c>
      <c r="AE22" s="35">
        <f>SUMIFS(Ведомость!$N$5:$N$1270,Ведомость!$H$5:$H$1270,8,Ведомость!$I$5:$I$1270,"А240",Ведомость!$V$5:$V$1270,"Л-пл",Ведомость!$W$5:$W$1270,1)</f>
        <v/>
      </c>
      <c r="AF22" s="35">
        <f>SUMIFS(Ведомость!$N$5:$N$1270,Ведомость!$H$5:$H$1270,8,Ведомость!$I$5:$I$1270,"А240",Ведомость!$V$5:$V$1270,"Л-рама",Ведомость!$W$5:$W$1270,1)</f>
        <v/>
      </c>
      <c r="AG22" s="36">
        <f>SUM(B22:AF22)</f>
        <v/>
      </c>
      <c r="AH22" s="37">
        <f>IFERROR(INDEX(Исходные!$B$19:$B$31,MATCH(8,Исходные!$A$19:$A$31,0)),0)</f>
        <v/>
      </c>
      <c r="AI22" s="36">
        <f>AG22*AH22*$AJ$2</f>
        <v/>
      </c>
      <c r="AJ22" s="38">
        <f>SUM(B22:D22,F22,H22,J22:M22)</f>
        <v/>
      </c>
      <c r="AK22" s="39">
        <f>AH22</f>
        <v/>
      </c>
      <c r="AL22" s="40">
        <f>AJ22*AK22*$AJ$2</f>
        <v/>
      </c>
      <c r="AM22" s="38">
        <f>SUM(E22,G22,I22,N22:AB22)</f>
        <v/>
      </c>
      <c r="AN22" s="39">
        <f>AH22</f>
        <v/>
      </c>
      <c r="AO22" s="40">
        <f>AM22*AN22*$AJ$2</f>
        <v/>
      </c>
      <c r="AP22" s="38">
        <f>SUM(AC22:AF22)</f>
        <v/>
      </c>
      <c r="AQ22" s="39">
        <f>AH22</f>
        <v/>
      </c>
      <c r="AR22" s="40">
        <f>AP22*AQ22*$AJ$2</f>
        <v/>
      </c>
    </row>
    <row r="23">
      <c r="A23" s="6" t="inlineStr">
        <is>
          <t>Диаметр 6 А240, L=м.п.</t>
        </is>
      </c>
      <c r="B23" s="35">
        <f>SUMIFS(Ведомость!$N$5:$N$1270,Ведомость!$H$5:$H$1270,6,Ведомость!$I$5:$I$1270,"А240",Ведомость!$V$5:$V$1270,"Дм-1",Ведомость!$W$5:$W$1270,1)</f>
        <v/>
      </c>
      <c r="C23" s="35">
        <f>SUMIFS(Ведомость!$N$5:$N$1270,Ведомость!$H$5:$H$1270,6,Ведомость!$I$5:$I$1270,"А240",Ведомость!$V$5:$V$1270,"Дм-2",Ведомость!$W$5:$W$1270,1)</f>
        <v/>
      </c>
      <c r="D23" s="35">
        <f>SUMIFS(Ведомость!$N$5:$N$1270,Ведомость!$H$5:$H$1270,6,Ведомость!$I$5:$I$1270,"А240",Ведомость!$V$5:$V$1270,"К-А",Ведомость!$W$5:$W$1270,1)</f>
        <v/>
      </c>
      <c r="E23" s="35">
        <f>SUMIFS(Ведомость!$N$5:$N$1270,Ведомость!$H$5:$H$1270,6,Ведомость!$I$5:$I$1270,"А240",Ведомость!$V$5:$V$1270,"Р-А",Ведомость!$W$5:$W$1270,1)</f>
        <v/>
      </c>
      <c r="F23" s="35">
        <f>SUMIFS(Ведомость!$N$5:$N$1270,Ведомость!$H$5:$H$1270,6,Ведомость!$I$5:$I$1270,"А240",Ведомость!$V$5:$V$1270,"К-Б",Ведомость!$W$5:$W$1270,1)</f>
        <v/>
      </c>
      <c r="G23" s="35">
        <f>SUMIFS(Ведомость!$N$5:$N$1270,Ведомость!$H$5:$H$1270,6,Ведомость!$I$5:$I$1270,"А240",Ведомость!$V$5:$V$1270,"Р-Б",Ведомость!$W$5:$W$1270,1)</f>
        <v/>
      </c>
      <c r="H23" s="35">
        <f>SUMIFS(Ведомость!$N$5:$N$1270,Ведомость!$H$5:$H$1270,6,Ведомость!$I$5:$I$1270,"А240",Ведомость!$V$5:$V$1270,"К-В",Ведомость!$W$5:$W$1270,1)</f>
        <v/>
      </c>
      <c r="I23" s="35">
        <f>SUMIFS(Ведомость!$N$5:$N$1270,Ведомость!$H$5:$H$1270,6,Ведомость!$I$5:$I$1270,"А240",Ведомость!$V$5:$V$1270,"Р-В",Ведомость!$W$5:$W$1270,1)</f>
        <v/>
      </c>
      <c r="J23" s="35">
        <f>SUMIFS(Ведомость!$N$5:$N$1270,Ведомость!$H$5:$H$1270,6,Ведомость!$I$5:$I$1270,"А240",Ведомость!$V$5:$V$1270,"К-Г",Ведомость!$W$5:$W$1270,1)</f>
        <v/>
      </c>
      <c r="K23" s="35">
        <f>SUMIFS(Ведомость!$N$5:$N$1270,Ведомость!$H$5:$H$1270,6,Ведомость!$I$5:$I$1270,"А240",Ведомость!$V$5:$V$1270,"Дм-3",Ведомость!$W$5:$W$1270,1)</f>
        <v/>
      </c>
      <c r="L23" s="35">
        <f>SUMIFS(Ведомость!$N$5:$N$1270,Ведомость!$H$5:$H$1270,6,Ведомость!$I$5:$I$1270,"А240",Ведомость!$V$5:$V$1270,"Дм-4",Ведомость!$W$5:$W$1270,1)</f>
        <v/>
      </c>
      <c r="M23" s="35">
        <f>SUMIFS(Ведомость!$N$5:$N$1270,Ведомость!$H$5:$H$1270,6,Ведомость!$I$5:$I$1270,"А240",Ведомость!$V$5:$V$1270,"Дм-5",Ведомость!$W$5:$W$1270,1)</f>
        <v/>
      </c>
      <c r="N23" s="35">
        <f>SUMIFS(Ведомость!$N$5:$N$1270,Ведомость!$H$5:$H$1270,6,Ведомость!$I$5:$I$1270,"А240",Ведомость!$V$5:$V$1270,"Р-Г",Ведомость!$W$5:$W$1270,1)</f>
        <v/>
      </c>
      <c r="O23" s="35">
        <f>SUMIFS(Ведомость!$N$5:$N$1270,Ведомость!$H$5:$H$1270,6,Ведомость!$I$5:$I$1270,"А240",Ведомость!$V$5:$V$1270,"Р-1, 5",Ведомость!$W$5:$W$1270,1)</f>
        <v/>
      </c>
      <c r="P23" s="35">
        <f>SUMIFS(Ведомость!$N$5:$N$1270,Ведомость!$H$5:$H$1270,6,Ведомость!$I$5:$I$1270,"А240",Ведомость!$V$5:$V$1270,"Р-2",Ведомость!$W$5:$W$1270,1)</f>
        <v/>
      </c>
      <c r="Q23" s="35">
        <f>SUMIFS(Ведомость!$N$5:$N$1270,Ведомость!$H$5:$H$1270,6,Ведомость!$I$5:$I$1270,"А240",Ведомость!$V$5:$V$1270,"Р-3",Ведомость!$W$5:$W$1270,1)</f>
        <v/>
      </c>
      <c r="R23" s="35">
        <f>SUMIFS(Ведомость!$N$5:$N$1270,Ведомость!$H$5:$H$1270,6,Ведомость!$I$5:$I$1270,"А240",Ведомость!$V$5:$V$1270,"Р-4",Ведомость!$W$5:$W$1270,1)</f>
        <v/>
      </c>
      <c r="S23" s="35">
        <f>SUMIFS(Ведомость!$N$5:$N$1270,Ведомость!$H$5:$H$1270,6,Ведомость!$I$5:$I$1270,"А240",Ведомость!$V$5:$V$1270,"Б-основная",Ведомость!$W$5:$W$1270,1)</f>
        <v/>
      </c>
      <c r="T23" s="35">
        <f>SUMIFS(Ведомость!$N$5:$N$1270,Ведомость!$H$5:$H$1270,6,Ведомость!$I$5:$I$1270,"А240",Ведомость!$V$5:$V$1270,"Б-хомуты",Ведомость!$W$5:$W$1270,1)</f>
        <v/>
      </c>
      <c r="U23" s="35">
        <f>SUMIFS(Ведомость!$N$5:$N$1270,Ведомость!$H$5:$H$1270,6,Ведомость!$I$5:$I$1270,"А240",Ведомость!$V$5:$V$1270,"Б-допник",Ведомость!$W$5:$W$1270,1)</f>
        <v/>
      </c>
      <c r="V23" s="35">
        <f>SUMIFS(Ведомость!$N$5:$N$1270,Ведомость!$H$5:$H$1270,6,Ведомость!$I$5:$I$1270,"А240",Ведомость!$V$5:$V$1270,"П-сетка",Ведомость!$W$5:$W$1270,1)</f>
        <v/>
      </c>
      <c r="W23" s="35">
        <f>SUMIFS(Ведомость!$N$5:$N$1270,Ведомость!$H$5:$H$1270,6,Ведомость!$I$5:$I$1270,"А240",Ведомость!$V$5:$V$1270,"П-фикс",Ведомость!$W$5:$W$1270,1)</f>
        <v/>
      </c>
      <c r="X23" s="35">
        <f>SUMIFS(Ведомость!$N$5:$N$1270,Ведомость!$H$5:$H$1270,6,Ведомость!$I$5:$I$1270,"А240",Ведомость!$V$5:$V$1270,"П-отв",Ведомость!$W$5:$W$1270,1)</f>
        <v/>
      </c>
      <c r="Y23" s="35">
        <f>SUMIFS(Ведомость!$N$5:$N$1270,Ведомость!$H$5:$H$1270,6,Ведомость!$I$5:$I$1270,"А240",Ведомость!$V$5:$V$1270,"П-доп-низ",Ведомость!$W$5:$W$1270,1)</f>
        <v/>
      </c>
      <c r="Z23" s="35">
        <f>SUMIFS(Ведомость!$N$5:$N$1270,Ведомость!$H$5:$H$1270,6,Ведомость!$I$5:$I$1270,"А240",Ведомость!$V$5:$V$1270,"П-доп-верх",Ведомость!$W$5:$W$1270,1)</f>
        <v/>
      </c>
      <c r="AA23" s="35">
        <f>SUMIFS(Ведомость!$N$5:$N$1270,Ведомость!$H$5:$H$1270,6,Ведомость!$I$5:$I$1270,"А240",Ведомость!$V$5:$V$1270,"П-край",Ведомость!$W$5:$W$1270,1)</f>
        <v/>
      </c>
      <c r="AB23" s="35">
        <f>SUMIFS(Ведомость!$N$5:$N$1270,Ведомость!$H$5:$H$1270,6,Ведомость!$I$5:$I$1270,"А240",Ведомость!$V$5:$V$1270,"С-1",Ведомость!$W$5:$W$1270,1)</f>
        <v/>
      </c>
      <c r="AC23" s="35">
        <f>SUMIFS(Ведомость!$N$5:$N$1270,Ведомость!$H$5:$H$1270,6,Ведомость!$I$5:$I$1270,"А240",Ведомость!$V$5:$V$1270,"Л1",Ведомость!$W$5:$W$1270,1)</f>
        <v/>
      </c>
      <c r="AD23" s="35">
        <f>SUMIFS(Ведомость!$N$5:$N$1270,Ведомость!$H$5:$H$1270,6,Ведомость!$I$5:$I$1270,"А240",Ведомость!$V$5:$V$1270,"Л2",Ведомость!$W$5:$W$1270,1)</f>
        <v/>
      </c>
      <c r="AE23" s="35">
        <f>SUMIFS(Ведомость!$N$5:$N$1270,Ведомость!$H$5:$H$1270,6,Ведомость!$I$5:$I$1270,"А240",Ведомость!$V$5:$V$1270,"Л-пл",Ведомость!$W$5:$W$1270,1)</f>
        <v/>
      </c>
      <c r="AF23" s="35">
        <f>SUMIFS(Ведомость!$N$5:$N$1270,Ведомость!$H$5:$H$1270,6,Ведомость!$I$5:$I$1270,"А240",Ведомость!$V$5:$V$1270,"Л-рама",Ведомость!$W$5:$W$1270,1)</f>
        <v/>
      </c>
      <c r="AG23" s="36">
        <f>SUM(B23:AF23)</f>
        <v/>
      </c>
      <c r="AH23" s="37">
        <f>IFERROR(INDEX(Исходные!$B$19:$B$31,MATCH(6,Исходные!$A$19:$A$31,0)),0)</f>
        <v/>
      </c>
      <c r="AI23" s="36">
        <f>AG23*AH23*$AJ$2</f>
        <v/>
      </c>
      <c r="AJ23" s="38">
        <f>SUM(B23:D23,F23,H23,J23:M23)</f>
        <v/>
      </c>
      <c r="AK23" s="39">
        <f>AH23</f>
        <v/>
      </c>
      <c r="AL23" s="40">
        <f>AJ23*AK23*$AJ$2</f>
        <v/>
      </c>
      <c r="AM23" s="38">
        <f>SUM(E23,G23,I23,N23:AB23)</f>
        <v/>
      </c>
      <c r="AN23" s="39">
        <f>AH23</f>
        <v/>
      </c>
      <c r="AO23" s="40">
        <f>AM23*AN23*$AJ$2</f>
        <v/>
      </c>
      <c r="AP23" s="38">
        <f>SUM(AC23:AF23)</f>
        <v/>
      </c>
      <c r="AQ23" s="39">
        <f>AH23</f>
        <v/>
      </c>
      <c r="AR23" s="40">
        <f>AP23*AQ23*$AJ$2</f>
        <v/>
      </c>
    </row>
    <row r="24">
      <c r="A24" s="6" t="inlineStr">
        <is>
          <t>Сетка Ø5 Вр-I 100×100, м²</t>
        </is>
      </c>
      <c r="B24" s="41">
        <f>SUMIFS(Ведомость!$K$5:$K$1270,Ведомость!$H$5:$H$1270,5,Ведомость!$I$5:$I$1270,"Вр-I",Ведомость!$V$5:$V$1270,"Дм-1",Ведомость!$W$5:$W$1270,1)</f>
        <v/>
      </c>
      <c r="C24" s="41">
        <f>SUMIFS(Ведомость!$K$5:$K$1270,Ведомость!$H$5:$H$1270,5,Ведомость!$I$5:$I$1270,"Вр-I",Ведомость!$V$5:$V$1270,"Дм-2",Ведомость!$W$5:$W$1270,1)</f>
        <v/>
      </c>
      <c r="D24" s="41">
        <f>SUMIFS(Ведомость!$K$5:$K$1270,Ведомость!$H$5:$H$1270,5,Ведомость!$I$5:$I$1270,"Вр-I",Ведомость!$V$5:$V$1270,"К-А",Ведомость!$W$5:$W$1270,1)</f>
        <v/>
      </c>
      <c r="E24" s="41">
        <f>SUMIFS(Ведомость!$K$5:$K$1270,Ведомость!$H$5:$H$1270,5,Ведомость!$I$5:$I$1270,"Вр-I",Ведомость!$V$5:$V$1270,"Р-А",Ведомость!$W$5:$W$1270,1)</f>
        <v/>
      </c>
      <c r="F24" s="41">
        <f>SUMIFS(Ведомость!$K$5:$K$1270,Ведомость!$H$5:$H$1270,5,Ведомость!$I$5:$I$1270,"Вр-I",Ведомость!$V$5:$V$1270,"К-Б",Ведомость!$W$5:$W$1270,1)</f>
        <v/>
      </c>
      <c r="G24" s="41">
        <f>SUMIFS(Ведомость!$K$5:$K$1270,Ведомость!$H$5:$H$1270,5,Ведомость!$I$5:$I$1270,"Вр-I",Ведомость!$V$5:$V$1270,"Р-Б",Ведомость!$W$5:$W$1270,1)</f>
        <v/>
      </c>
      <c r="H24" s="41">
        <f>SUMIFS(Ведомость!$K$5:$K$1270,Ведомость!$H$5:$H$1270,5,Ведомость!$I$5:$I$1270,"Вр-I",Ведомость!$V$5:$V$1270,"К-В",Ведомость!$W$5:$W$1270,1)</f>
        <v/>
      </c>
      <c r="I24" s="41">
        <f>SUMIFS(Ведомость!$K$5:$K$1270,Ведомость!$H$5:$H$1270,5,Ведомость!$I$5:$I$1270,"Вр-I",Ведомость!$V$5:$V$1270,"Р-В",Ведомость!$W$5:$W$1270,1)</f>
        <v/>
      </c>
      <c r="J24" s="41">
        <f>SUMIFS(Ведомость!$K$5:$K$1270,Ведомость!$H$5:$H$1270,5,Ведомость!$I$5:$I$1270,"Вр-I",Ведомость!$V$5:$V$1270,"К-Г",Ведомость!$W$5:$W$1270,1)</f>
        <v/>
      </c>
      <c r="K24" s="41">
        <f>SUMIFS(Ведомость!$K$5:$K$1270,Ведомость!$H$5:$H$1270,5,Ведомость!$I$5:$I$1270,"Вр-I",Ведомость!$V$5:$V$1270,"Дм-3",Ведомость!$W$5:$W$1270,1)</f>
        <v/>
      </c>
      <c r="L24" s="41">
        <f>SUMIFS(Ведомость!$K$5:$K$1270,Ведомость!$H$5:$H$1270,5,Ведомость!$I$5:$I$1270,"Вр-I",Ведомость!$V$5:$V$1270,"Дм-4",Ведомость!$W$5:$W$1270,1)</f>
        <v/>
      </c>
      <c r="M24" s="41">
        <f>SUMIFS(Ведомость!$K$5:$K$1270,Ведомость!$H$5:$H$1270,5,Ведомость!$I$5:$I$1270,"Вр-I",Ведомость!$V$5:$V$1270,"Дм-5",Ведомость!$W$5:$W$1270,1)</f>
        <v/>
      </c>
      <c r="N24" s="41">
        <f>SUMIFS(Ведомость!$K$5:$K$1270,Ведомость!$H$5:$H$1270,5,Ведомость!$I$5:$I$1270,"Вр-I",Ведомость!$V$5:$V$1270,"Р-Г",Ведомость!$W$5:$W$1270,1)</f>
        <v/>
      </c>
      <c r="O24" s="41">
        <f>SUMIFS(Ведомость!$K$5:$K$1270,Ведомость!$H$5:$H$1270,5,Ведомость!$I$5:$I$1270,"Вр-I",Ведомость!$V$5:$V$1270,"Р-1, 5",Ведомость!$W$5:$W$1270,1)</f>
        <v/>
      </c>
      <c r="P24" s="41">
        <f>SUMIFS(Ведомость!$K$5:$K$1270,Ведомость!$H$5:$H$1270,5,Ведомость!$I$5:$I$1270,"Вр-I",Ведомость!$V$5:$V$1270,"Р-2",Ведомость!$W$5:$W$1270,1)</f>
        <v/>
      </c>
      <c r="Q24" s="41">
        <f>SUMIFS(Ведомость!$K$5:$K$1270,Ведомость!$H$5:$H$1270,5,Ведомость!$I$5:$I$1270,"Вр-I",Ведомость!$V$5:$V$1270,"Р-3",Ведомость!$W$5:$W$1270,1)</f>
        <v/>
      </c>
      <c r="R24" s="41">
        <f>SUMIFS(Ведомость!$K$5:$K$1270,Ведомость!$H$5:$H$1270,5,Ведомость!$I$5:$I$1270,"Вр-I",Ведомость!$V$5:$V$1270,"Р-4",Ведомость!$W$5:$W$1270,1)</f>
        <v/>
      </c>
      <c r="S24" s="41">
        <f>SUMIFS(Ведомость!$K$5:$K$1270,Ведомость!$H$5:$H$1270,5,Ведомость!$I$5:$I$1270,"Вр-I",Ведомость!$V$5:$V$1270,"Б-основная",Ведомость!$W$5:$W$1270,1)</f>
        <v/>
      </c>
      <c r="T24" s="41">
        <f>SUMIFS(Ведомость!$K$5:$K$1270,Ведомость!$H$5:$H$1270,5,Ведомость!$I$5:$I$1270,"Вр-I",Ведомость!$V$5:$V$1270,"Б-хомуты",Ведомость!$W$5:$W$1270,1)</f>
        <v/>
      </c>
      <c r="U24" s="41">
        <f>SUMIFS(Ведомость!$K$5:$K$1270,Ведомость!$H$5:$H$1270,5,Ведомость!$I$5:$I$1270,"Вр-I",Ведомость!$V$5:$V$1270,"Б-допник",Ведомость!$W$5:$W$1270,1)</f>
        <v/>
      </c>
      <c r="V24" s="41">
        <f>SUMIFS(Ведомость!$K$5:$K$1270,Ведомость!$H$5:$H$1270,5,Ведомость!$I$5:$I$1270,"Вр-I",Ведомость!$V$5:$V$1270,"П-сетка",Ведомость!$W$5:$W$1270,1)</f>
        <v/>
      </c>
      <c r="W24" s="41">
        <f>SUMIFS(Ведомость!$K$5:$K$1270,Ведомость!$H$5:$H$1270,5,Ведомость!$I$5:$I$1270,"Вр-I",Ведомость!$V$5:$V$1270,"П-фикс",Ведомость!$W$5:$W$1270,1)</f>
        <v/>
      </c>
      <c r="X24" s="41">
        <f>SUMIFS(Ведомость!$K$5:$K$1270,Ведомость!$H$5:$H$1270,5,Ведомость!$I$5:$I$1270,"Вр-I",Ведомость!$V$5:$V$1270,"П-отв",Ведомость!$W$5:$W$1270,1)</f>
        <v/>
      </c>
      <c r="Y24" s="41">
        <f>SUMIFS(Ведомость!$K$5:$K$1270,Ведомость!$H$5:$H$1270,5,Ведомость!$I$5:$I$1270,"Вр-I",Ведомость!$V$5:$V$1270,"П-доп-низ",Ведомость!$W$5:$W$1270,1)</f>
        <v/>
      </c>
      <c r="Z24" s="41">
        <f>SUMIFS(Ведомость!$K$5:$K$1270,Ведомость!$H$5:$H$1270,5,Ведомость!$I$5:$I$1270,"Вр-I",Ведомость!$V$5:$V$1270,"П-доп-верх",Ведомость!$W$5:$W$1270,1)</f>
        <v/>
      </c>
      <c r="AA24" s="41">
        <f>SUMIFS(Ведомость!$K$5:$K$1270,Ведомость!$H$5:$H$1270,5,Ведомость!$I$5:$I$1270,"Вр-I",Ведомость!$V$5:$V$1270,"П-край",Ведомость!$W$5:$W$1270,1)</f>
        <v/>
      </c>
      <c r="AB24" s="41">
        <f>SUMIFS(Ведомость!$K$5:$K$1270,Ведомость!$H$5:$H$1270,5,Ведомость!$I$5:$I$1270,"Вр-I",Ведомость!$V$5:$V$1270,"С-1",Ведомость!$W$5:$W$1270,1)</f>
        <v/>
      </c>
      <c r="AC24" s="41">
        <f>SUMIFS(Ведомость!$K$5:$K$1270,Ведомость!$H$5:$H$1270,5,Ведомость!$I$5:$I$1270,"Вр-I",Ведомость!$V$5:$V$1270,"Л1",Ведомость!$W$5:$W$1270,1)</f>
        <v/>
      </c>
      <c r="AD24" s="41">
        <f>SUMIFS(Ведомость!$K$5:$K$1270,Ведомость!$H$5:$H$1270,5,Ведомость!$I$5:$I$1270,"Вр-I",Ведомость!$V$5:$V$1270,"Л2",Ведомость!$W$5:$W$1270,1)</f>
        <v/>
      </c>
      <c r="AE24" s="41">
        <f>SUMIFS(Ведомость!$K$5:$K$1270,Ведомость!$H$5:$H$1270,5,Ведомость!$I$5:$I$1270,"Вр-I",Ведомость!$V$5:$V$1270,"Л-пл",Ведомость!$W$5:$W$1270,1)</f>
        <v/>
      </c>
      <c r="AF24" s="41">
        <f>SUMIFS(Ведомость!$K$5:$K$1270,Ведомость!$H$5:$H$1270,5,Ведомость!$I$5:$I$1270,"Вр-I",Ведомость!$V$5:$V$1270,"Л-рама",Ведомость!$W$5:$W$1270,1)</f>
        <v/>
      </c>
      <c r="AG24" s="36">
        <f>SUM(B24:AF24)</f>
        <v/>
      </c>
      <c r="AH24" s="37">
        <f>Исходные!$B$32</f>
        <v/>
      </c>
      <c r="AI24" s="36">
        <f>AG24*AH24*$AJ$2</f>
        <v/>
      </c>
      <c r="AJ24" s="38">
        <f>SUM(B24:D24,F24,H24,J24:M24)</f>
        <v/>
      </c>
      <c r="AK24" s="39">
        <f>AH24</f>
        <v/>
      </c>
      <c r="AL24" s="40">
        <f>AJ24*AK24*$AJ$2</f>
        <v/>
      </c>
      <c r="AM24" s="38">
        <f>SUM(E24,G24,I24,N24:AB24)</f>
        <v/>
      </c>
      <c r="AN24" s="39">
        <f>AH24</f>
        <v/>
      </c>
      <c r="AO24" s="40">
        <f>AM24*AN24*$AJ$2</f>
        <v/>
      </c>
      <c r="AP24" s="38">
        <f>SUM(AC24:AF24)</f>
        <v/>
      </c>
      <c r="AQ24" s="39">
        <f>AH24</f>
        <v/>
      </c>
      <c r="AR24" s="40">
        <f>AP24*AQ24*$AJ$2</f>
        <v/>
      </c>
    </row>
    <row r="25">
      <c r="A25" s="20" t="inlineStr">
        <is>
          <t>Масса чистая (без К зап), кг</t>
        </is>
      </c>
      <c r="B25" s="42">
        <f>SUMPRODUCT(B8:B24,$AH$8:$AH$24)</f>
        <v/>
      </c>
      <c r="C25" s="42">
        <f>SUMPRODUCT(C8:C24,$AH$8:$AH$24)</f>
        <v/>
      </c>
      <c r="D25" s="42">
        <f>SUMPRODUCT(D8:D24,$AH$8:$AH$24)</f>
        <v/>
      </c>
      <c r="E25" s="42">
        <f>SUMPRODUCT(E8:E24,$AH$8:$AH$24)</f>
        <v/>
      </c>
      <c r="F25" s="42">
        <f>SUMPRODUCT(F8:F24,$AH$8:$AH$24)</f>
        <v/>
      </c>
      <c r="G25" s="42">
        <f>SUMPRODUCT(G8:G24,$AH$8:$AH$24)</f>
        <v/>
      </c>
      <c r="H25" s="42">
        <f>SUMPRODUCT(H8:H24,$AH$8:$AH$24)</f>
        <v/>
      </c>
      <c r="I25" s="42">
        <f>SUMPRODUCT(I8:I24,$AH$8:$AH$24)</f>
        <v/>
      </c>
      <c r="J25" s="42">
        <f>SUMPRODUCT(J8:J24,$AH$8:$AH$24)</f>
        <v/>
      </c>
      <c r="K25" s="42">
        <f>SUMPRODUCT(K8:K24,$AH$8:$AH$24)</f>
        <v/>
      </c>
      <c r="L25" s="42">
        <f>SUMPRODUCT(L8:L24,$AH$8:$AH$24)</f>
        <v/>
      </c>
      <c r="M25" s="42">
        <f>SUMPRODUCT(M8:M24,$AH$8:$AH$24)</f>
        <v/>
      </c>
      <c r="N25" s="42">
        <f>SUMPRODUCT(N8:N24,$AH$8:$AH$24)</f>
        <v/>
      </c>
      <c r="O25" s="42">
        <f>SUMPRODUCT(O8:O24,$AH$8:$AH$24)</f>
        <v/>
      </c>
      <c r="P25" s="42">
        <f>SUMPRODUCT(P8:P24,$AH$8:$AH$24)</f>
        <v/>
      </c>
      <c r="Q25" s="42">
        <f>SUMPRODUCT(Q8:Q24,$AH$8:$AH$24)</f>
        <v/>
      </c>
      <c r="R25" s="42">
        <f>SUMPRODUCT(R8:R24,$AH$8:$AH$24)</f>
        <v/>
      </c>
      <c r="S25" s="42">
        <f>SUMPRODUCT(S8:S24,$AH$8:$AH$24)</f>
        <v/>
      </c>
      <c r="T25" s="42">
        <f>SUMPRODUCT(T8:T24,$AH$8:$AH$24)</f>
        <v/>
      </c>
      <c r="U25" s="42">
        <f>SUMPRODUCT(U8:U24,$AH$8:$AH$24)</f>
        <v/>
      </c>
      <c r="V25" s="42">
        <f>SUMPRODUCT(V8:V24,$AH$8:$AH$24)</f>
        <v/>
      </c>
      <c r="W25" s="42">
        <f>SUMPRODUCT(W8:W24,$AH$8:$AH$24)</f>
        <v/>
      </c>
      <c r="X25" s="42">
        <f>SUMPRODUCT(X8:X24,$AH$8:$AH$24)</f>
        <v/>
      </c>
      <c r="Y25" s="42">
        <f>SUMPRODUCT(Y8:Y24,$AH$8:$AH$24)</f>
        <v/>
      </c>
      <c r="Z25" s="42">
        <f>SUMPRODUCT(Z8:Z24,$AH$8:$AH$24)</f>
        <v/>
      </c>
      <c r="AA25" s="42">
        <f>SUMPRODUCT(AA8:AA24,$AH$8:$AH$24)</f>
        <v/>
      </c>
      <c r="AB25" s="42">
        <f>SUMPRODUCT(AB8:AB24,$AH$8:$AH$24)</f>
        <v/>
      </c>
      <c r="AC25" s="42">
        <f>SUMPRODUCT(AC8:AC24,$AH$8:$AH$24)</f>
        <v/>
      </c>
      <c r="AD25" s="42">
        <f>SUMPRODUCT(AD8:AD24,$AH$8:$AH$24)</f>
        <v/>
      </c>
      <c r="AE25" s="42">
        <f>SUMPRODUCT(AE8:AE24,$AH$8:$AH$24)</f>
        <v/>
      </c>
      <c r="AF25" s="42">
        <f>SUMPRODUCT(AF8:AF24,$AH$8:$AH$24)</f>
        <v/>
      </c>
      <c r="AG25" s="20" t="n"/>
      <c r="AH25" s="18" t="inlineStr">
        <is>
          <t>Итого:</t>
        </is>
      </c>
      <c r="AI25" s="43">
        <f>SUMPRODUCT(AG8:AG24,AH8:AH24)</f>
        <v/>
      </c>
      <c r="AJ25" s="20" t="n"/>
      <c r="AK25" s="18" t="inlineStr">
        <is>
          <t>Итого:</t>
        </is>
      </c>
      <c r="AL25" s="43">
        <f>SUMPRODUCT(AJ8:AJ24,AK8:AK24)</f>
        <v/>
      </c>
      <c r="AM25" s="20" t="n"/>
      <c r="AN25" s="18" t="inlineStr">
        <is>
          <t>Итого:</t>
        </is>
      </c>
      <c r="AO25" s="43">
        <f>SUMPRODUCT(AM8:AM24,AN8:AN24)</f>
        <v/>
      </c>
      <c r="AP25" s="20" t="n"/>
      <c r="AQ25" s="18" t="inlineStr">
        <is>
          <t>Итого:</t>
        </is>
      </c>
      <c r="AR25" s="43">
        <f>SUMPRODUCT(AP8:AP24,AQ8:AQ24)</f>
        <v/>
      </c>
    </row>
    <row r="26">
      <c r="A26" s="4" t="inlineStr">
        <is>
          <t>Всего с К зап, кг</t>
        </is>
      </c>
      <c r="B26" s="44">
        <f>B25*$AJ$2</f>
        <v/>
      </c>
      <c r="C26" s="44">
        <f>C25*$AJ$2</f>
        <v/>
      </c>
      <c r="D26" s="44">
        <f>D25*$AJ$2</f>
        <v/>
      </c>
      <c r="E26" s="44">
        <f>E25*$AJ$2</f>
        <v/>
      </c>
      <c r="F26" s="44">
        <f>F25*$AJ$2</f>
        <v/>
      </c>
      <c r="G26" s="44">
        <f>G25*$AJ$2</f>
        <v/>
      </c>
      <c r="H26" s="44">
        <f>H25*$AJ$2</f>
        <v/>
      </c>
      <c r="I26" s="44">
        <f>I25*$AJ$2</f>
        <v/>
      </c>
      <c r="J26" s="44">
        <f>J25*$AJ$2</f>
        <v/>
      </c>
      <c r="K26" s="44">
        <f>K25*$AJ$2</f>
        <v/>
      </c>
      <c r="L26" s="44">
        <f>L25*$AJ$2</f>
        <v/>
      </c>
      <c r="M26" s="44">
        <f>M25*$AJ$2</f>
        <v/>
      </c>
      <c r="N26" s="44">
        <f>N25*$AJ$2</f>
        <v/>
      </c>
      <c r="O26" s="44">
        <f>O25*$AJ$2</f>
        <v/>
      </c>
      <c r="P26" s="44">
        <f>P25*$AJ$2</f>
        <v/>
      </c>
      <c r="Q26" s="44">
        <f>Q25*$AJ$2</f>
        <v/>
      </c>
      <c r="R26" s="44">
        <f>R25*$AJ$2</f>
        <v/>
      </c>
      <c r="S26" s="44">
        <f>S25*$AJ$2</f>
        <v/>
      </c>
      <c r="T26" s="44">
        <f>T25*$AJ$2</f>
        <v/>
      </c>
      <c r="U26" s="44">
        <f>U25*$AJ$2</f>
        <v/>
      </c>
      <c r="V26" s="44">
        <f>V25*$AJ$2</f>
        <v/>
      </c>
      <c r="W26" s="44">
        <f>W25*$AJ$2</f>
        <v/>
      </c>
      <c r="X26" s="44">
        <f>X25*$AJ$2</f>
        <v/>
      </c>
      <c r="Y26" s="44">
        <f>Y25*$AJ$2</f>
        <v/>
      </c>
      <c r="Z26" s="44">
        <f>Z25*$AJ$2</f>
        <v/>
      </c>
      <c r="AA26" s="44">
        <f>AA25*$AJ$2</f>
        <v/>
      </c>
      <c r="AB26" s="44">
        <f>AB25*$AJ$2</f>
        <v/>
      </c>
      <c r="AC26" s="44">
        <f>AC25*$AJ$2</f>
        <v/>
      </c>
      <c r="AD26" s="44">
        <f>AD25*$AJ$2</f>
        <v/>
      </c>
      <c r="AE26" s="44">
        <f>AE25*$AJ$2</f>
        <v/>
      </c>
      <c r="AF26" s="44">
        <f>AF25*$AJ$2</f>
        <v/>
      </c>
      <c r="AG26" s="4" t="n"/>
      <c r="AH26" s="5" t="inlineStr">
        <is>
          <t>Итого (кг):</t>
        </is>
      </c>
      <c r="AI26" s="45">
        <f>SUM(AI8:AI24)</f>
        <v/>
      </c>
      <c r="AJ26" s="4" t="n"/>
      <c r="AK26" s="5" t="inlineStr">
        <is>
          <t>Итого (кг):</t>
        </is>
      </c>
      <c r="AL26" s="45">
        <f>SUM(AL8:AL24)</f>
        <v/>
      </c>
      <c r="AM26" s="4" t="n"/>
      <c r="AN26" s="5" t="inlineStr">
        <is>
          <t>Итого (кг):</t>
        </is>
      </c>
      <c r="AO26" s="45">
        <f>SUM(AO8:AO24)</f>
        <v/>
      </c>
      <c r="AP26" s="4" t="n"/>
      <c r="AQ26" s="5" t="inlineStr">
        <is>
          <t>Итого (кг):</t>
        </is>
      </c>
      <c r="AR26" s="45">
        <f>SUM(AR8:AR24)</f>
        <v/>
      </c>
    </row>
    <row r="27">
      <c r="AH27" s="5" t="inlineStr">
        <is>
          <t>Итого (т):</t>
        </is>
      </c>
      <c r="AI27" s="46">
        <f>AI26/1000</f>
        <v/>
      </c>
      <c r="AK27" s="5" t="inlineStr">
        <is>
          <t>Итого (т):</t>
        </is>
      </c>
      <c r="AL27" s="46">
        <f>AL26/1000</f>
        <v/>
      </c>
      <c r="AN27" s="5" t="inlineStr">
        <is>
          <t>Итого (т):</t>
        </is>
      </c>
      <c r="AO27" s="46">
        <f>AO26/1000</f>
        <v/>
      </c>
      <c r="AQ27" s="5" t="inlineStr">
        <is>
          <t>Итого (т):</t>
        </is>
      </c>
      <c r="AR27" s="46">
        <f>AR26/1000</f>
        <v/>
      </c>
    </row>
    <row r="28">
      <c r="A28" s="21" t="inlineStr">
        <is>
          <t>Контроль: чистая масса = «Ведомость», 1 этаж</t>
        </is>
      </c>
      <c r="AI28" s="22">
        <f>ROUND(AI25-Ведомость!P1271,1)</f>
        <v/>
      </c>
      <c r="AJ28" s="29" t="inlineStr">
        <is>
          <t>← должно быть 0</t>
        </is>
      </c>
    </row>
    <row r="30">
      <c r="A30" s="4" t="inlineStr">
        <is>
          <t>Бетон, (м3)</t>
        </is>
      </c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  <c r="AB30" s="4" t="n"/>
      <c r="AC30" s="4" t="n"/>
      <c r="AD30" s="4" t="n"/>
      <c r="AE30" s="4" t="n"/>
      <c r="AF30" s="4" t="n"/>
      <c r="AG30" s="4" t="n"/>
      <c r="AH30" s="4" t="n"/>
      <c r="AI30" s="4" t="n"/>
      <c r="AJ30" s="4" t="n"/>
      <c r="AK30" s="4" t="n"/>
      <c r="AL30" s="4" t="n"/>
      <c r="AM30" s="4" t="n"/>
      <c r="AN30" s="4" t="n"/>
      <c r="AO30" s="4" t="n"/>
      <c r="AP30" s="4" t="n"/>
      <c r="AQ30" s="4" t="n"/>
      <c r="AR30" s="4" t="n"/>
    </row>
    <row r="31">
      <c r="A31" s="6" t="inlineStr">
        <is>
          <t>Бетон В25, м3</t>
        </is>
      </c>
      <c r="B31" s="41">
        <f>(0.6*0.6+2*0.7*0.4+1.7*0.4)*(4.0-0.12)</f>
        <v/>
      </c>
      <c r="C31" s="41">
        <f>(0.6*0.6+0.7*0.4+1.7*0.4)*(4.0-0.12)</f>
        <v/>
      </c>
      <c r="D31" s="41">
        <f>3*0.6*0.6*(4.0-0.12)</f>
        <v/>
      </c>
      <c r="E31" s="41">
        <f>1*0.45*(0.6-0.12)*20.50</f>
        <v/>
      </c>
      <c r="F31" s="41">
        <f>5*0.6*0.6*(4.0-0.12)</f>
        <v/>
      </c>
      <c r="G31" s="41">
        <f>1*0.45*(0.6-0.12)*22.60</f>
        <v/>
      </c>
      <c r="H31" s="41">
        <f>5*0.6*0.6*(4.0-0.12)</f>
        <v/>
      </c>
      <c r="I31" s="41">
        <f>1*0.45*(0.6-0.12)*22.60</f>
        <v/>
      </c>
      <c r="J31" s="41">
        <f>2*0.6*0.6*(4.0-0.12)</f>
        <v/>
      </c>
      <c r="K31" s="41">
        <f>(0.6*0.6+2*0.7*0.4+0.9*0.4)*(4.0-0.12)</f>
        <v/>
      </c>
      <c r="L31" s="41">
        <f>(0.6*0.6+0.9*0.4)*(4.0-0.12)</f>
        <v/>
      </c>
      <c r="M31" s="41">
        <f>(0.6*0.6+0.7*0.4+0.9*0.4)*(4.0-0.12)</f>
        <v/>
      </c>
      <c r="N31" s="41">
        <f>1*0.45*(0.6-0.12)*19.80</f>
        <v/>
      </c>
      <c r="O31" s="41">
        <f>2*0.45*(0.6-0.12)*18.20</f>
        <v/>
      </c>
      <c r="P31" s="41">
        <f>1*0.45*(0.6-0.12)*15.80</f>
        <v/>
      </c>
      <c r="Q31" s="41">
        <f>1*0.45*(0.6-0.12)*18.20</f>
        <v/>
      </c>
      <c r="R31" s="41">
        <f>1*0.45*(0.6-0.12)*15.80</f>
        <v/>
      </c>
      <c r="S31" s="41">
        <f>137.85*0.3*(0.3-0.12)+6.05*0.3*(0.4-0.12)+11.71*0.2*(0.3-0.12)+35.75*0.25*(0.3-0.12)</f>
        <v/>
      </c>
      <c r="T31" s="41" t="n"/>
      <c r="U31" s="41" t="n"/>
      <c r="V31" s="41">
        <f>542.03*0.12</f>
        <v/>
      </c>
      <c r="W31" s="41" t="n"/>
      <c r="X31" s="41" t="n"/>
      <c r="Y31" s="41" t="n"/>
      <c r="Z31" s="41" t="n"/>
      <c r="AA31" s="41" t="n"/>
      <c r="AB31" s="41" t="n"/>
      <c r="AC31" s="41">
        <f>SQRT(3.6^2+1.92^2)*1.25*0.15+12*0.3*0.16/2*1.25</f>
        <v/>
      </c>
      <c r="AD31" s="41">
        <f>SQRT(3.6^2+2.08^2)*1.25*0.15+13*0.3*0.16/2*1.25</f>
        <v/>
      </c>
      <c r="AE31" s="41">
        <f>1.4*2.89*0.15</f>
        <v/>
      </c>
      <c r="AF31" s="41">
        <f>0.3*0.3*(1.82-0.3+0.55)+0.3*0.3*2.255</f>
        <v/>
      </c>
      <c r="AG31" s="47">
        <f>SUM(B31:AF31)</f>
        <v/>
      </c>
      <c r="AH31" s="21" t="n"/>
      <c r="AI31" s="47">
        <f>AG31*$AK$2</f>
        <v/>
      </c>
      <c r="AJ31" s="48">
        <f>SUM(B31:D31,F31,H31,J31:M31)</f>
        <v/>
      </c>
      <c r="AK31" s="6" t="n"/>
      <c r="AL31" s="25">
        <f>AJ31*$AK$2</f>
        <v/>
      </c>
      <c r="AM31" s="48">
        <f>SUM(E31,G31,I31,N31:AB31)</f>
        <v/>
      </c>
      <c r="AN31" s="6" t="n"/>
      <c r="AO31" s="25">
        <f>AM31*$AK$2</f>
        <v/>
      </c>
      <c r="AP31" s="48">
        <f>SUM(AC31:AF31)</f>
        <v/>
      </c>
      <c r="AQ31" s="6" t="n"/>
      <c r="AR31" s="25">
        <f>AP31*$AK$2</f>
        <v/>
      </c>
    </row>
    <row r="32">
      <c r="A32" s="21" t="inlineStr">
        <is>
          <t>Удельный расход (чистый), кг/м³</t>
        </is>
      </c>
      <c r="AI32" s="49">
        <f>IF(AG31&gt;0,AI25/AG31,0)</f>
        <v/>
      </c>
      <c r="AL32" s="50">
        <f>IF(AJ31&gt;0,AL25/AJ31,0)</f>
        <v/>
      </c>
      <c r="AO32" s="50">
        <f>IF(AM31&gt;0,AO25/AM31,0)</f>
        <v/>
      </c>
      <c r="AR32" s="50">
        <f>IF(AP31&gt;0,AR25/AP31,0)</f>
        <v/>
      </c>
    </row>
    <row r="34">
      <c r="A34" s="4" t="inlineStr">
        <is>
          <t>Прочие материалы, (шт.)</t>
        </is>
      </c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  <c r="AB34" s="4" t="n"/>
      <c r="AC34" s="4" t="n"/>
      <c r="AD34" s="4" t="n"/>
      <c r="AE34" s="4" t="n"/>
      <c r="AF34" s="4" t="n"/>
      <c r="AG34" s="4" t="n"/>
      <c r="AH34" s="4" t="n"/>
      <c r="AI34" s="4" t="n"/>
      <c r="AJ34" s="4" t="n"/>
      <c r="AK34" s="4" t="n"/>
      <c r="AL34" s="4" t="n"/>
      <c r="AM34" s="4" t="n"/>
      <c r="AN34" s="4" t="n"/>
      <c r="AO34" s="4" t="n"/>
      <c r="AP34" s="4" t="n"/>
      <c r="AQ34" s="4" t="n"/>
      <c r="AR34" s="4" t="n"/>
    </row>
    <row r="35">
      <c r="A35" s="6" t="inlineStr">
        <is>
          <t>АШ-1, д14, шт.</t>
        </is>
      </c>
      <c r="B35" s="51" t="n"/>
      <c r="C35" s="51" t="n"/>
      <c r="D35" s="51" t="n"/>
      <c r="E35" s="51" t="n"/>
      <c r="F35" s="51" t="n"/>
      <c r="G35" s="51" t="n"/>
      <c r="H35" s="51" t="n"/>
      <c r="I35" s="51" t="n"/>
      <c r="J35" s="51" t="n"/>
      <c r="K35" s="51" t="n"/>
      <c r="L35" s="51" t="n"/>
      <c r="M35" s="51" t="n"/>
      <c r="N35" s="51" t="n"/>
      <c r="O35" s="51" t="n"/>
      <c r="P35" s="51" t="n"/>
      <c r="Q35" s="51" t="n"/>
      <c r="R35" s="51" t="n"/>
      <c r="S35" s="51" t="n"/>
      <c r="T35" s="51" t="n"/>
      <c r="U35" s="51" t="n"/>
      <c r="V35" s="51" t="n"/>
      <c r="W35" s="51" t="n"/>
      <c r="X35" s="51" t="n"/>
      <c r="Y35" s="51" t="n"/>
      <c r="Z35" s="51" t="n"/>
      <c r="AA35" s="51" t="n"/>
      <c r="AB35" s="51" t="n"/>
      <c r="AC35" s="51" t="n"/>
      <c r="AD35" s="51" t="n"/>
      <c r="AE35" s="51" t="n"/>
      <c r="AF35" s="51" t="n"/>
      <c r="AG35" s="52">
        <f>SUM(B35:AF35)</f>
        <v/>
      </c>
      <c r="AJ35" s="53">
        <f>SUM(B35:D35,F35,H35,J35:M35)</f>
        <v/>
      </c>
      <c r="AM35" s="53">
        <f>SUM(E35,G35,I35,N35:AB35)</f>
        <v/>
      </c>
      <c r="AP35" s="53">
        <f>SUM(AC35:AF35)</f>
        <v/>
      </c>
    </row>
    <row r="36">
      <c r="A36" s="6" t="inlineStr">
        <is>
          <t>АШ-2, д16, шт.</t>
        </is>
      </c>
      <c r="B36" s="51" t="n"/>
      <c r="C36" s="51" t="n"/>
      <c r="D36" s="51" t="n"/>
      <c r="E36" s="51" t="n"/>
      <c r="F36" s="51" t="n"/>
      <c r="G36" s="51" t="n"/>
      <c r="H36" s="51" t="n"/>
      <c r="I36" s="51" t="n"/>
      <c r="J36" s="51" t="n"/>
      <c r="K36" s="51" t="n"/>
      <c r="L36" s="51" t="n"/>
      <c r="M36" s="51" t="n"/>
      <c r="N36" s="51" t="n"/>
      <c r="O36" s="51" t="n"/>
      <c r="P36" s="51" t="n"/>
      <c r="Q36" s="51" t="n"/>
      <c r="R36" s="51" t="n"/>
      <c r="S36" s="51" t="n"/>
      <c r="T36" s="51" t="n"/>
      <c r="U36" s="51" t="n"/>
      <c r="V36" s="51" t="n"/>
      <c r="W36" s="51" t="n"/>
      <c r="X36" s="51" t="n"/>
      <c r="Y36" s="51" t="n"/>
      <c r="Z36" s="51" t="n"/>
      <c r="AA36" s="51" t="n"/>
      <c r="AB36" s="51" t="n"/>
      <c r="AC36" s="51" t="n"/>
      <c r="AD36" s="51" t="n"/>
      <c r="AE36" s="51" t="n"/>
      <c r="AF36" s="51" t="n"/>
      <c r="AG36" s="52">
        <f>SUM(B36:AF36)</f>
        <v/>
      </c>
      <c r="AJ36" s="53">
        <f>SUM(B36:D36,F36,H36,J36:M36)</f>
        <v/>
      </c>
      <c r="AM36" s="53">
        <f>SUM(E36,G36,I36,N36:AB36)</f>
        <v/>
      </c>
      <c r="AP36" s="53">
        <f>SUM(AC36:AF36)</f>
        <v/>
      </c>
    </row>
    <row r="37">
      <c r="A37" s="6" t="inlineStr">
        <is>
          <t>АШ-3, д18, шт.</t>
        </is>
      </c>
      <c r="B37" s="51" t="n"/>
      <c r="C37" s="51" t="n"/>
      <c r="D37" s="51" t="n"/>
      <c r="E37" s="51" t="n"/>
      <c r="F37" s="51" t="n"/>
      <c r="G37" s="51" t="n"/>
      <c r="H37" s="51" t="n"/>
      <c r="I37" s="51" t="n"/>
      <c r="J37" s="51" t="n"/>
      <c r="K37" s="51" t="n"/>
      <c r="L37" s="51" t="n"/>
      <c r="M37" s="51" t="n"/>
      <c r="N37" s="51" t="n"/>
      <c r="O37" s="51" t="n"/>
      <c r="P37" s="51" t="n"/>
      <c r="Q37" s="51" t="n"/>
      <c r="R37" s="51" t="n"/>
      <c r="S37" s="51" t="n"/>
      <c r="T37" s="51" t="n"/>
      <c r="U37" s="51" t="n"/>
      <c r="V37" s="51" t="n"/>
      <c r="W37" s="51" t="n"/>
      <c r="X37" s="51" t="n"/>
      <c r="Y37" s="51" t="n"/>
      <c r="Z37" s="51" t="n"/>
      <c r="AA37" s="51" t="n"/>
      <c r="AB37" s="51" t="n"/>
      <c r="AC37" s="51" t="n"/>
      <c r="AD37" s="51" t="n"/>
      <c r="AE37" s="51" t="n"/>
      <c r="AF37" s="51" t="n"/>
      <c r="AG37" s="52">
        <f>SUM(B37:AF37)</f>
        <v/>
      </c>
      <c r="AJ37" s="53">
        <f>SUM(B37:D37,F37,H37,J37:M37)</f>
        <v/>
      </c>
      <c r="AM37" s="53">
        <f>SUM(E37,G37,I37,N37:AB37)</f>
        <v/>
      </c>
      <c r="AP37" s="53">
        <f>SUM(AC37:AF37)</f>
        <v/>
      </c>
    </row>
    <row r="38">
      <c r="A38" s="6" t="inlineStr">
        <is>
          <t>АШ-4, д20, шт.</t>
        </is>
      </c>
      <c r="B38" s="51" t="n"/>
      <c r="C38" s="51" t="n"/>
      <c r="D38" s="51" t="n"/>
      <c r="E38" s="51" t="n"/>
      <c r="F38" s="51" t="n"/>
      <c r="G38" s="51" t="n"/>
      <c r="H38" s="51" t="n"/>
      <c r="I38" s="51" t="n"/>
      <c r="J38" s="51" t="n"/>
      <c r="K38" s="51" t="n"/>
      <c r="L38" s="51" t="n"/>
      <c r="M38" s="51" t="n"/>
      <c r="N38" s="51" t="n"/>
      <c r="O38" s="51" t="n"/>
      <c r="P38" s="51" t="n"/>
      <c r="Q38" s="51" t="n"/>
      <c r="R38" s="51" t="n"/>
      <c r="S38" s="51" t="n"/>
      <c r="T38" s="51" t="n"/>
      <c r="U38" s="51" t="n"/>
      <c r="V38" s="51" t="n"/>
      <c r="W38" s="51" t="n"/>
      <c r="X38" s="51" t="n"/>
      <c r="Y38" s="51" t="n"/>
      <c r="Z38" s="51" t="n"/>
      <c r="AA38" s="51" t="n"/>
      <c r="AB38" s="51" t="n"/>
      <c r="AC38" s="51" t="n"/>
      <c r="AD38" s="51" t="n"/>
      <c r="AE38" s="51" t="n"/>
      <c r="AF38" s="51" t="n"/>
      <c r="AG38" s="52">
        <f>SUM(B38:AF38)</f>
        <v/>
      </c>
      <c r="AJ38" s="53">
        <f>SUM(B38:D38,F38,H38,J38:M38)</f>
        <v/>
      </c>
      <c r="AM38" s="53">
        <f>SUM(E38,G38,I38,N38:AB38)</f>
        <v/>
      </c>
      <c r="AP38" s="53">
        <f>SUM(AC38:AF38)</f>
        <v/>
      </c>
    </row>
    <row r="39">
      <c r="A39" s="6" t="inlineStr">
        <is>
          <t>АШ-5, д22, шт.</t>
        </is>
      </c>
      <c r="B39" s="51" t="n"/>
      <c r="C39" s="51" t="n"/>
      <c r="D39" s="51" t="n"/>
      <c r="E39" s="51" t="n"/>
      <c r="F39" s="51" t="n"/>
      <c r="G39" s="51" t="n"/>
      <c r="H39" s="51" t="n"/>
      <c r="I39" s="51" t="n"/>
      <c r="J39" s="51" t="n"/>
      <c r="K39" s="51" t="n"/>
      <c r="L39" s="51" t="n"/>
      <c r="M39" s="51" t="n"/>
      <c r="N39" s="51" t="n">
        <v>2</v>
      </c>
      <c r="O39" s="51" t="n"/>
      <c r="P39" s="51" t="n"/>
      <c r="Q39" s="51" t="n"/>
      <c r="R39" s="51" t="n"/>
      <c r="S39" s="51" t="n"/>
      <c r="T39" s="51" t="n"/>
      <c r="U39" s="51" t="n"/>
      <c r="V39" s="51" t="n"/>
      <c r="W39" s="51" t="n"/>
      <c r="X39" s="51" t="n"/>
      <c r="Y39" s="51" t="n"/>
      <c r="Z39" s="51" t="n"/>
      <c r="AA39" s="51" t="n"/>
      <c r="AB39" s="51" t="n"/>
      <c r="AC39" s="51" t="n"/>
      <c r="AD39" s="51" t="n"/>
      <c r="AE39" s="51" t="n"/>
      <c r="AF39" s="51" t="n"/>
      <c r="AG39" s="52">
        <f>SUM(B39:AF39)</f>
        <v/>
      </c>
      <c r="AJ39" s="53">
        <f>SUM(B39:D39,F39,H39,J39:M39)</f>
        <v/>
      </c>
      <c r="AM39" s="53">
        <f>SUM(E39,G39,I39,N39:AB39)</f>
        <v/>
      </c>
      <c r="AP39" s="53">
        <f>SUM(AC39:AF39)</f>
        <v/>
      </c>
    </row>
    <row r="40">
      <c r="A40" s="6" t="inlineStr">
        <is>
          <t>АШ-6, д25, шт.</t>
        </is>
      </c>
      <c r="B40" s="51" t="n"/>
      <c r="C40" s="51" t="n"/>
      <c r="D40" s="51" t="n"/>
      <c r="E40" s="51" t="n">
        <v>4</v>
      </c>
      <c r="F40" s="51" t="n"/>
      <c r="G40" s="51" t="n">
        <v>4</v>
      </c>
      <c r="H40" s="51" t="n"/>
      <c r="I40" s="51" t="n">
        <v>2</v>
      </c>
      <c r="J40" s="51" t="n"/>
      <c r="K40" s="51" t="n"/>
      <c r="L40" s="51" t="n"/>
      <c r="M40" s="51" t="n"/>
      <c r="N40" s="51" t="n">
        <v>2</v>
      </c>
      <c r="O40" s="51" t="n">
        <v>4</v>
      </c>
      <c r="P40" s="51" t="n"/>
      <c r="Q40" s="51" t="n"/>
      <c r="R40" s="51" t="n"/>
      <c r="S40" s="51" t="n"/>
      <c r="T40" s="51" t="n"/>
      <c r="U40" s="51" t="n"/>
      <c r="V40" s="51" t="n"/>
      <c r="W40" s="51" t="n"/>
      <c r="X40" s="51" t="n"/>
      <c r="Y40" s="51" t="n"/>
      <c r="Z40" s="51" t="n"/>
      <c r="AA40" s="51" t="n"/>
      <c r="AB40" s="51" t="n"/>
      <c r="AC40" s="51" t="n">
        <v>18</v>
      </c>
      <c r="AD40" s="51" t="n"/>
      <c r="AE40" s="51" t="n"/>
      <c r="AF40" s="51" t="n">
        <v>16</v>
      </c>
      <c r="AG40" s="52">
        <f>SUM(B40:AF40)</f>
        <v/>
      </c>
      <c r="AJ40" s="53">
        <f>SUM(B40:D40,F40,H40,J40:M40)</f>
        <v/>
      </c>
      <c r="AM40" s="53">
        <f>SUM(E40,G40,I40,N40:AB40)</f>
        <v/>
      </c>
      <c r="AP40" s="53">
        <f>SUM(AC40:AF40)</f>
        <v/>
      </c>
    </row>
    <row r="41">
      <c r="A41" s="6" t="inlineStr">
        <is>
          <t>АШ-7, д28, шт.</t>
        </is>
      </c>
      <c r="B41" s="51" t="n"/>
      <c r="C41" s="51" t="n"/>
      <c r="D41" s="51" t="n"/>
      <c r="E41" s="51" t="n">
        <v>12</v>
      </c>
      <c r="F41" s="51" t="n"/>
      <c r="G41" s="51" t="n">
        <v>8</v>
      </c>
      <c r="H41" s="51" t="n"/>
      <c r="I41" s="51" t="n">
        <v>10</v>
      </c>
      <c r="J41" s="51" t="n"/>
      <c r="K41" s="51" t="n"/>
      <c r="L41" s="51" t="n"/>
      <c r="M41" s="51" t="n"/>
      <c r="N41" s="51" t="n">
        <v>10</v>
      </c>
      <c r="O41" s="51" t="n">
        <v>20</v>
      </c>
      <c r="P41" s="51" t="n">
        <v>8</v>
      </c>
      <c r="Q41" s="51" t="n">
        <v>10</v>
      </c>
      <c r="R41" s="51" t="n">
        <v>8</v>
      </c>
      <c r="S41" s="51" t="n"/>
      <c r="T41" s="51" t="n"/>
      <c r="U41" s="51" t="n"/>
      <c r="V41" s="51" t="n"/>
      <c r="W41" s="51" t="n"/>
      <c r="X41" s="51" t="n"/>
      <c r="Y41" s="51" t="n"/>
      <c r="Z41" s="51" t="n"/>
      <c r="AA41" s="51" t="n"/>
      <c r="AB41" s="51" t="n"/>
      <c r="AC41" s="51" t="n"/>
      <c r="AD41" s="51" t="n"/>
      <c r="AE41" s="51" t="n"/>
      <c r="AF41" s="51" t="n"/>
      <c r="AG41" s="52">
        <f>SUM(B41:AF41)</f>
        <v/>
      </c>
      <c r="AJ41" s="53">
        <f>SUM(B41:D41,F41,H41,J41:M41)</f>
        <v/>
      </c>
      <c r="AM41" s="53">
        <f>SUM(E41,G41,I41,N41:AB41)</f>
        <v/>
      </c>
      <c r="AP41" s="53">
        <f>SUM(AC41:AF41)</f>
        <v/>
      </c>
    </row>
    <row r="42">
      <c r="A42" s="6" t="inlineStr">
        <is>
          <t>АШ-8, д32, шт.</t>
        </is>
      </c>
      <c r="B42" s="51" t="n"/>
      <c r="C42" s="51" t="n"/>
      <c r="D42" s="51" t="n"/>
      <c r="E42" s="51" t="n"/>
      <c r="F42" s="51" t="n"/>
      <c r="G42" s="51" t="n"/>
      <c r="H42" s="51" t="n"/>
      <c r="I42" s="51" t="n"/>
      <c r="J42" s="51" t="n"/>
      <c r="K42" s="51" t="n"/>
      <c r="L42" s="51" t="n"/>
      <c r="M42" s="51" t="n"/>
      <c r="N42" s="51" t="n"/>
      <c r="O42" s="51" t="n"/>
      <c r="P42" s="51" t="n">
        <v>2</v>
      </c>
      <c r="Q42" s="51" t="n">
        <v>2</v>
      </c>
      <c r="R42" s="51" t="n">
        <v>2</v>
      </c>
      <c r="S42" s="51" t="n"/>
      <c r="T42" s="51" t="n"/>
      <c r="U42" s="51" t="n"/>
      <c r="V42" s="51" t="n"/>
      <c r="W42" s="51" t="n"/>
      <c r="X42" s="51" t="n"/>
      <c r="Y42" s="51" t="n"/>
      <c r="Z42" s="51" t="n"/>
      <c r="AA42" s="51" t="n"/>
      <c r="AB42" s="51" t="n"/>
      <c r="AC42" s="51" t="n"/>
      <c r="AD42" s="51" t="n"/>
      <c r="AE42" s="51" t="n"/>
      <c r="AF42" s="51" t="n"/>
      <c r="AG42" s="52">
        <f>SUM(B42:AF42)</f>
        <v/>
      </c>
      <c r="AJ42" s="53">
        <f>SUM(B42:D42,F42,H42,J42:M42)</f>
        <v/>
      </c>
      <c r="AM42" s="53">
        <f>SUM(E42,G42,I42,N42:AB42)</f>
        <v/>
      </c>
      <c r="AP42" s="53">
        <f>SUM(AC42:AF42)</f>
        <v/>
      </c>
    </row>
    <row r="43">
      <c r="A43" s="6" t="inlineStr">
        <is>
          <t>ВН32, шт. (стыки ванной сваркой)</t>
        </is>
      </c>
      <c r="B43" s="51" t="n">
        <v>4</v>
      </c>
      <c r="C43" s="51" t="n">
        <v>4</v>
      </c>
      <c r="D43" s="51" t="n">
        <v>12</v>
      </c>
      <c r="E43" s="51" t="n"/>
      <c r="F43" s="51" t="n">
        <v>20</v>
      </c>
      <c r="G43" s="51" t="n"/>
      <c r="H43" s="51" t="n">
        <v>20</v>
      </c>
      <c r="I43" s="51" t="n"/>
      <c r="J43" s="51" t="n">
        <v>8</v>
      </c>
      <c r="K43" s="51" t="n">
        <v>4</v>
      </c>
      <c r="L43" s="51" t="n">
        <v>4</v>
      </c>
      <c r="M43" s="51" t="n">
        <v>4</v>
      </c>
      <c r="N43" s="51" t="n"/>
      <c r="O43" s="51" t="n"/>
      <c r="P43" s="51" t="n"/>
      <c r="Q43" s="51" t="n"/>
      <c r="R43" s="51" t="n"/>
      <c r="S43" s="51" t="n"/>
      <c r="T43" s="51" t="n"/>
      <c r="U43" s="51" t="n"/>
      <c r="V43" s="51" t="n"/>
      <c r="W43" s="51" t="n"/>
      <c r="X43" s="51" t="n"/>
      <c r="Y43" s="51" t="n"/>
      <c r="Z43" s="51" t="n"/>
      <c r="AA43" s="51" t="n"/>
      <c r="AB43" s="51" t="n"/>
      <c r="AC43" s="51" t="n"/>
      <c r="AD43" s="51" t="n"/>
      <c r="AE43" s="51" t="n"/>
      <c r="AF43" s="51" t="n"/>
      <c r="AG43" s="52">
        <f>SUM(B43:AF43)</f>
        <v/>
      </c>
      <c r="AJ43" s="53">
        <f>SUM(B43:D43,F43,H43,J43:M43)</f>
        <v/>
      </c>
      <c r="AM43" s="53">
        <f>SUM(E43,G43,I43,N43:AB43)</f>
        <v/>
      </c>
      <c r="AP43" s="53">
        <f>SUM(AC43:AF43)</f>
        <v/>
      </c>
    </row>
    <row r="44">
      <c r="A44" s="6" t="inlineStr">
        <is>
          <t>ВН28, шт. (стыки ванной сваркой)</t>
        </is>
      </c>
      <c r="B44" s="51" t="n">
        <v>32</v>
      </c>
      <c r="C44" s="51" t="n">
        <v>22</v>
      </c>
      <c r="D44" s="51" t="n"/>
      <c r="E44" s="51" t="n">
        <v>8</v>
      </c>
      <c r="F44" s="51" t="n"/>
      <c r="G44" s="51" t="n">
        <v>8</v>
      </c>
      <c r="H44" s="51" t="n"/>
      <c r="I44" s="51" t="n">
        <v>8</v>
      </c>
      <c r="J44" s="51" t="n"/>
      <c r="K44" s="51" t="n">
        <v>22</v>
      </c>
      <c r="L44" s="51" t="n">
        <v>14</v>
      </c>
      <c r="M44" s="51" t="n">
        <v>14</v>
      </c>
      <c r="N44" s="51" t="n">
        <v>8</v>
      </c>
      <c r="O44" s="51" t="n">
        <v>8</v>
      </c>
      <c r="P44" s="51" t="n">
        <v>4</v>
      </c>
      <c r="Q44" s="51" t="n">
        <v>4</v>
      </c>
      <c r="R44" s="51" t="n">
        <v>4</v>
      </c>
      <c r="S44" s="51" t="n"/>
      <c r="T44" s="51" t="n"/>
      <c r="U44" s="51" t="n"/>
      <c r="V44" s="51" t="n"/>
      <c r="W44" s="51" t="n"/>
      <c r="X44" s="51" t="n"/>
      <c r="Y44" s="51" t="n"/>
      <c r="Z44" s="51" t="n"/>
      <c r="AA44" s="51" t="n"/>
      <c r="AB44" s="51" t="n"/>
      <c r="AC44" s="51" t="n"/>
      <c r="AD44" s="51" t="n"/>
      <c r="AE44" s="51" t="n"/>
      <c r="AF44" s="51" t="n"/>
      <c r="AG44" s="52">
        <f>SUM(B44:AF44)</f>
        <v/>
      </c>
      <c r="AJ44" s="53">
        <f>SUM(B44:D44,F44,H44,J44:M44)</f>
        <v/>
      </c>
      <c r="AM44" s="53">
        <f>SUM(E44,G44,I44,N44:AB44)</f>
        <v/>
      </c>
      <c r="AP44" s="53">
        <f>SUM(AC44:AF44)</f>
        <v/>
      </c>
    </row>
    <row r="45">
      <c r="A45" s="6" t="inlineStr">
        <is>
          <t>ВН25, шт. (стыки ванной сваркой)</t>
        </is>
      </c>
      <c r="B45" s="51" t="n">
        <v>8</v>
      </c>
      <c r="C45" s="51" t="n">
        <v>8</v>
      </c>
      <c r="D45" s="51" t="n"/>
      <c r="E45" s="51" t="n"/>
      <c r="F45" s="51" t="n"/>
      <c r="G45" s="51" t="n"/>
      <c r="H45" s="51" t="n"/>
      <c r="I45" s="51" t="n"/>
      <c r="J45" s="51" t="n"/>
      <c r="K45" s="51" t="n">
        <v>10</v>
      </c>
      <c r="L45" s="51" t="n"/>
      <c r="M45" s="51" t="n">
        <v>10</v>
      </c>
      <c r="N45" s="51" t="n"/>
      <c r="O45" s="51" t="n"/>
      <c r="P45" s="51" t="n"/>
      <c r="Q45" s="51" t="n"/>
      <c r="R45" s="51" t="n"/>
      <c r="S45" s="51" t="n">
        <v>40</v>
      </c>
      <c r="T45" s="51" t="n"/>
      <c r="U45" s="51" t="n"/>
      <c r="V45" s="51" t="n"/>
      <c r="W45" s="51" t="n"/>
      <c r="X45" s="51" t="n"/>
      <c r="Y45" s="51" t="n"/>
      <c r="Z45" s="51" t="n"/>
      <c r="AA45" s="51" t="n"/>
      <c r="AB45" s="51" t="n"/>
      <c r="AC45" s="51" t="n"/>
      <c r="AD45" s="51" t="n"/>
      <c r="AE45" s="51" t="n"/>
      <c r="AF45" s="51" t="n"/>
      <c r="AG45" s="52">
        <f>SUM(B45:AF45)</f>
        <v/>
      </c>
      <c r="AJ45" s="53">
        <f>SUM(B45:D45,F45,H45,J45:M45)</f>
        <v/>
      </c>
      <c r="AM45" s="53">
        <f>SUM(E45,G45,I45,N45:AB45)</f>
        <v/>
      </c>
      <c r="AP45" s="53">
        <f>SUM(AC45:AF45)</f>
        <v/>
      </c>
    </row>
    <row r="46">
      <c r="A46" s="6" t="inlineStr">
        <is>
          <t>ВН22, шт. (стыки ванной сваркой)</t>
        </is>
      </c>
      <c r="B46" s="51" t="n"/>
      <c r="C46" s="51" t="n">
        <v>16</v>
      </c>
      <c r="D46" s="51" t="n"/>
      <c r="E46" s="51" t="n"/>
      <c r="F46" s="51" t="n"/>
      <c r="G46" s="51" t="n"/>
      <c r="H46" s="51" t="n"/>
      <c r="I46" s="51" t="n"/>
      <c r="J46" s="51" t="n"/>
      <c r="K46" s="51" t="n">
        <v>14</v>
      </c>
      <c r="L46" s="51" t="n"/>
      <c r="M46" s="51" t="n">
        <v>6</v>
      </c>
      <c r="N46" s="51" t="n"/>
      <c r="O46" s="51" t="n"/>
      <c r="P46" s="51" t="n"/>
      <c r="Q46" s="51" t="n"/>
      <c r="R46" s="51" t="n"/>
      <c r="S46" s="51" t="n"/>
      <c r="T46" s="51" t="n"/>
      <c r="U46" s="51" t="n"/>
      <c r="V46" s="51" t="n"/>
      <c r="W46" s="51" t="n"/>
      <c r="X46" s="51" t="n"/>
      <c r="Y46" s="51" t="n"/>
      <c r="Z46" s="51" t="n"/>
      <c r="AA46" s="51" t="n"/>
      <c r="AB46" s="51" t="n"/>
      <c r="AC46" s="51" t="n"/>
      <c r="AD46" s="51" t="n"/>
      <c r="AE46" s="51" t="n"/>
      <c r="AF46" s="51" t="n"/>
      <c r="AG46" s="52">
        <f>SUM(B46:AF46)</f>
        <v/>
      </c>
      <c r="AJ46" s="53">
        <f>SUM(B46:D46,F46,H46,J46:M46)</f>
        <v/>
      </c>
      <c r="AM46" s="53">
        <f>SUM(E46,G46,I46,N46:AB46)</f>
        <v/>
      </c>
      <c r="AP46" s="53">
        <f>SUM(AC46:AF46)</f>
        <v/>
      </c>
    </row>
    <row r="47">
      <c r="A47" s="6" t="inlineStr">
        <is>
          <t>ВН20, шт. (стыки ванной сваркой)</t>
        </is>
      </c>
      <c r="B47" s="51" t="n">
        <v>16</v>
      </c>
      <c r="C47" s="51" t="n">
        <v>4</v>
      </c>
      <c r="D47" s="51" t="n">
        <v>24</v>
      </c>
      <c r="E47" s="51" t="n"/>
      <c r="F47" s="51" t="n">
        <v>40</v>
      </c>
      <c r="G47" s="51" t="n"/>
      <c r="H47" s="51" t="n">
        <v>40</v>
      </c>
      <c r="I47" s="51" t="n"/>
      <c r="J47" s="51" t="n">
        <v>16</v>
      </c>
      <c r="K47" s="51" t="n">
        <v>8</v>
      </c>
      <c r="L47" s="51" t="n">
        <v>10</v>
      </c>
      <c r="M47" s="51" t="n">
        <v>8</v>
      </c>
      <c r="N47" s="51" t="n"/>
      <c r="O47" s="51" t="n"/>
      <c r="P47" s="51" t="n"/>
      <c r="Q47" s="51" t="n"/>
      <c r="R47" s="51" t="n"/>
      <c r="S47" s="51" t="n"/>
      <c r="T47" s="51" t="n"/>
      <c r="U47" s="51" t="n"/>
      <c r="V47" s="51" t="n"/>
      <c r="W47" s="51" t="n"/>
      <c r="X47" s="51" t="n"/>
      <c r="Y47" s="51" t="n"/>
      <c r="Z47" s="51" t="n"/>
      <c r="AA47" s="51" t="n"/>
      <c r="AB47" s="51" t="n"/>
      <c r="AC47" s="51" t="n"/>
      <c r="AD47" s="51" t="n"/>
      <c r="AE47" s="51" t="n"/>
      <c r="AF47" s="51" t="n"/>
      <c r="AG47" s="52">
        <f>SUM(B47:AF47)</f>
        <v/>
      </c>
      <c r="AJ47" s="53">
        <f>SUM(B47:D47,F47,H47,J47:M47)</f>
        <v/>
      </c>
      <c r="AM47" s="53">
        <f>SUM(E47,G47,I47,N47:AB47)</f>
        <v/>
      </c>
      <c r="AP47" s="53">
        <f>SUM(AC47:AF47)</f>
        <v/>
      </c>
    </row>
    <row r="50" ht="30" customHeight="1">
      <c r="A50" s="32" t="inlineStr">
        <is>
          <t>2 ЭТАЖ</t>
        </is>
      </c>
      <c r="B50" s="32" t="inlineStr">
        <is>
          <t>Рамы</t>
        </is>
      </c>
      <c r="C50" s="33" t="n"/>
      <c r="D50" s="33" t="n"/>
      <c r="E50" s="33" t="n"/>
      <c r="F50" s="33" t="n"/>
      <c r="G50" s="33" t="n"/>
      <c r="H50" s="33" t="n"/>
      <c r="I50" s="33" t="n"/>
      <c r="J50" s="33" t="n"/>
      <c r="K50" s="33" t="n"/>
      <c r="L50" s="33" t="n"/>
      <c r="M50" s="33" t="n"/>
      <c r="N50" s="33" t="n"/>
      <c r="O50" s="33" t="n"/>
      <c r="P50" s="33" t="n"/>
      <c r="Q50" s="33" t="n"/>
      <c r="R50" s="34" t="n"/>
      <c r="S50" s="32" t="inlineStr">
        <is>
          <t>Балки</t>
        </is>
      </c>
      <c r="T50" s="33" t="n"/>
      <c r="U50" s="34" t="n"/>
      <c r="V50" s="32" t="inlineStr">
        <is>
          <t>Перекрытие</t>
        </is>
      </c>
      <c r="W50" s="33" t="n"/>
      <c r="X50" s="33" t="n"/>
      <c r="Y50" s="33" t="n"/>
      <c r="Z50" s="33" t="n"/>
      <c r="AA50" s="34" t="n"/>
      <c r="AB50" s="32" t="inlineStr">
        <is>
          <t>Сетки С-1</t>
        </is>
      </c>
      <c r="AC50" s="32" t="inlineStr">
        <is>
          <t>Лестничный марш</t>
        </is>
      </c>
      <c r="AD50" s="33" t="n"/>
      <c r="AE50" s="33" t="n"/>
      <c r="AF50" s="34" t="n"/>
      <c r="AG50" s="32" t="n"/>
      <c r="AH50" s="32" t="n"/>
      <c r="AI50" s="32" t="n"/>
      <c r="AJ50" s="32" t="inlineStr">
        <is>
          <t>Колонны, диафрагмы</t>
        </is>
      </c>
      <c r="AK50" s="33" t="n"/>
      <c r="AL50" s="34" t="n"/>
      <c r="AM50" s="32" t="inlineStr">
        <is>
          <t>Ригели, балки, плита, С-1</t>
        </is>
      </c>
      <c r="AN50" s="33" t="n"/>
      <c r="AO50" s="34" t="n"/>
      <c r="AP50" s="32" t="inlineStr">
        <is>
          <t>Лестницы</t>
        </is>
      </c>
      <c r="AQ50" s="33" t="n"/>
      <c r="AR50" s="34" t="n"/>
    </row>
    <row r="51" ht="30" customHeight="1">
      <c r="A51" s="5" t="inlineStr">
        <is>
          <t>На отметке +3.950…+7.550</t>
        </is>
      </c>
      <c r="B51" s="5" t="inlineStr">
        <is>
          <t>По оси А</t>
        </is>
      </c>
      <c r="C51" s="5" t="inlineStr">
        <is>
          <t>По оси А</t>
        </is>
      </c>
      <c r="D51" s="5" t="inlineStr">
        <is>
          <t>По оси А</t>
        </is>
      </c>
      <c r="E51" s="5" t="inlineStr">
        <is>
          <t>По оси А</t>
        </is>
      </c>
      <c r="F51" s="5" t="inlineStr">
        <is>
          <t>По оси Б</t>
        </is>
      </c>
      <c r="G51" s="5" t="inlineStr">
        <is>
          <t>По оси Б</t>
        </is>
      </c>
      <c r="H51" s="5" t="inlineStr">
        <is>
          <t>По оси В</t>
        </is>
      </c>
      <c r="I51" s="5" t="inlineStr">
        <is>
          <t>По оси В</t>
        </is>
      </c>
      <c r="J51" s="5" t="inlineStr">
        <is>
          <t>По оси Г</t>
        </is>
      </c>
      <c r="K51" s="5" t="inlineStr">
        <is>
          <t>По оси Г</t>
        </is>
      </c>
      <c r="L51" s="5" t="inlineStr">
        <is>
          <t>По оси Г</t>
        </is>
      </c>
      <c r="M51" s="5" t="inlineStr">
        <is>
          <t>По оси Г</t>
        </is>
      </c>
      <c r="N51" s="5" t="inlineStr">
        <is>
          <t>По оси Г</t>
        </is>
      </c>
      <c r="O51" s="5" t="inlineStr">
        <is>
          <t>По оси 1/5</t>
        </is>
      </c>
      <c r="P51" s="5" t="inlineStr">
        <is>
          <t>По оси 2</t>
        </is>
      </c>
      <c r="Q51" s="5" t="inlineStr">
        <is>
          <t>По оси 3</t>
        </is>
      </c>
      <c r="R51" s="5" t="inlineStr">
        <is>
          <t>По оси 4</t>
        </is>
      </c>
      <c r="S51" s="5" t="inlineStr">
        <is>
          <t>Основная</t>
        </is>
      </c>
      <c r="T51" s="5" t="inlineStr">
        <is>
          <t>Хомуты</t>
        </is>
      </c>
      <c r="U51" s="5" t="inlineStr">
        <is>
          <t>Допник</t>
        </is>
      </c>
      <c r="V51" s="5" t="inlineStr">
        <is>
          <t>Основная</t>
        </is>
      </c>
      <c r="W51" s="5" t="inlineStr">
        <is>
          <t>Хомуты</t>
        </is>
      </c>
      <c r="X51" s="5" t="inlineStr">
        <is>
          <t>Отверстия</t>
        </is>
      </c>
      <c r="Y51" s="5" t="inlineStr">
        <is>
          <t>Допник</t>
        </is>
      </c>
      <c r="Z51" s="34" t="n"/>
      <c r="AA51" s="5" t="inlineStr">
        <is>
          <t>Край</t>
        </is>
      </c>
      <c r="AB51" s="5" t="inlineStr">
        <is>
          <t>С-1</t>
        </is>
      </c>
      <c r="AC51" s="5" t="inlineStr">
        <is>
          <t>Л1</t>
        </is>
      </c>
      <c r="AD51" s="5" t="inlineStr">
        <is>
          <t>Л2</t>
        </is>
      </c>
      <c r="AE51" s="5" t="inlineStr">
        <is>
          <t>Площадка</t>
        </is>
      </c>
      <c r="AF51" s="5" t="inlineStr">
        <is>
          <t>Рама</t>
        </is>
      </c>
      <c r="AG51" s="5" t="inlineStr">
        <is>
          <t>Итого:</t>
        </is>
      </c>
      <c r="AH51" s="5" t="inlineStr">
        <is>
          <t>Масса ед. кг</t>
        </is>
      </c>
      <c r="AI51" s="5" t="inlineStr">
        <is>
          <t>Всего</t>
        </is>
      </c>
      <c r="AJ51" s="5" t="inlineStr">
        <is>
          <t>Итого:</t>
        </is>
      </c>
      <c r="AK51" s="5" t="inlineStr">
        <is>
          <t>Масса ед. кг</t>
        </is>
      </c>
      <c r="AL51" s="5" t="inlineStr">
        <is>
          <t>Всего</t>
        </is>
      </c>
      <c r="AM51" s="5" t="inlineStr">
        <is>
          <t>Итого:</t>
        </is>
      </c>
      <c r="AN51" s="5" t="inlineStr">
        <is>
          <t>Масса ед. кг</t>
        </is>
      </c>
      <c r="AO51" s="5" t="inlineStr">
        <is>
          <t>Всего</t>
        </is>
      </c>
      <c r="AP51" s="5" t="inlineStr">
        <is>
          <t>Итого:</t>
        </is>
      </c>
      <c r="AQ51" s="5" t="inlineStr">
        <is>
          <t>Масса ед. кг</t>
        </is>
      </c>
      <c r="AR51" s="5" t="inlineStr">
        <is>
          <t>Всего</t>
        </is>
      </c>
    </row>
    <row r="52" ht="30" customHeight="1">
      <c r="A52" s="5" t="inlineStr">
        <is>
          <t>(2 этаж)</t>
        </is>
      </c>
      <c r="B52" s="5" t="inlineStr">
        <is>
          <t>Дм-1</t>
        </is>
      </c>
      <c r="C52" s="5" t="inlineStr">
        <is>
          <t>Дм-2</t>
        </is>
      </c>
      <c r="D52" s="5" t="inlineStr">
        <is>
          <t>К 2-2 (3)</t>
        </is>
      </c>
      <c r="E52" s="5" t="inlineStr">
        <is>
          <t>Ригель 4-4</t>
        </is>
      </c>
      <c r="F52" s="5" t="inlineStr">
        <is>
          <t>К 2-2 (5)</t>
        </is>
      </c>
      <c r="G52" s="5" t="inlineStr">
        <is>
          <t>Ригель 4-4</t>
        </is>
      </c>
      <c r="H52" s="5" t="inlineStr">
        <is>
          <t>К 2-2 (5)</t>
        </is>
      </c>
      <c r="I52" s="5" t="inlineStr">
        <is>
          <t>Ригель 4-4</t>
        </is>
      </c>
      <c r="J52" s="5" t="inlineStr">
        <is>
          <t>К 2-2 (2)</t>
        </is>
      </c>
      <c r="K52" s="5" t="inlineStr">
        <is>
          <t>Дм-3</t>
        </is>
      </c>
      <c r="L52" s="5" t="inlineStr">
        <is>
          <t>Дм-4</t>
        </is>
      </c>
      <c r="M52" s="5" t="inlineStr">
        <is>
          <t>Дм-5</t>
        </is>
      </c>
      <c r="N52" s="5" t="inlineStr">
        <is>
          <t>Ригель 4-4</t>
        </is>
      </c>
      <c r="O52" s="5" t="inlineStr">
        <is>
          <t>Ригель 5-5 (×2)</t>
        </is>
      </c>
      <c r="P52" s="5" t="inlineStr">
        <is>
          <t>Ригель 5-5</t>
        </is>
      </c>
      <c r="Q52" s="5" t="inlineStr">
        <is>
          <t>Ригель 5-5</t>
        </is>
      </c>
      <c r="R52" s="5" t="inlineStr">
        <is>
          <t>Ригель 5-5</t>
        </is>
      </c>
      <c r="S52" s="5" t="inlineStr"/>
      <c r="T52" s="5" t="inlineStr"/>
      <c r="U52" s="5" t="inlineStr">
        <is>
          <t>Ø18 L=1200</t>
        </is>
      </c>
      <c r="V52" s="5" t="inlineStr"/>
      <c r="W52" s="5" t="inlineStr">
        <is>
          <t>Ф-1, шп.</t>
        </is>
      </c>
      <c r="X52" s="5" t="inlineStr"/>
      <c r="Y52" s="5" t="inlineStr">
        <is>
          <t>Низ</t>
        </is>
      </c>
      <c r="Z52" s="5" t="inlineStr">
        <is>
          <t>Верх</t>
        </is>
      </c>
      <c r="AA52" s="5" t="inlineStr">
        <is>
          <t>сеч.6-6</t>
        </is>
      </c>
      <c r="AB52" s="5" t="inlineStr">
        <is>
          <t>200 шт</t>
        </is>
      </c>
      <c r="AC52" s="5" t="inlineStr">
        <is>
          <t>марш 3</t>
        </is>
      </c>
      <c r="AD52" s="5" t="inlineStr">
        <is>
          <t>марш 4</t>
        </is>
      </c>
      <c r="AE52" s="5" t="inlineStr">
        <is>
          <t>отм. 5.800</t>
        </is>
      </c>
      <c r="AF52" s="5" t="inlineStr">
        <is>
          <t>Лрм-2</t>
        </is>
      </c>
      <c r="AG52" s="5" t="inlineStr">
        <is>
          <t>(м.п.)</t>
        </is>
      </c>
      <c r="AH52" s="5" t="inlineStr"/>
      <c r="AI52" s="5" t="inlineStr">
        <is>
          <t>кг</t>
        </is>
      </c>
      <c r="AJ52" s="5" t="inlineStr">
        <is>
          <t>(м.п.)</t>
        </is>
      </c>
      <c r="AK52" s="5" t="inlineStr"/>
      <c r="AL52" s="5" t="inlineStr">
        <is>
          <t>кг</t>
        </is>
      </c>
      <c r="AM52" s="5" t="inlineStr">
        <is>
          <t>(м.п.)</t>
        </is>
      </c>
      <c r="AN52" s="5" t="inlineStr"/>
      <c r="AO52" s="5" t="inlineStr">
        <is>
          <t>кг</t>
        </is>
      </c>
      <c r="AP52" s="5" t="inlineStr">
        <is>
          <t>(м.п.)</t>
        </is>
      </c>
      <c r="AQ52" s="5" t="inlineStr"/>
      <c r="AR52" s="5" t="inlineStr">
        <is>
          <t>кг</t>
        </is>
      </c>
    </row>
    <row r="53">
      <c r="A53" s="4" t="inlineStr">
        <is>
          <t>Арматура, (м.п.)</t>
        </is>
      </c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  <c r="AB53" s="4" t="n"/>
      <c r="AC53" s="4" t="n"/>
      <c r="AD53" s="4" t="n"/>
      <c r="AE53" s="4" t="n"/>
      <c r="AF53" s="4" t="n"/>
      <c r="AG53" s="4" t="n"/>
      <c r="AH53" s="4" t="n"/>
      <c r="AI53" s="4" t="n"/>
      <c r="AJ53" s="4" t="n"/>
      <c r="AK53" s="4" t="n"/>
      <c r="AL53" s="4" t="n"/>
      <c r="AM53" s="4" t="n"/>
      <c r="AN53" s="4" t="n"/>
      <c r="AO53" s="4" t="n"/>
      <c r="AP53" s="4" t="n"/>
      <c r="AQ53" s="4" t="n"/>
      <c r="AR53" s="4" t="n"/>
    </row>
    <row r="54">
      <c r="A54" s="6" t="inlineStr">
        <is>
          <t>Диаметр 32 А500С, L=м.п.</t>
        </is>
      </c>
      <c r="B54" s="35">
        <f>SUMIFS(Ведомость!$N$5:$N$1270,Ведомость!$H$5:$H$1270,32,Ведомость!$I$5:$I$1270,"А500С",Ведомость!$V$5:$V$1270,"Дм-1",Ведомость!$W$5:$W$1270,2)</f>
        <v/>
      </c>
      <c r="C54" s="35">
        <f>SUMIFS(Ведомость!$N$5:$N$1270,Ведомость!$H$5:$H$1270,32,Ведомость!$I$5:$I$1270,"А500С",Ведомость!$V$5:$V$1270,"Дм-2",Ведомость!$W$5:$W$1270,2)</f>
        <v/>
      </c>
      <c r="D54" s="35">
        <f>SUMIFS(Ведомость!$N$5:$N$1270,Ведомость!$H$5:$H$1270,32,Ведомость!$I$5:$I$1270,"А500С",Ведомость!$V$5:$V$1270,"К-А",Ведомость!$W$5:$W$1270,2)</f>
        <v/>
      </c>
      <c r="E54" s="35">
        <f>SUMIFS(Ведомость!$N$5:$N$1270,Ведомость!$H$5:$H$1270,32,Ведомость!$I$5:$I$1270,"А500С",Ведомость!$V$5:$V$1270,"Р-А",Ведомость!$W$5:$W$1270,2)</f>
        <v/>
      </c>
      <c r="F54" s="35">
        <f>SUMIFS(Ведомость!$N$5:$N$1270,Ведомость!$H$5:$H$1270,32,Ведомость!$I$5:$I$1270,"А500С",Ведомость!$V$5:$V$1270,"К-Б",Ведомость!$W$5:$W$1270,2)</f>
        <v/>
      </c>
      <c r="G54" s="35">
        <f>SUMIFS(Ведомость!$N$5:$N$1270,Ведомость!$H$5:$H$1270,32,Ведомость!$I$5:$I$1270,"А500С",Ведомость!$V$5:$V$1270,"Р-Б",Ведомость!$W$5:$W$1270,2)</f>
        <v/>
      </c>
      <c r="H54" s="35">
        <f>SUMIFS(Ведомость!$N$5:$N$1270,Ведомость!$H$5:$H$1270,32,Ведомость!$I$5:$I$1270,"А500С",Ведомость!$V$5:$V$1270,"К-В",Ведомость!$W$5:$W$1270,2)</f>
        <v/>
      </c>
      <c r="I54" s="35">
        <f>SUMIFS(Ведомость!$N$5:$N$1270,Ведомость!$H$5:$H$1270,32,Ведомость!$I$5:$I$1270,"А500С",Ведомость!$V$5:$V$1270,"Р-В",Ведомость!$W$5:$W$1270,2)</f>
        <v/>
      </c>
      <c r="J54" s="35">
        <f>SUMIFS(Ведомость!$N$5:$N$1270,Ведомость!$H$5:$H$1270,32,Ведомость!$I$5:$I$1270,"А500С",Ведомость!$V$5:$V$1270,"К-Г",Ведомость!$W$5:$W$1270,2)</f>
        <v/>
      </c>
      <c r="K54" s="35">
        <f>SUMIFS(Ведомость!$N$5:$N$1270,Ведомость!$H$5:$H$1270,32,Ведомость!$I$5:$I$1270,"А500С",Ведомость!$V$5:$V$1270,"Дм-3",Ведомость!$W$5:$W$1270,2)</f>
        <v/>
      </c>
      <c r="L54" s="35">
        <f>SUMIFS(Ведомость!$N$5:$N$1270,Ведомость!$H$5:$H$1270,32,Ведомость!$I$5:$I$1270,"А500С",Ведомость!$V$5:$V$1270,"Дм-4",Ведомость!$W$5:$W$1270,2)</f>
        <v/>
      </c>
      <c r="M54" s="35">
        <f>SUMIFS(Ведомость!$N$5:$N$1270,Ведомость!$H$5:$H$1270,32,Ведомость!$I$5:$I$1270,"А500С",Ведомость!$V$5:$V$1270,"Дм-5",Ведомость!$W$5:$W$1270,2)</f>
        <v/>
      </c>
      <c r="N54" s="35">
        <f>SUMIFS(Ведомость!$N$5:$N$1270,Ведомость!$H$5:$H$1270,32,Ведомость!$I$5:$I$1270,"А500С",Ведомость!$V$5:$V$1270,"Р-Г",Ведомость!$W$5:$W$1270,2)</f>
        <v/>
      </c>
      <c r="O54" s="35">
        <f>SUMIFS(Ведомость!$N$5:$N$1270,Ведомость!$H$5:$H$1270,32,Ведомость!$I$5:$I$1270,"А500С",Ведомость!$V$5:$V$1270,"Р-1, 5",Ведомость!$W$5:$W$1270,2)</f>
        <v/>
      </c>
      <c r="P54" s="35">
        <f>SUMIFS(Ведомость!$N$5:$N$1270,Ведомость!$H$5:$H$1270,32,Ведомость!$I$5:$I$1270,"А500С",Ведомость!$V$5:$V$1270,"Р-2",Ведомость!$W$5:$W$1270,2)</f>
        <v/>
      </c>
      <c r="Q54" s="35">
        <f>SUMIFS(Ведомость!$N$5:$N$1270,Ведомость!$H$5:$H$1270,32,Ведомость!$I$5:$I$1270,"А500С",Ведомость!$V$5:$V$1270,"Р-3",Ведомость!$W$5:$W$1270,2)</f>
        <v/>
      </c>
      <c r="R54" s="35">
        <f>SUMIFS(Ведомость!$N$5:$N$1270,Ведомость!$H$5:$H$1270,32,Ведомость!$I$5:$I$1270,"А500С",Ведомость!$V$5:$V$1270,"Р-4",Ведомость!$W$5:$W$1270,2)</f>
        <v/>
      </c>
      <c r="S54" s="35">
        <f>SUMIFS(Ведомость!$N$5:$N$1270,Ведомость!$H$5:$H$1270,32,Ведомость!$I$5:$I$1270,"А500С",Ведомость!$V$5:$V$1270,"Б-основная",Ведомость!$W$5:$W$1270,2)</f>
        <v/>
      </c>
      <c r="T54" s="35">
        <f>SUMIFS(Ведомость!$N$5:$N$1270,Ведомость!$H$5:$H$1270,32,Ведомость!$I$5:$I$1270,"А500С",Ведомость!$V$5:$V$1270,"Б-хомуты",Ведомость!$W$5:$W$1270,2)</f>
        <v/>
      </c>
      <c r="U54" s="35">
        <f>SUMIFS(Ведомость!$N$5:$N$1270,Ведомость!$H$5:$H$1270,32,Ведомость!$I$5:$I$1270,"А500С",Ведомость!$V$5:$V$1270,"Б-допник",Ведомость!$W$5:$W$1270,2)</f>
        <v/>
      </c>
      <c r="V54" s="35">
        <f>SUMIFS(Ведомость!$N$5:$N$1270,Ведомость!$H$5:$H$1270,32,Ведомость!$I$5:$I$1270,"А500С",Ведомость!$V$5:$V$1270,"П-сетка",Ведомость!$W$5:$W$1270,2)</f>
        <v/>
      </c>
      <c r="W54" s="35">
        <f>SUMIFS(Ведомость!$N$5:$N$1270,Ведомость!$H$5:$H$1270,32,Ведомость!$I$5:$I$1270,"А500С",Ведомость!$V$5:$V$1270,"П-фикс",Ведомость!$W$5:$W$1270,2)</f>
        <v/>
      </c>
      <c r="X54" s="35">
        <f>SUMIFS(Ведомость!$N$5:$N$1270,Ведомость!$H$5:$H$1270,32,Ведомость!$I$5:$I$1270,"А500С",Ведомость!$V$5:$V$1270,"П-отв",Ведомость!$W$5:$W$1270,2)</f>
        <v/>
      </c>
      <c r="Y54" s="35">
        <f>SUMIFS(Ведомость!$N$5:$N$1270,Ведомость!$H$5:$H$1270,32,Ведомость!$I$5:$I$1270,"А500С",Ведомость!$V$5:$V$1270,"П-доп-низ",Ведомость!$W$5:$W$1270,2)</f>
        <v/>
      </c>
      <c r="Z54" s="35">
        <f>SUMIFS(Ведомость!$N$5:$N$1270,Ведомость!$H$5:$H$1270,32,Ведомость!$I$5:$I$1270,"А500С",Ведомость!$V$5:$V$1270,"П-доп-верх",Ведомость!$W$5:$W$1270,2)</f>
        <v/>
      </c>
      <c r="AA54" s="35">
        <f>SUMIFS(Ведомость!$N$5:$N$1270,Ведомость!$H$5:$H$1270,32,Ведомость!$I$5:$I$1270,"А500С",Ведомость!$V$5:$V$1270,"П-край",Ведомость!$W$5:$W$1270,2)</f>
        <v/>
      </c>
      <c r="AB54" s="35">
        <f>SUMIFS(Ведомость!$N$5:$N$1270,Ведомость!$H$5:$H$1270,32,Ведомость!$I$5:$I$1270,"А500С",Ведомость!$V$5:$V$1270,"С-1",Ведомость!$W$5:$W$1270,2)</f>
        <v/>
      </c>
      <c r="AC54" s="35">
        <f>SUMIFS(Ведомость!$N$5:$N$1270,Ведомость!$H$5:$H$1270,32,Ведомость!$I$5:$I$1270,"А500С",Ведомость!$V$5:$V$1270,"Л1",Ведомость!$W$5:$W$1270,2)</f>
        <v/>
      </c>
      <c r="AD54" s="35">
        <f>SUMIFS(Ведомость!$N$5:$N$1270,Ведомость!$H$5:$H$1270,32,Ведомость!$I$5:$I$1270,"А500С",Ведомость!$V$5:$V$1270,"Л2",Ведомость!$W$5:$W$1270,2)</f>
        <v/>
      </c>
      <c r="AE54" s="35">
        <f>SUMIFS(Ведомость!$N$5:$N$1270,Ведомость!$H$5:$H$1270,32,Ведомость!$I$5:$I$1270,"А500С",Ведомость!$V$5:$V$1270,"Л-пл",Ведомость!$W$5:$W$1270,2)</f>
        <v/>
      </c>
      <c r="AF54" s="35">
        <f>SUMIFS(Ведомость!$N$5:$N$1270,Ведомость!$H$5:$H$1270,32,Ведомость!$I$5:$I$1270,"А500С",Ведомость!$V$5:$V$1270,"Л-рама",Ведомость!$W$5:$W$1270,2)</f>
        <v/>
      </c>
      <c r="AG54" s="36">
        <f>SUM(B54:AF54)</f>
        <v/>
      </c>
      <c r="AH54" s="37">
        <f>IFERROR(INDEX(Исходные!$B$19:$B$31,MATCH(32,Исходные!$A$19:$A$31,0)),0)</f>
        <v/>
      </c>
      <c r="AI54" s="36">
        <f>AG54*AH54*$AJ$2</f>
        <v/>
      </c>
      <c r="AJ54" s="38">
        <f>SUM(B54:D54,F54,H54,J54:M54)</f>
        <v/>
      </c>
      <c r="AK54" s="39">
        <f>AH54</f>
        <v/>
      </c>
      <c r="AL54" s="40">
        <f>AJ54*AK54*$AJ$2</f>
        <v/>
      </c>
      <c r="AM54" s="38">
        <f>SUM(E54,G54,I54,N54:AB54)</f>
        <v/>
      </c>
      <c r="AN54" s="39">
        <f>AH54</f>
        <v/>
      </c>
      <c r="AO54" s="40">
        <f>AM54*AN54*$AJ$2</f>
        <v/>
      </c>
      <c r="AP54" s="38">
        <f>SUM(AC54:AF54)</f>
        <v/>
      </c>
      <c r="AQ54" s="39">
        <f>AH54</f>
        <v/>
      </c>
      <c r="AR54" s="40">
        <f>AP54*AQ54*$AJ$2</f>
        <v/>
      </c>
    </row>
    <row r="55">
      <c r="A55" s="6" t="inlineStr">
        <is>
          <t>Диаметр 28 А500С, L=м.п.</t>
        </is>
      </c>
      <c r="B55" s="35">
        <f>SUMIFS(Ведомость!$N$5:$N$1270,Ведомость!$H$5:$H$1270,28,Ведомость!$I$5:$I$1270,"А500С",Ведомость!$V$5:$V$1270,"Дм-1",Ведомость!$W$5:$W$1270,2)</f>
        <v/>
      </c>
      <c r="C55" s="35">
        <f>SUMIFS(Ведомость!$N$5:$N$1270,Ведомость!$H$5:$H$1270,28,Ведомость!$I$5:$I$1270,"А500С",Ведомость!$V$5:$V$1270,"Дм-2",Ведомость!$W$5:$W$1270,2)</f>
        <v/>
      </c>
      <c r="D55" s="35">
        <f>SUMIFS(Ведомость!$N$5:$N$1270,Ведомость!$H$5:$H$1270,28,Ведомость!$I$5:$I$1270,"А500С",Ведомость!$V$5:$V$1270,"К-А",Ведомость!$W$5:$W$1270,2)</f>
        <v/>
      </c>
      <c r="E55" s="35">
        <f>SUMIFS(Ведомость!$N$5:$N$1270,Ведомость!$H$5:$H$1270,28,Ведомость!$I$5:$I$1270,"А500С",Ведомость!$V$5:$V$1270,"Р-А",Ведомость!$W$5:$W$1270,2)</f>
        <v/>
      </c>
      <c r="F55" s="35">
        <f>SUMIFS(Ведомость!$N$5:$N$1270,Ведомость!$H$5:$H$1270,28,Ведомость!$I$5:$I$1270,"А500С",Ведомость!$V$5:$V$1270,"К-Б",Ведомость!$W$5:$W$1270,2)</f>
        <v/>
      </c>
      <c r="G55" s="35">
        <f>SUMIFS(Ведомость!$N$5:$N$1270,Ведомость!$H$5:$H$1270,28,Ведомость!$I$5:$I$1270,"А500С",Ведомость!$V$5:$V$1270,"Р-Б",Ведомость!$W$5:$W$1270,2)</f>
        <v/>
      </c>
      <c r="H55" s="35">
        <f>SUMIFS(Ведомость!$N$5:$N$1270,Ведомость!$H$5:$H$1270,28,Ведомость!$I$5:$I$1270,"А500С",Ведомость!$V$5:$V$1270,"К-В",Ведомость!$W$5:$W$1270,2)</f>
        <v/>
      </c>
      <c r="I55" s="35">
        <f>SUMIFS(Ведомость!$N$5:$N$1270,Ведомость!$H$5:$H$1270,28,Ведомость!$I$5:$I$1270,"А500С",Ведомость!$V$5:$V$1270,"Р-В",Ведомость!$W$5:$W$1270,2)</f>
        <v/>
      </c>
      <c r="J55" s="35">
        <f>SUMIFS(Ведомость!$N$5:$N$1270,Ведомость!$H$5:$H$1270,28,Ведомость!$I$5:$I$1270,"А500С",Ведомость!$V$5:$V$1270,"К-Г",Ведомость!$W$5:$W$1270,2)</f>
        <v/>
      </c>
      <c r="K55" s="35">
        <f>SUMIFS(Ведомость!$N$5:$N$1270,Ведомость!$H$5:$H$1270,28,Ведомость!$I$5:$I$1270,"А500С",Ведомость!$V$5:$V$1270,"Дм-3",Ведомость!$W$5:$W$1270,2)</f>
        <v/>
      </c>
      <c r="L55" s="35">
        <f>SUMIFS(Ведомость!$N$5:$N$1270,Ведомость!$H$5:$H$1270,28,Ведомость!$I$5:$I$1270,"А500С",Ведомость!$V$5:$V$1270,"Дм-4",Ведомость!$W$5:$W$1270,2)</f>
        <v/>
      </c>
      <c r="M55" s="35">
        <f>SUMIFS(Ведомость!$N$5:$N$1270,Ведомость!$H$5:$H$1270,28,Ведомость!$I$5:$I$1270,"А500С",Ведомость!$V$5:$V$1270,"Дм-5",Ведомость!$W$5:$W$1270,2)</f>
        <v/>
      </c>
      <c r="N55" s="35">
        <f>SUMIFS(Ведомость!$N$5:$N$1270,Ведомость!$H$5:$H$1270,28,Ведомость!$I$5:$I$1270,"А500С",Ведомость!$V$5:$V$1270,"Р-Г",Ведомость!$W$5:$W$1270,2)</f>
        <v/>
      </c>
      <c r="O55" s="35">
        <f>SUMIFS(Ведомость!$N$5:$N$1270,Ведомость!$H$5:$H$1270,28,Ведомость!$I$5:$I$1270,"А500С",Ведомость!$V$5:$V$1270,"Р-1, 5",Ведомость!$W$5:$W$1270,2)</f>
        <v/>
      </c>
      <c r="P55" s="35">
        <f>SUMIFS(Ведомость!$N$5:$N$1270,Ведомость!$H$5:$H$1270,28,Ведомость!$I$5:$I$1270,"А500С",Ведомость!$V$5:$V$1270,"Р-2",Ведомость!$W$5:$W$1270,2)</f>
        <v/>
      </c>
      <c r="Q55" s="35">
        <f>SUMIFS(Ведомость!$N$5:$N$1270,Ведомость!$H$5:$H$1270,28,Ведомость!$I$5:$I$1270,"А500С",Ведомость!$V$5:$V$1270,"Р-3",Ведомость!$W$5:$W$1270,2)</f>
        <v/>
      </c>
      <c r="R55" s="35">
        <f>SUMIFS(Ведомость!$N$5:$N$1270,Ведомость!$H$5:$H$1270,28,Ведомость!$I$5:$I$1270,"А500С",Ведомость!$V$5:$V$1270,"Р-4",Ведомость!$W$5:$W$1270,2)</f>
        <v/>
      </c>
      <c r="S55" s="35">
        <f>SUMIFS(Ведомость!$N$5:$N$1270,Ведомость!$H$5:$H$1270,28,Ведомость!$I$5:$I$1270,"А500С",Ведомость!$V$5:$V$1270,"Б-основная",Ведомость!$W$5:$W$1270,2)</f>
        <v/>
      </c>
      <c r="T55" s="35">
        <f>SUMIFS(Ведомость!$N$5:$N$1270,Ведомость!$H$5:$H$1270,28,Ведомость!$I$5:$I$1270,"А500С",Ведомость!$V$5:$V$1270,"Б-хомуты",Ведомость!$W$5:$W$1270,2)</f>
        <v/>
      </c>
      <c r="U55" s="35">
        <f>SUMIFS(Ведомость!$N$5:$N$1270,Ведомость!$H$5:$H$1270,28,Ведомость!$I$5:$I$1270,"А500С",Ведомость!$V$5:$V$1270,"Б-допник",Ведомость!$W$5:$W$1270,2)</f>
        <v/>
      </c>
      <c r="V55" s="35">
        <f>SUMIFS(Ведомость!$N$5:$N$1270,Ведомость!$H$5:$H$1270,28,Ведомость!$I$5:$I$1270,"А500С",Ведомость!$V$5:$V$1270,"П-сетка",Ведомость!$W$5:$W$1270,2)</f>
        <v/>
      </c>
      <c r="W55" s="35">
        <f>SUMIFS(Ведомость!$N$5:$N$1270,Ведомость!$H$5:$H$1270,28,Ведомость!$I$5:$I$1270,"А500С",Ведомость!$V$5:$V$1270,"П-фикс",Ведомость!$W$5:$W$1270,2)</f>
        <v/>
      </c>
      <c r="X55" s="35">
        <f>SUMIFS(Ведомость!$N$5:$N$1270,Ведомость!$H$5:$H$1270,28,Ведомость!$I$5:$I$1270,"А500С",Ведомость!$V$5:$V$1270,"П-отв",Ведомость!$W$5:$W$1270,2)</f>
        <v/>
      </c>
      <c r="Y55" s="35">
        <f>SUMIFS(Ведомость!$N$5:$N$1270,Ведомость!$H$5:$H$1270,28,Ведомость!$I$5:$I$1270,"А500С",Ведомость!$V$5:$V$1270,"П-доп-низ",Ведомость!$W$5:$W$1270,2)</f>
        <v/>
      </c>
      <c r="Z55" s="35">
        <f>SUMIFS(Ведомость!$N$5:$N$1270,Ведомость!$H$5:$H$1270,28,Ведомость!$I$5:$I$1270,"А500С",Ведомость!$V$5:$V$1270,"П-доп-верх",Ведомость!$W$5:$W$1270,2)</f>
        <v/>
      </c>
      <c r="AA55" s="35">
        <f>SUMIFS(Ведомость!$N$5:$N$1270,Ведомость!$H$5:$H$1270,28,Ведомость!$I$5:$I$1270,"А500С",Ведомость!$V$5:$V$1270,"П-край",Ведомость!$W$5:$W$1270,2)</f>
        <v/>
      </c>
      <c r="AB55" s="35">
        <f>SUMIFS(Ведомость!$N$5:$N$1270,Ведомость!$H$5:$H$1270,28,Ведомость!$I$5:$I$1270,"А500С",Ведомость!$V$5:$V$1270,"С-1",Ведомость!$W$5:$W$1270,2)</f>
        <v/>
      </c>
      <c r="AC55" s="35">
        <f>SUMIFS(Ведомость!$N$5:$N$1270,Ведомость!$H$5:$H$1270,28,Ведомость!$I$5:$I$1270,"А500С",Ведомость!$V$5:$V$1270,"Л1",Ведомость!$W$5:$W$1270,2)</f>
        <v/>
      </c>
      <c r="AD55" s="35">
        <f>SUMIFS(Ведомость!$N$5:$N$1270,Ведомость!$H$5:$H$1270,28,Ведомость!$I$5:$I$1270,"А500С",Ведомость!$V$5:$V$1270,"Л2",Ведомость!$W$5:$W$1270,2)</f>
        <v/>
      </c>
      <c r="AE55" s="35">
        <f>SUMIFS(Ведомость!$N$5:$N$1270,Ведомость!$H$5:$H$1270,28,Ведомость!$I$5:$I$1270,"А500С",Ведомость!$V$5:$V$1270,"Л-пл",Ведомость!$W$5:$W$1270,2)</f>
        <v/>
      </c>
      <c r="AF55" s="35">
        <f>SUMIFS(Ведомость!$N$5:$N$1270,Ведомость!$H$5:$H$1270,28,Ведомость!$I$5:$I$1270,"А500С",Ведомость!$V$5:$V$1270,"Л-рама",Ведомость!$W$5:$W$1270,2)</f>
        <v/>
      </c>
      <c r="AG55" s="36">
        <f>SUM(B55:AF55)</f>
        <v/>
      </c>
      <c r="AH55" s="37">
        <f>IFERROR(INDEX(Исходные!$B$19:$B$31,MATCH(28,Исходные!$A$19:$A$31,0)),0)</f>
        <v/>
      </c>
      <c r="AI55" s="36">
        <f>AG55*AH55*$AJ$2</f>
        <v/>
      </c>
      <c r="AJ55" s="38">
        <f>SUM(B55:D55,F55,H55,J55:M55)</f>
        <v/>
      </c>
      <c r="AK55" s="39">
        <f>AH55</f>
        <v/>
      </c>
      <c r="AL55" s="40">
        <f>AJ55*AK55*$AJ$2</f>
        <v/>
      </c>
      <c r="AM55" s="38">
        <f>SUM(E55,G55,I55,N55:AB55)</f>
        <v/>
      </c>
      <c r="AN55" s="39">
        <f>AH55</f>
        <v/>
      </c>
      <c r="AO55" s="40">
        <f>AM55*AN55*$AJ$2</f>
        <v/>
      </c>
      <c r="AP55" s="38">
        <f>SUM(AC55:AF55)</f>
        <v/>
      </c>
      <c r="AQ55" s="39">
        <f>AH55</f>
        <v/>
      </c>
      <c r="AR55" s="40">
        <f>AP55*AQ55*$AJ$2</f>
        <v/>
      </c>
    </row>
    <row r="56">
      <c r="A56" s="6" t="inlineStr">
        <is>
          <t>Диаметр 25 А500С, L=м.п.</t>
        </is>
      </c>
      <c r="B56" s="35">
        <f>SUMIFS(Ведомость!$N$5:$N$1270,Ведомость!$H$5:$H$1270,25,Ведомость!$I$5:$I$1270,"А500С",Ведомость!$V$5:$V$1270,"Дм-1",Ведомость!$W$5:$W$1270,2)</f>
        <v/>
      </c>
      <c r="C56" s="35">
        <f>SUMIFS(Ведомость!$N$5:$N$1270,Ведомость!$H$5:$H$1270,25,Ведомость!$I$5:$I$1270,"А500С",Ведомость!$V$5:$V$1270,"Дм-2",Ведомость!$W$5:$W$1270,2)</f>
        <v/>
      </c>
      <c r="D56" s="35">
        <f>SUMIFS(Ведомость!$N$5:$N$1270,Ведомость!$H$5:$H$1270,25,Ведомость!$I$5:$I$1270,"А500С",Ведомость!$V$5:$V$1270,"К-А",Ведомость!$W$5:$W$1270,2)</f>
        <v/>
      </c>
      <c r="E56" s="35">
        <f>SUMIFS(Ведомость!$N$5:$N$1270,Ведомость!$H$5:$H$1270,25,Ведомость!$I$5:$I$1270,"А500С",Ведомость!$V$5:$V$1270,"Р-А",Ведомость!$W$5:$W$1270,2)</f>
        <v/>
      </c>
      <c r="F56" s="35">
        <f>SUMIFS(Ведомость!$N$5:$N$1270,Ведомость!$H$5:$H$1270,25,Ведомость!$I$5:$I$1270,"А500С",Ведомость!$V$5:$V$1270,"К-Б",Ведомость!$W$5:$W$1270,2)</f>
        <v/>
      </c>
      <c r="G56" s="35">
        <f>SUMIFS(Ведомость!$N$5:$N$1270,Ведомость!$H$5:$H$1270,25,Ведомость!$I$5:$I$1270,"А500С",Ведомость!$V$5:$V$1270,"Р-Б",Ведомость!$W$5:$W$1270,2)</f>
        <v/>
      </c>
      <c r="H56" s="35">
        <f>SUMIFS(Ведомость!$N$5:$N$1270,Ведомость!$H$5:$H$1270,25,Ведомость!$I$5:$I$1270,"А500С",Ведомость!$V$5:$V$1270,"К-В",Ведомость!$W$5:$W$1270,2)</f>
        <v/>
      </c>
      <c r="I56" s="35">
        <f>SUMIFS(Ведомость!$N$5:$N$1270,Ведомость!$H$5:$H$1270,25,Ведомость!$I$5:$I$1270,"А500С",Ведомость!$V$5:$V$1270,"Р-В",Ведомость!$W$5:$W$1270,2)</f>
        <v/>
      </c>
      <c r="J56" s="35">
        <f>SUMIFS(Ведомость!$N$5:$N$1270,Ведомость!$H$5:$H$1270,25,Ведомость!$I$5:$I$1270,"А500С",Ведомость!$V$5:$V$1270,"К-Г",Ведомость!$W$5:$W$1270,2)</f>
        <v/>
      </c>
      <c r="K56" s="35">
        <f>SUMIFS(Ведомость!$N$5:$N$1270,Ведомость!$H$5:$H$1270,25,Ведомость!$I$5:$I$1270,"А500С",Ведомость!$V$5:$V$1270,"Дм-3",Ведомость!$W$5:$W$1270,2)</f>
        <v/>
      </c>
      <c r="L56" s="35">
        <f>SUMIFS(Ведомость!$N$5:$N$1270,Ведомость!$H$5:$H$1270,25,Ведомость!$I$5:$I$1270,"А500С",Ведомость!$V$5:$V$1270,"Дм-4",Ведомость!$W$5:$W$1270,2)</f>
        <v/>
      </c>
      <c r="M56" s="35">
        <f>SUMIFS(Ведомость!$N$5:$N$1270,Ведомость!$H$5:$H$1270,25,Ведомость!$I$5:$I$1270,"А500С",Ведомость!$V$5:$V$1270,"Дм-5",Ведомость!$W$5:$W$1270,2)</f>
        <v/>
      </c>
      <c r="N56" s="35">
        <f>SUMIFS(Ведомость!$N$5:$N$1270,Ведомость!$H$5:$H$1270,25,Ведомость!$I$5:$I$1270,"А500С",Ведомость!$V$5:$V$1270,"Р-Г",Ведомость!$W$5:$W$1270,2)</f>
        <v/>
      </c>
      <c r="O56" s="35">
        <f>SUMIFS(Ведомость!$N$5:$N$1270,Ведомость!$H$5:$H$1270,25,Ведомость!$I$5:$I$1270,"А500С",Ведомость!$V$5:$V$1270,"Р-1, 5",Ведомость!$W$5:$W$1270,2)</f>
        <v/>
      </c>
      <c r="P56" s="35">
        <f>SUMIFS(Ведомость!$N$5:$N$1270,Ведомость!$H$5:$H$1270,25,Ведомость!$I$5:$I$1270,"А500С",Ведомость!$V$5:$V$1270,"Р-2",Ведомость!$W$5:$W$1270,2)</f>
        <v/>
      </c>
      <c r="Q56" s="35">
        <f>SUMIFS(Ведомость!$N$5:$N$1270,Ведомость!$H$5:$H$1270,25,Ведомость!$I$5:$I$1270,"А500С",Ведомость!$V$5:$V$1270,"Р-3",Ведомость!$W$5:$W$1270,2)</f>
        <v/>
      </c>
      <c r="R56" s="35">
        <f>SUMIFS(Ведомость!$N$5:$N$1270,Ведомость!$H$5:$H$1270,25,Ведомость!$I$5:$I$1270,"А500С",Ведомость!$V$5:$V$1270,"Р-4",Ведомость!$W$5:$W$1270,2)</f>
        <v/>
      </c>
      <c r="S56" s="35">
        <f>SUMIFS(Ведомость!$N$5:$N$1270,Ведомость!$H$5:$H$1270,25,Ведомость!$I$5:$I$1270,"А500С",Ведомость!$V$5:$V$1270,"Б-основная",Ведомость!$W$5:$W$1270,2)</f>
        <v/>
      </c>
      <c r="T56" s="35">
        <f>SUMIFS(Ведомость!$N$5:$N$1270,Ведомость!$H$5:$H$1270,25,Ведомость!$I$5:$I$1270,"А500С",Ведомость!$V$5:$V$1270,"Б-хомуты",Ведомость!$W$5:$W$1270,2)</f>
        <v/>
      </c>
      <c r="U56" s="35">
        <f>SUMIFS(Ведомость!$N$5:$N$1270,Ведомость!$H$5:$H$1270,25,Ведомость!$I$5:$I$1270,"А500С",Ведомость!$V$5:$V$1270,"Б-допник",Ведомость!$W$5:$W$1270,2)</f>
        <v/>
      </c>
      <c r="V56" s="35">
        <f>SUMIFS(Ведомость!$N$5:$N$1270,Ведомость!$H$5:$H$1270,25,Ведомость!$I$5:$I$1270,"А500С",Ведомость!$V$5:$V$1270,"П-сетка",Ведомость!$W$5:$W$1270,2)</f>
        <v/>
      </c>
      <c r="W56" s="35">
        <f>SUMIFS(Ведомость!$N$5:$N$1270,Ведомость!$H$5:$H$1270,25,Ведомость!$I$5:$I$1270,"А500С",Ведомость!$V$5:$V$1270,"П-фикс",Ведомость!$W$5:$W$1270,2)</f>
        <v/>
      </c>
      <c r="X56" s="35">
        <f>SUMIFS(Ведомость!$N$5:$N$1270,Ведомость!$H$5:$H$1270,25,Ведомость!$I$5:$I$1270,"А500С",Ведомость!$V$5:$V$1270,"П-отв",Ведомость!$W$5:$W$1270,2)</f>
        <v/>
      </c>
      <c r="Y56" s="35">
        <f>SUMIFS(Ведомость!$N$5:$N$1270,Ведомость!$H$5:$H$1270,25,Ведомость!$I$5:$I$1270,"А500С",Ведомость!$V$5:$V$1270,"П-доп-низ",Ведомость!$W$5:$W$1270,2)</f>
        <v/>
      </c>
      <c r="Z56" s="35">
        <f>SUMIFS(Ведомость!$N$5:$N$1270,Ведомость!$H$5:$H$1270,25,Ведомость!$I$5:$I$1270,"А500С",Ведомость!$V$5:$V$1270,"П-доп-верх",Ведомость!$W$5:$W$1270,2)</f>
        <v/>
      </c>
      <c r="AA56" s="35">
        <f>SUMIFS(Ведомость!$N$5:$N$1270,Ведомость!$H$5:$H$1270,25,Ведомость!$I$5:$I$1270,"А500С",Ведомость!$V$5:$V$1270,"П-край",Ведомость!$W$5:$W$1270,2)</f>
        <v/>
      </c>
      <c r="AB56" s="35">
        <f>SUMIFS(Ведомость!$N$5:$N$1270,Ведомость!$H$5:$H$1270,25,Ведомость!$I$5:$I$1270,"А500С",Ведомость!$V$5:$V$1270,"С-1",Ведомость!$W$5:$W$1270,2)</f>
        <v/>
      </c>
      <c r="AC56" s="35">
        <f>SUMIFS(Ведомость!$N$5:$N$1270,Ведомость!$H$5:$H$1270,25,Ведомость!$I$5:$I$1270,"А500С",Ведомость!$V$5:$V$1270,"Л1",Ведомость!$W$5:$W$1270,2)</f>
        <v/>
      </c>
      <c r="AD56" s="35">
        <f>SUMIFS(Ведомость!$N$5:$N$1270,Ведомость!$H$5:$H$1270,25,Ведомость!$I$5:$I$1270,"А500С",Ведомость!$V$5:$V$1270,"Л2",Ведомость!$W$5:$W$1270,2)</f>
        <v/>
      </c>
      <c r="AE56" s="35">
        <f>SUMIFS(Ведомость!$N$5:$N$1270,Ведомость!$H$5:$H$1270,25,Ведомость!$I$5:$I$1270,"А500С",Ведомость!$V$5:$V$1270,"Л-пл",Ведомость!$W$5:$W$1270,2)</f>
        <v/>
      </c>
      <c r="AF56" s="35">
        <f>SUMIFS(Ведомость!$N$5:$N$1270,Ведомость!$H$5:$H$1270,25,Ведомость!$I$5:$I$1270,"А500С",Ведомость!$V$5:$V$1270,"Л-рама",Ведомость!$W$5:$W$1270,2)</f>
        <v/>
      </c>
      <c r="AG56" s="36">
        <f>SUM(B56:AF56)</f>
        <v/>
      </c>
      <c r="AH56" s="37">
        <f>IFERROR(INDEX(Исходные!$B$19:$B$31,MATCH(25,Исходные!$A$19:$A$31,0)),0)</f>
        <v/>
      </c>
      <c r="AI56" s="36">
        <f>AG56*AH56*$AJ$2</f>
        <v/>
      </c>
      <c r="AJ56" s="38">
        <f>SUM(B56:D56,F56,H56,J56:M56)</f>
        <v/>
      </c>
      <c r="AK56" s="39">
        <f>AH56</f>
        <v/>
      </c>
      <c r="AL56" s="40">
        <f>AJ56*AK56*$AJ$2</f>
        <v/>
      </c>
      <c r="AM56" s="38">
        <f>SUM(E56,G56,I56,N56:AB56)</f>
        <v/>
      </c>
      <c r="AN56" s="39">
        <f>AH56</f>
        <v/>
      </c>
      <c r="AO56" s="40">
        <f>AM56*AN56*$AJ$2</f>
        <v/>
      </c>
      <c r="AP56" s="38">
        <f>SUM(AC56:AF56)</f>
        <v/>
      </c>
      <c r="AQ56" s="39">
        <f>AH56</f>
        <v/>
      </c>
      <c r="AR56" s="40">
        <f>AP56*AQ56*$AJ$2</f>
        <v/>
      </c>
    </row>
    <row r="57">
      <c r="A57" s="6" t="inlineStr">
        <is>
          <t>Диаметр 22 А500С, L=м.п.</t>
        </is>
      </c>
      <c r="B57" s="35">
        <f>SUMIFS(Ведомость!$N$5:$N$1270,Ведомость!$H$5:$H$1270,22,Ведомость!$I$5:$I$1270,"А500С",Ведомость!$V$5:$V$1270,"Дм-1",Ведомость!$W$5:$W$1270,2)</f>
        <v/>
      </c>
      <c r="C57" s="35">
        <f>SUMIFS(Ведомость!$N$5:$N$1270,Ведомость!$H$5:$H$1270,22,Ведомость!$I$5:$I$1270,"А500С",Ведомость!$V$5:$V$1270,"Дм-2",Ведомость!$W$5:$W$1270,2)</f>
        <v/>
      </c>
      <c r="D57" s="35">
        <f>SUMIFS(Ведомость!$N$5:$N$1270,Ведомость!$H$5:$H$1270,22,Ведомость!$I$5:$I$1270,"А500С",Ведомость!$V$5:$V$1270,"К-А",Ведомость!$W$5:$W$1270,2)</f>
        <v/>
      </c>
      <c r="E57" s="35">
        <f>SUMIFS(Ведомость!$N$5:$N$1270,Ведомость!$H$5:$H$1270,22,Ведомость!$I$5:$I$1270,"А500С",Ведомость!$V$5:$V$1270,"Р-А",Ведомость!$W$5:$W$1270,2)</f>
        <v/>
      </c>
      <c r="F57" s="35">
        <f>SUMIFS(Ведомость!$N$5:$N$1270,Ведомость!$H$5:$H$1270,22,Ведомость!$I$5:$I$1270,"А500С",Ведомость!$V$5:$V$1270,"К-Б",Ведомость!$W$5:$W$1270,2)</f>
        <v/>
      </c>
      <c r="G57" s="35">
        <f>SUMIFS(Ведомость!$N$5:$N$1270,Ведомость!$H$5:$H$1270,22,Ведомость!$I$5:$I$1270,"А500С",Ведомость!$V$5:$V$1270,"Р-Б",Ведомость!$W$5:$W$1270,2)</f>
        <v/>
      </c>
      <c r="H57" s="35">
        <f>SUMIFS(Ведомость!$N$5:$N$1270,Ведомость!$H$5:$H$1270,22,Ведомость!$I$5:$I$1270,"А500С",Ведомость!$V$5:$V$1270,"К-В",Ведомость!$W$5:$W$1270,2)</f>
        <v/>
      </c>
      <c r="I57" s="35">
        <f>SUMIFS(Ведомость!$N$5:$N$1270,Ведомость!$H$5:$H$1270,22,Ведомость!$I$5:$I$1270,"А500С",Ведомость!$V$5:$V$1270,"Р-В",Ведомость!$W$5:$W$1270,2)</f>
        <v/>
      </c>
      <c r="J57" s="35">
        <f>SUMIFS(Ведомость!$N$5:$N$1270,Ведомость!$H$5:$H$1270,22,Ведомость!$I$5:$I$1270,"А500С",Ведомость!$V$5:$V$1270,"К-Г",Ведомость!$W$5:$W$1270,2)</f>
        <v/>
      </c>
      <c r="K57" s="35">
        <f>SUMIFS(Ведомость!$N$5:$N$1270,Ведомость!$H$5:$H$1270,22,Ведомость!$I$5:$I$1270,"А500С",Ведомость!$V$5:$V$1270,"Дм-3",Ведомость!$W$5:$W$1270,2)</f>
        <v/>
      </c>
      <c r="L57" s="35">
        <f>SUMIFS(Ведомость!$N$5:$N$1270,Ведомость!$H$5:$H$1270,22,Ведомость!$I$5:$I$1270,"А500С",Ведомость!$V$5:$V$1270,"Дм-4",Ведомость!$W$5:$W$1270,2)</f>
        <v/>
      </c>
      <c r="M57" s="35">
        <f>SUMIFS(Ведомость!$N$5:$N$1270,Ведомость!$H$5:$H$1270,22,Ведомость!$I$5:$I$1270,"А500С",Ведомость!$V$5:$V$1270,"Дм-5",Ведомость!$W$5:$W$1270,2)</f>
        <v/>
      </c>
      <c r="N57" s="35">
        <f>SUMIFS(Ведомость!$N$5:$N$1270,Ведомость!$H$5:$H$1270,22,Ведомость!$I$5:$I$1270,"А500С",Ведомость!$V$5:$V$1270,"Р-Г",Ведомость!$W$5:$W$1270,2)</f>
        <v/>
      </c>
      <c r="O57" s="35">
        <f>SUMIFS(Ведомость!$N$5:$N$1270,Ведомость!$H$5:$H$1270,22,Ведомость!$I$5:$I$1270,"А500С",Ведомость!$V$5:$V$1270,"Р-1, 5",Ведомость!$W$5:$W$1270,2)</f>
        <v/>
      </c>
      <c r="P57" s="35">
        <f>SUMIFS(Ведомость!$N$5:$N$1270,Ведомость!$H$5:$H$1270,22,Ведомость!$I$5:$I$1270,"А500С",Ведомость!$V$5:$V$1270,"Р-2",Ведомость!$W$5:$W$1270,2)</f>
        <v/>
      </c>
      <c r="Q57" s="35">
        <f>SUMIFS(Ведомость!$N$5:$N$1270,Ведомость!$H$5:$H$1270,22,Ведомость!$I$5:$I$1270,"А500С",Ведомость!$V$5:$V$1270,"Р-3",Ведомость!$W$5:$W$1270,2)</f>
        <v/>
      </c>
      <c r="R57" s="35">
        <f>SUMIFS(Ведомость!$N$5:$N$1270,Ведомость!$H$5:$H$1270,22,Ведомость!$I$5:$I$1270,"А500С",Ведомость!$V$5:$V$1270,"Р-4",Ведомость!$W$5:$W$1270,2)</f>
        <v/>
      </c>
      <c r="S57" s="35">
        <f>SUMIFS(Ведомость!$N$5:$N$1270,Ведомость!$H$5:$H$1270,22,Ведомость!$I$5:$I$1270,"А500С",Ведомость!$V$5:$V$1270,"Б-основная",Ведомость!$W$5:$W$1270,2)</f>
        <v/>
      </c>
      <c r="T57" s="35">
        <f>SUMIFS(Ведомость!$N$5:$N$1270,Ведомость!$H$5:$H$1270,22,Ведомость!$I$5:$I$1270,"А500С",Ведомость!$V$5:$V$1270,"Б-хомуты",Ведомость!$W$5:$W$1270,2)</f>
        <v/>
      </c>
      <c r="U57" s="35">
        <f>SUMIFS(Ведомость!$N$5:$N$1270,Ведомость!$H$5:$H$1270,22,Ведомость!$I$5:$I$1270,"А500С",Ведомость!$V$5:$V$1270,"Б-допник",Ведомость!$W$5:$W$1270,2)</f>
        <v/>
      </c>
      <c r="V57" s="35">
        <f>SUMIFS(Ведомость!$N$5:$N$1270,Ведомость!$H$5:$H$1270,22,Ведомость!$I$5:$I$1270,"А500С",Ведомость!$V$5:$V$1270,"П-сетка",Ведомость!$W$5:$W$1270,2)</f>
        <v/>
      </c>
      <c r="W57" s="35">
        <f>SUMIFS(Ведомость!$N$5:$N$1270,Ведомость!$H$5:$H$1270,22,Ведомость!$I$5:$I$1270,"А500С",Ведомость!$V$5:$V$1270,"П-фикс",Ведомость!$W$5:$W$1270,2)</f>
        <v/>
      </c>
      <c r="X57" s="35">
        <f>SUMIFS(Ведомость!$N$5:$N$1270,Ведомость!$H$5:$H$1270,22,Ведомость!$I$5:$I$1270,"А500С",Ведомость!$V$5:$V$1270,"П-отв",Ведомость!$W$5:$W$1270,2)</f>
        <v/>
      </c>
      <c r="Y57" s="35">
        <f>SUMIFS(Ведомость!$N$5:$N$1270,Ведомость!$H$5:$H$1270,22,Ведомость!$I$5:$I$1270,"А500С",Ведомость!$V$5:$V$1270,"П-доп-низ",Ведомость!$W$5:$W$1270,2)</f>
        <v/>
      </c>
      <c r="Z57" s="35">
        <f>SUMIFS(Ведомость!$N$5:$N$1270,Ведомость!$H$5:$H$1270,22,Ведомость!$I$5:$I$1270,"А500С",Ведомость!$V$5:$V$1270,"П-доп-верх",Ведомость!$W$5:$W$1270,2)</f>
        <v/>
      </c>
      <c r="AA57" s="35">
        <f>SUMIFS(Ведомость!$N$5:$N$1270,Ведомость!$H$5:$H$1270,22,Ведомость!$I$5:$I$1270,"А500С",Ведомость!$V$5:$V$1270,"П-край",Ведомость!$W$5:$W$1270,2)</f>
        <v/>
      </c>
      <c r="AB57" s="35">
        <f>SUMIFS(Ведомость!$N$5:$N$1270,Ведомость!$H$5:$H$1270,22,Ведомость!$I$5:$I$1270,"А500С",Ведомость!$V$5:$V$1270,"С-1",Ведомость!$W$5:$W$1270,2)</f>
        <v/>
      </c>
      <c r="AC57" s="35">
        <f>SUMIFS(Ведомость!$N$5:$N$1270,Ведомость!$H$5:$H$1270,22,Ведомость!$I$5:$I$1270,"А500С",Ведомость!$V$5:$V$1270,"Л1",Ведомость!$W$5:$W$1270,2)</f>
        <v/>
      </c>
      <c r="AD57" s="35">
        <f>SUMIFS(Ведомость!$N$5:$N$1270,Ведомость!$H$5:$H$1270,22,Ведомость!$I$5:$I$1270,"А500С",Ведомость!$V$5:$V$1270,"Л2",Ведомость!$W$5:$W$1270,2)</f>
        <v/>
      </c>
      <c r="AE57" s="35">
        <f>SUMIFS(Ведомость!$N$5:$N$1270,Ведомость!$H$5:$H$1270,22,Ведомость!$I$5:$I$1270,"А500С",Ведомость!$V$5:$V$1270,"Л-пл",Ведомость!$W$5:$W$1270,2)</f>
        <v/>
      </c>
      <c r="AF57" s="35">
        <f>SUMIFS(Ведомость!$N$5:$N$1270,Ведомость!$H$5:$H$1270,22,Ведомость!$I$5:$I$1270,"А500С",Ведомость!$V$5:$V$1270,"Л-рама",Ведомость!$W$5:$W$1270,2)</f>
        <v/>
      </c>
      <c r="AG57" s="36">
        <f>SUM(B57:AF57)</f>
        <v/>
      </c>
      <c r="AH57" s="37">
        <f>IFERROR(INDEX(Исходные!$B$19:$B$31,MATCH(22,Исходные!$A$19:$A$31,0)),0)</f>
        <v/>
      </c>
      <c r="AI57" s="36">
        <f>AG57*AH57*$AJ$2</f>
        <v/>
      </c>
      <c r="AJ57" s="38">
        <f>SUM(B57:D57,F57,H57,J57:M57)</f>
        <v/>
      </c>
      <c r="AK57" s="39">
        <f>AH57</f>
        <v/>
      </c>
      <c r="AL57" s="40">
        <f>AJ57*AK57*$AJ$2</f>
        <v/>
      </c>
      <c r="AM57" s="38">
        <f>SUM(E57,G57,I57,N57:AB57)</f>
        <v/>
      </c>
      <c r="AN57" s="39">
        <f>AH57</f>
        <v/>
      </c>
      <c r="AO57" s="40">
        <f>AM57*AN57*$AJ$2</f>
        <v/>
      </c>
      <c r="AP57" s="38">
        <f>SUM(AC57:AF57)</f>
        <v/>
      </c>
      <c r="AQ57" s="39">
        <f>AH57</f>
        <v/>
      </c>
      <c r="AR57" s="40">
        <f>AP57*AQ57*$AJ$2</f>
        <v/>
      </c>
    </row>
    <row r="58">
      <c r="A58" s="6" t="inlineStr">
        <is>
          <t>Диаметр 20 А500С, L=м.п.</t>
        </is>
      </c>
      <c r="B58" s="35">
        <f>SUMIFS(Ведомость!$N$5:$N$1270,Ведомость!$H$5:$H$1270,20,Ведомость!$I$5:$I$1270,"А500С",Ведомость!$V$5:$V$1270,"Дм-1",Ведомость!$W$5:$W$1270,2)</f>
        <v/>
      </c>
      <c r="C58" s="35">
        <f>SUMIFS(Ведомость!$N$5:$N$1270,Ведомость!$H$5:$H$1270,20,Ведомость!$I$5:$I$1270,"А500С",Ведомость!$V$5:$V$1270,"Дм-2",Ведомость!$W$5:$W$1270,2)</f>
        <v/>
      </c>
      <c r="D58" s="35">
        <f>SUMIFS(Ведомость!$N$5:$N$1270,Ведомость!$H$5:$H$1270,20,Ведомость!$I$5:$I$1270,"А500С",Ведомость!$V$5:$V$1270,"К-А",Ведомость!$W$5:$W$1270,2)</f>
        <v/>
      </c>
      <c r="E58" s="35">
        <f>SUMIFS(Ведомость!$N$5:$N$1270,Ведомость!$H$5:$H$1270,20,Ведомость!$I$5:$I$1270,"А500С",Ведомость!$V$5:$V$1270,"Р-А",Ведомость!$W$5:$W$1270,2)</f>
        <v/>
      </c>
      <c r="F58" s="35">
        <f>SUMIFS(Ведомость!$N$5:$N$1270,Ведомость!$H$5:$H$1270,20,Ведомость!$I$5:$I$1270,"А500С",Ведомость!$V$5:$V$1270,"К-Б",Ведомость!$W$5:$W$1270,2)</f>
        <v/>
      </c>
      <c r="G58" s="35">
        <f>SUMIFS(Ведомость!$N$5:$N$1270,Ведомость!$H$5:$H$1270,20,Ведомость!$I$5:$I$1270,"А500С",Ведомость!$V$5:$V$1270,"Р-Б",Ведомость!$W$5:$W$1270,2)</f>
        <v/>
      </c>
      <c r="H58" s="35">
        <f>SUMIFS(Ведомость!$N$5:$N$1270,Ведомость!$H$5:$H$1270,20,Ведомость!$I$5:$I$1270,"А500С",Ведомость!$V$5:$V$1270,"К-В",Ведомость!$W$5:$W$1270,2)</f>
        <v/>
      </c>
      <c r="I58" s="35">
        <f>SUMIFS(Ведомость!$N$5:$N$1270,Ведомость!$H$5:$H$1270,20,Ведомость!$I$5:$I$1270,"А500С",Ведомость!$V$5:$V$1270,"Р-В",Ведомость!$W$5:$W$1270,2)</f>
        <v/>
      </c>
      <c r="J58" s="35">
        <f>SUMIFS(Ведомость!$N$5:$N$1270,Ведомость!$H$5:$H$1270,20,Ведомость!$I$5:$I$1270,"А500С",Ведомость!$V$5:$V$1270,"К-Г",Ведомость!$W$5:$W$1270,2)</f>
        <v/>
      </c>
      <c r="K58" s="35">
        <f>SUMIFS(Ведомость!$N$5:$N$1270,Ведомость!$H$5:$H$1270,20,Ведомость!$I$5:$I$1270,"А500С",Ведомость!$V$5:$V$1270,"Дм-3",Ведомость!$W$5:$W$1270,2)</f>
        <v/>
      </c>
      <c r="L58" s="35">
        <f>SUMIFS(Ведомость!$N$5:$N$1270,Ведомость!$H$5:$H$1270,20,Ведомость!$I$5:$I$1270,"А500С",Ведомость!$V$5:$V$1270,"Дм-4",Ведомость!$W$5:$W$1270,2)</f>
        <v/>
      </c>
      <c r="M58" s="35">
        <f>SUMIFS(Ведомость!$N$5:$N$1270,Ведомость!$H$5:$H$1270,20,Ведомость!$I$5:$I$1270,"А500С",Ведомость!$V$5:$V$1270,"Дм-5",Ведомость!$W$5:$W$1270,2)</f>
        <v/>
      </c>
      <c r="N58" s="35">
        <f>SUMIFS(Ведомость!$N$5:$N$1270,Ведомость!$H$5:$H$1270,20,Ведомость!$I$5:$I$1270,"А500С",Ведомость!$V$5:$V$1270,"Р-Г",Ведомость!$W$5:$W$1270,2)</f>
        <v/>
      </c>
      <c r="O58" s="35">
        <f>SUMIFS(Ведомость!$N$5:$N$1270,Ведомость!$H$5:$H$1270,20,Ведомость!$I$5:$I$1270,"А500С",Ведомость!$V$5:$V$1270,"Р-1, 5",Ведомость!$W$5:$W$1270,2)</f>
        <v/>
      </c>
      <c r="P58" s="35">
        <f>SUMIFS(Ведомость!$N$5:$N$1270,Ведомость!$H$5:$H$1270,20,Ведомость!$I$5:$I$1270,"А500С",Ведомость!$V$5:$V$1270,"Р-2",Ведомость!$W$5:$W$1270,2)</f>
        <v/>
      </c>
      <c r="Q58" s="35">
        <f>SUMIFS(Ведомость!$N$5:$N$1270,Ведомость!$H$5:$H$1270,20,Ведомость!$I$5:$I$1270,"А500С",Ведомость!$V$5:$V$1270,"Р-3",Ведомость!$W$5:$W$1270,2)</f>
        <v/>
      </c>
      <c r="R58" s="35">
        <f>SUMIFS(Ведомость!$N$5:$N$1270,Ведомость!$H$5:$H$1270,20,Ведомость!$I$5:$I$1270,"А500С",Ведомость!$V$5:$V$1270,"Р-4",Ведомость!$W$5:$W$1270,2)</f>
        <v/>
      </c>
      <c r="S58" s="35">
        <f>SUMIFS(Ведомость!$N$5:$N$1270,Ведомость!$H$5:$H$1270,20,Ведомость!$I$5:$I$1270,"А500С",Ведомость!$V$5:$V$1270,"Б-основная",Ведомость!$W$5:$W$1270,2)</f>
        <v/>
      </c>
      <c r="T58" s="35">
        <f>SUMIFS(Ведомость!$N$5:$N$1270,Ведомость!$H$5:$H$1270,20,Ведомость!$I$5:$I$1270,"А500С",Ведомость!$V$5:$V$1270,"Б-хомуты",Ведомость!$W$5:$W$1270,2)</f>
        <v/>
      </c>
      <c r="U58" s="35">
        <f>SUMIFS(Ведомость!$N$5:$N$1270,Ведомость!$H$5:$H$1270,20,Ведомость!$I$5:$I$1270,"А500С",Ведомость!$V$5:$V$1270,"Б-допник",Ведомость!$W$5:$W$1270,2)</f>
        <v/>
      </c>
      <c r="V58" s="35">
        <f>SUMIFS(Ведомость!$N$5:$N$1270,Ведомость!$H$5:$H$1270,20,Ведомость!$I$5:$I$1270,"А500С",Ведомость!$V$5:$V$1270,"П-сетка",Ведомость!$W$5:$W$1270,2)</f>
        <v/>
      </c>
      <c r="W58" s="35">
        <f>SUMIFS(Ведомость!$N$5:$N$1270,Ведомость!$H$5:$H$1270,20,Ведомость!$I$5:$I$1270,"А500С",Ведомость!$V$5:$V$1270,"П-фикс",Ведомость!$W$5:$W$1270,2)</f>
        <v/>
      </c>
      <c r="X58" s="35">
        <f>SUMIFS(Ведомость!$N$5:$N$1270,Ведомость!$H$5:$H$1270,20,Ведомость!$I$5:$I$1270,"А500С",Ведомость!$V$5:$V$1270,"П-отв",Ведомость!$W$5:$W$1270,2)</f>
        <v/>
      </c>
      <c r="Y58" s="35">
        <f>SUMIFS(Ведомость!$N$5:$N$1270,Ведомость!$H$5:$H$1270,20,Ведомость!$I$5:$I$1270,"А500С",Ведомость!$V$5:$V$1270,"П-доп-низ",Ведомость!$W$5:$W$1270,2)</f>
        <v/>
      </c>
      <c r="Z58" s="35">
        <f>SUMIFS(Ведомость!$N$5:$N$1270,Ведомость!$H$5:$H$1270,20,Ведомость!$I$5:$I$1270,"А500С",Ведомость!$V$5:$V$1270,"П-доп-верх",Ведомость!$W$5:$W$1270,2)</f>
        <v/>
      </c>
      <c r="AA58" s="35">
        <f>SUMIFS(Ведомость!$N$5:$N$1270,Ведомость!$H$5:$H$1270,20,Ведомость!$I$5:$I$1270,"А500С",Ведомость!$V$5:$V$1270,"П-край",Ведомость!$W$5:$W$1270,2)</f>
        <v/>
      </c>
      <c r="AB58" s="35">
        <f>SUMIFS(Ведомость!$N$5:$N$1270,Ведомость!$H$5:$H$1270,20,Ведомость!$I$5:$I$1270,"А500С",Ведомость!$V$5:$V$1270,"С-1",Ведомость!$W$5:$W$1270,2)</f>
        <v/>
      </c>
      <c r="AC58" s="35">
        <f>SUMIFS(Ведомость!$N$5:$N$1270,Ведомость!$H$5:$H$1270,20,Ведомость!$I$5:$I$1270,"А500С",Ведомость!$V$5:$V$1270,"Л1",Ведомость!$W$5:$W$1270,2)</f>
        <v/>
      </c>
      <c r="AD58" s="35">
        <f>SUMIFS(Ведомость!$N$5:$N$1270,Ведомость!$H$5:$H$1270,20,Ведомость!$I$5:$I$1270,"А500С",Ведомость!$V$5:$V$1270,"Л2",Ведомость!$W$5:$W$1270,2)</f>
        <v/>
      </c>
      <c r="AE58" s="35">
        <f>SUMIFS(Ведомость!$N$5:$N$1270,Ведомость!$H$5:$H$1270,20,Ведомость!$I$5:$I$1270,"А500С",Ведомость!$V$5:$V$1270,"Л-пл",Ведомость!$W$5:$W$1270,2)</f>
        <v/>
      </c>
      <c r="AF58" s="35">
        <f>SUMIFS(Ведомость!$N$5:$N$1270,Ведомость!$H$5:$H$1270,20,Ведомость!$I$5:$I$1270,"А500С",Ведомость!$V$5:$V$1270,"Л-рама",Ведомость!$W$5:$W$1270,2)</f>
        <v/>
      </c>
      <c r="AG58" s="36">
        <f>SUM(B58:AF58)</f>
        <v/>
      </c>
      <c r="AH58" s="37">
        <f>IFERROR(INDEX(Исходные!$B$19:$B$31,MATCH(20,Исходные!$A$19:$A$31,0)),0)</f>
        <v/>
      </c>
      <c r="AI58" s="36">
        <f>AG58*AH58*$AJ$2</f>
        <v/>
      </c>
      <c r="AJ58" s="38">
        <f>SUM(B58:D58,F58,H58,J58:M58)</f>
        <v/>
      </c>
      <c r="AK58" s="39">
        <f>AH58</f>
        <v/>
      </c>
      <c r="AL58" s="40">
        <f>AJ58*AK58*$AJ$2</f>
        <v/>
      </c>
      <c r="AM58" s="38">
        <f>SUM(E58,G58,I58,N58:AB58)</f>
        <v/>
      </c>
      <c r="AN58" s="39">
        <f>AH58</f>
        <v/>
      </c>
      <c r="AO58" s="40">
        <f>AM58*AN58*$AJ$2</f>
        <v/>
      </c>
      <c r="AP58" s="38">
        <f>SUM(AC58:AF58)</f>
        <v/>
      </c>
      <c r="AQ58" s="39">
        <f>AH58</f>
        <v/>
      </c>
      <c r="AR58" s="40">
        <f>AP58*AQ58*$AJ$2</f>
        <v/>
      </c>
    </row>
    <row r="59">
      <c r="A59" s="6" t="inlineStr">
        <is>
          <t>Диаметр 18 А500С, L=м.п.</t>
        </is>
      </c>
      <c r="B59" s="35">
        <f>SUMIFS(Ведомость!$N$5:$N$1270,Ведомость!$H$5:$H$1270,18,Ведомость!$I$5:$I$1270,"А500С",Ведомость!$V$5:$V$1270,"Дм-1",Ведомость!$W$5:$W$1270,2)</f>
        <v/>
      </c>
      <c r="C59" s="35">
        <f>SUMIFS(Ведомость!$N$5:$N$1270,Ведомость!$H$5:$H$1270,18,Ведомость!$I$5:$I$1270,"А500С",Ведомость!$V$5:$V$1270,"Дм-2",Ведомость!$W$5:$W$1270,2)</f>
        <v/>
      </c>
      <c r="D59" s="35">
        <f>SUMIFS(Ведомость!$N$5:$N$1270,Ведомость!$H$5:$H$1270,18,Ведомость!$I$5:$I$1270,"А500С",Ведомость!$V$5:$V$1270,"К-А",Ведомость!$W$5:$W$1270,2)</f>
        <v/>
      </c>
      <c r="E59" s="35">
        <f>SUMIFS(Ведомость!$N$5:$N$1270,Ведомость!$H$5:$H$1270,18,Ведомость!$I$5:$I$1270,"А500С",Ведомость!$V$5:$V$1270,"Р-А",Ведомость!$W$5:$W$1270,2)</f>
        <v/>
      </c>
      <c r="F59" s="35">
        <f>SUMIFS(Ведомость!$N$5:$N$1270,Ведомость!$H$5:$H$1270,18,Ведомость!$I$5:$I$1270,"А500С",Ведомость!$V$5:$V$1270,"К-Б",Ведомость!$W$5:$W$1270,2)</f>
        <v/>
      </c>
      <c r="G59" s="35">
        <f>SUMIFS(Ведомость!$N$5:$N$1270,Ведомость!$H$5:$H$1270,18,Ведомость!$I$5:$I$1270,"А500С",Ведомость!$V$5:$V$1270,"Р-Б",Ведомость!$W$5:$W$1270,2)</f>
        <v/>
      </c>
      <c r="H59" s="35">
        <f>SUMIFS(Ведомость!$N$5:$N$1270,Ведомость!$H$5:$H$1270,18,Ведомость!$I$5:$I$1270,"А500С",Ведомость!$V$5:$V$1270,"К-В",Ведомость!$W$5:$W$1270,2)</f>
        <v/>
      </c>
      <c r="I59" s="35">
        <f>SUMIFS(Ведомость!$N$5:$N$1270,Ведомость!$H$5:$H$1270,18,Ведомость!$I$5:$I$1270,"А500С",Ведомость!$V$5:$V$1270,"Р-В",Ведомость!$W$5:$W$1270,2)</f>
        <v/>
      </c>
      <c r="J59" s="35">
        <f>SUMIFS(Ведомость!$N$5:$N$1270,Ведомость!$H$5:$H$1270,18,Ведомость!$I$5:$I$1270,"А500С",Ведомость!$V$5:$V$1270,"К-Г",Ведомость!$W$5:$W$1270,2)</f>
        <v/>
      </c>
      <c r="K59" s="35">
        <f>SUMIFS(Ведомость!$N$5:$N$1270,Ведомость!$H$5:$H$1270,18,Ведомость!$I$5:$I$1270,"А500С",Ведомость!$V$5:$V$1270,"Дм-3",Ведомость!$W$5:$W$1270,2)</f>
        <v/>
      </c>
      <c r="L59" s="35">
        <f>SUMIFS(Ведомость!$N$5:$N$1270,Ведомость!$H$5:$H$1270,18,Ведомость!$I$5:$I$1270,"А500С",Ведомость!$V$5:$V$1270,"Дм-4",Ведомость!$W$5:$W$1270,2)</f>
        <v/>
      </c>
      <c r="M59" s="35">
        <f>SUMIFS(Ведомость!$N$5:$N$1270,Ведомость!$H$5:$H$1270,18,Ведомость!$I$5:$I$1270,"А500С",Ведомость!$V$5:$V$1270,"Дм-5",Ведомость!$W$5:$W$1270,2)</f>
        <v/>
      </c>
      <c r="N59" s="35">
        <f>SUMIFS(Ведомость!$N$5:$N$1270,Ведомость!$H$5:$H$1270,18,Ведомость!$I$5:$I$1270,"А500С",Ведомость!$V$5:$V$1270,"Р-Г",Ведомость!$W$5:$W$1270,2)</f>
        <v/>
      </c>
      <c r="O59" s="35">
        <f>SUMIFS(Ведомость!$N$5:$N$1270,Ведомость!$H$5:$H$1270,18,Ведомость!$I$5:$I$1270,"А500С",Ведомость!$V$5:$V$1270,"Р-1, 5",Ведомость!$W$5:$W$1270,2)</f>
        <v/>
      </c>
      <c r="P59" s="35">
        <f>SUMIFS(Ведомость!$N$5:$N$1270,Ведомость!$H$5:$H$1270,18,Ведомость!$I$5:$I$1270,"А500С",Ведомость!$V$5:$V$1270,"Р-2",Ведомость!$W$5:$W$1270,2)</f>
        <v/>
      </c>
      <c r="Q59" s="35">
        <f>SUMIFS(Ведомость!$N$5:$N$1270,Ведомость!$H$5:$H$1270,18,Ведомость!$I$5:$I$1270,"А500С",Ведомость!$V$5:$V$1270,"Р-3",Ведомость!$W$5:$W$1270,2)</f>
        <v/>
      </c>
      <c r="R59" s="35">
        <f>SUMIFS(Ведомость!$N$5:$N$1270,Ведомость!$H$5:$H$1270,18,Ведомость!$I$5:$I$1270,"А500С",Ведомость!$V$5:$V$1270,"Р-4",Ведомость!$W$5:$W$1270,2)</f>
        <v/>
      </c>
      <c r="S59" s="35">
        <f>SUMIFS(Ведомость!$N$5:$N$1270,Ведомость!$H$5:$H$1270,18,Ведомость!$I$5:$I$1270,"А500С",Ведомость!$V$5:$V$1270,"Б-основная",Ведомость!$W$5:$W$1270,2)</f>
        <v/>
      </c>
      <c r="T59" s="35">
        <f>SUMIFS(Ведомость!$N$5:$N$1270,Ведомость!$H$5:$H$1270,18,Ведомость!$I$5:$I$1270,"А500С",Ведомость!$V$5:$V$1270,"Б-хомуты",Ведомость!$W$5:$W$1270,2)</f>
        <v/>
      </c>
      <c r="U59" s="35">
        <f>SUMIFS(Ведомость!$N$5:$N$1270,Ведомость!$H$5:$H$1270,18,Ведомость!$I$5:$I$1270,"А500С",Ведомость!$V$5:$V$1270,"Б-допник",Ведомость!$W$5:$W$1270,2)</f>
        <v/>
      </c>
      <c r="V59" s="35">
        <f>SUMIFS(Ведомость!$N$5:$N$1270,Ведомость!$H$5:$H$1270,18,Ведомость!$I$5:$I$1270,"А500С",Ведомость!$V$5:$V$1270,"П-сетка",Ведомость!$W$5:$W$1270,2)</f>
        <v/>
      </c>
      <c r="W59" s="35">
        <f>SUMIFS(Ведомость!$N$5:$N$1270,Ведомость!$H$5:$H$1270,18,Ведомость!$I$5:$I$1270,"А500С",Ведомость!$V$5:$V$1270,"П-фикс",Ведомость!$W$5:$W$1270,2)</f>
        <v/>
      </c>
      <c r="X59" s="35">
        <f>SUMIFS(Ведомость!$N$5:$N$1270,Ведомость!$H$5:$H$1270,18,Ведомость!$I$5:$I$1270,"А500С",Ведомость!$V$5:$V$1270,"П-отв",Ведомость!$W$5:$W$1270,2)</f>
        <v/>
      </c>
      <c r="Y59" s="35">
        <f>SUMIFS(Ведомость!$N$5:$N$1270,Ведомость!$H$5:$H$1270,18,Ведомость!$I$5:$I$1270,"А500С",Ведомость!$V$5:$V$1270,"П-доп-низ",Ведомость!$W$5:$W$1270,2)</f>
        <v/>
      </c>
      <c r="Z59" s="35">
        <f>SUMIFS(Ведомость!$N$5:$N$1270,Ведомость!$H$5:$H$1270,18,Ведомость!$I$5:$I$1270,"А500С",Ведомость!$V$5:$V$1270,"П-доп-верх",Ведомость!$W$5:$W$1270,2)</f>
        <v/>
      </c>
      <c r="AA59" s="35">
        <f>SUMIFS(Ведомость!$N$5:$N$1270,Ведомость!$H$5:$H$1270,18,Ведомость!$I$5:$I$1270,"А500С",Ведомость!$V$5:$V$1270,"П-край",Ведомость!$W$5:$W$1270,2)</f>
        <v/>
      </c>
      <c r="AB59" s="35">
        <f>SUMIFS(Ведомость!$N$5:$N$1270,Ведомость!$H$5:$H$1270,18,Ведомость!$I$5:$I$1270,"А500С",Ведомость!$V$5:$V$1270,"С-1",Ведомость!$W$5:$W$1270,2)</f>
        <v/>
      </c>
      <c r="AC59" s="35">
        <f>SUMIFS(Ведомость!$N$5:$N$1270,Ведомость!$H$5:$H$1270,18,Ведомость!$I$5:$I$1270,"А500С",Ведомость!$V$5:$V$1270,"Л1",Ведомость!$W$5:$W$1270,2)</f>
        <v/>
      </c>
      <c r="AD59" s="35">
        <f>SUMIFS(Ведомость!$N$5:$N$1270,Ведомость!$H$5:$H$1270,18,Ведомость!$I$5:$I$1270,"А500С",Ведомость!$V$5:$V$1270,"Л2",Ведомость!$W$5:$W$1270,2)</f>
        <v/>
      </c>
      <c r="AE59" s="35">
        <f>SUMIFS(Ведомость!$N$5:$N$1270,Ведомость!$H$5:$H$1270,18,Ведомость!$I$5:$I$1270,"А500С",Ведомость!$V$5:$V$1270,"Л-пл",Ведомость!$W$5:$W$1270,2)</f>
        <v/>
      </c>
      <c r="AF59" s="35">
        <f>SUMIFS(Ведомость!$N$5:$N$1270,Ведомость!$H$5:$H$1270,18,Ведомость!$I$5:$I$1270,"А500С",Ведомость!$V$5:$V$1270,"Л-рама",Ведомость!$W$5:$W$1270,2)</f>
        <v/>
      </c>
      <c r="AG59" s="36">
        <f>SUM(B59:AF59)</f>
        <v/>
      </c>
      <c r="AH59" s="37">
        <f>IFERROR(INDEX(Исходные!$B$19:$B$31,MATCH(18,Исходные!$A$19:$A$31,0)),0)</f>
        <v/>
      </c>
      <c r="AI59" s="36">
        <f>AG59*AH59*$AJ$2</f>
        <v/>
      </c>
      <c r="AJ59" s="38">
        <f>SUM(B59:D59,F59,H59,J59:M59)</f>
        <v/>
      </c>
      <c r="AK59" s="39">
        <f>AH59</f>
        <v/>
      </c>
      <c r="AL59" s="40">
        <f>AJ59*AK59*$AJ$2</f>
        <v/>
      </c>
      <c r="AM59" s="38">
        <f>SUM(E59,G59,I59,N59:AB59)</f>
        <v/>
      </c>
      <c r="AN59" s="39">
        <f>AH59</f>
        <v/>
      </c>
      <c r="AO59" s="40">
        <f>AM59*AN59*$AJ$2</f>
        <v/>
      </c>
      <c r="AP59" s="38">
        <f>SUM(AC59:AF59)</f>
        <v/>
      </c>
      <c r="AQ59" s="39">
        <f>AH59</f>
        <v/>
      </c>
      <c r="AR59" s="40">
        <f>AP59*AQ59*$AJ$2</f>
        <v/>
      </c>
    </row>
    <row r="60">
      <c r="A60" s="6" t="inlineStr">
        <is>
          <t>Диаметр 16 А500С, L=м.п.</t>
        </is>
      </c>
      <c r="B60" s="35">
        <f>SUMIFS(Ведомость!$N$5:$N$1270,Ведомость!$H$5:$H$1270,16,Ведомость!$I$5:$I$1270,"А500С",Ведомость!$V$5:$V$1270,"Дм-1",Ведомость!$W$5:$W$1270,2)</f>
        <v/>
      </c>
      <c r="C60" s="35">
        <f>SUMIFS(Ведомость!$N$5:$N$1270,Ведомость!$H$5:$H$1270,16,Ведомость!$I$5:$I$1270,"А500С",Ведомость!$V$5:$V$1270,"Дм-2",Ведомость!$W$5:$W$1270,2)</f>
        <v/>
      </c>
      <c r="D60" s="35">
        <f>SUMIFS(Ведомость!$N$5:$N$1270,Ведомость!$H$5:$H$1270,16,Ведомость!$I$5:$I$1270,"А500С",Ведомость!$V$5:$V$1270,"К-А",Ведомость!$W$5:$W$1270,2)</f>
        <v/>
      </c>
      <c r="E60" s="35">
        <f>SUMIFS(Ведомость!$N$5:$N$1270,Ведомость!$H$5:$H$1270,16,Ведомость!$I$5:$I$1270,"А500С",Ведомость!$V$5:$V$1270,"Р-А",Ведомость!$W$5:$W$1270,2)</f>
        <v/>
      </c>
      <c r="F60" s="35">
        <f>SUMIFS(Ведомость!$N$5:$N$1270,Ведомость!$H$5:$H$1270,16,Ведомость!$I$5:$I$1270,"А500С",Ведомость!$V$5:$V$1270,"К-Б",Ведомость!$W$5:$W$1270,2)</f>
        <v/>
      </c>
      <c r="G60" s="35">
        <f>SUMIFS(Ведомость!$N$5:$N$1270,Ведомость!$H$5:$H$1270,16,Ведомость!$I$5:$I$1270,"А500С",Ведомость!$V$5:$V$1270,"Р-Б",Ведомость!$W$5:$W$1270,2)</f>
        <v/>
      </c>
      <c r="H60" s="35">
        <f>SUMIFS(Ведомость!$N$5:$N$1270,Ведомость!$H$5:$H$1270,16,Ведомость!$I$5:$I$1270,"А500С",Ведомость!$V$5:$V$1270,"К-В",Ведомость!$W$5:$W$1270,2)</f>
        <v/>
      </c>
      <c r="I60" s="35">
        <f>SUMIFS(Ведомость!$N$5:$N$1270,Ведомость!$H$5:$H$1270,16,Ведомость!$I$5:$I$1270,"А500С",Ведомость!$V$5:$V$1270,"Р-В",Ведомость!$W$5:$W$1270,2)</f>
        <v/>
      </c>
      <c r="J60" s="35">
        <f>SUMIFS(Ведомость!$N$5:$N$1270,Ведомость!$H$5:$H$1270,16,Ведомость!$I$5:$I$1270,"А500С",Ведомость!$V$5:$V$1270,"К-Г",Ведомость!$W$5:$W$1270,2)</f>
        <v/>
      </c>
      <c r="K60" s="35">
        <f>SUMIFS(Ведомость!$N$5:$N$1270,Ведомость!$H$5:$H$1270,16,Ведомость!$I$5:$I$1270,"А500С",Ведомость!$V$5:$V$1270,"Дм-3",Ведомость!$W$5:$W$1270,2)</f>
        <v/>
      </c>
      <c r="L60" s="35">
        <f>SUMIFS(Ведомость!$N$5:$N$1270,Ведомость!$H$5:$H$1270,16,Ведомость!$I$5:$I$1270,"А500С",Ведомость!$V$5:$V$1270,"Дм-4",Ведомость!$W$5:$W$1270,2)</f>
        <v/>
      </c>
      <c r="M60" s="35">
        <f>SUMIFS(Ведомость!$N$5:$N$1270,Ведомость!$H$5:$H$1270,16,Ведомость!$I$5:$I$1270,"А500С",Ведомость!$V$5:$V$1270,"Дм-5",Ведомость!$W$5:$W$1270,2)</f>
        <v/>
      </c>
      <c r="N60" s="35">
        <f>SUMIFS(Ведомость!$N$5:$N$1270,Ведомость!$H$5:$H$1270,16,Ведомость!$I$5:$I$1270,"А500С",Ведомость!$V$5:$V$1270,"Р-Г",Ведомость!$W$5:$W$1270,2)</f>
        <v/>
      </c>
      <c r="O60" s="35">
        <f>SUMIFS(Ведомость!$N$5:$N$1270,Ведомость!$H$5:$H$1270,16,Ведомость!$I$5:$I$1270,"А500С",Ведомость!$V$5:$V$1270,"Р-1, 5",Ведомость!$W$5:$W$1270,2)</f>
        <v/>
      </c>
      <c r="P60" s="35">
        <f>SUMIFS(Ведомость!$N$5:$N$1270,Ведомость!$H$5:$H$1270,16,Ведомость!$I$5:$I$1270,"А500С",Ведомость!$V$5:$V$1270,"Р-2",Ведомость!$W$5:$W$1270,2)</f>
        <v/>
      </c>
      <c r="Q60" s="35">
        <f>SUMIFS(Ведомость!$N$5:$N$1270,Ведомость!$H$5:$H$1270,16,Ведомость!$I$5:$I$1270,"А500С",Ведомость!$V$5:$V$1270,"Р-3",Ведомость!$W$5:$W$1270,2)</f>
        <v/>
      </c>
      <c r="R60" s="35">
        <f>SUMIFS(Ведомость!$N$5:$N$1270,Ведомость!$H$5:$H$1270,16,Ведомость!$I$5:$I$1270,"А500С",Ведомость!$V$5:$V$1270,"Р-4",Ведомость!$W$5:$W$1270,2)</f>
        <v/>
      </c>
      <c r="S60" s="35">
        <f>SUMIFS(Ведомость!$N$5:$N$1270,Ведомость!$H$5:$H$1270,16,Ведомость!$I$5:$I$1270,"А500С",Ведомость!$V$5:$V$1270,"Б-основная",Ведомость!$W$5:$W$1270,2)</f>
        <v/>
      </c>
      <c r="T60" s="35">
        <f>SUMIFS(Ведомость!$N$5:$N$1270,Ведомость!$H$5:$H$1270,16,Ведомость!$I$5:$I$1270,"А500С",Ведомость!$V$5:$V$1270,"Б-хомуты",Ведомость!$W$5:$W$1270,2)</f>
        <v/>
      </c>
      <c r="U60" s="35">
        <f>SUMIFS(Ведомость!$N$5:$N$1270,Ведомость!$H$5:$H$1270,16,Ведомость!$I$5:$I$1270,"А500С",Ведомость!$V$5:$V$1270,"Б-допник",Ведомость!$W$5:$W$1270,2)</f>
        <v/>
      </c>
      <c r="V60" s="35">
        <f>SUMIFS(Ведомость!$N$5:$N$1270,Ведомость!$H$5:$H$1270,16,Ведомость!$I$5:$I$1270,"А500С",Ведомость!$V$5:$V$1270,"П-сетка",Ведомость!$W$5:$W$1270,2)</f>
        <v/>
      </c>
      <c r="W60" s="35">
        <f>SUMIFS(Ведомость!$N$5:$N$1270,Ведомость!$H$5:$H$1270,16,Ведомость!$I$5:$I$1270,"А500С",Ведомость!$V$5:$V$1270,"П-фикс",Ведомость!$W$5:$W$1270,2)</f>
        <v/>
      </c>
      <c r="X60" s="35">
        <f>SUMIFS(Ведомость!$N$5:$N$1270,Ведомость!$H$5:$H$1270,16,Ведомость!$I$5:$I$1270,"А500С",Ведомость!$V$5:$V$1270,"П-отв",Ведомость!$W$5:$W$1270,2)</f>
        <v/>
      </c>
      <c r="Y60" s="35">
        <f>SUMIFS(Ведомость!$N$5:$N$1270,Ведомость!$H$5:$H$1270,16,Ведомость!$I$5:$I$1270,"А500С",Ведомость!$V$5:$V$1270,"П-доп-низ",Ведомость!$W$5:$W$1270,2)</f>
        <v/>
      </c>
      <c r="Z60" s="35">
        <f>SUMIFS(Ведомость!$N$5:$N$1270,Ведомость!$H$5:$H$1270,16,Ведомость!$I$5:$I$1270,"А500С",Ведомость!$V$5:$V$1270,"П-доп-верх",Ведомость!$W$5:$W$1270,2)</f>
        <v/>
      </c>
      <c r="AA60" s="35">
        <f>SUMIFS(Ведомость!$N$5:$N$1270,Ведомость!$H$5:$H$1270,16,Ведомость!$I$5:$I$1270,"А500С",Ведомость!$V$5:$V$1270,"П-край",Ведомость!$W$5:$W$1270,2)</f>
        <v/>
      </c>
      <c r="AB60" s="35">
        <f>SUMIFS(Ведомость!$N$5:$N$1270,Ведомость!$H$5:$H$1270,16,Ведомость!$I$5:$I$1270,"А500С",Ведомость!$V$5:$V$1270,"С-1",Ведомость!$W$5:$W$1270,2)</f>
        <v/>
      </c>
      <c r="AC60" s="35">
        <f>SUMIFS(Ведомость!$N$5:$N$1270,Ведомость!$H$5:$H$1270,16,Ведомость!$I$5:$I$1270,"А500С",Ведомость!$V$5:$V$1270,"Л1",Ведомость!$W$5:$W$1270,2)</f>
        <v/>
      </c>
      <c r="AD60" s="35">
        <f>SUMIFS(Ведомость!$N$5:$N$1270,Ведомость!$H$5:$H$1270,16,Ведомость!$I$5:$I$1270,"А500С",Ведомость!$V$5:$V$1270,"Л2",Ведомость!$W$5:$W$1270,2)</f>
        <v/>
      </c>
      <c r="AE60" s="35">
        <f>SUMIFS(Ведомость!$N$5:$N$1270,Ведомость!$H$5:$H$1270,16,Ведомость!$I$5:$I$1270,"А500С",Ведомость!$V$5:$V$1270,"Л-пл",Ведомость!$W$5:$W$1270,2)</f>
        <v/>
      </c>
      <c r="AF60" s="35">
        <f>SUMIFS(Ведомость!$N$5:$N$1270,Ведомость!$H$5:$H$1270,16,Ведомость!$I$5:$I$1270,"А500С",Ведомость!$V$5:$V$1270,"Л-рама",Ведомость!$W$5:$W$1270,2)</f>
        <v/>
      </c>
      <c r="AG60" s="36">
        <f>SUM(B60:AF60)</f>
        <v/>
      </c>
      <c r="AH60" s="37">
        <f>IFERROR(INDEX(Исходные!$B$19:$B$31,MATCH(16,Исходные!$A$19:$A$31,0)),0)</f>
        <v/>
      </c>
      <c r="AI60" s="36">
        <f>AG60*AH60*$AJ$2</f>
        <v/>
      </c>
      <c r="AJ60" s="38">
        <f>SUM(B60:D60,F60,H60,J60:M60)</f>
        <v/>
      </c>
      <c r="AK60" s="39">
        <f>AH60</f>
        <v/>
      </c>
      <c r="AL60" s="40">
        <f>AJ60*AK60*$AJ$2</f>
        <v/>
      </c>
      <c r="AM60" s="38">
        <f>SUM(E60,G60,I60,N60:AB60)</f>
        <v/>
      </c>
      <c r="AN60" s="39">
        <f>AH60</f>
        <v/>
      </c>
      <c r="AO60" s="40">
        <f>AM60*AN60*$AJ$2</f>
        <v/>
      </c>
      <c r="AP60" s="38">
        <f>SUM(AC60:AF60)</f>
        <v/>
      </c>
      <c r="AQ60" s="39">
        <f>AH60</f>
        <v/>
      </c>
      <c r="AR60" s="40">
        <f>AP60*AQ60*$AJ$2</f>
        <v/>
      </c>
    </row>
    <row r="61">
      <c r="A61" s="6" t="inlineStr">
        <is>
          <t>Диаметр 14 А500С, L=м.п.</t>
        </is>
      </c>
      <c r="B61" s="35">
        <f>SUMIFS(Ведомость!$N$5:$N$1270,Ведомость!$H$5:$H$1270,14,Ведомость!$I$5:$I$1270,"А500С",Ведомость!$V$5:$V$1270,"Дм-1",Ведомость!$W$5:$W$1270,2)</f>
        <v/>
      </c>
      <c r="C61" s="35">
        <f>SUMIFS(Ведомость!$N$5:$N$1270,Ведомость!$H$5:$H$1270,14,Ведомость!$I$5:$I$1270,"А500С",Ведомость!$V$5:$V$1270,"Дм-2",Ведомость!$W$5:$W$1270,2)</f>
        <v/>
      </c>
      <c r="D61" s="35">
        <f>SUMIFS(Ведомость!$N$5:$N$1270,Ведомость!$H$5:$H$1270,14,Ведомость!$I$5:$I$1270,"А500С",Ведомость!$V$5:$V$1270,"К-А",Ведомость!$W$5:$W$1270,2)</f>
        <v/>
      </c>
      <c r="E61" s="35">
        <f>SUMIFS(Ведомость!$N$5:$N$1270,Ведомость!$H$5:$H$1270,14,Ведомость!$I$5:$I$1270,"А500С",Ведомость!$V$5:$V$1270,"Р-А",Ведомость!$W$5:$W$1270,2)</f>
        <v/>
      </c>
      <c r="F61" s="35">
        <f>SUMIFS(Ведомость!$N$5:$N$1270,Ведомость!$H$5:$H$1270,14,Ведомость!$I$5:$I$1270,"А500С",Ведомость!$V$5:$V$1270,"К-Б",Ведомость!$W$5:$W$1270,2)</f>
        <v/>
      </c>
      <c r="G61" s="35">
        <f>SUMIFS(Ведомость!$N$5:$N$1270,Ведомость!$H$5:$H$1270,14,Ведомость!$I$5:$I$1270,"А500С",Ведомость!$V$5:$V$1270,"Р-Б",Ведомость!$W$5:$W$1270,2)</f>
        <v/>
      </c>
      <c r="H61" s="35">
        <f>SUMIFS(Ведомость!$N$5:$N$1270,Ведомость!$H$5:$H$1270,14,Ведомость!$I$5:$I$1270,"А500С",Ведомость!$V$5:$V$1270,"К-В",Ведомость!$W$5:$W$1270,2)</f>
        <v/>
      </c>
      <c r="I61" s="35">
        <f>SUMIFS(Ведомость!$N$5:$N$1270,Ведомость!$H$5:$H$1270,14,Ведомость!$I$5:$I$1270,"А500С",Ведомость!$V$5:$V$1270,"Р-В",Ведомость!$W$5:$W$1270,2)</f>
        <v/>
      </c>
      <c r="J61" s="35">
        <f>SUMIFS(Ведомость!$N$5:$N$1270,Ведомость!$H$5:$H$1270,14,Ведомость!$I$5:$I$1270,"А500С",Ведомость!$V$5:$V$1270,"К-Г",Ведомость!$W$5:$W$1270,2)</f>
        <v/>
      </c>
      <c r="K61" s="35">
        <f>SUMIFS(Ведомость!$N$5:$N$1270,Ведомость!$H$5:$H$1270,14,Ведомость!$I$5:$I$1270,"А500С",Ведомость!$V$5:$V$1270,"Дм-3",Ведомость!$W$5:$W$1270,2)</f>
        <v/>
      </c>
      <c r="L61" s="35">
        <f>SUMIFS(Ведомость!$N$5:$N$1270,Ведомость!$H$5:$H$1270,14,Ведомость!$I$5:$I$1270,"А500С",Ведомость!$V$5:$V$1270,"Дм-4",Ведомость!$W$5:$W$1270,2)</f>
        <v/>
      </c>
      <c r="M61" s="35">
        <f>SUMIFS(Ведомость!$N$5:$N$1270,Ведомость!$H$5:$H$1270,14,Ведомость!$I$5:$I$1270,"А500С",Ведомость!$V$5:$V$1270,"Дм-5",Ведомость!$W$5:$W$1270,2)</f>
        <v/>
      </c>
      <c r="N61" s="35">
        <f>SUMIFS(Ведомость!$N$5:$N$1270,Ведомость!$H$5:$H$1270,14,Ведомость!$I$5:$I$1270,"А500С",Ведомость!$V$5:$V$1270,"Р-Г",Ведомость!$W$5:$W$1270,2)</f>
        <v/>
      </c>
      <c r="O61" s="35">
        <f>SUMIFS(Ведомость!$N$5:$N$1270,Ведомость!$H$5:$H$1270,14,Ведомость!$I$5:$I$1270,"А500С",Ведомость!$V$5:$V$1270,"Р-1, 5",Ведомость!$W$5:$W$1270,2)</f>
        <v/>
      </c>
      <c r="P61" s="35">
        <f>SUMIFS(Ведомость!$N$5:$N$1270,Ведомость!$H$5:$H$1270,14,Ведомость!$I$5:$I$1270,"А500С",Ведомость!$V$5:$V$1270,"Р-2",Ведомость!$W$5:$W$1270,2)</f>
        <v/>
      </c>
      <c r="Q61" s="35">
        <f>SUMIFS(Ведомость!$N$5:$N$1270,Ведомость!$H$5:$H$1270,14,Ведомость!$I$5:$I$1270,"А500С",Ведомость!$V$5:$V$1270,"Р-3",Ведомость!$W$5:$W$1270,2)</f>
        <v/>
      </c>
      <c r="R61" s="35">
        <f>SUMIFS(Ведомость!$N$5:$N$1270,Ведомость!$H$5:$H$1270,14,Ведомость!$I$5:$I$1270,"А500С",Ведомость!$V$5:$V$1270,"Р-4",Ведомость!$W$5:$W$1270,2)</f>
        <v/>
      </c>
      <c r="S61" s="35">
        <f>SUMIFS(Ведомость!$N$5:$N$1270,Ведомость!$H$5:$H$1270,14,Ведомость!$I$5:$I$1270,"А500С",Ведомость!$V$5:$V$1270,"Б-основная",Ведомость!$W$5:$W$1270,2)</f>
        <v/>
      </c>
      <c r="T61" s="35">
        <f>SUMIFS(Ведомость!$N$5:$N$1270,Ведомость!$H$5:$H$1270,14,Ведомость!$I$5:$I$1270,"А500С",Ведомость!$V$5:$V$1270,"Б-хомуты",Ведомость!$W$5:$W$1270,2)</f>
        <v/>
      </c>
      <c r="U61" s="35">
        <f>SUMIFS(Ведомость!$N$5:$N$1270,Ведомость!$H$5:$H$1270,14,Ведомость!$I$5:$I$1270,"А500С",Ведомость!$V$5:$V$1270,"Б-допник",Ведомость!$W$5:$W$1270,2)</f>
        <v/>
      </c>
      <c r="V61" s="35">
        <f>SUMIFS(Ведомость!$N$5:$N$1270,Ведомость!$H$5:$H$1270,14,Ведомость!$I$5:$I$1270,"А500С",Ведомость!$V$5:$V$1270,"П-сетка",Ведомость!$W$5:$W$1270,2)</f>
        <v/>
      </c>
      <c r="W61" s="35">
        <f>SUMIFS(Ведомость!$N$5:$N$1270,Ведомость!$H$5:$H$1270,14,Ведомость!$I$5:$I$1270,"А500С",Ведомость!$V$5:$V$1270,"П-фикс",Ведомость!$W$5:$W$1270,2)</f>
        <v/>
      </c>
      <c r="X61" s="35">
        <f>SUMIFS(Ведомость!$N$5:$N$1270,Ведомость!$H$5:$H$1270,14,Ведомость!$I$5:$I$1270,"А500С",Ведомость!$V$5:$V$1270,"П-отв",Ведомость!$W$5:$W$1270,2)</f>
        <v/>
      </c>
      <c r="Y61" s="35">
        <f>SUMIFS(Ведомость!$N$5:$N$1270,Ведомость!$H$5:$H$1270,14,Ведомость!$I$5:$I$1270,"А500С",Ведомость!$V$5:$V$1270,"П-доп-низ",Ведомость!$W$5:$W$1270,2)</f>
        <v/>
      </c>
      <c r="Z61" s="35">
        <f>SUMIFS(Ведомость!$N$5:$N$1270,Ведомость!$H$5:$H$1270,14,Ведомость!$I$5:$I$1270,"А500С",Ведомость!$V$5:$V$1270,"П-доп-верх",Ведомость!$W$5:$W$1270,2)</f>
        <v/>
      </c>
      <c r="AA61" s="35">
        <f>SUMIFS(Ведомость!$N$5:$N$1270,Ведомость!$H$5:$H$1270,14,Ведомость!$I$5:$I$1270,"А500С",Ведомость!$V$5:$V$1270,"П-край",Ведомость!$W$5:$W$1270,2)</f>
        <v/>
      </c>
      <c r="AB61" s="35">
        <f>SUMIFS(Ведомость!$N$5:$N$1270,Ведомость!$H$5:$H$1270,14,Ведомость!$I$5:$I$1270,"А500С",Ведомость!$V$5:$V$1270,"С-1",Ведомость!$W$5:$W$1270,2)</f>
        <v/>
      </c>
      <c r="AC61" s="35">
        <f>SUMIFS(Ведомость!$N$5:$N$1270,Ведомость!$H$5:$H$1270,14,Ведомость!$I$5:$I$1270,"А500С",Ведомость!$V$5:$V$1270,"Л1",Ведомость!$W$5:$W$1270,2)</f>
        <v/>
      </c>
      <c r="AD61" s="35">
        <f>SUMIFS(Ведомость!$N$5:$N$1270,Ведомость!$H$5:$H$1270,14,Ведомость!$I$5:$I$1270,"А500С",Ведомость!$V$5:$V$1270,"Л2",Ведомость!$W$5:$W$1270,2)</f>
        <v/>
      </c>
      <c r="AE61" s="35">
        <f>SUMIFS(Ведомость!$N$5:$N$1270,Ведомость!$H$5:$H$1270,14,Ведомость!$I$5:$I$1270,"А500С",Ведомость!$V$5:$V$1270,"Л-пл",Ведомость!$W$5:$W$1270,2)</f>
        <v/>
      </c>
      <c r="AF61" s="35">
        <f>SUMIFS(Ведомость!$N$5:$N$1270,Ведомость!$H$5:$H$1270,14,Ведомость!$I$5:$I$1270,"А500С",Ведомость!$V$5:$V$1270,"Л-рама",Ведомость!$W$5:$W$1270,2)</f>
        <v/>
      </c>
      <c r="AG61" s="36">
        <f>SUM(B61:AF61)</f>
        <v/>
      </c>
      <c r="AH61" s="37">
        <f>IFERROR(INDEX(Исходные!$B$19:$B$31,MATCH(14,Исходные!$A$19:$A$31,0)),0)</f>
        <v/>
      </c>
      <c r="AI61" s="36">
        <f>AG61*AH61*$AJ$2</f>
        <v/>
      </c>
      <c r="AJ61" s="38">
        <f>SUM(B61:D61,F61,H61,J61:M61)</f>
        <v/>
      </c>
      <c r="AK61" s="39">
        <f>AH61</f>
        <v/>
      </c>
      <c r="AL61" s="40">
        <f>AJ61*AK61*$AJ$2</f>
        <v/>
      </c>
      <c r="AM61" s="38">
        <f>SUM(E61,G61,I61,N61:AB61)</f>
        <v/>
      </c>
      <c r="AN61" s="39">
        <f>AH61</f>
        <v/>
      </c>
      <c r="AO61" s="40">
        <f>AM61*AN61*$AJ$2</f>
        <v/>
      </c>
      <c r="AP61" s="38">
        <f>SUM(AC61:AF61)</f>
        <v/>
      </c>
      <c r="AQ61" s="39">
        <f>AH61</f>
        <v/>
      </c>
      <c r="AR61" s="40">
        <f>AP61*AQ61*$AJ$2</f>
        <v/>
      </c>
    </row>
    <row r="62">
      <c r="A62" s="6" t="inlineStr">
        <is>
          <t>Диаметр 12 А500С, L=м.п.</t>
        </is>
      </c>
      <c r="B62" s="35">
        <f>SUMIFS(Ведомость!$N$5:$N$1270,Ведомость!$H$5:$H$1270,12,Ведомость!$I$5:$I$1270,"А500С",Ведомость!$V$5:$V$1270,"Дм-1",Ведомость!$W$5:$W$1270,2)</f>
        <v/>
      </c>
      <c r="C62" s="35">
        <f>SUMIFS(Ведомость!$N$5:$N$1270,Ведомость!$H$5:$H$1270,12,Ведомость!$I$5:$I$1270,"А500С",Ведомость!$V$5:$V$1270,"Дм-2",Ведомость!$W$5:$W$1270,2)</f>
        <v/>
      </c>
      <c r="D62" s="35">
        <f>SUMIFS(Ведомость!$N$5:$N$1270,Ведомость!$H$5:$H$1270,12,Ведомость!$I$5:$I$1270,"А500С",Ведомость!$V$5:$V$1270,"К-А",Ведомость!$W$5:$W$1270,2)</f>
        <v/>
      </c>
      <c r="E62" s="35">
        <f>SUMIFS(Ведомость!$N$5:$N$1270,Ведомость!$H$5:$H$1270,12,Ведомость!$I$5:$I$1270,"А500С",Ведомость!$V$5:$V$1270,"Р-А",Ведомость!$W$5:$W$1270,2)</f>
        <v/>
      </c>
      <c r="F62" s="35">
        <f>SUMIFS(Ведомость!$N$5:$N$1270,Ведомость!$H$5:$H$1270,12,Ведомость!$I$5:$I$1270,"А500С",Ведомость!$V$5:$V$1270,"К-Б",Ведомость!$W$5:$W$1270,2)</f>
        <v/>
      </c>
      <c r="G62" s="35">
        <f>SUMIFS(Ведомость!$N$5:$N$1270,Ведомость!$H$5:$H$1270,12,Ведомость!$I$5:$I$1270,"А500С",Ведомость!$V$5:$V$1270,"Р-Б",Ведомость!$W$5:$W$1270,2)</f>
        <v/>
      </c>
      <c r="H62" s="35">
        <f>SUMIFS(Ведомость!$N$5:$N$1270,Ведомость!$H$5:$H$1270,12,Ведомость!$I$5:$I$1270,"А500С",Ведомость!$V$5:$V$1270,"К-В",Ведомость!$W$5:$W$1270,2)</f>
        <v/>
      </c>
      <c r="I62" s="35">
        <f>SUMIFS(Ведомость!$N$5:$N$1270,Ведомость!$H$5:$H$1270,12,Ведомость!$I$5:$I$1270,"А500С",Ведомость!$V$5:$V$1270,"Р-В",Ведомость!$W$5:$W$1270,2)</f>
        <v/>
      </c>
      <c r="J62" s="35">
        <f>SUMIFS(Ведомость!$N$5:$N$1270,Ведомость!$H$5:$H$1270,12,Ведомость!$I$5:$I$1270,"А500С",Ведомость!$V$5:$V$1270,"К-Г",Ведомость!$W$5:$W$1270,2)</f>
        <v/>
      </c>
      <c r="K62" s="35">
        <f>SUMIFS(Ведомость!$N$5:$N$1270,Ведомость!$H$5:$H$1270,12,Ведомость!$I$5:$I$1270,"А500С",Ведомость!$V$5:$V$1270,"Дм-3",Ведомость!$W$5:$W$1270,2)</f>
        <v/>
      </c>
      <c r="L62" s="35">
        <f>SUMIFS(Ведомость!$N$5:$N$1270,Ведомость!$H$5:$H$1270,12,Ведомость!$I$5:$I$1270,"А500С",Ведомость!$V$5:$V$1270,"Дм-4",Ведомость!$W$5:$W$1270,2)</f>
        <v/>
      </c>
      <c r="M62" s="35">
        <f>SUMIFS(Ведомость!$N$5:$N$1270,Ведомость!$H$5:$H$1270,12,Ведомость!$I$5:$I$1270,"А500С",Ведомость!$V$5:$V$1270,"Дм-5",Ведомость!$W$5:$W$1270,2)</f>
        <v/>
      </c>
      <c r="N62" s="35">
        <f>SUMIFS(Ведомость!$N$5:$N$1270,Ведомость!$H$5:$H$1270,12,Ведомость!$I$5:$I$1270,"А500С",Ведомость!$V$5:$V$1270,"Р-Г",Ведомость!$W$5:$W$1270,2)</f>
        <v/>
      </c>
      <c r="O62" s="35">
        <f>SUMIFS(Ведомость!$N$5:$N$1270,Ведомость!$H$5:$H$1270,12,Ведомость!$I$5:$I$1270,"А500С",Ведомость!$V$5:$V$1270,"Р-1, 5",Ведомость!$W$5:$W$1270,2)</f>
        <v/>
      </c>
      <c r="P62" s="35">
        <f>SUMIFS(Ведомость!$N$5:$N$1270,Ведомость!$H$5:$H$1270,12,Ведомость!$I$5:$I$1270,"А500С",Ведомость!$V$5:$V$1270,"Р-2",Ведомость!$W$5:$W$1270,2)</f>
        <v/>
      </c>
      <c r="Q62" s="35">
        <f>SUMIFS(Ведомость!$N$5:$N$1270,Ведомость!$H$5:$H$1270,12,Ведомость!$I$5:$I$1270,"А500С",Ведомость!$V$5:$V$1270,"Р-3",Ведомость!$W$5:$W$1270,2)</f>
        <v/>
      </c>
      <c r="R62" s="35">
        <f>SUMIFS(Ведомость!$N$5:$N$1270,Ведомость!$H$5:$H$1270,12,Ведомость!$I$5:$I$1270,"А500С",Ведомость!$V$5:$V$1270,"Р-4",Ведомость!$W$5:$W$1270,2)</f>
        <v/>
      </c>
      <c r="S62" s="35">
        <f>SUMIFS(Ведомость!$N$5:$N$1270,Ведомость!$H$5:$H$1270,12,Ведомость!$I$5:$I$1270,"А500С",Ведомость!$V$5:$V$1270,"Б-основная",Ведомость!$W$5:$W$1270,2)</f>
        <v/>
      </c>
      <c r="T62" s="35">
        <f>SUMIFS(Ведомость!$N$5:$N$1270,Ведомость!$H$5:$H$1270,12,Ведомость!$I$5:$I$1270,"А500С",Ведомость!$V$5:$V$1270,"Б-хомуты",Ведомость!$W$5:$W$1270,2)</f>
        <v/>
      </c>
      <c r="U62" s="35">
        <f>SUMIFS(Ведомость!$N$5:$N$1270,Ведомость!$H$5:$H$1270,12,Ведомость!$I$5:$I$1270,"А500С",Ведомость!$V$5:$V$1270,"Б-допник",Ведомость!$W$5:$W$1270,2)</f>
        <v/>
      </c>
      <c r="V62" s="35">
        <f>SUMIFS(Ведомость!$N$5:$N$1270,Ведомость!$H$5:$H$1270,12,Ведомость!$I$5:$I$1270,"А500С",Ведомость!$V$5:$V$1270,"П-сетка",Ведомость!$W$5:$W$1270,2)</f>
        <v/>
      </c>
      <c r="W62" s="35">
        <f>SUMIFS(Ведомость!$N$5:$N$1270,Ведомость!$H$5:$H$1270,12,Ведомость!$I$5:$I$1270,"А500С",Ведомость!$V$5:$V$1270,"П-фикс",Ведомость!$W$5:$W$1270,2)</f>
        <v/>
      </c>
      <c r="X62" s="35">
        <f>SUMIFS(Ведомость!$N$5:$N$1270,Ведомость!$H$5:$H$1270,12,Ведомость!$I$5:$I$1270,"А500С",Ведомость!$V$5:$V$1270,"П-отв",Ведомость!$W$5:$W$1270,2)</f>
        <v/>
      </c>
      <c r="Y62" s="35">
        <f>SUMIFS(Ведомость!$N$5:$N$1270,Ведомость!$H$5:$H$1270,12,Ведомость!$I$5:$I$1270,"А500С",Ведомость!$V$5:$V$1270,"П-доп-низ",Ведомость!$W$5:$W$1270,2)</f>
        <v/>
      </c>
      <c r="Z62" s="35">
        <f>SUMIFS(Ведомость!$N$5:$N$1270,Ведомость!$H$5:$H$1270,12,Ведомость!$I$5:$I$1270,"А500С",Ведомость!$V$5:$V$1270,"П-доп-верх",Ведомость!$W$5:$W$1270,2)</f>
        <v/>
      </c>
      <c r="AA62" s="35">
        <f>SUMIFS(Ведомость!$N$5:$N$1270,Ведомость!$H$5:$H$1270,12,Ведомость!$I$5:$I$1270,"А500С",Ведомость!$V$5:$V$1270,"П-край",Ведомость!$W$5:$W$1270,2)</f>
        <v/>
      </c>
      <c r="AB62" s="35">
        <f>SUMIFS(Ведомость!$N$5:$N$1270,Ведомость!$H$5:$H$1270,12,Ведомость!$I$5:$I$1270,"А500С",Ведомость!$V$5:$V$1270,"С-1",Ведомость!$W$5:$W$1270,2)</f>
        <v/>
      </c>
      <c r="AC62" s="35">
        <f>SUMIFS(Ведомость!$N$5:$N$1270,Ведомость!$H$5:$H$1270,12,Ведомость!$I$5:$I$1270,"А500С",Ведомость!$V$5:$V$1270,"Л1",Ведомость!$W$5:$W$1270,2)</f>
        <v/>
      </c>
      <c r="AD62" s="35">
        <f>SUMIFS(Ведомость!$N$5:$N$1270,Ведомость!$H$5:$H$1270,12,Ведомость!$I$5:$I$1270,"А500С",Ведомость!$V$5:$V$1270,"Л2",Ведомость!$W$5:$W$1270,2)</f>
        <v/>
      </c>
      <c r="AE62" s="35">
        <f>SUMIFS(Ведомость!$N$5:$N$1270,Ведомость!$H$5:$H$1270,12,Ведомость!$I$5:$I$1270,"А500С",Ведомость!$V$5:$V$1270,"Л-пл",Ведомость!$W$5:$W$1270,2)</f>
        <v/>
      </c>
      <c r="AF62" s="35">
        <f>SUMIFS(Ведомость!$N$5:$N$1270,Ведомость!$H$5:$H$1270,12,Ведомость!$I$5:$I$1270,"А500С",Ведомость!$V$5:$V$1270,"Л-рама",Ведомость!$W$5:$W$1270,2)</f>
        <v/>
      </c>
      <c r="AG62" s="36">
        <f>SUM(B62:AF62)</f>
        <v/>
      </c>
      <c r="AH62" s="37">
        <f>IFERROR(INDEX(Исходные!$B$19:$B$31,MATCH(12,Исходные!$A$19:$A$31,0)),0)</f>
        <v/>
      </c>
      <c r="AI62" s="36">
        <f>AG62*AH62*$AJ$2</f>
        <v/>
      </c>
      <c r="AJ62" s="38">
        <f>SUM(B62:D62,F62,H62,J62:M62)</f>
        <v/>
      </c>
      <c r="AK62" s="39">
        <f>AH62</f>
        <v/>
      </c>
      <c r="AL62" s="40">
        <f>AJ62*AK62*$AJ$2</f>
        <v/>
      </c>
      <c r="AM62" s="38">
        <f>SUM(E62,G62,I62,N62:AB62)</f>
        <v/>
      </c>
      <c r="AN62" s="39">
        <f>AH62</f>
        <v/>
      </c>
      <c r="AO62" s="40">
        <f>AM62*AN62*$AJ$2</f>
        <v/>
      </c>
      <c r="AP62" s="38">
        <f>SUM(AC62:AF62)</f>
        <v/>
      </c>
      <c r="AQ62" s="39">
        <f>AH62</f>
        <v/>
      </c>
      <c r="AR62" s="40">
        <f>AP62*AQ62*$AJ$2</f>
        <v/>
      </c>
    </row>
    <row r="63">
      <c r="A63" s="6" t="inlineStr">
        <is>
          <t>Диаметр 10 А500С, L=м.п.</t>
        </is>
      </c>
      <c r="B63" s="35">
        <f>SUMIFS(Ведомость!$N$5:$N$1270,Ведомость!$H$5:$H$1270,10,Ведомость!$I$5:$I$1270,"А500С",Ведомость!$V$5:$V$1270,"Дм-1",Ведомость!$W$5:$W$1270,2)</f>
        <v/>
      </c>
      <c r="C63" s="35">
        <f>SUMIFS(Ведомость!$N$5:$N$1270,Ведомость!$H$5:$H$1270,10,Ведомость!$I$5:$I$1270,"А500С",Ведомость!$V$5:$V$1270,"Дм-2",Ведомость!$W$5:$W$1270,2)</f>
        <v/>
      </c>
      <c r="D63" s="35">
        <f>SUMIFS(Ведомость!$N$5:$N$1270,Ведомость!$H$5:$H$1270,10,Ведомость!$I$5:$I$1270,"А500С",Ведомость!$V$5:$V$1270,"К-А",Ведомость!$W$5:$W$1270,2)</f>
        <v/>
      </c>
      <c r="E63" s="35">
        <f>SUMIFS(Ведомость!$N$5:$N$1270,Ведомость!$H$5:$H$1270,10,Ведомость!$I$5:$I$1270,"А500С",Ведомость!$V$5:$V$1270,"Р-А",Ведомость!$W$5:$W$1270,2)</f>
        <v/>
      </c>
      <c r="F63" s="35">
        <f>SUMIFS(Ведомость!$N$5:$N$1270,Ведомость!$H$5:$H$1270,10,Ведомость!$I$5:$I$1270,"А500С",Ведомость!$V$5:$V$1270,"К-Б",Ведомость!$W$5:$W$1270,2)</f>
        <v/>
      </c>
      <c r="G63" s="35">
        <f>SUMIFS(Ведомость!$N$5:$N$1270,Ведомость!$H$5:$H$1270,10,Ведомость!$I$5:$I$1270,"А500С",Ведомость!$V$5:$V$1270,"Р-Б",Ведомость!$W$5:$W$1270,2)</f>
        <v/>
      </c>
      <c r="H63" s="35">
        <f>SUMIFS(Ведомость!$N$5:$N$1270,Ведомость!$H$5:$H$1270,10,Ведомость!$I$5:$I$1270,"А500С",Ведомость!$V$5:$V$1270,"К-В",Ведомость!$W$5:$W$1270,2)</f>
        <v/>
      </c>
      <c r="I63" s="35">
        <f>SUMIFS(Ведомость!$N$5:$N$1270,Ведомость!$H$5:$H$1270,10,Ведомость!$I$5:$I$1270,"А500С",Ведомость!$V$5:$V$1270,"Р-В",Ведомость!$W$5:$W$1270,2)</f>
        <v/>
      </c>
      <c r="J63" s="35">
        <f>SUMIFS(Ведомость!$N$5:$N$1270,Ведомость!$H$5:$H$1270,10,Ведомость!$I$5:$I$1270,"А500С",Ведомость!$V$5:$V$1270,"К-Г",Ведомость!$W$5:$W$1270,2)</f>
        <v/>
      </c>
      <c r="K63" s="35">
        <f>SUMIFS(Ведомость!$N$5:$N$1270,Ведомость!$H$5:$H$1270,10,Ведомость!$I$5:$I$1270,"А500С",Ведомость!$V$5:$V$1270,"Дм-3",Ведомость!$W$5:$W$1270,2)</f>
        <v/>
      </c>
      <c r="L63" s="35">
        <f>SUMIFS(Ведомость!$N$5:$N$1270,Ведомость!$H$5:$H$1270,10,Ведомость!$I$5:$I$1270,"А500С",Ведомость!$V$5:$V$1270,"Дм-4",Ведомость!$W$5:$W$1270,2)</f>
        <v/>
      </c>
      <c r="M63" s="35">
        <f>SUMIFS(Ведомость!$N$5:$N$1270,Ведомость!$H$5:$H$1270,10,Ведомость!$I$5:$I$1270,"А500С",Ведомость!$V$5:$V$1270,"Дм-5",Ведомость!$W$5:$W$1270,2)</f>
        <v/>
      </c>
      <c r="N63" s="35">
        <f>SUMIFS(Ведомость!$N$5:$N$1270,Ведомость!$H$5:$H$1270,10,Ведомость!$I$5:$I$1270,"А500С",Ведомость!$V$5:$V$1270,"Р-Г",Ведомость!$W$5:$W$1270,2)</f>
        <v/>
      </c>
      <c r="O63" s="35">
        <f>SUMIFS(Ведомость!$N$5:$N$1270,Ведомость!$H$5:$H$1270,10,Ведомость!$I$5:$I$1270,"А500С",Ведомость!$V$5:$V$1270,"Р-1, 5",Ведомость!$W$5:$W$1270,2)</f>
        <v/>
      </c>
      <c r="P63" s="35">
        <f>SUMIFS(Ведомость!$N$5:$N$1270,Ведомость!$H$5:$H$1270,10,Ведомость!$I$5:$I$1270,"А500С",Ведомость!$V$5:$V$1270,"Р-2",Ведомость!$W$5:$W$1270,2)</f>
        <v/>
      </c>
      <c r="Q63" s="35">
        <f>SUMIFS(Ведомость!$N$5:$N$1270,Ведомость!$H$5:$H$1270,10,Ведомость!$I$5:$I$1270,"А500С",Ведомость!$V$5:$V$1270,"Р-3",Ведомость!$W$5:$W$1270,2)</f>
        <v/>
      </c>
      <c r="R63" s="35">
        <f>SUMIFS(Ведомость!$N$5:$N$1270,Ведомость!$H$5:$H$1270,10,Ведомость!$I$5:$I$1270,"А500С",Ведомость!$V$5:$V$1270,"Р-4",Ведомость!$W$5:$W$1270,2)</f>
        <v/>
      </c>
      <c r="S63" s="35">
        <f>SUMIFS(Ведомость!$N$5:$N$1270,Ведомость!$H$5:$H$1270,10,Ведомость!$I$5:$I$1270,"А500С",Ведомость!$V$5:$V$1270,"Б-основная",Ведомость!$W$5:$W$1270,2)</f>
        <v/>
      </c>
      <c r="T63" s="35">
        <f>SUMIFS(Ведомость!$N$5:$N$1270,Ведомость!$H$5:$H$1270,10,Ведомость!$I$5:$I$1270,"А500С",Ведомость!$V$5:$V$1270,"Б-хомуты",Ведомость!$W$5:$W$1270,2)</f>
        <v/>
      </c>
      <c r="U63" s="35">
        <f>SUMIFS(Ведомость!$N$5:$N$1270,Ведомость!$H$5:$H$1270,10,Ведомость!$I$5:$I$1270,"А500С",Ведомость!$V$5:$V$1270,"Б-допник",Ведомость!$W$5:$W$1270,2)</f>
        <v/>
      </c>
      <c r="V63" s="35">
        <f>SUMIFS(Ведомость!$N$5:$N$1270,Ведомость!$H$5:$H$1270,10,Ведомость!$I$5:$I$1270,"А500С",Ведомость!$V$5:$V$1270,"П-сетка",Ведомость!$W$5:$W$1270,2)</f>
        <v/>
      </c>
      <c r="W63" s="35">
        <f>SUMIFS(Ведомость!$N$5:$N$1270,Ведомость!$H$5:$H$1270,10,Ведомость!$I$5:$I$1270,"А500С",Ведомость!$V$5:$V$1270,"П-фикс",Ведомость!$W$5:$W$1270,2)</f>
        <v/>
      </c>
      <c r="X63" s="35">
        <f>SUMIFS(Ведомость!$N$5:$N$1270,Ведомость!$H$5:$H$1270,10,Ведомость!$I$5:$I$1270,"А500С",Ведомость!$V$5:$V$1270,"П-отв",Ведомость!$W$5:$W$1270,2)</f>
        <v/>
      </c>
      <c r="Y63" s="35">
        <f>SUMIFS(Ведомость!$N$5:$N$1270,Ведомость!$H$5:$H$1270,10,Ведомость!$I$5:$I$1270,"А500С",Ведомость!$V$5:$V$1270,"П-доп-низ",Ведомость!$W$5:$W$1270,2)</f>
        <v/>
      </c>
      <c r="Z63" s="35">
        <f>SUMIFS(Ведомость!$N$5:$N$1270,Ведомость!$H$5:$H$1270,10,Ведомость!$I$5:$I$1270,"А500С",Ведомость!$V$5:$V$1270,"П-доп-верх",Ведомость!$W$5:$W$1270,2)</f>
        <v/>
      </c>
      <c r="AA63" s="35">
        <f>SUMIFS(Ведомость!$N$5:$N$1270,Ведомость!$H$5:$H$1270,10,Ведомость!$I$5:$I$1270,"А500С",Ведомость!$V$5:$V$1270,"П-край",Ведомость!$W$5:$W$1270,2)</f>
        <v/>
      </c>
      <c r="AB63" s="35">
        <f>SUMIFS(Ведомость!$N$5:$N$1270,Ведомость!$H$5:$H$1270,10,Ведомость!$I$5:$I$1270,"А500С",Ведомость!$V$5:$V$1270,"С-1",Ведомость!$W$5:$W$1270,2)</f>
        <v/>
      </c>
      <c r="AC63" s="35">
        <f>SUMIFS(Ведомость!$N$5:$N$1270,Ведомость!$H$5:$H$1270,10,Ведомость!$I$5:$I$1270,"А500С",Ведомость!$V$5:$V$1270,"Л1",Ведомость!$W$5:$W$1270,2)</f>
        <v/>
      </c>
      <c r="AD63" s="35">
        <f>SUMIFS(Ведомость!$N$5:$N$1270,Ведомость!$H$5:$H$1270,10,Ведомость!$I$5:$I$1270,"А500С",Ведомость!$V$5:$V$1270,"Л2",Ведомость!$W$5:$W$1270,2)</f>
        <v/>
      </c>
      <c r="AE63" s="35">
        <f>SUMIFS(Ведомость!$N$5:$N$1270,Ведомость!$H$5:$H$1270,10,Ведомость!$I$5:$I$1270,"А500С",Ведомость!$V$5:$V$1270,"Л-пл",Ведомость!$W$5:$W$1270,2)</f>
        <v/>
      </c>
      <c r="AF63" s="35">
        <f>SUMIFS(Ведомость!$N$5:$N$1270,Ведомость!$H$5:$H$1270,10,Ведомость!$I$5:$I$1270,"А500С",Ведомость!$V$5:$V$1270,"Л-рама",Ведомость!$W$5:$W$1270,2)</f>
        <v/>
      </c>
      <c r="AG63" s="36">
        <f>SUM(B63:AF63)</f>
        <v/>
      </c>
      <c r="AH63" s="37">
        <f>IFERROR(INDEX(Исходные!$B$19:$B$31,MATCH(10,Исходные!$A$19:$A$31,0)),0)</f>
        <v/>
      </c>
      <c r="AI63" s="36">
        <f>AG63*AH63*$AJ$2</f>
        <v/>
      </c>
      <c r="AJ63" s="38">
        <f>SUM(B63:D63,F63,H63,J63:M63)</f>
        <v/>
      </c>
      <c r="AK63" s="39">
        <f>AH63</f>
        <v/>
      </c>
      <c r="AL63" s="40">
        <f>AJ63*AK63*$AJ$2</f>
        <v/>
      </c>
      <c r="AM63" s="38">
        <f>SUM(E63,G63,I63,N63:AB63)</f>
        <v/>
      </c>
      <c r="AN63" s="39">
        <f>AH63</f>
        <v/>
      </c>
      <c r="AO63" s="40">
        <f>AM63*AN63*$AJ$2</f>
        <v/>
      </c>
      <c r="AP63" s="38">
        <f>SUM(AC63:AF63)</f>
        <v/>
      </c>
      <c r="AQ63" s="39">
        <f>AH63</f>
        <v/>
      </c>
      <c r="AR63" s="40">
        <f>AP63*AQ63*$AJ$2</f>
        <v/>
      </c>
    </row>
    <row r="64">
      <c r="A64" s="6" t="inlineStr">
        <is>
          <t>Диаметр 8 А500С, L=м.п.</t>
        </is>
      </c>
      <c r="B64" s="35">
        <f>SUMIFS(Ведомость!$N$5:$N$1270,Ведомость!$H$5:$H$1270,8,Ведомость!$I$5:$I$1270,"А500С",Ведомость!$V$5:$V$1270,"Дм-1",Ведомость!$W$5:$W$1270,2)</f>
        <v/>
      </c>
      <c r="C64" s="35">
        <f>SUMIFS(Ведомость!$N$5:$N$1270,Ведомость!$H$5:$H$1270,8,Ведомость!$I$5:$I$1270,"А500С",Ведомость!$V$5:$V$1270,"Дм-2",Ведомость!$W$5:$W$1270,2)</f>
        <v/>
      </c>
      <c r="D64" s="35">
        <f>SUMIFS(Ведомость!$N$5:$N$1270,Ведомость!$H$5:$H$1270,8,Ведомость!$I$5:$I$1270,"А500С",Ведомость!$V$5:$V$1270,"К-А",Ведомость!$W$5:$W$1270,2)</f>
        <v/>
      </c>
      <c r="E64" s="35">
        <f>SUMIFS(Ведомость!$N$5:$N$1270,Ведомость!$H$5:$H$1270,8,Ведомость!$I$5:$I$1270,"А500С",Ведомость!$V$5:$V$1270,"Р-А",Ведомость!$W$5:$W$1270,2)</f>
        <v/>
      </c>
      <c r="F64" s="35">
        <f>SUMIFS(Ведомость!$N$5:$N$1270,Ведомость!$H$5:$H$1270,8,Ведомость!$I$5:$I$1270,"А500С",Ведомость!$V$5:$V$1270,"К-Б",Ведомость!$W$5:$W$1270,2)</f>
        <v/>
      </c>
      <c r="G64" s="35">
        <f>SUMIFS(Ведомость!$N$5:$N$1270,Ведомость!$H$5:$H$1270,8,Ведомость!$I$5:$I$1270,"А500С",Ведомость!$V$5:$V$1270,"Р-Б",Ведомость!$W$5:$W$1270,2)</f>
        <v/>
      </c>
      <c r="H64" s="35">
        <f>SUMIFS(Ведомость!$N$5:$N$1270,Ведомость!$H$5:$H$1270,8,Ведомость!$I$5:$I$1270,"А500С",Ведомость!$V$5:$V$1270,"К-В",Ведомость!$W$5:$W$1270,2)</f>
        <v/>
      </c>
      <c r="I64" s="35">
        <f>SUMIFS(Ведомость!$N$5:$N$1270,Ведомость!$H$5:$H$1270,8,Ведомость!$I$5:$I$1270,"А500С",Ведомость!$V$5:$V$1270,"Р-В",Ведомость!$W$5:$W$1270,2)</f>
        <v/>
      </c>
      <c r="J64" s="35">
        <f>SUMIFS(Ведомость!$N$5:$N$1270,Ведомость!$H$5:$H$1270,8,Ведомость!$I$5:$I$1270,"А500С",Ведомость!$V$5:$V$1270,"К-Г",Ведомость!$W$5:$W$1270,2)</f>
        <v/>
      </c>
      <c r="K64" s="35">
        <f>SUMIFS(Ведомость!$N$5:$N$1270,Ведомость!$H$5:$H$1270,8,Ведомость!$I$5:$I$1270,"А500С",Ведомость!$V$5:$V$1270,"Дм-3",Ведомость!$W$5:$W$1270,2)</f>
        <v/>
      </c>
      <c r="L64" s="35">
        <f>SUMIFS(Ведомость!$N$5:$N$1270,Ведомость!$H$5:$H$1270,8,Ведомость!$I$5:$I$1270,"А500С",Ведомость!$V$5:$V$1270,"Дм-4",Ведомость!$W$5:$W$1270,2)</f>
        <v/>
      </c>
      <c r="M64" s="35">
        <f>SUMIFS(Ведомость!$N$5:$N$1270,Ведомость!$H$5:$H$1270,8,Ведомость!$I$5:$I$1270,"А500С",Ведомость!$V$5:$V$1270,"Дм-5",Ведомость!$W$5:$W$1270,2)</f>
        <v/>
      </c>
      <c r="N64" s="35">
        <f>SUMIFS(Ведомость!$N$5:$N$1270,Ведомость!$H$5:$H$1270,8,Ведомость!$I$5:$I$1270,"А500С",Ведомость!$V$5:$V$1270,"Р-Г",Ведомость!$W$5:$W$1270,2)</f>
        <v/>
      </c>
      <c r="O64" s="35">
        <f>SUMIFS(Ведомость!$N$5:$N$1270,Ведомость!$H$5:$H$1270,8,Ведомость!$I$5:$I$1270,"А500С",Ведомость!$V$5:$V$1270,"Р-1, 5",Ведомость!$W$5:$W$1270,2)</f>
        <v/>
      </c>
      <c r="P64" s="35">
        <f>SUMIFS(Ведомость!$N$5:$N$1270,Ведомость!$H$5:$H$1270,8,Ведомость!$I$5:$I$1270,"А500С",Ведомость!$V$5:$V$1270,"Р-2",Ведомость!$W$5:$W$1270,2)</f>
        <v/>
      </c>
      <c r="Q64" s="35">
        <f>SUMIFS(Ведомость!$N$5:$N$1270,Ведомость!$H$5:$H$1270,8,Ведомость!$I$5:$I$1270,"А500С",Ведомость!$V$5:$V$1270,"Р-3",Ведомость!$W$5:$W$1270,2)</f>
        <v/>
      </c>
      <c r="R64" s="35">
        <f>SUMIFS(Ведомость!$N$5:$N$1270,Ведомость!$H$5:$H$1270,8,Ведомость!$I$5:$I$1270,"А500С",Ведомость!$V$5:$V$1270,"Р-4",Ведомость!$W$5:$W$1270,2)</f>
        <v/>
      </c>
      <c r="S64" s="35">
        <f>SUMIFS(Ведомость!$N$5:$N$1270,Ведомость!$H$5:$H$1270,8,Ведомость!$I$5:$I$1270,"А500С",Ведомость!$V$5:$V$1270,"Б-основная",Ведомость!$W$5:$W$1270,2)</f>
        <v/>
      </c>
      <c r="T64" s="35">
        <f>SUMIFS(Ведомость!$N$5:$N$1270,Ведомость!$H$5:$H$1270,8,Ведомость!$I$5:$I$1270,"А500С",Ведомость!$V$5:$V$1270,"Б-хомуты",Ведомость!$W$5:$W$1270,2)</f>
        <v/>
      </c>
      <c r="U64" s="35">
        <f>SUMIFS(Ведомость!$N$5:$N$1270,Ведомость!$H$5:$H$1270,8,Ведомость!$I$5:$I$1270,"А500С",Ведомость!$V$5:$V$1270,"Б-допник",Ведомость!$W$5:$W$1270,2)</f>
        <v/>
      </c>
      <c r="V64" s="35">
        <f>SUMIFS(Ведомость!$N$5:$N$1270,Ведомость!$H$5:$H$1270,8,Ведомость!$I$5:$I$1270,"А500С",Ведомость!$V$5:$V$1270,"П-сетка",Ведомость!$W$5:$W$1270,2)</f>
        <v/>
      </c>
      <c r="W64" s="35">
        <f>SUMIFS(Ведомость!$N$5:$N$1270,Ведомость!$H$5:$H$1270,8,Ведомость!$I$5:$I$1270,"А500С",Ведомость!$V$5:$V$1270,"П-фикс",Ведомость!$W$5:$W$1270,2)</f>
        <v/>
      </c>
      <c r="X64" s="35">
        <f>SUMIFS(Ведомость!$N$5:$N$1270,Ведомость!$H$5:$H$1270,8,Ведомость!$I$5:$I$1270,"А500С",Ведомость!$V$5:$V$1270,"П-отв",Ведомость!$W$5:$W$1270,2)</f>
        <v/>
      </c>
      <c r="Y64" s="35">
        <f>SUMIFS(Ведомость!$N$5:$N$1270,Ведомость!$H$5:$H$1270,8,Ведомость!$I$5:$I$1270,"А500С",Ведомость!$V$5:$V$1270,"П-доп-низ",Ведомость!$W$5:$W$1270,2)</f>
        <v/>
      </c>
      <c r="Z64" s="35">
        <f>SUMIFS(Ведомость!$N$5:$N$1270,Ведомость!$H$5:$H$1270,8,Ведомость!$I$5:$I$1270,"А500С",Ведомость!$V$5:$V$1270,"П-доп-верх",Ведомость!$W$5:$W$1270,2)</f>
        <v/>
      </c>
      <c r="AA64" s="35">
        <f>SUMIFS(Ведомость!$N$5:$N$1270,Ведомость!$H$5:$H$1270,8,Ведомость!$I$5:$I$1270,"А500С",Ведомость!$V$5:$V$1270,"П-край",Ведомость!$W$5:$W$1270,2)</f>
        <v/>
      </c>
      <c r="AB64" s="35">
        <f>SUMIFS(Ведомость!$N$5:$N$1270,Ведомость!$H$5:$H$1270,8,Ведомость!$I$5:$I$1270,"А500С",Ведомость!$V$5:$V$1270,"С-1",Ведомость!$W$5:$W$1270,2)</f>
        <v/>
      </c>
      <c r="AC64" s="35">
        <f>SUMIFS(Ведомость!$N$5:$N$1270,Ведомость!$H$5:$H$1270,8,Ведомость!$I$5:$I$1270,"А500С",Ведомость!$V$5:$V$1270,"Л1",Ведомость!$W$5:$W$1270,2)</f>
        <v/>
      </c>
      <c r="AD64" s="35">
        <f>SUMIFS(Ведомость!$N$5:$N$1270,Ведомость!$H$5:$H$1270,8,Ведомость!$I$5:$I$1270,"А500С",Ведомость!$V$5:$V$1270,"Л2",Ведомость!$W$5:$W$1270,2)</f>
        <v/>
      </c>
      <c r="AE64" s="35">
        <f>SUMIFS(Ведомость!$N$5:$N$1270,Ведомость!$H$5:$H$1270,8,Ведомость!$I$5:$I$1270,"А500С",Ведомость!$V$5:$V$1270,"Л-пл",Ведомость!$W$5:$W$1270,2)</f>
        <v/>
      </c>
      <c r="AF64" s="35">
        <f>SUMIFS(Ведомость!$N$5:$N$1270,Ведомость!$H$5:$H$1270,8,Ведомость!$I$5:$I$1270,"А500С",Ведомость!$V$5:$V$1270,"Л-рама",Ведомость!$W$5:$W$1270,2)</f>
        <v/>
      </c>
      <c r="AG64" s="36">
        <f>SUM(B64:AF64)</f>
        <v/>
      </c>
      <c r="AH64" s="37">
        <f>IFERROR(INDEX(Исходные!$B$19:$B$31,MATCH(8,Исходные!$A$19:$A$31,0)),0)</f>
        <v/>
      </c>
      <c r="AI64" s="36">
        <f>AG64*AH64*$AJ$2</f>
        <v/>
      </c>
      <c r="AJ64" s="38">
        <f>SUM(B64:D64,F64,H64,J64:M64)</f>
        <v/>
      </c>
      <c r="AK64" s="39">
        <f>AH64</f>
        <v/>
      </c>
      <c r="AL64" s="40">
        <f>AJ64*AK64*$AJ$2</f>
        <v/>
      </c>
      <c r="AM64" s="38">
        <f>SUM(E64,G64,I64,N64:AB64)</f>
        <v/>
      </c>
      <c r="AN64" s="39">
        <f>AH64</f>
        <v/>
      </c>
      <c r="AO64" s="40">
        <f>AM64*AN64*$AJ$2</f>
        <v/>
      </c>
      <c r="AP64" s="38">
        <f>SUM(AC64:AF64)</f>
        <v/>
      </c>
      <c r="AQ64" s="39">
        <f>AH64</f>
        <v/>
      </c>
      <c r="AR64" s="40">
        <f>AP64*AQ64*$AJ$2</f>
        <v/>
      </c>
    </row>
    <row r="65">
      <c r="A65" s="6" t="inlineStr">
        <is>
          <t>Диаметр 16 А240, L=м.п.</t>
        </is>
      </c>
      <c r="B65" s="35">
        <f>SUMIFS(Ведомость!$N$5:$N$1270,Ведомость!$H$5:$H$1270,16,Ведомость!$I$5:$I$1270,"А240",Ведомость!$V$5:$V$1270,"Дм-1",Ведомость!$W$5:$W$1270,2)</f>
        <v/>
      </c>
      <c r="C65" s="35">
        <f>SUMIFS(Ведомость!$N$5:$N$1270,Ведомость!$H$5:$H$1270,16,Ведомость!$I$5:$I$1270,"А240",Ведомость!$V$5:$V$1270,"Дм-2",Ведомость!$W$5:$W$1270,2)</f>
        <v/>
      </c>
      <c r="D65" s="35">
        <f>SUMIFS(Ведомость!$N$5:$N$1270,Ведомость!$H$5:$H$1270,16,Ведомость!$I$5:$I$1270,"А240",Ведомость!$V$5:$V$1270,"К-А",Ведомость!$W$5:$W$1270,2)</f>
        <v/>
      </c>
      <c r="E65" s="35">
        <f>SUMIFS(Ведомость!$N$5:$N$1270,Ведомость!$H$5:$H$1270,16,Ведомость!$I$5:$I$1270,"А240",Ведомость!$V$5:$V$1270,"Р-А",Ведомость!$W$5:$W$1270,2)</f>
        <v/>
      </c>
      <c r="F65" s="35">
        <f>SUMIFS(Ведомость!$N$5:$N$1270,Ведомость!$H$5:$H$1270,16,Ведомость!$I$5:$I$1270,"А240",Ведомость!$V$5:$V$1270,"К-Б",Ведомость!$W$5:$W$1270,2)</f>
        <v/>
      </c>
      <c r="G65" s="35">
        <f>SUMIFS(Ведомость!$N$5:$N$1270,Ведомость!$H$5:$H$1270,16,Ведомость!$I$5:$I$1270,"А240",Ведомость!$V$5:$V$1270,"Р-Б",Ведомость!$W$5:$W$1270,2)</f>
        <v/>
      </c>
      <c r="H65" s="35">
        <f>SUMIFS(Ведомость!$N$5:$N$1270,Ведомость!$H$5:$H$1270,16,Ведомость!$I$5:$I$1270,"А240",Ведомость!$V$5:$V$1270,"К-В",Ведомость!$W$5:$W$1270,2)</f>
        <v/>
      </c>
      <c r="I65" s="35">
        <f>SUMIFS(Ведомость!$N$5:$N$1270,Ведомость!$H$5:$H$1270,16,Ведомость!$I$5:$I$1270,"А240",Ведомость!$V$5:$V$1270,"Р-В",Ведомость!$W$5:$W$1270,2)</f>
        <v/>
      </c>
      <c r="J65" s="35">
        <f>SUMIFS(Ведомость!$N$5:$N$1270,Ведомость!$H$5:$H$1270,16,Ведомость!$I$5:$I$1270,"А240",Ведомость!$V$5:$V$1270,"К-Г",Ведомость!$W$5:$W$1270,2)</f>
        <v/>
      </c>
      <c r="K65" s="35">
        <f>SUMIFS(Ведомость!$N$5:$N$1270,Ведомость!$H$5:$H$1270,16,Ведомость!$I$5:$I$1270,"А240",Ведомость!$V$5:$V$1270,"Дм-3",Ведомость!$W$5:$W$1270,2)</f>
        <v/>
      </c>
      <c r="L65" s="35">
        <f>SUMIFS(Ведомость!$N$5:$N$1270,Ведомость!$H$5:$H$1270,16,Ведомость!$I$5:$I$1270,"А240",Ведомость!$V$5:$V$1270,"Дм-4",Ведомость!$W$5:$W$1270,2)</f>
        <v/>
      </c>
      <c r="M65" s="35">
        <f>SUMIFS(Ведомость!$N$5:$N$1270,Ведомость!$H$5:$H$1270,16,Ведомость!$I$5:$I$1270,"А240",Ведомость!$V$5:$V$1270,"Дм-5",Ведомость!$W$5:$W$1270,2)</f>
        <v/>
      </c>
      <c r="N65" s="35">
        <f>SUMIFS(Ведомость!$N$5:$N$1270,Ведомость!$H$5:$H$1270,16,Ведомость!$I$5:$I$1270,"А240",Ведомость!$V$5:$V$1270,"Р-Г",Ведомость!$W$5:$W$1270,2)</f>
        <v/>
      </c>
      <c r="O65" s="35">
        <f>SUMIFS(Ведомость!$N$5:$N$1270,Ведомость!$H$5:$H$1270,16,Ведомость!$I$5:$I$1270,"А240",Ведомость!$V$5:$V$1270,"Р-1, 5",Ведомость!$W$5:$W$1270,2)</f>
        <v/>
      </c>
      <c r="P65" s="35">
        <f>SUMIFS(Ведомость!$N$5:$N$1270,Ведомость!$H$5:$H$1270,16,Ведомость!$I$5:$I$1270,"А240",Ведомость!$V$5:$V$1270,"Р-2",Ведомость!$W$5:$W$1270,2)</f>
        <v/>
      </c>
      <c r="Q65" s="35">
        <f>SUMIFS(Ведомость!$N$5:$N$1270,Ведомость!$H$5:$H$1270,16,Ведомость!$I$5:$I$1270,"А240",Ведомость!$V$5:$V$1270,"Р-3",Ведомость!$W$5:$W$1270,2)</f>
        <v/>
      </c>
      <c r="R65" s="35">
        <f>SUMIFS(Ведомость!$N$5:$N$1270,Ведомость!$H$5:$H$1270,16,Ведомость!$I$5:$I$1270,"А240",Ведомость!$V$5:$V$1270,"Р-4",Ведомость!$W$5:$W$1270,2)</f>
        <v/>
      </c>
      <c r="S65" s="35">
        <f>SUMIFS(Ведомость!$N$5:$N$1270,Ведомость!$H$5:$H$1270,16,Ведомость!$I$5:$I$1270,"А240",Ведомость!$V$5:$V$1270,"Б-основная",Ведомость!$W$5:$W$1270,2)</f>
        <v/>
      </c>
      <c r="T65" s="35">
        <f>SUMIFS(Ведомость!$N$5:$N$1270,Ведомость!$H$5:$H$1270,16,Ведомость!$I$5:$I$1270,"А240",Ведомость!$V$5:$V$1270,"Б-хомуты",Ведомость!$W$5:$W$1270,2)</f>
        <v/>
      </c>
      <c r="U65" s="35">
        <f>SUMIFS(Ведомость!$N$5:$N$1270,Ведомость!$H$5:$H$1270,16,Ведомость!$I$5:$I$1270,"А240",Ведомость!$V$5:$V$1270,"Б-допник",Ведомость!$W$5:$W$1270,2)</f>
        <v/>
      </c>
      <c r="V65" s="35">
        <f>SUMIFS(Ведомость!$N$5:$N$1270,Ведомость!$H$5:$H$1270,16,Ведомость!$I$5:$I$1270,"А240",Ведомость!$V$5:$V$1270,"П-сетка",Ведомость!$W$5:$W$1270,2)</f>
        <v/>
      </c>
      <c r="W65" s="35">
        <f>SUMIFS(Ведомость!$N$5:$N$1270,Ведомость!$H$5:$H$1270,16,Ведомость!$I$5:$I$1270,"А240",Ведомость!$V$5:$V$1270,"П-фикс",Ведомость!$W$5:$W$1270,2)</f>
        <v/>
      </c>
      <c r="X65" s="35">
        <f>SUMIFS(Ведомость!$N$5:$N$1270,Ведомость!$H$5:$H$1270,16,Ведомость!$I$5:$I$1270,"А240",Ведомость!$V$5:$V$1270,"П-отв",Ведомость!$W$5:$W$1270,2)</f>
        <v/>
      </c>
      <c r="Y65" s="35">
        <f>SUMIFS(Ведомость!$N$5:$N$1270,Ведомость!$H$5:$H$1270,16,Ведомость!$I$5:$I$1270,"А240",Ведомость!$V$5:$V$1270,"П-доп-низ",Ведомость!$W$5:$W$1270,2)</f>
        <v/>
      </c>
      <c r="Z65" s="35">
        <f>SUMIFS(Ведомость!$N$5:$N$1270,Ведомость!$H$5:$H$1270,16,Ведомость!$I$5:$I$1270,"А240",Ведомость!$V$5:$V$1270,"П-доп-верх",Ведомость!$W$5:$W$1270,2)</f>
        <v/>
      </c>
      <c r="AA65" s="35">
        <f>SUMIFS(Ведомость!$N$5:$N$1270,Ведомость!$H$5:$H$1270,16,Ведомость!$I$5:$I$1270,"А240",Ведомость!$V$5:$V$1270,"П-край",Ведомость!$W$5:$W$1270,2)</f>
        <v/>
      </c>
      <c r="AB65" s="35">
        <f>SUMIFS(Ведомость!$N$5:$N$1270,Ведомость!$H$5:$H$1270,16,Ведомость!$I$5:$I$1270,"А240",Ведомость!$V$5:$V$1270,"С-1",Ведомость!$W$5:$W$1270,2)</f>
        <v/>
      </c>
      <c r="AC65" s="35">
        <f>SUMIFS(Ведомость!$N$5:$N$1270,Ведомость!$H$5:$H$1270,16,Ведомость!$I$5:$I$1270,"А240",Ведомость!$V$5:$V$1270,"Л1",Ведомость!$W$5:$W$1270,2)</f>
        <v/>
      </c>
      <c r="AD65" s="35">
        <f>SUMIFS(Ведомость!$N$5:$N$1270,Ведомость!$H$5:$H$1270,16,Ведомость!$I$5:$I$1270,"А240",Ведомость!$V$5:$V$1270,"Л2",Ведомость!$W$5:$W$1270,2)</f>
        <v/>
      </c>
      <c r="AE65" s="35">
        <f>SUMIFS(Ведомость!$N$5:$N$1270,Ведомость!$H$5:$H$1270,16,Ведомость!$I$5:$I$1270,"А240",Ведомость!$V$5:$V$1270,"Л-пл",Ведомость!$W$5:$W$1270,2)</f>
        <v/>
      </c>
      <c r="AF65" s="35">
        <f>SUMIFS(Ведомость!$N$5:$N$1270,Ведомость!$H$5:$H$1270,16,Ведомость!$I$5:$I$1270,"А240",Ведомость!$V$5:$V$1270,"Л-рама",Ведомость!$W$5:$W$1270,2)</f>
        <v/>
      </c>
      <c r="AG65" s="36">
        <f>SUM(B65:AF65)</f>
        <v/>
      </c>
      <c r="AH65" s="37">
        <f>IFERROR(INDEX(Исходные!$B$19:$B$31,MATCH(16,Исходные!$A$19:$A$31,0)),0)</f>
        <v/>
      </c>
      <c r="AI65" s="36">
        <f>AG65*AH65*$AJ$2</f>
        <v/>
      </c>
      <c r="AJ65" s="38">
        <f>SUM(B65:D65,F65,H65,J65:M65)</f>
        <v/>
      </c>
      <c r="AK65" s="39">
        <f>AH65</f>
        <v/>
      </c>
      <c r="AL65" s="40">
        <f>AJ65*AK65*$AJ$2</f>
        <v/>
      </c>
      <c r="AM65" s="38">
        <f>SUM(E65,G65,I65,N65:AB65)</f>
        <v/>
      </c>
      <c r="AN65" s="39">
        <f>AH65</f>
        <v/>
      </c>
      <c r="AO65" s="40">
        <f>AM65*AN65*$AJ$2</f>
        <v/>
      </c>
      <c r="AP65" s="38">
        <f>SUM(AC65:AF65)</f>
        <v/>
      </c>
      <c r="AQ65" s="39">
        <f>AH65</f>
        <v/>
      </c>
      <c r="AR65" s="40">
        <f>AP65*AQ65*$AJ$2</f>
        <v/>
      </c>
    </row>
    <row r="66">
      <c r="A66" s="6" t="inlineStr">
        <is>
          <t>Диаметр 12 А240, L=м.п.</t>
        </is>
      </c>
      <c r="B66" s="35">
        <f>SUMIFS(Ведомость!$N$5:$N$1270,Ведомость!$H$5:$H$1270,12,Ведомость!$I$5:$I$1270,"А240",Ведомость!$V$5:$V$1270,"Дм-1",Ведомость!$W$5:$W$1270,2)</f>
        <v/>
      </c>
      <c r="C66" s="35">
        <f>SUMIFS(Ведомость!$N$5:$N$1270,Ведомость!$H$5:$H$1270,12,Ведомость!$I$5:$I$1270,"А240",Ведомость!$V$5:$V$1270,"Дм-2",Ведомость!$W$5:$W$1270,2)</f>
        <v/>
      </c>
      <c r="D66" s="35">
        <f>SUMIFS(Ведомость!$N$5:$N$1270,Ведомость!$H$5:$H$1270,12,Ведомость!$I$5:$I$1270,"А240",Ведомость!$V$5:$V$1270,"К-А",Ведомость!$W$5:$W$1270,2)</f>
        <v/>
      </c>
      <c r="E66" s="35">
        <f>SUMIFS(Ведомость!$N$5:$N$1270,Ведомость!$H$5:$H$1270,12,Ведомость!$I$5:$I$1270,"А240",Ведомость!$V$5:$V$1270,"Р-А",Ведомость!$W$5:$W$1270,2)</f>
        <v/>
      </c>
      <c r="F66" s="35">
        <f>SUMIFS(Ведомость!$N$5:$N$1270,Ведомость!$H$5:$H$1270,12,Ведомость!$I$5:$I$1270,"А240",Ведомость!$V$5:$V$1270,"К-Б",Ведомость!$W$5:$W$1270,2)</f>
        <v/>
      </c>
      <c r="G66" s="35">
        <f>SUMIFS(Ведомость!$N$5:$N$1270,Ведомость!$H$5:$H$1270,12,Ведомость!$I$5:$I$1270,"А240",Ведомость!$V$5:$V$1270,"Р-Б",Ведомость!$W$5:$W$1270,2)</f>
        <v/>
      </c>
      <c r="H66" s="35">
        <f>SUMIFS(Ведомость!$N$5:$N$1270,Ведомость!$H$5:$H$1270,12,Ведомость!$I$5:$I$1270,"А240",Ведомость!$V$5:$V$1270,"К-В",Ведомость!$W$5:$W$1270,2)</f>
        <v/>
      </c>
      <c r="I66" s="35">
        <f>SUMIFS(Ведомость!$N$5:$N$1270,Ведомость!$H$5:$H$1270,12,Ведомость!$I$5:$I$1270,"А240",Ведомость!$V$5:$V$1270,"Р-В",Ведомость!$W$5:$W$1270,2)</f>
        <v/>
      </c>
      <c r="J66" s="35">
        <f>SUMIFS(Ведомость!$N$5:$N$1270,Ведомость!$H$5:$H$1270,12,Ведомость!$I$5:$I$1270,"А240",Ведомость!$V$5:$V$1270,"К-Г",Ведомость!$W$5:$W$1270,2)</f>
        <v/>
      </c>
      <c r="K66" s="35">
        <f>SUMIFS(Ведомость!$N$5:$N$1270,Ведомость!$H$5:$H$1270,12,Ведомость!$I$5:$I$1270,"А240",Ведомость!$V$5:$V$1270,"Дм-3",Ведомость!$W$5:$W$1270,2)</f>
        <v/>
      </c>
      <c r="L66" s="35">
        <f>SUMIFS(Ведомость!$N$5:$N$1270,Ведомость!$H$5:$H$1270,12,Ведомость!$I$5:$I$1270,"А240",Ведомость!$V$5:$V$1270,"Дм-4",Ведомость!$W$5:$W$1270,2)</f>
        <v/>
      </c>
      <c r="M66" s="35">
        <f>SUMIFS(Ведомость!$N$5:$N$1270,Ведомость!$H$5:$H$1270,12,Ведомость!$I$5:$I$1270,"А240",Ведомость!$V$5:$V$1270,"Дм-5",Ведомость!$W$5:$W$1270,2)</f>
        <v/>
      </c>
      <c r="N66" s="35">
        <f>SUMIFS(Ведомость!$N$5:$N$1270,Ведомость!$H$5:$H$1270,12,Ведомость!$I$5:$I$1270,"А240",Ведомость!$V$5:$V$1270,"Р-Г",Ведомость!$W$5:$W$1270,2)</f>
        <v/>
      </c>
      <c r="O66" s="35">
        <f>SUMIFS(Ведомость!$N$5:$N$1270,Ведомость!$H$5:$H$1270,12,Ведомость!$I$5:$I$1270,"А240",Ведомость!$V$5:$V$1270,"Р-1, 5",Ведомость!$W$5:$W$1270,2)</f>
        <v/>
      </c>
      <c r="P66" s="35">
        <f>SUMIFS(Ведомость!$N$5:$N$1270,Ведомость!$H$5:$H$1270,12,Ведомость!$I$5:$I$1270,"А240",Ведомость!$V$5:$V$1270,"Р-2",Ведомость!$W$5:$W$1270,2)</f>
        <v/>
      </c>
      <c r="Q66" s="35">
        <f>SUMIFS(Ведомость!$N$5:$N$1270,Ведомость!$H$5:$H$1270,12,Ведомость!$I$5:$I$1270,"А240",Ведомость!$V$5:$V$1270,"Р-3",Ведомость!$W$5:$W$1270,2)</f>
        <v/>
      </c>
      <c r="R66" s="35">
        <f>SUMIFS(Ведомость!$N$5:$N$1270,Ведомость!$H$5:$H$1270,12,Ведомость!$I$5:$I$1270,"А240",Ведомость!$V$5:$V$1270,"Р-4",Ведомость!$W$5:$W$1270,2)</f>
        <v/>
      </c>
      <c r="S66" s="35">
        <f>SUMIFS(Ведомость!$N$5:$N$1270,Ведомость!$H$5:$H$1270,12,Ведомость!$I$5:$I$1270,"А240",Ведомость!$V$5:$V$1270,"Б-основная",Ведомость!$W$5:$W$1270,2)</f>
        <v/>
      </c>
      <c r="T66" s="35">
        <f>SUMIFS(Ведомость!$N$5:$N$1270,Ведомость!$H$5:$H$1270,12,Ведомость!$I$5:$I$1270,"А240",Ведомость!$V$5:$V$1270,"Б-хомуты",Ведомость!$W$5:$W$1270,2)</f>
        <v/>
      </c>
      <c r="U66" s="35">
        <f>SUMIFS(Ведомость!$N$5:$N$1270,Ведомость!$H$5:$H$1270,12,Ведомость!$I$5:$I$1270,"А240",Ведомость!$V$5:$V$1270,"Б-допник",Ведомость!$W$5:$W$1270,2)</f>
        <v/>
      </c>
      <c r="V66" s="35">
        <f>SUMIFS(Ведомость!$N$5:$N$1270,Ведомость!$H$5:$H$1270,12,Ведомость!$I$5:$I$1270,"А240",Ведомость!$V$5:$V$1270,"П-сетка",Ведомость!$W$5:$W$1270,2)</f>
        <v/>
      </c>
      <c r="W66" s="35">
        <f>SUMIFS(Ведомость!$N$5:$N$1270,Ведомость!$H$5:$H$1270,12,Ведомость!$I$5:$I$1270,"А240",Ведомость!$V$5:$V$1270,"П-фикс",Ведомость!$W$5:$W$1270,2)</f>
        <v/>
      </c>
      <c r="X66" s="35">
        <f>SUMIFS(Ведомость!$N$5:$N$1270,Ведомость!$H$5:$H$1270,12,Ведомость!$I$5:$I$1270,"А240",Ведомость!$V$5:$V$1270,"П-отв",Ведомость!$W$5:$W$1270,2)</f>
        <v/>
      </c>
      <c r="Y66" s="35">
        <f>SUMIFS(Ведомость!$N$5:$N$1270,Ведомость!$H$5:$H$1270,12,Ведомость!$I$5:$I$1270,"А240",Ведомость!$V$5:$V$1270,"П-доп-низ",Ведомость!$W$5:$W$1270,2)</f>
        <v/>
      </c>
      <c r="Z66" s="35">
        <f>SUMIFS(Ведомость!$N$5:$N$1270,Ведомость!$H$5:$H$1270,12,Ведомость!$I$5:$I$1270,"А240",Ведомость!$V$5:$V$1270,"П-доп-верх",Ведомость!$W$5:$W$1270,2)</f>
        <v/>
      </c>
      <c r="AA66" s="35">
        <f>SUMIFS(Ведомость!$N$5:$N$1270,Ведомость!$H$5:$H$1270,12,Ведомость!$I$5:$I$1270,"А240",Ведомость!$V$5:$V$1270,"П-край",Ведомость!$W$5:$W$1270,2)</f>
        <v/>
      </c>
      <c r="AB66" s="35">
        <f>SUMIFS(Ведомость!$N$5:$N$1270,Ведомость!$H$5:$H$1270,12,Ведомость!$I$5:$I$1270,"А240",Ведомость!$V$5:$V$1270,"С-1",Ведомость!$W$5:$W$1270,2)</f>
        <v/>
      </c>
      <c r="AC66" s="35">
        <f>SUMIFS(Ведомость!$N$5:$N$1270,Ведомость!$H$5:$H$1270,12,Ведомость!$I$5:$I$1270,"А240",Ведомость!$V$5:$V$1270,"Л1",Ведомость!$W$5:$W$1270,2)</f>
        <v/>
      </c>
      <c r="AD66" s="35">
        <f>SUMIFS(Ведомость!$N$5:$N$1270,Ведомость!$H$5:$H$1270,12,Ведомость!$I$5:$I$1270,"А240",Ведомость!$V$5:$V$1270,"Л2",Ведомость!$W$5:$W$1270,2)</f>
        <v/>
      </c>
      <c r="AE66" s="35">
        <f>SUMIFS(Ведомость!$N$5:$N$1270,Ведомость!$H$5:$H$1270,12,Ведомость!$I$5:$I$1270,"А240",Ведомость!$V$5:$V$1270,"Л-пл",Ведомость!$W$5:$W$1270,2)</f>
        <v/>
      </c>
      <c r="AF66" s="35">
        <f>SUMIFS(Ведомость!$N$5:$N$1270,Ведомость!$H$5:$H$1270,12,Ведомость!$I$5:$I$1270,"А240",Ведомость!$V$5:$V$1270,"Л-рама",Ведомость!$W$5:$W$1270,2)</f>
        <v/>
      </c>
      <c r="AG66" s="36">
        <f>SUM(B66:AF66)</f>
        <v/>
      </c>
      <c r="AH66" s="37">
        <f>IFERROR(INDEX(Исходные!$B$19:$B$31,MATCH(12,Исходные!$A$19:$A$31,0)),0)</f>
        <v/>
      </c>
      <c r="AI66" s="36">
        <f>AG66*AH66*$AJ$2</f>
        <v/>
      </c>
      <c r="AJ66" s="38">
        <f>SUM(B66:D66,F66,H66,J66:M66)</f>
        <v/>
      </c>
      <c r="AK66" s="39">
        <f>AH66</f>
        <v/>
      </c>
      <c r="AL66" s="40">
        <f>AJ66*AK66*$AJ$2</f>
        <v/>
      </c>
      <c r="AM66" s="38">
        <f>SUM(E66,G66,I66,N66:AB66)</f>
        <v/>
      </c>
      <c r="AN66" s="39">
        <f>AH66</f>
        <v/>
      </c>
      <c r="AO66" s="40">
        <f>AM66*AN66*$AJ$2</f>
        <v/>
      </c>
      <c r="AP66" s="38">
        <f>SUM(AC66:AF66)</f>
        <v/>
      </c>
      <c r="AQ66" s="39">
        <f>AH66</f>
        <v/>
      </c>
      <c r="AR66" s="40">
        <f>AP66*AQ66*$AJ$2</f>
        <v/>
      </c>
    </row>
    <row r="67">
      <c r="A67" s="6" t="inlineStr">
        <is>
          <t>Диаметр 10 А240, L=м.п.</t>
        </is>
      </c>
      <c r="B67" s="35">
        <f>SUMIFS(Ведомость!$N$5:$N$1270,Ведомость!$H$5:$H$1270,10,Ведомость!$I$5:$I$1270,"А240",Ведомость!$V$5:$V$1270,"Дм-1",Ведомость!$W$5:$W$1270,2)</f>
        <v/>
      </c>
      <c r="C67" s="35">
        <f>SUMIFS(Ведомость!$N$5:$N$1270,Ведомость!$H$5:$H$1270,10,Ведомость!$I$5:$I$1270,"А240",Ведомость!$V$5:$V$1270,"Дм-2",Ведомость!$W$5:$W$1270,2)</f>
        <v/>
      </c>
      <c r="D67" s="35">
        <f>SUMIFS(Ведомость!$N$5:$N$1270,Ведомость!$H$5:$H$1270,10,Ведомость!$I$5:$I$1270,"А240",Ведомость!$V$5:$V$1270,"К-А",Ведомость!$W$5:$W$1270,2)</f>
        <v/>
      </c>
      <c r="E67" s="35">
        <f>SUMIFS(Ведомость!$N$5:$N$1270,Ведомость!$H$5:$H$1270,10,Ведомость!$I$5:$I$1270,"А240",Ведомость!$V$5:$V$1270,"Р-А",Ведомость!$W$5:$W$1270,2)</f>
        <v/>
      </c>
      <c r="F67" s="35">
        <f>SUMIFS(Ведомость!$N$5:$N$1270,Ведомость!$H$5:$H$1270,10,Ведомость!$I$5:$I$1270,"А240",Ведомость!$V$5:$V$1270,"К-Б",Ведомость!$W$5:$W$1270,2)</f>
        <v/>
      </c>
      <c r="G67" s="35">
        <f>SUMIFS(Ведомость!$N$5:$N$1270,Ведомость!$H$5:$H$1270,10,Ведомость!$I$5:$I$1270,"А240",Ведомость!$V$5:$V$1270,"Р-Б",Ведомость!$W$5:$W$1270,2)</f>
        <v/>
      </c>
      <c r="H67" s="35">
        <f>SUMIFS(Ведомость!$N$5:$N$1270,Ведомость!$H$5:$H$1270,10,Ведомость!$I$5:$I$1270,"А240",Ведомость!$V$5:$V$1270,"К-В",Ведомость!$W$5:$W$1270,2)</f>
        <v/>
      </c>
      <c r="I67" s="35">
        <f>SUMIFS(Ведомость!$N$5:$N$1270,Ведомость!$H$5:$H$1270,10,Ведомость!$I$5:$I$1270,"А240",Ведомость!$V$5:$V$1270,"Р-В",Ведомость!$W$5:$W$1270,2)</f>
        <v/>
      </c>
      <c r="J67" s="35">
        <f>SUMIFS(Ведомость!$N$5:$N$1270,Ведомость!$H$5:$H$1270,10,Ведомость!$I$5:$I$1270,"А240",Ведомость!$V$5:$V$1270,"К-Г",Ведомость!$W$5:$W$1270,2)</f>
        <v/>
      </c>
      <c r="K67" s="35">
        <f>SUMIFS(Ведомость!$N$5:$N$1270,Ведомость!$H$5:$H$1270,10,Ведомость!$I$5:$I$1270,"А240",Ведомость!$V$5:$V$1270,"Дм-3",Ведомость!$W$5:$W$1270,2)</f>
        <v/>
      </c>
      <c r="L67" s="35">
        <f>SUMIFS(Ведомость!$N$5:$N$1270,Ведомость!$H$5:$H$1270,10,Ведомость!$I$5:$I$1270,"А240",Ведомость!$V$5:$V$1270,"Дм-4",Ведомость!$W$5:$W$1270,2)</f>
        <v/>
      </c>
      <c r="M67" s="35">
        <f>SUMIFS(Ведомость!$N$5:$N$1270,Ведомость!$H$5:$H$1270,10,Ведомость!$I$5:$I$1270,"А240",Ведомость!$V$5:$V$1270,"Дм-5",Ведомость!$W$5:$W$1270,2)</f>
        <v/>
      </c>
      <c r="N67" s="35">
        <f>SUMIFS(Ведомость!$N$5:$N$1270,Ведомость!$H$5:$H$1270,10,Ведомость!$I$5:$I$1270,"А240",Ведомость!$V$5:$V$1270,"Р-Г",Ведомость!$W$5:$W$1270,2)</f>
        <v/>
      </c>
      <c r="O67" s="35">
        <f>SUMIFS(Ведомость!$N$5:$N$1270,Ведомость!$H$5:$H$1270,10,Ведомость!$I$5:$I$1270,"А240",Ведомость!$V$5:$V$1270,"Р-1, 5",Ведомость!$W$5:$W$1270,2)</f>
        <v/>
      </c>
      <c r="P67" s="35">
        <f>SUMIFS(Ведомость!$N$5:$N$1270,Ведомость!$H$5:$H$1270,10,Ведомость!$I$5:$I$1270,"А240",Ведомость!$V$5:$V$1270,"Р-2",Ведомость!$W$5:$W$1270,2)</f>
        <v/>
      </c>
      <c r="Q67" s="35">
        <f>SUMIFS(Ведомость!$N$5:$N$1270,Ведомость!$H$5:$H$1270,10,Ведомость!$I$5:$I$1270,"А240",Ведомость!$V$5:$V$1270,"Р-3",Ведомость!$W$5:$W$1270,2)</f>
        <v/>
      </c>
      <c r="R67" s="35">
        <f>SUMIFS(Ведомость!$N$5:$N$1270,Ведомость!$H$5:$H$1270,10,Ведомость!$I$5:$I$1270,"А240",Ведомость!$V$5:$V$1270,"Р-4",Ведомость!$W$5:$W$1270,2)</f>
        <v/>
      </c>
      <c r="S67" s="35">
        <f>SUMIFS(Ведомость!$N$5:$N$1270,Ведомость!$H$5:$H$1270,10,Ведомость!$I$5:$I$1270,"А240",Ведомость!$V$5:$V$1270,"Б-основная",Ведомость!$W$5:$W$1270,2)</f>
        <v/>
      </c>
      <c r="T67" s="35">
        <f>SUMIFS(Ведомость!$N$5:$N$1270,Ведомость!$H$5:$H$1270,10,Ведомость!$I$5:$I$1270,"А240",Ведомость!$V$5:$V$1270,"Б-хомуты",Ведомость!$W$5:$W$1270,2)</f>
        <v/>
      </c>
      <c r="U67" s="35">
        <f>SUMIFS(Ведомость!$N$5:$N$1270,Ведомость!$H$5:$H$1270,10,Ведомость!$I$5:$I$1270,"А240",Ведомость!$V$5:$V$1270,"Б-допник",Ведомость!$W$5:$W$1270,2)</f>
        <v/>
      </c>
      <c r="V67" s="35">
        <f>SUMIFS(Ведомость!$N$5:$N$1270,Ведомость!$H$5:$H$1270,10,Ведомость!$I$5:$I$1270,"А240",Ведомость!$V$5:$V$1270,"П-сетка",Ведомость!$W$5:$W$1270,2)</f>
        <v/>
      </c>
      <c r="W67" s="35">
        <f>SUMIFS(Ведомость!$N$5:$N$1270,Ведомость!$H$5:$H$1270,10,Ведомость!$I$5:$I$1270,"А240",Ведомость!$V$5:$V$1270,"П-фикс",Ведомость!$W$5:$W$1270,2)</f>
        <v/>
      </c>
      <c r="X67" s="35">
        <f>SUMIFS(Ведомость!$N$5:$N$1270,Ведомость!$H$5:$H$1270,10,Ведомость!$I$5:$I$1270,"А240",Ведомость!$V$5:$V$1270,"П-отв",Ведомость!$W$5:$W$1270,2)</f>
        <v/>
      </c>
      <c r="Y67" s="35">
        <f>SUMIFS(Ведомость!$N$5:$N$1270,Ведомость!$H$5:$H$1270,10,Ведомость!$I$5:$I$1270,"А240",Ведомость!$V$5:$V$1270,"П-доп-низ",Ведомость!$W$5:$W$1270,2)</f>
        <v/>
      </c>
      <c r="Z67" s="35">
        <f>SUMIFS(Ведомость!$N$5:$N$1270,Ведомость!$H$5:$H$1270,10,Ведомость!$I$5:$I$1270,"А240",Ведомость!$V$5:$V$1270,"П-доп-верх",Ведомость!$W$5:$W$1270,2)</f>
        <v/>
      </c>
      <c r="AA67" s="35">
        <f>SUMIFS(Ведомость!$N$5:$N$1270,Ведомость!$H$5:$H$1270,10,Ведомость!$I$5:$I$1270,"А240",Ведомость!$V$5:$V$1270,"П-край",Ведомость!$W$5:$W$1270,2)</f>
        <v/>
      </c>
      <c r="AB67" s="35">
        <f>SUMIFS(Ведомость!$N$5:$N$1270,Ведомость!$H$5:$H$1270,10,Ведомость!$I$5:$I$1270,"А240",Ведомость!$V$5:$V$1270,"С-1",Ведомость!$W$5:$W$1270,2)</f>
        <v/>
      </c>
      <c r="AC67" s="35">
        <f>SUMIFS(Ведомость!$N$5:$N$1270,Ведомость!$H$5:$H$1270,10,Ведомость!$I$5:$I$1270,"А240",Ведомость!$V$5:$V$1270,"Л1",Ведомость!$W$5:$W$1270,2)</f>
        <v/>
      </c>
      <c r="AD67" s="35">
        <f>SUMIFS(Ведомость!$N$5:$N$1270,Ведомость!$H$5:$H$1270,10,Ведомость!$I$5:$I$1270,"А240",Ведомость!$V$5:$V$1270,"Л2",Ведомость!$W$5:$W$1270,2)</f>
        <v/>
      </c>
      <c r="AE67" s="35">
        <f>SUMIFS(Ведомость!$N$5:$N$1270,Ведомость!$H$5:$H$1270,10,Ведомость!$I$5:$I$1270,"А240",Ведомость!$V$5:$V$1270,"Л-пл",Ведомость!$W$5:$W$1270,2)</f>
        <v/>
      </c>
      <c r="AF67" s="35">
        <f>SUMIFS(Ведомость!$N$5:$N$1270,Ведомость!$H$5:$H$1270,10,Ведомость!$I$5:$I$1270,"А240",Ведомость!$V$5:$V$1270,"Л-рама",Ведомость!$W$5:$W$1270,2)</f>
        <v/>
      </c>
      <c r="AG67" s="36">
        <f>SUM(B67:AF67)</f>
        <v/>
      </c>
      <c r="AH67" s="37">
        <f>IFERROR(INDEX(Исходные!$B$19:$B$31,MATCH(10,Исходные!$A$19:$A$31,0)),0)</f>
        <v/>
      </c>
      <c r="AI67" s="36">
        <f>AG67*AH67*$AJ$2</f>
        <v/>
      </c>
      <c r="AJ67" s="38">
        <f>SUM(B67:D67,F67,H67,J67:M67)</f>
        <v/>
      </c>
      <c r="AK67" s="39">
        <f>AH67</f>
        <v/>
      </c>
      <c r="AL67" s="40">
        <f>AJ67*AK67*$AJ$2</f>
        <v/>
      </c>
      <c r="AM67" s="38">
        <f>SUM(E67,G67,I67,N67:AB67)</f>
        <v/>
      </c>
      <c r="AN67" s="39">
        <f>AH67</f>
        <v/>
      </c>
      <c r="AO67" s="40">
        <f>AM67*AN67*$AJ$2</f>
        <v/>
      </c>
      <c r="AP67" s="38">
        <f>SUM(AC67:AF67)</f>
        <v/>
      </c>
      <c r="AQ67" s="39">
        <f>AH67</f>
        <v/>
      </c>
      <c r="AR67" s="40">
        <f>AP67*AQ67*$AJ$2</f>
        <v/>
      </c>
    </row>
    <row r="68">
      <c r="A68" s="6" t="inlineStr">
        <is>
          <t>Диаметр 8 А240, L=м.п.</t>
        </is>
      </c>
      <c r="B68" s="35">
        <f>SUMIFS(Ведомость!$N$5:$N$1270,Ведомость!$H$5:$H$1270,8,Ведомость!$I$5:$I$1270,"А240",Ведомость!$V$5:$V$1270,"Дм-1",Ведомость!$W$5:$W$1270,2)</f>
        <v/>
      </c>
      <c r="C68" s="35">
        <f>SUMIFS(Ведомость!$N$5:$N$1270,Ведомость!$H$5:$H$1270,8,Ведомость!$I$5:$I$1270,"А240",Ведомость!$V$5:$V$1270,"Дм-2",Ведомость!$W$5:$W$1270,2)</f>
        <v/>
      </c>
      <c r="D68" s="35">
        <f>SUMIFS(Ведомость!$N$5:$N$1270,Ведомость!$H$5:$H$1270,8,Ведомость!$I$5:$I$1270,"А240",Ведомость!$V$5:$V$1270,"К-А",Ведомость!$W$5:$W$1270,2)</f>
        <v/>
      </c>
      <c r="E68" s="35">
        <f>SUMIFS(Ведомость!$N$5:$N$1270,Ведомость!$H$5:$H$1270,8,Ведомость!$I$5:$I$1270,"А240",Ведомость!$V$5:$V$1270,"Р-А",Ведомость!$W$5:$W$1270,2)</f>
        <v/>
      </c>
      <c r="F68" s="35">
        <f>SUMIFS(Ведомость!$N$5:$N$1270,Ведомость!$H$5:$H$1270,8,Ведомость!$I$5:$I$1270,"А240",Ведомость!$V$5:$V$1270,"К-Б",Ведомость!$W$5:$W$1270,2)</f>
        <v/>
      </c>
      <c r="G68" s="35">
        <f>SUMIFS(Ведомость!$N$5:$N$1270,Ведомость!$H$5:$H$1270,8,Ведомость!$I$5:$I$1270,"А240",Ведомость!$V$5:$V$1270,"Р-Б",Ведомость!$W$5:$W$1270,2)</f>
        <v/>
      </c>
      <c r="H68" s="35">
        <f>SUMIFS(Ведомость!$N$5:$N$1270,Ведомость!$H$5:$H$1270,8,Ведомость!$I$5:$I$1270,"А240",Ведомость!$V$5:$V$1270,"К-В",Ведомость!$W$5:$W$1270,2)</f>
        <v/>
      </c>
      <c r="I68" s="35">
        <f>SUMIFS(Ведомость!$N$5:$N$1270,Ведомость!$H$5:$H$1270,8,Ведомость!$I$5:$I$1270,"А240",Ведомость!$V$5:$V$1270,"Р-В",Ведомость!$W$5:$W$1270,2)</f>
        <v/>
      </c>
      <c r="J68" s="35">
        <f>SUMIFS(Ведомость!$N$5:$N$1270,Ведомость!$H$5:$H$1270,8,Ведомость!$I$5:$I$1270,"А240",Ведомость!$V$5:$V$1270,"К-Г",Ведомость!$W$5:$W$1270,2)</f>
        <v/>
      </c>
      <c r="K68" s="35">
        <f>SUMIFS(Ведомость!$N$5:$N$1270,Ведомость!$H$5:$H$1270,8,Ведомость!$I$5:$I$1270,"А240",Ведомость!$V$5:$V$1270,"Дм-3",Ведомость!$W$5:$W$1270,2)</f>
        <v/>
      </c>
      <c r="L68" s="35">
        <f>SUMIFS(Ведомость!$N$5:$N$1270,Ведомость!$H$5:$H$1270,8,Ведомость!$I$5:$I$1270,"А240",Ведомость!$V$5:$V$1270,"Дм-4",Ведомость!$W$5:$W$1270,2)</f>
        <v/>
      </c>
      <c r="M68" s="35">
        <f>SUMIFS(Ведомость!$N$5:$N$1270,Ведомость!$H$5:$H$1270,8,Ведомость!$I$5:$I$1270,"А240",Ведомость!$V$5:$V$1270,"Дм-5",Ведомость!$W$5:$W$1270,2)</f>
        <v/>
      </c>
      <c r="N68" s="35">
        <f>SUMIFS(Ведомость!$N$5:$N$1270,Ведомость!$H$5:$H$1270,8,Ведомость!$I$5:$I$1270,"А240",Ведомость!$V$5:$V$1270,"Р-Г",Ведомость!$W$5:$W$1270,2)</f>
        <v/>
      </c>
      <c r="O68" s="35">
        <f>SUMIFS(Ведомость!$N$5:$N$1270,Ведомость!$H$5:$H$1270,8,Ведомость!$I$5:$I$1270,"А240",Ведомость!$V$5:$V$1270,"Р-1, 5",Ведомость!$W$5:$W$1270,2)</f>
        <v/>
      </c>
      <c r="P68" s="35">
        <f>SUMIFS(Ведомость!$N$5:$N$1270,Ведомость!$H$5:$H$1270,8,Ведомость!$I$5:$I$1270,"А240",Ведомость!$V$5:$V$1270,"Р-2",Ведомость!$W$5:$W$1270,2)</f>
        <v/>
      </c>
      <c r="Q68" s="35">
        <f>SUMIFS(Ведомость!$N$5:$N$1270,Ведомость!$H$5:$H$1270,8,Ведомость!$I$5:$I$1270,"А240",Ведомость!$V$5:$V$1270,"Р-3",Ведомость!$W$5:$W$1270,2)</f>
        <v/>
      </c>
      <c r="R68" s="35">
        <f>SUMIFS(Ведомость!$N$5:$N$1270,Ведомость!$H$5:$H$1270,8,Ведомость!$I$5:$I$1270,"А240",Ведомость!$V$5:$V$1270,"Р-4",Ведомость!$W$5:$W$1270,2)</f>
        <v/>
      </c>
      <c r="S68" s="35">
        <f>SUMIFS(Ведомость!$N$5:$N$1270,Ведомость!$H$5:$H$1270,8,Ведомость!$I$5:$I$1270,"А240",Ведомость!$V$5:$V$1270,"Б-основная",Ведомость!$W$5:$W$1270,2)</f>
        <v/>
      </c>
      <c r="T68" s="35">
        <f>SUMIFS(Ведомость!$N$5:$N$1270,Ведомость!$H$5:$H$1270,8,Ведомость!$I$5:$I$1270,"А240",Ведомость!$V$5:$V$1270,"Б-хомуты",Ведомость!$W$5:$W$1270,2)</f>
        <v/>
      </c>
      <c r="U68" s="35">
        <f>SUMIFS(Ведомость!$N$5:$N$1270,Ведомость!$H$5:$H$1270,8,Ведомость!$I$5:$I$1270,"А240",Ведомость!$V$5:$V$1270,"Б-допник",Ведомость!$W$5:$W$1270,2)</f>
        <v/>
      </c>
      <c r="V68" s="35">
        <f>SUMIFS(Ведомость!$N$5:$N$1270,Ведомость!$H$5:$H$1270,8,Ведомость!$I$5:$I$1270,"А240",Ведомость!$V$5:$V$1270,"П-сетка",Ведомость!$W$5:$W$1270,2)</f>
        <v/>
      </c>
      <c r="W68" s="35">
        <f>SUMIFS(Ведомость!$N$5:$N$1270,Ведомость!$H$5:$H$1270,8,Ведомость!$I$5:$I$1270,"А240",Ведомость!$V$5:$V$1270,"П-фикс",Ведомость!$W$5:$W$1270,2)</f>
        <v/>
      </c>
      <c r="X68" s="35">
        <f>SUMIFS(Ведомость!$N$5:$N$1270,Ведомость!$H$5:$H$1270,8,Ведомость!$I$5:$I$1270,"А240",Ведомость!$V$5:$V$1270,"П-отв",Ведомость!$W$5:$W$1270,2)</f>
        <v/>
      </c>
      <c r="Y68" s="35">
        <f>SUMIFS(Ведомость!$N$5:$N$1270,Ведомость!$H$5:$H$1270,8,Ведомость!$I$5:$I$1270,"А240",Ведомость!$V$5:$V$1270,"П-доп-низ",Ведомость!$W$5:$W$1270,2)</f>
        <v/>
      </c>
      <c r="Z68" s="35">
        <f>SUMIFS(Ведомость!$N$5:$N$1270,Ведомость!$H$5:$H$1270,8,Ведомость!$I$5:$I$1270,"А240",Ведомость!$V$5:$V$1270,"П-доп-верх",Ведомость!$W$5:$W$1270,2)</f>
        <v/>
      </c>
      <c r="AA68" s="35">
        <f>SUMIFS(Ведомость!$N$5:$N$1270,Ведомость!$H$5:$H$1270,8,Ведомость!$I$5:$I$1270,"А240",Ведомость!$V$5:$V$1270,"П-край",Ведомость!$W$5:$W$1270,2)</f>
        <v/>
      </c>
      <c r="AB68" s="35">
        <f>SUMIFS(Ведомость!$N$5:$N$1270,Ведомость!$H$5:$H$1270,8,Ведомость!$I$5:$I$1270,"А240",Ведомость!$V$5:$V$1270,"С-1",Ведомость!$W$5:$W$1270,2)</f>
        <v/>
      </c>
      <c r="AC68" s="35">
        <f>SUMIFS(Ведомость!$N$5:$N$1270,Ведомость!$H$5:$H$1270,8,Ведомость!$I$5:$I$1270,"А240",Ведомость!$V$5:$V$1270,"Л1",Ведомость!$W$5:$W$1270,2)</f>
        <v/>
      </c>
      <c r="AD68" s="35">
        <f>SUMIFS(Ведомость!$N$5:$N$1270,Ведомость!$H$5:$H$1270,8,Ведомость!$I$5:$I$1270,"А240",Ведомость!$V$5:$V$1270,"Л2",Ведомость!$W$5:$W$1270,2)</f>
        <v/>
      </c>
      <c r="AE68" s="35">
        <f>SUMIFS(Ведомость!$N$5:$N$1270,Ведомость!$H$5:$H$1270,8,Ведомость!$I$5:$I$1270,"А240",Ведомость!$V$5:$V$1270,"Л-пл",Ведомость!$W$5:$W$1270,2)</f>
        <v/>
      </c>
      <c r="AF68" s="35">
        <f>SUMIFS(Ведомость!$N$5:$N$1270,Ведомость!$H$5:$H$1270,8,Ведомость!$I$5:$I$1270,"А240",Ведомость!$V$5:$V$1270,"Л-рама",Ведомость!$W$5:$W$1270,2)</f>
        <v/>
      </c>
      <c r="AG68" s="36">
        <f>SUM(B68:AF68)</f>
        <v/>
      </c>
      <c r="AH68" s="37">
        <f>IFERROR(INDEX(Исходные!$B$19:$B$31,MATCH(8,Исходные!$A$19:$A$31,0)),0)</f>
        <v/>
      </c>
      <c r="AI68" s="36">
        <f>AG68*AH68*$AJ$2</f>
        <v/>
      </c>
      <c r="AJ68" s="38">
        <f>SUM(B68:D68,F68,H68,J68:M68)</f>
        <v/>
      </c>
      <c r="AK68" s="39">
        <f>AH68</f>
        <v/>
      </c>
      <c r="AL68" s="40">
        <f>AJ68*AK68*$AJ$2</f>
        <v/>
      </c>
      <c r="AM68" s="38">
        <f>SUM(E68,G68,I68,N68:AB68)</f>
        <v/>
      </c>
      <c r="AN68" s="39">
        <f>AH68</f>
        <v/>
      </c>
      <c r="AO68" s="40">
        <f>AM68*AN68*$AJ$2</f>
        <v/>
      </c>
      <c r="AP68" s="38">
        <f>SUM(AC68:AF68)</f>
        <v/>
      </c>
      <c r="AQ68" s="39">
        <f>AH68</f>
        <v/>
      </c>
      <c r="AR68" s="40">
        <f>AP68*AQ68*$AJ$2</f>
        <v/>
      </c>
    </row>
    <row r="69">
      <c r="A69" s="6" t="inlineStr">
        <is>
          <t>Диаметр 6 А240, L=м.п.</t>
        </is>
      </c>
      <c r="B69" s="35">
        <f>SUMIFS(Ведомость!$N$5:$N$1270,Ведомость!$H$5:$H$1270,6,Ведомость!$I$5:$I$1270,"А240",Ведомость!$V$5:$V$1270,"Дм-1",Ведомость!$W$5:$W$1270,2)</f>
        <v/>
      </c>
      <c r="C69" s="35">
        <f>SUMIFS(Ведомость!$N$5:$N$1270,Ведомость!$H$5:$H$1270,6,Ведомость!$I$5:$I$1270,"А240",Ведомость!$V$5:$V$1270,"Дм-2",Ведомость!$W$5:$W$1270,2)</f>
        <v/>
      </c>
      <c r="D69" s="35">
        <f>SUMIFS(Ведомость!$N$5:$N$1270,Ведомость!$H$5:$H$1270,6,Ведомость!$I$5:$I$1270,"А240",Ведомость!$V$5:$V$1270,"К-А",Ведомость!$W$5:$W$1270,2)</f>
        <v/>
      </c>
      <c r="E69" s="35">
        <f>SUMIFS(Ведомость!$N$5:$N$1270,Ведомость!$H$5:$H$1270,6,Ведомость!$I$5:$I$1270,"А240",Ведомость!$V$5:$V$1270,"Р-А",Ведомость!$W$5:$W$1270,2)</f>
        <v/>
      </c>
      <c r="F69" s="35">
        <f>SUMIFS(Ведомость!$N$5:$N$1270,Ведомость!$H$5:$H$1270,6,Ведомость!$I$5:$I$1270,"А240",Ведомость!$V$5:$V$1270,"К-Б",Ведомость!$W$5:$W$1270,2)</f>
        <v/>
      </c>
      <c r="G69" s="35">
        <f>SUMIFS(Ведомость!$N$5:$N$1270,Ведомость!$H$5:$H$1270,6,Ведомость!$I$5:$I$1270,"А240",Ведомость!$V$5:$V$1270,"Р-Б",Ведомость!$W$5:$W$1270,2)</f>
        <v/>
      </c>
      <c r="H69" s="35">
        <f>SUMIFS(Ведомость!$N$5:$N$1270,Ведомость!$H$5:$H$1270,6,Ведомость!$I$5:$I$1270,"А240",Ведомость!$V$5:$V$1270,"К-В",Ведомость!$W$5:$W$1270,2)</f>
        <v/>
      </c>
      <c r="I69" s="35">
        <f>SUMIFS(Ведомость!$N$5:$N$1270,Ведомость!$H$5:$H$1270,6,Ведомость!$I$5:$I$1270,"А240",Ведомость!$V$5:$V$1270,"Р-В",Ведомость!$W$5:$W$1270,2)</f>
        <v/>
      </c>
      <c r="J69" s="35">
        <f>SUMIFS(Ведомость!$N$5:$N$1270,Ведомость!$H$5:$H$1270,6,Ведомость!$I$5:$I$1270,"А240",Ведомость!$V$5:$V$1270,"К-Г",Ведомость!$W$5:$W$1270,2)</f>
        <v/>
      </c>
      <c r="K69" s="35">
        <f>SUMIFS(Ведомость!$N$5:$N$1270,Ведомость!$H$5:$H$1270,6,Ведомость!$I$5:$I$1270,"А240",Ведомость!$V$5:$V$1270,"Дм-3",Ведомость!$W$5:$W$1270,2)</f>
        <v/>
      </c>
      <c r="L69" s="35">
        <f>SUMIFS(Ведомость!$N$5:$N$1270,Ведомость!$H$5:$H$1270,6,Ведомость!$I$5:$I$1270,"А240",Ведомость!$V$5:$V$1270,"Дм-4",Ведомость!$W$5:$W$1270,2)</f>
        <v/>
      </c>
      <c r="M69" s="35">
        <f>SUMIFS(Ведомость!$N$5:$N$1270,Ведомость!$H$5:$H$1270,6,Ведомость!$I$5:$I$1270,"А240",Ведомость!$V$5:$V$1270,"Дм-5",Ведомость!$W$5:$W$1270,2)</f>
        <v/>
      </c>
      <c r="N69" s="35">
        <f>SUMIFS(Ведомость!$N$5:$N$1270,Ведомость!$H$5:$H$1270,6,Ведомость!$I$5:$I$1270,"А240",Ведомость!$V$5:$V$1270,"Р-Г",Ведомость!$W$5:$W$1270,2)</f>
        <v/>
      </c>
      <c r="O69" s="35">
        <f>SUMIFS(Ведомость!$N$5:$N$1270,Ведомость!$H$5:$H$1270,6,Ведомость!$I$5:$I$1270,"А240",Ведомость!$V$5:$V$1270,"Р-1, 5",Ведомость!$W$5:$W$1270,2)</f>
        <v/>
      </c>
      <c r="P69" s="35">
        <f>SUMIFS(Ведомость!$N$5:$N$1270,Ведомость!$H$5:$H$1270,6,Ведомость!$I$5:$I$1270,"А240",Ведомость!$V$5:$V$1270,"Р-2",Ведомость!$W$5:$W$1270,2)</f>
        <v/>
      </c>
      <c r="Q69" s="35">
        <f>SUMIFS(Ведомость!$N$5:$N$1270,Ведомость!$H$5:$H$1270,6,Ведомость!$I$5:$I$1270,"А240",Ведомость!$V$5:$V$1270,"Р-3",Ведомость!$W$5:$W$1270,2)</f>
        <v/>
      </c>
      <c r="R69" s="35">
        <f>SUMIFS(Ведомость!$N$5:$N$1270,Ведомость!$H$5:$H$1270,6,Ведомость!$I$5:$I$1270,"А240",Ведомость!$V$5:$V$1270,"Р-4",Ведомость!$W$5:$W$1270,2)</f>
        <v/>
      </c>
      <c r="S69" s="35">
        <f>SUMIFS(Ведомость!$N$5:$N$1270,Ведомость!$H$5:$H$1270,6,Ведомость!$I$5:$I$1270,"А240",Ведомость!$V$5:$V$1270,"Б-основная",Ведомость!$W$5:$W$1270,2)</f>
        <v/>
      </c>
      <c r="T69" s="35">
        <f>SUMIFS(Ведомость!$N$5:$N$1270,Ведомость!$H$5:$H$1270,6,Ведомость!$I$5:$I$1270,"А240",Ведомость!$V$5:$V$1270,"Б-хомуты",Ведомость!$W$5:$W$1270,2)</f>
        <v/>
      </c>
      <c r="U69" s="35">
        <f>SUMIFS(Ведомость!$N$5:$N$1270,Ведомость!$H$5:$H$1270,6,Ведомость!$I$5:$I$1270,"А240",Ведомость!$V$5:$V$1270,"Б-допник",Ведомость!$W$5:$W$1270,2)</f>
        <v/>
      </c>
      <c r="V69" s="35">
        <f>SUMIFS(Ведомость!$N$5:$N$1270,Ведомость!$H$5:$H$1270,6,Ведомость!$I$5:$I$1270,"А240",Ведомость!$V$5:$V$1270,"П-сетка",Ведомость!$W$5:$W$1270,2)</f>
        <v/>
      </c>
      <c r="W69" s="35">
        <f>SUMIFS(Ведомость!$N$5:$N$1270,Ведомость!$H$5:$H$1270,6,Ведомость!$I$5:$I$1270,"А240",Ведомость!$V$5:$V$1270,"П-фикс",Ведомость!$W$5:$W$1270,2)</f>
        <v/>
      </c>
      <c r="X69" s="35">
        <f>SUMIFS(Ведомость!$N$5:$N$1270,Ведомость!$H$5:$H$1270,6,Ведомость!$I$5:$I$1270,"А240",Ведомость!$V$5:$V$1270,"П-отв",Ведомость!$W$5:$W$1270,2)</f>
        <v/>
      </c>
      <c r="Y69" s="35">
        <f>SUMIFS(Ведомость!$N$5:$N$1270,Ведомость!$H$5:$H$1270,6,Ведомость!$I$5:$I$1270,"А240",Ведомость!$V$5:$V$1270,"П-доп-низ",Ведомость!$W$5:$W$1270,2)</f>
        <v/>
      </c>
      <c r="Z69" s="35">
        <f>SUMIFS(Ведомость!$N$5:$N$1270,Ведомость!$H$5:$H$1270,6,Ведомость!$I$5:$I$1270,"А240",Ведомость!$V$5:$V$1270,"П-доп-верх",Ведомость!$W$5:$W$1270,2)</f>
        <v/>
      </c>
      <c r="AA69" s="35">
        <f>SUMIFS(Ведомость!$N$5:$N$1270,Ведомость!$H$5:$H$1270,6,Ведомость!$I$5:$I$1270,"А240",Ведомость!$V$5:$V$1270,"П-край",Ведомость!$W$5:$W$1270,2)</f>
        <v/>
      </c>
      <c r="AB69" s="35">
        <f>SUMIFS(Ведомость!$N$5:$N$1270,Ведомость!$H$5:$H$1270,6,Ведомость!$I$5:$I$1270,"А240",Ведомость!$V$5:$V$1270,"С-1",Ведомость!$W$5:$W$1270,2)</f>
        <v/>
      </c>
      <c r="AC69" s="35">
        <f>SUMIFS(Ведомость!$N$5:$N$1270,Ведомость!$H$5:$H$1270,6,Ведомость!$I$5:$I$1270,"А240",Ведомость!$V$5:$V$1270,"Л1",Ведомость!$W$5:$W$1270,2)</f>
        <v/>
      </c>
      <c r="AD69" s="35">
        <f>SUMIFS(Ведомость!$N$5:$N$1270,Ведомость!$H$5:$H$1270,6,Ведомость!$I$5:$I$1270,"А240",Ведомость!$V$5:$V$1270,"Л2",Ведомость!$W$5:$W$1270,2)</f>
        <v/>
      </c>
      <c r="AE69" s="35">
        <f>SUMIFS(Ведомость!$N$5:$N$1270,Ведомость!$H$5:$H$1270,6,Ведомость!$I$5:$I$1270,"А240",Ведомость!$V$5:$V$1270,"Л-пл",Ведомость!$W$5:$W$1270,2)</f>
        <v/>
      </c>
      <c r="AF69" s="35">
        <f>SUMIFS(Ведомость!$N$5:$N$1270,Ведомость!$H$5:$H$1270,6,Ведомость!$I$5:$I$1270,"А240",Ведомость!$V$5:$V$1270,"Л-рама",Ведомость!$W$5:$W$1270,2)</f>
        <v/>
      </c>
      <c r="AG69" s="36">
        <f>SUM(B69:AF69)</f>
        <v/>
      </c>
      <c r="AH69" s="37">
        <f>IFERROR(INDEX(Исходные!$B$19:$B$31,MATCH(6,Исходные!$A$19:$A$31,0)),0)</f>
        <v/>
      </c>
      <c r="AI69" s="36">
        <f>AG69*AH69*$AJ$2</f>
        <v/>
      </c>
      <c r="AJ69" s="38">
        <f>SUM(B69:D69,F69,H69,J69:M69)</f>
        <v/>
      </c>
      <c r="AK69" s="39">
        <f>AH69</f>
        <v/>
      </c>
      <c r="AL69" s="40">
        <f>AJ69*AK69*$AJ$2</f>
        <v/>
      </c>
      <c r="AM69" s="38">
        <f>SUM(E69,G69,I69,N69:AB69)</f>
        <v/>
      </c>
      <c r="AN69" s="39">
        <f>AH69</f>
        <v/>
      </c>
      <c r="AO69" s="40">
        <f>AM69*AN69*$AJ$2</f>
        <v/>
      </c>
      <c r="AP69" s="38">
        <f>SUM(AC69:AF69)</f>
        <v/>
      </c>
      <c r="AQ69" s="39">
        <f>AH69</f>
        <v/>
      </c>
      <c r="AR69" s="40">
        <f>AP69*AQ69*$AJ$2</f>
        <v/>
      </c>
    </row>
    <row r="70">
      <c r="A70" s="6" t="inlineStr">
        <is>
          <t>Сетка Ø5 Вр-I 100×100, м²</t>
        </is>
      </c>
      <c r="B70" s="41">
        <f>SUMIFS(Ведомость!$K$5:$K$1270,Ведомость!$H$5:$H$1270,5,Ведомость!$I$5:$I$1270,"Вр-I",Ведомость!$V$5:$V$1270,"Дм-1",Ведомость!$W$5:$W$1270,2)</f>
        <v/>
      </c>
      <c r="C70" s="41">
        <f>SUMIFS(Ведомость!$K$5:$K$1270,Ведомость!$H$5:$H$1270,5,Ведомость!$I$5:$I$1270,"Вр-I",Ведомость!$V$5:$V$1270,"Дм-2",Ведомость!$W$5:$W$1270,2)</f>
        <v/>
      </c>
      <c r="D70" s="41">
        <f>SUMIFS(Ведомость!$K$5:$K$1270,Ведомость!$H$5:$H$1270,5,Ведомость!$I$5:$I$1270,"Вр-I",Ведомость!$V$5:$V$1270,"К-А",Ведомость!$W$5:$W$1270,2)</f>
        <v/>
      </c>
      <c r="E70" s="41">
        <f>SUMIFS(Ведомость!$K$5:$K$1270,Ведомость!$H$5:$H$1270,5,Ведомость!$I$5:$I$1270,"Вр-I",Ведомость!$V$5:$V$1270,"Р-А",Ведомость!$W$5:$W$1270,2)</f>
        <v/>
      </c>
      <c r="F70" s="41">
        <f>SUMIFS(Ведомость!$K$5:$K$1270,Ведомость!$H$5:$H$1270,5,Ведомость!$I$5:$I$1270,"Вр-I",Ведомость!$V$5:$V$1270,"К-Б",Ведомость!$W$5:$W$1270,2)</f>
        <v/>
      </c>
      <c r="G70" s="41">
        <f>SUMIFS(Ведомость!$K$5:$K$1270,Ведомость!$H$5:$H$1270,5,Ведомость!$I$5:$I$1270,"Вр-I",Ведомость!$V$5:$V$1270,"Р-Б",Ведомость!$W$5:$W$1270,2)</f>
        <v/>
      </c>
      <c r="H70" s="41">
        <f>SUMIFS(Ведомость!$K$5:$K$1270,Ведомость!$H$5:$H$1270,5,Ведомость!$I$5:$I$1270,"Вр-I",Ведомость!$V$5:$V$1270,"К-В",Ведомость!$W$5:$W$1270,2)</f>
        <v/>
      </c>
      <c r="I70" s="41">
        <f>SUMIFS(Ведомость!$K$5:$K$1270,Ведомость!$H$5:$H$1270,5,Ведомость!$I$5:$I$1270,"Вр-I",Ведомость!$V$5:$V$1270,"Р-В",Ведомость!$W$5:$W$1270,2)</f>
        <v/>
      </c>
      <c r="J70" s="41">
        <f>SUMIFS(Ведомость!$K$5:$K$1270,Ведомость!$H$5:$H$1270,5,Ведомость!$I$5:$I$1270,"Вр-I",Ведомость!$V$5:$V$1270,"К-Г",Ведомость!$W$5:$W$1270,2)</f>
        <v/>
      </c>
      <c r="K70" s="41">
        <f>SUMIFS(Ведомость!$K$5:$K$1270,Ведомость!$H$5:$H$1270,5,Ведомость!$I$5:$I$1270,"Вр-I",Ведомость!$V$5:$V$1270,"Дм-3",Ведомость!$W$5:$W$1270,2)</f>
        <v/>
      </c>
      <c r="L70" s="41">
        <f>SUMIFS(Ведомость!$K$5:$K$1270,Ведомость!$H$5:$H$1270,5,Ведомость!$I$5:$I$1270,"Вр-I",Ведомость!$V$5:$V$1270,"Дм-4",Ведомость!$W$5:$W$1270,2)</f>
        <v/>
      </c>
      <c r="M70" s="41">
        <f>SUMIFS(Ведомость!$K$5:$K$1270,Ведомость!$H$5:$H$1270,5,Ведомость!$I$5:$I$1270,"Вр-I",Ведомость!$V$5:$V$1270,"Дм-5",Ведомость!$W$5:$W$1270,2)</f>
        <v/>
      </c>
      <c r="N70" s="41">
        <f>SUMIFS(Ведомость!$K$5:$K$1270,Ведомость!$H$5:$H$1270,5,Ведомость!$I$5:$I$1270,"Вр-I",Ведомость!$V$5:$V$1270,"Р-Г",Ведомость!$W$5:$W$1270,2)</f>
        <v/>
      </c>
      <c r="O70" s="41">
        <f>SUMIFS(Ведомость!$K$5:$K$1270,Ведомость!$H$5:$H$1270,5,Ведомость!$I$5:$I$1270,"Вр-I",Ведомость!$V$5:$V$1270,"Р-1, 5",Ведомость!$W$5:$W$1270,2)</f>
        <v/>
      </c>
      <c r="P70" s="41">
        <f>SUMIFS(Ведомость!$K$5:$K$1270,Ведомость!$H$5:$H$1270,5,Ведомость!$I$5:$I$1270,"Вр-I",Ведомость!$V$5:$V$1270,"Р-2",Ведомость!$W$5:$W$1270,2)</f>
        <v/>
      </c>
      <c r="Q70" s="41">
        <f>SUMIFS(Ведомость!$K$5:$K$1270,Ведомость!$H$5:$H$1270,5,Ведомость!$I$5:$I$1270,"Вр-I",Ведомость!$V$5:$V$1270,"Р-3",Ведомость!$W$5:$W$1270,2)</f>
        <v/>
      </c>
      <c r="R70" s="41">
        <f>SUMIFS(Ведомость!$K$5:$K$1270,Ведомость!$H$5:$H$1270,5,Ведомость!$I$5:$I$1270,"Вр-I",Ведомость!$V$5:$V$1270,"Р-4",Ведомость!$W$5:$W$1270,2)</f>
        <v/>
      </c>
      <c r="S70" s="41">
        <f>SUMIFS(Ведомость!$K$5:$K$1270,Ведомость!$H$5:$H$1270,5,Ведомость!$I$5:$I$1270,"Вр-I",Ведомость!$V$5:$V$1270,"Б-основная",Ведомость!$W$5:$W$1270,2)</f>
        <v/>
      </c>
      <c r="T70" s="41">
        <f>SUMIFS(Ведомость!$K$5:$K$1270,Ведомость!$H$5:$H$1270,5,Ведомость!$I$5:$I$1270,"Вр-I",Ведомость!$V$5:$V$1270,"Б-хомуты",Ведомость!$W$5:$W$1270,2)</f>
        <v/>
      </c>
      <c r="U70" s="41">
        <f>SUMIFS(Ведомость!$K$5:$K$1270,Ведомость!$H$5:$H$1270,5,Ведомость!$I$5:$I$1270,"Вр-I",Ведомость!$V$5:$V$1270,"Б-допник",Ведомость!$W$5:$W$1270,2)</f>
        <v/>
      </c>
      <c r="V70" s="41">
        <f>SUMIFS(Ведомость!$K$5:$K$1270,Ведомость!$H$5:$H$1270,5,Ведомость!$I$5:$I$1270,"Вр-I",Ведомость!$V$5:$V$1270,"П-сетка",Ведомость!$W$5:$W$1270,2)</f>
        <v/>
      </c>
      <c r="W70" s="41">
        <f>SUMIFS(Ведомость!$K$5:$K$1270,Ведомость!$H$5:$H$1270,5,Ведомость!$I$5:$I$1270,"Вр-I",Ведомость!$V$5:$V$1270,"П-фикс",Ведомость!$W$5:$W$1270,2)</f>
        <v/>
      </c>
      <c r="X70" s="41">
        <f>SUMIFS(Ведомость!$K$5:$K$1270,Ведомость!$H$5:$H$1270,5,Ведомость!$I$5:$I$1270,"Вр-I",Ведомость!$V$5:$V$1270,"П-отв",Ведомость!$W$5:$W$1270,2)</f>
        <v/>
      </c>
      <c r="Y70" s="41">
        <f>SUMIFS(Ведомость!$K$5:$K$1270,Ведомость!$H$5:$H$1270,5,Ведомость!$I$5:$I$1270,"Вр-I",Ведомость!$V$5:$V$1270,"П-доп-низ",Ведомость!$W$5:$W$1270,2)</f>
        <v/>
      </c>
      <c r="Z70" s="41">
        <f>SUMIFS(Ведомость!$K$5:$K$1270,Ведомость!$H$5:$H$1270,5,Ведомость!$I$5:$I$1270,"Вр-I",Ведомость!$V$5:$V$1270,"П-доп-верх",Ведомость!$W$5:$W$1270,2)</f>
        <v/>
      </c>
      <c r="AA70" s="41">
        <f>SUMIFS(Ведомость!$K$5:$K$1270,Ведомость!$H$5:$H$1270,5,Ведомость!$I$5:$I$1270,"Вр-I",Ведомость!$V$5:$V$1270,"П-край",Ведомость!$W$5:$W$1270,2)</f>
        <v/>
      </c>
      <c r="AB70" s="41">
        <f>SUMIFS(Ведомость!$K$5:$K$1270,Ведомость!$H$5:$H$1270,5,Ведомость!$I$5:$I$1270,"Вр-I",Ведомость!$V$5:$V$1270,"С-1",Ведомость!$W$5:$W$1270,2)</f>
        <v/>
      </c>
      <c r="AC70" s="41">
        <f>SUMIFS(Ведомость!$K$5:$K$1270,Ведомость!$H$5:$H$1270,5,Ведомость!$I$5:$I$1270,"Вр-I",Ведомость!$V$5:$V$1270,"Л1",Ведомость!$W$5:$W$1270,2)</f>
        <v/>
      </c>
      <c r="AD70" s="41">
        <f>SUMIFS(Ведомость!$K$5:$K$1270,Ведомость!$H$5:$H$1270,5,Ведомость!$I$5:$I$1270,"Вр-I",Ведомость!$V$5:$V$1270,"Л2",Ведомость!$W$5:$W$1270,2)</f>
        <v/>
      </c>
      <c r="AE70" s="41">
        <f>SUMIFS(Ведомость!$K$5:$K$1270,Ведомость!$H$5:$H$1270,5,Ведомость!$I$5:$I$1270,"Вр-I",Ведомость!$V$5:$V$1270,"Л-пл",Ведомость!$W$5:$W$1270,2)</f>
        <v/>
      </c>
      <c r="AF70" s="41">
        <f>SUMIFS(Ведомость!$K$5:$K$1270,Ведомость!$H$5:$H$1270,5,Ведомость!$I$5:$I$1270,"Вр-I",Ведомость!$V$5:$V$1270,"Л-рама",Ведомость!$W$5:$W$1270,2)</f>
        <v/>
      </c>
      <c r="AG70" s="36">
        <f>SUM(B70:AF70)</f>
        <v/>
      </c>
      <c r="AH70" s="37">
        <f>Исходные!$B$32</f>
        <v/>
      </c>
      <c r="AI70" s="36">
        <f>AG70*AH70*$AJ$2</f>
        <v/>
      </c>
      <c r="AJ70" s="38">
        <f>SUM(B70:D70,F70,H70,J70:M70)</f>
        <v/>
      </c>
      <c r="AK70" s="39">
        <f>AH70</f>
        <v/>
      </c>
      <c r="AL70" s="40">
        <f>AJ70*AK70*$AJ$2</f>
        <v/>
      </c>
      <c r="AM70" s="38">
        <f>SUM(E70,G70,I70,N70:AB70)</f>
        <v/>
      </c>
      <c r="AN70" s="39">
        <f>AH70</f>
        <v/>
      </c>
      <c r="AO70" s="40">
        <f>AM70*AN70*$AJ$2</f>
        <v/>
      </c>
      <c r="AP70" s="38">
        <f>SUM(AC70:AF70)</f>
        <v/>
      </c>
      <c r="AQ70" s="39">
        <f>AH70</f>
        <v/>
      </c>
      <c r="AR70" s="40">
        <f>AP70*AQ70*$AJ$2</f>
        <v/>
      </c>
    </row>
    <row r="71">
      <c r="A71" s="20" t="inlineStr">
        <is>
          <t>Масса чистая (без К зап), кг</t>
        </is>
      </c>
      <c r="B71" s="42">
        <f>SUMPRODUCT(B54:B70,$AH$54:$AH$70)</f>
        <v/>
      </c>
      <c r="C71" s="42">
        <f>SUMPRODUCT(C54:C70,$AH$54:$AH$70)</f>
        <v/>
      </c>
      <c r="D71" s="42">
        <f>SUMPRODUCT(D54:D70,$AH$54:$AH$70)</f>
        <v/>
      </c>
      <c r="E71" s="42">
        <f>SUMPRODUCT(E54:E70,$AH$54:$AH$70)</f>
        <v/>
      </c>
      <c r="F71" s="42">
        <f>SUMPRODUCT(F54:F70,$AH$54:$AH$70)</f>
        <v/>
      </c>
      <c r="G71" s="42">
        <f>SUMPRODUCT(G54:G70,$AH$54:$AH$70)</f>
        <v/>
      </c>
      <c r="H71" s="42">
        <f>SUMPRODUCT(H54:H70,$AH$54:$AH$70)</f>
        <v/>
      </c>
      <c r="I71" s="42">
        <f>SUMPRODUCT(I54:I70,$AH$54:$AH$70)</f>
        <v/>
      </c>
      <c r="J71" s="42">
        <f>SUMPRODUCT(J54:J70,$AH$54:$AH$70)</f>
        <v/>
      </c>
      <c r="K71" s="42">
        <f>SUMPRODUCT(K54:K70,$AH$54:$AH$70)</f>
        <v/>
      </c>
      <c r="L71" s="42">
        <f>SUMPRODUCT(L54:L70,$AH$54:$AH$70)</f>
        <v/>
      </c>
      <c r="M71" s="42">
        <f>SUMPRODUCT(M54:M70,$AH$54:$AH$70)</f>
        <v/>
      </c>
      <c r="N71" s="42">
        <f>SUMPRODUCT(N54:N70,$AH$54:$AH$70)</f>
        <v/>
      </c>
      <c r="O71" s="42">
        <f>SUMPRODUCT(O54:O70,$AH$54:$AH$70)</f>
        <v/>
      </c>
      <c r="P71" s="42">
        <f>SUMPRODUCT(P54:P70,$AH$54:$AH$70)</f>
        <v/>
      </c>
      <c r="Q71" s="42">
        <f>SUMPRODUCT(Q54:Q70,$AH$54:$AH$70)</f>
        <v/>
      </c>
      <c r="R71" s="42">
        <f>SUMPRODUCT(R54:R70,$AH$54:$AH$70)</f>
        <v/>
      </c>
      <c r="S71" s="42">
        <f>SUMPRODUCT(S54:S70,$AH$54:$AH$70)</f>
        <v/>
      </c>
      <c r="T71" s="42">
        <f>SUMPRODUCT(T54:T70,$AH$54:$AH$70)</f>
        <v/>
      </c>
      <c r="U71" s="42">
        <f>SUMPRODUCT(U54:U70,$AH$54:$AH$70)</f>
        <v/>
      </c>
      <c r="V71" s="42">
        <f>SUMPRODUCT(V54:V70,$AH$54:$AH$70)</f>
        <v/>
      </c>
      <c r="W71" s="42">
        <f>SUMPRODUCT(W54:W70,$AH$54:$AH$70)</f>
        <v/>
      </c>
      <c r="X71" s="42">
        <f>SUMPRODUCT(X54:X70,$AH$54:$AH$70)</f>
        <v/>
      </c>
      <c r="Y71" s="42">
        <f>SUMPRODUCT(Y54:Y70,$AH$54:$AH$70)</f>
        <v/>
      </c>
      <c r="Z71" s="42">
        <f>SUMPRODUCT(Z54:Z70,$AH$54:$AH$70)</f>
        <v/>
      </c>
      <c r="AA71" s="42">
        <f>SUMPRODUCT(AA54:AA70,$AH$54:$AH$70)</f>
        <v/>
      </c>
      <c r="AB71" s="42">
        <f>SUMPRODUCT(AB54:AB70,$AH$54:$AH$70)</f>
        <v/>
      </c>
      <c r="AC71" s="42">
        <f>SUMPRODUCT(AC54:AC70,$AH$54:$AH$70)</f>
        <v/>
      </c>
      <c r="AD71" s="42">
        <f>SUMPRODUCT(AD54:AD70,$AH$54:$AH$70)</f>
        <v/>
      </c>
      <c r="AE71" s="42">
        <f>SUMPRODUCT(AE54:AE70,$AH$54:$AH$70)</f>
        <v/>
      </c>
      <c r="AF71" s="42">
        <f>SUMPRODUCT(AF54:AF70,$AH$54:$AH$70)</f>
        <v/>
      </c>
      <c r="AG71" s="20" t="n"/>
      <c r="AH71" s="18" t="inlineStr">
        <is>
          <t>Итого:</t>
        </is>
      </c>
      <c r="AI71" s="43">
        <f>SUMPRODUCT(AG54:AG70,AH54:AH70)</f>
        <v/>
      </c>
      <c r="AJ71" s="20" t="n"/>
      <c r="AK71" s="18" t="inlineStr">
        <is>
          <t>Итого:</t>
        </is>
      </c>
      <c r="AL71" s="43">
        <f>SUMPRODUCT(AJ54:AJ70,AK54:AK70)</f>
        <v/>
      </c>
      <c r="AM71" s="20" t="n"/>
      <c r="AN71" s="18" t="inlineStr">
        <is>
          <t>Итого:</t>
        </is>
      </c>
      <c r="AO71" s="43">
        <f>SUMPRODUCT(AM54:AM70,AN54:AN70)</f>
        <v/>
      </c>
      <c r="AP71" s="20" t="n"/>
      <c r="AQ71" s="18" t="inlineStr">
        <is>
          <t>Итого:</t>
        </is>
      </c>
      <c r="AR71" s="43">
        <f>SUMPRODUCT(AP54:AP70,AQ54:AQ70)</f>
        <v/>
      </c>
    </row>
    <row r="72">
      <c r="A72" s="4" t="inlineStr">
        <is>
          <t>Всего с К зап, кг</t>
        </is>
      </c>
      <c r="B72" s="44">
        <f>B71*$AJ$2</f>
        <v/>
      </c>
      <c r="C72" s="44">
        <f>C71*$AJ$2</f>
        <v/>
      </c>
      <c r="D72" s="44">
        <f>D71*$AJ$2</f>
        <v/>
      </c>
      <c r="E72" s="44">
        <f>E71*$AJ$2</f>
        <v/>
      </c>
      <c r="F72" s="44">
        <f>F71*$AJ$2</f>
        <v/>
      </c>
      <c r="G72" s="44">
        <f>G71*$AJ$2</f>
        <v/>
      </c>
      <c r="H72" s="44">
        <f>H71*$AJ$2</f>
        <v/>
      </c>
      <c r="I72" s="44">
        <f>I71*$AJ$2</f>
        <v/>
      </c>
      <c r="J72" s="44">
        <f>J71*$AJ$2</f>
        <v/>
      </c>
      <c r="K72" s="44">
        <f>K71*$AJ$2</f>
        <v/>
      </c>
      <c r="L72" s="44">
        <f>L71*$AJ$2</f>
        <v/>
      </c>
      <c r="M72" s="44">
        <f>M71*$AJ$2</f>
        <v/>
      </c>
      <c r="N72" s="44">
        <f>N71*$AJ$2</f>
        <v/>
      </c>
      <c r="O72" s="44">
        <f>O71*$AJ$2</f>
        <v/>
      </c>
      <c r="P72" s="44">
        <f>P71*$AJ$2</f>
        <v/>
      </c>
      <c r="Q72" s="44">
        <f>Q71*$AJ$2</f>
        <v/>
      </c>
      <c r="R72" s="44">
        <f>R71*$AJ$2</f>
        <v/>
      </c>
      <c r="S72" s="44">
        <f>S71*$AJ$2</f>
        <v/>
      </c>
      <c r="T72" s="44">
        <f>T71*$AJ$2</f>
        <v/>
      </c>
      <c r="U72" s="44">
        <f>U71*$AJ$2</f>
        <v/>
      </c>
      <c r="V72" s="44">
        <f>V71*$AJ$2</f>
        <v/>
      </c>
      <c r="W72" s="44">
        <f>W71*$AJ$2</f>
        <v/>
      </c>
      <c r="X72" s="44">
        <f>X71*$AJ$2</f>
        <v/>
      </c>
      <c r="Y72" s="44">
        <f>Y71*$AJ$2</f>
        <v/>
      </c>
      <c r="Z72" s="44">
        <f>Z71*$AJ$2</f>
        <v/>
      </c>
      <c r="AA72" s="44">
        <f>AA71*$AJ$2</f>
        <v/>
      </c>
      <c r="AB72" s="44">
        <f>AB71*$AJ$2</f>
        <v/>
      </c>
      <c r="AC72" s="44">
        <f>AC71*$AJ$2</f>
        <v/>
      </c>
      <c r="AD72" s="44">
        <f>AD71*$AJ$2</f>
        <v/>
      </c>
      <c r="AE72" s="44">
        <f>AE71*$AJ$2</f>
        <v/>
      </c>
      <c r="AF72" s="44">
        <f>AF71*$AJ$2</f>
        <v/>
      </c>
      <c r="AG72" s="4" t="n"/>
      <c r="AH72" s="5" t="inlineStr">
        <is>
          <t>Итого (кг):</t>
        </is>
      </c>
      <c r="AI72" s="45">
        <f>SUM(AI54:AI70)</f>
        <v/>
      </c>
      <c r="AJ72" s="4" t="n"/>
      <c r="AK72" s="5" t="inlineStr">
        <is>
          <t>Итого (кг):</t>
        </is>
      </c>
      <c r="AL72" s="45">
        <f>SUM(AL54:AL70)</f>
        <v/>
      </c>
      <c r="AM72" s="4" t="n"/>
      <c r="AN72" s="5" t="inlineStr">
        <is>
          <t>Итого (кг):</t>
        </is>
      </c>
      <c r="AO72" s="45">
        <f>SUM(AO54:AO70)</f>
        <v/>
      </c>
      <c r="AP72" s="4" t="n"/>
      <c r="AQ72" s="5" t="inlineStr">
        <is>
          <t>Итого (кг):</t>
        </is>
      </c>
      <c r="AR72" s="45">
        <f>SUM(AR54:AR70)</f>
        <v/>
      </c>
    </row>
    <row r="73">
      <c r="AH73" s="5" t="inlineStr">
        <is>
          <t>Итого (т):</t>
        </is>
      </c>
      <c r="AI73" s="46">
        <f>AI72/1000</f>
        <v/>
      </c>
      <c r="AK73" s="5" t="inlineStr">
        <is>
          <t>Итого (т):</t>
        </is>
      </c>
      <c r="AL73" s="46">
        <f>AL72/1000</f>
        <v/>
      </c>
      <c r="AN73" s="5" t="inlineStr">
        <is>
          <t>Итого (т):</t>
        </is>
      </c>
      <c r="AO73" s="46">
        <f>AO72/1000</f>
        <v/>
      </c>
      <c r="AQ73" s="5" t="inlineStr">
        <is>
          <t>Итого (т):</t>
        </is>
      </c>
      <c r="AR73" s="46">
        <f>AR72/1000</f>
        <v/>
      </c>
    </row>
    <row r="74">
      <c r="A74" s="21" t="inlineStr">
        <is>
          <t>Контроль: чистая масса = «Ведомость», 2 этаж</t>
        </is>
      </c>
      <c r="AI74" s="22">
        <f>ROUND(AI71-Ведомость!P1272,1)</f>
        <v/>
      </c>
      <c r="AJ74" s="29" t="inlineStr">
        <is>
          <t>← должно быть 0</t>
        </is>
      </c>
    </row>
    <row r="76">
      <c r="A76" s="4" t="inlineStr">
        <is>
          <t>Бетон, (м3)</t>
        </is>
      </c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  <c r="AB76" s="4" t="n"/>
      <c r="AC76" s="4" t="n"/>
      <c r="AD76" s="4" t="n"/>
      <c r="AE76" s="4" t="n"/>
      <c r="AF76" s="4" t="n"/>
      <c r="AG76" s="4" t="n"/>
      <c r="AH76" s="4" t="n"/>
      <c r="AI76" s="4" t="n"/>
      <c r="AJ76" s="4" t="n"/>
      <c r="AK76" s="4" t="n"/>
      <c r="AL76" s="4" t="n"/>
      <c r="AM76" s="4" t="n"/>
      <c r="AN76" s="4" t="n"/>
      <c r="AO76" s="4" t="n"/>
      <c r="AP76" s="4" t="n"/>
      <c r="AQ76" s="4" t="n"/>
      <c r="AR76" s="4" t="n"/>
    </row>
    <row r="77">
      <c r="A77" s="6" t="inlineStr">
        <is>
          <t>Бетон В25, м3</t>
        </is>
      </c>
      <c r="B77" s="41">
        <f>(0.6*0.6+2*0.7*0.4+1.7*0.4)*(3.6-0.12)</f>
        <v/>
      </c>
      <c r="C77" s="41">
        <f>(0.6*0.6+0.7*0.4+1.7*0.4)*(3.6-0.12)</f>
        <v/>
      </c>
      <c r="D77" s="41">
        <f>3*0.6*0.6*(3.6-0.12)</f>
        <v/>
      </c>
      <c r="E77" s="41">
        <f>1*0.45*(0.6-0.12)*20.50</f>
        <v/>
      </c>
      <c r="F77" s="41">
        <f>5*0.6*0.6*(3.6-0.12)</f>
        <v/>
      </c>
      <c r="G77" s="41">
        <f>1*0.45*(0.6-0.12)*22.60</f>
        <v/>
      </c>
      <c r="H77" s="41">
        <f>5*0.6*0.6*(3.6-0.12)</f>
        <v/>
      </c>
      <c r="I77" s="41">
        <f>1*0.45*(0.6-0.12)*22.60</f>
        <v/>
      </c>
      <c r="J77" s="41">
        <f>2*0.6*0.6*(3.6-0.12)</f>
        <v/>
      </c>
      <c r="K77" s="41">
        <f>(0.6*0.6+2*0.7*0.4+0.9*0.4)*(3.6-0.12)</f>
        <v/>
      </c>
      <c r="L77" s="41">
        <f>(0.6*0.6+0.9*0.4)*(3.6-0.12)</f>
        <v/>
      </c>
      <c r="M77" s="41">
        <f>(0.6*0.6+0.7*0.4+0.9*0.4)*(3.6-0.12)</f>
        <v/>
      </c>
      <c r="N77" s="41">
        <f>1*0.45*(0.6-0.12)*19.80</f>
        <v/>
      </c>
      <c r="O77" s="41">
        <f>2*0.45*(0.6-0.12)*18.20</f>
        <v/>
      </c>
      <c r="P77" s="41">
        <f>1*0.45*(0.6-0.12)*15.80</f>
        <v/>
      </c>
      <c r="Q77" s="41">
        <f>1*0.45*(0.6-0.12)*18.20</f>
        <v/>
      </c>
      <c r="R77" s="41">
        <f>1*0.45*(0.6-0.12)*15.80</f>
        <v/>
      </c>
      <c r="S77" s="41">
        <f>137.85*0.3*(0.3-0.12)+6.05*0.3*(0.4-0.12)+(11.71+3.08)*0.2*(0.3-0.12)+35.75*0.25*(0.3-0.12)</f>
        <v/>
      </c>
      <c r="T77" s="41" t="n"/>
      <c r="U77" s="41" t="n"/>
      <c r="V77" s="41">
        <f>541.54*0.12</f>
        <v/>
      </c>
      <c r="W77" s="41" t="n"/>
      <c r="X77" s="41" t="n"/>
      <c r="Y77" s="41" t="n"/>
      <c r="Z77" s="41" t="n"/>
      <c r="AA77" s="41" t="n"/>
      <c r="AB77" s="41" t="n"/>
      <c r="AC77" s="41">
        <f>SQRT(3.3^2+1.8^2)*1.25*0.15+12*0.3*0.15/2*1.25</f>
        <v/>
      </c>
      <c r="AD77" s="41">
        <f>SQRT(3.3^2+1.8^2)*1.25*0.15+12*0.3*0.15/2*1.25</f>
        <v/>
      </c>
      <c r="AE77" s="41">
        <f>1.4*2.89*0.15</f>
        <v/>
      </c>
      <c r="AF77" s="41">
        <f>0.3*0.3*(1.7-0.3+0.55)+0.3*0.3*2.255</f>
        <v/>
      </c>
      <c r="AG77" s="47">
        <f>SUM(B77:AF77)</f>
        <v/>
      </c>
      <c r="AH77" s="21" t="n"/>
      <c r="AI77" s="47">
        <f>AG77*$AK$2</f>
        <v/>
      </c>
      <c r="AJ77" s="48">
        <f>SUM(B77:D77,F77,H77,J77:M77)</f>
        <v/>
      </c>
      <c r="AK77" s="6" t="n"/>
      <c r="AL77" s="25">
        <f>AJ77*$AK$2</f>
        <v/>
      </c>
      <c r="AM77" s="48">
        <f>SUM(E77,G77,I77,N77:AB77)</f>
        <v/>
      </c>
      <c r="AN77" s="6" t="n"/>
      <c r="AO77" s="25">
        <f>AM77*$AK$2</f>
        <v/>
      </c>
      <c r="AP77" s="48">
        <f>SUM(AC77:AF77)</f>
        <v/>
      </c>
      <c r="AQ77" s="6" t="n"/>
      <c r="AR77" s="25">
        <f>AP77*$AK$2</f>
        <v/>
      </c>
    </row>
    <row r="78">
      <c r="A78" s="21" t="inlineStr">
        <is>
          <t>Удельный расход (чистый), кг/м³</t>
        </is>
      </c>
      <c r="AI78" s="49">
        <f>IF(AG77&gt;0,AI71/AG77,0)</f>
        <v/>
      </c>
      <c r="AL78" s="50">
        <f>IF(AJ77&gt;0,AL71/AJ77,0)</f>
        <v/>
      </c>
      <c r="AO78" s="50">
        <f>IF(AM77&gt;0,AO71/AM77,0)</f>
        <v/>
      </c>
      <c r="AR78" s="50">
        <f>IF(AP77&gt;0,AR71/AP77,0)</f>
        <v/>
      </c>
    </row>
    <row r="80">
      <c r="A80" s="4" t="inlineStr">
        <is>
          <t>Прочие материалы, (шт.)</t>
        </is>
      </c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  <c r="AB80" s="4" t="n"/>
      <c r="AC80" s="4" t="n"/>
      <c r="AD80" s="4" t="n"/>
      <c r="AE80" s="4" t="n"/>
      <c r="AF80" s="4" t="n"/>
      <c r="AG80" s="4" t="n"/>
      <c r="AH80" s="4" t="n"/>
      <c r="AI80" s="4" t="n"/>
      <c r="AJ80" s="4" t="n"/>
      <c r="AK80" s="4" t="n"/>
      <c r="AL80" s="4" t="n"/>
      <c r="AM80" s="4" t="n"/>
      <c r="AN80" s="4" t="n"/>
      <c r="AO80" s="4" t="n"/>
      <c r="AP80" s="4" t="n"/>
      <c r="AQ80" s="4" t="n"/>
      <c r="AR80" s="4" t="n"/>
    </row>
    <row r="81">
      <c r="A81" s="6" t="inlineStr">
        <is>
          <t>АШ-1, д14, шт.</t>
        </is>
      </c>
      <c r="B81" s="51" t="n"/>
      <c r="C81" s="51" t="n"/>
      <c r="D81" s="51" t="n"/>
      <c r="E81" s="51" t="n"/>
      <c r="F81" s="51" t="n"/>
      <c r="G81" s="51" t="n"/>
      <c r="H81" s="51" t="n"/>
      <c r="I81" s="51" t="n"/>
      <c r="J81" s="51" t="n"/>
      <c r="K81" s="51" t="n"/>
      <c r="L81" s="51" t="n"/>
      <c r="M81" s="51" t="n"/>
      <c r="N81" s="51" t="n"/>
      <c r="O81" s="51" t="n"/>
      <c r="P81" s="51" t="n"/>
      <c r="Q81" s="51" t="n"/>
      <c r="R81" s="51" t="n"/>
      <c r="S81" s="51" t="n"/>
      <c r="T81" s="51" t="n"/>
      <c r="U81" s="51" t="n"/>
      <c r="V81" s="51" t="n"/>
      <c r="W81" s="51" t="n"/>
      <c r="X81" s="51" t="n"/>
      <c r="Y81" s="51" t="n"/>
      <c r="Z81" s="51" t="n"/>
      <c r="AA81" s="51" t="n"/>
      <c r="AB81" s="51" t="n"/>
      <c r="AC81" s="51" t="n"/>
      <c r="AD81" s="51" t="n"/>
      <c r="AE81" s="51" t="n"/>
      <c r="AF81" s="51" t="n"/>
      <c r="AG81" s="52">
        <f>SUM(B81:AF81)</f>
        <v/>
      </c>
      <c r="AJ81" s="53">
        <f>SUM(B81:D81,F81,H81,J81:M81)</f>
        <v/>
      </c>
      <c r="AM81" s="53">
        <f>SUM(E81,G81,I81,N81:AB81)</f>
        <v/>
      </c>
      <c r="AP81" s="53">
        <f>SUM(AC81:AF81)</f>
        <v/>
      </c>
    </row>
    <row r="82">
      <c r="A82" s="6" t="inlineStr">
        <is>
          <t>АШ-2, д16, шт.</t>
        </is>
      </c>
      <c r="B82" s="51" t="n"/>
      <c r="C82" s="51" t="n"/>
      <c r="D82" s="51" t="n"/>
      <c r="E82" s="51" t="n"/>
      <c r="F82" s="51" t="n"/>
      <c r="G82" s="51" t="n"/>
      <c r="H82" s="51" t="n"/>
      <c r="I82" s="51" t="n"/>
      <c r="J82" s="51" t="n"/>
      <c r="K82" s="51" t="n"/>
      <c r="L82" s="51" t="n"/>
      <c r="M82" s="51" t="n"/>
      <c r="N82" s="51" t="n"/>
      <c r="O82" s="51" t="n"/>
      <c r="P82" s="51" t="n"/>
      <c r="Q82" s="51" t="n"/>
      <c r="R82" s="51" t="n"/>
      <c r="S82" s="51" t="n"/>
      <c r="T82" s="51" t="n"/>
      <c r="U82" s="51" t="n"/>
      <c r="V82" s="51" t="n"/>
      <c r="W82" s="51" t="n"/>
      <c r="X82" s="51" t="n"/>
      <c r="Y82" s="51" t="n"/>
      <c r="Z82" s="51" t="n"/>
      <c r="AA82" s="51" t="n"/>
      <c r="AB82" s="51" t="n"/>
      <c r="AC82" s="51" t="n"/>
      <c r="AD82" s="51" t="n"/>
      <c r="AE82" s="51" t="n"/>
      <c r="AF82" s="51" t="n"/>
      <c r="AG82" s="52">
        <f>SUM(B82:AF82)</f>
        <v/>
      </c>
      <c r="AJ82" s="53">
        <f>SUM(B82:D82,F82,H82,J82:M82)</f>
        <v/>
      </c>
      <c r="AM82" s="53">
        <f>SUM(E82,G82,I82,N82:AB82)</f>
        <v/>
      </c>
      <c r="AP82" s="53">
        <f>SUM(AC82:AF82)</f>
        <v/>
      </c>
    </row>
    <row r="83">
      <c r="A83" s="6" t="inlineStr">
        <is>
          <t>АШ-3, д18, шт.</t>
        </is>
      </c>
      <c r="B83" s="51" t="n"/>
      <c r="C83" s="51" t="n"/>
      <c r="D83" s="51" t="n"/>
      <c r="E83" s="51" t="n"/>
      <c r="F83" s="51" t="n"/>
      <c r="G83" s="51" t="n"/>
      <c r="H83" s="51" t="n"/>
      <c r="I83" s="51" t="n"/>
      <c r="J83" s="51" t="n"/>
      <c r="K83" s="51" t="n"/>
      <c r="L83" s="51" t="n"/>
      <c r="M83" s="51" t="n"/>
      <c r="N83" s="51" t="n"/>
      <c r="O83" s="51" t="n"/>
      <c r="P83" s="51" t="n"/>
      <c r="Q83" s="51" t="n"/>
      <c r="R83" s="51" t="n"/>
      <c r="S83" s="51" t="n"/>
      <c r="T83" s="51" t="n"/>
      <c r="U83" s="51" t="n"/>
      <c r="V83" s="51" t="n"/>
      <c r="W83" s="51" t="n"/>
      <c r="X83" s="51" t="n"/>
      <c r="Y83" s="51" t="n"/>
      <c r="Z83" s="51" t="n"/>
      <c r="AA83" s="51" t="n"/>
      <c r="AB83" s="51" t="n"/>
      <c r="AC83" s="51" t="n"/>
      <c r="AD83" s="51" t="n"/>
      <c r="AE83" s="51" t="n"/>
      <c r="AF83" s="51" t="n"/>
      <c r="AG83" s="52">
        <f>SUM(B83:AF83)</f>
        <v/>
      </c>
      <c r="AJ83" s="53">
        <f>SUM(B83:D83,F83,H83,J83:M83)</f>
        <v/>
      </c>
      <c r="AM83" s="53">
        <f>SUM(E83,G83,I83,N83:AB83)</f>
        <v/>
      </c>
      <c r="AP83" s="53">
        <f>SUM(AC83:AF83)</f>
        <v/>
      </c>
    </row>
    <row r="84">
      <c r="A84" s="6" t="inlineStr">
        <is>
          <t>АШ-4, д20, шт.</t>
        </is>
      </c>
      <c r="B84" s="51" t="n"/>
      <c r="C84" s="51" t="n"/>
      <c r="D84" s="51" t="n"/>
      <c r="E84" s="51" t="n"/>
      <c r="F84" s="51" t="n"/>
      <c r="G84" s="51" t="n"/>
      <c r="H84" s="51" t="n"/>
      <c r="I84" s="51" t="n"/>
      <c r="J84" s="51" t="n"/>
      <c r="K84" s="51" t="n"/>
      <c r="L84" s="51" t="n"/>
      <c r="M84" s="51" t="n"/>
      <c r="N84" s="51" t="n"/>
      <c r="O84" s="51" t="n"/>
      <c r="P84" s="51" t="n"/>
      <c r="Q84" s="51" t="n"/>
      <c r="R84" s="51" t="n"/>
      <c r="S84" s="51" t="n"/>
      <c r="T84" s="51" t="n"/>
      <c r="U84" s="51" t="n"/>
      <c r="V84" s="51" t="n"/>
      <c r="W84" s="51" t="n"/>
      <c r="X84" s="51" t="n"/>
      <c r="Y84" s="51" t="n"/>
      <c r="Z84" s="51" t="n"/>
      <c r="AA84" s="51" t="n"/>
      <c r="AB84" s="51" t="n"/>
      <c r="AC84" s="51" t="n"/>
      <c r="AD84" s="51" t="n"/>
      <c r="AE84" s="51" t="n"/>
      <c r="AF84" s="51" t="n"/>
      <c r="AG84" s="52">
        <f>SUM(B84:AF84)</f>
        <v/>
      </c>
      <c r="AJ84" s="53">
        <f>SUM(B84:D84,F84,H84,J84:M84)</f>
        <v/>
      </c>
      <c r="AM84" s="53">
        <f>SUM(E84,G84,I84,N84:AB84)</f>
        <v/>
      </c>
      <c r="AP84" s="53">
        <f>SUM(AC84:AF84)</f>
        <v/>
      </c>
    </row>
    <row r="85">
      <c r="A85" s="6" t="inlineStr">
        <is>
          <t>АШ-5, д22, шт.</t>
        </is>
      </c>
      <c r="B85" s="51" t="n"/>
      <c r="C85" s="51" t="n"/>
      <c r="D85" s="51" t="n"/>
      <c r="E85" s="51" t="n"/>
      <c r="F85" s="51" t="n"/>
      <c r="G85" s="51" t="n"/>
      <c r="H85" s="51" t="n"/>
      <c r="I85" s="51" t="n"/>
      <c r="J85" s="51" t="n"/>
      <c r="K85" s="51" t="n"/>
      <c r="L85" s="51" t="n"/>
      <c r="M85" s="51" t="n"/>
      <c r="N85" s="51" t="n">
        <v>2</v>
      </c>
      <c r="O85" s="51" t="n"/>
      <c r="P85" s="51" t="n"/>
      <c r="Q85" s="51" t="n"/>
      <c r="R85" s="51" t="n"/>
      <c r="S85" s="51" t="n"/>
      <c r="T85" s="51" t="n"/>
      <c r="U85" s="51" t="n"/>
      <c r="V85" s="51" t="n"/>
      <c r="W85" s="51" t="n"/>
      <c r="X85" s="51" t="n"/>
      <c r="Y85" s="51" t="n"/>
      <c r="Z85" s="51" t="n"/>
      <c r="AA85" s="51" t="n"/>
      <c r="AB85" s="51" t="n"/>
      <c r="AC85" s="51" t="n"/>
      <c r="AD85" s="51" t="n"/>
      <c r="AE85" s="51" t="n"/>
      <c r="AF85" s="51" t="n"/>
      <c r="AG85" s="52">
        <f>SUM(B85:AF85)</f>
        <v/>
      </c>
      <c r="AJ85" s="53">
        <f>SUM(B85:D85,F85,H85,J85:M85)</f>
        <v/>
      </c>
      <c r="AM85" s="53">
        <f>SUM(E85,G85,I85,N85:AB85)</f>
        <v/>
      </c>
      <c r="AP85" s="53">
        <f>SUM(AC85:AF85)</f>
        <v/>
      </c>
    </row>
    <row r="86">
      <c r="A86" s="6" t="inlineStr">
        <is>
          <t>АШ-6, д25, шт.</t>
        </is>
      </c>
      <c r="B86" s="51" t="n"/>
      <c r="C86" s="51" t="n"/>
      <c r="D86" s="51" t="n"/>
      <c r="E86" s="51" t="n">
        <v>4</v>
      </c>
      <c r="F86" s="51" t="n"/>
      <c r="G86" s="51" t="n"/>
      <c r="H86" s="51" t="n"/>
      <c r="I86" s="51" t="n">
        <v>2</v>
      </c>
      <c r="J86" s="51" t="n"/>
      <c r="K86" s="51" t="n"/>
      <c r="L86" s="51" t="n"/>
      <c r="M86" s="51" t="n"/>
      <c r="N86" s="51" t="n">
        <v>4</v>
      </c>
      <c r="O86" s="51" t="n">
        <v>4</v>
      </c>
      <c r="P86" s="51" t="n"/>
      <c r="Q86" s="51" t="n"/>
      <c r="R86" s="51" t="n"/>
      <c r="S86" s="51" t="n"/>
      <c r="T86" s="51" t="n"/>
      <c r="U86" s="51" t="n"/>
      <c r="V86" s="51" t="n"/>
      <c r="W86" s="51" t="n"/>
      <c r="X86" s="51" t="n"/>
      <c r="Y86" s="51" t="n"/>
      <c r="Z86" s="51" t="n"/>
      <c r="AA86" s="51" t="n"/>
      <c r="AB86" s="51" t="n"/>
      <c r="AC86" s="51" t="n"/>
      <c r="AD86" s="51" t="n"/>
      <c r="AE86" s="51" t="n"/>
      <c r="AF86" s="51" t="n">
        <v>16</v>
      </c>
      <c r="AG86" s="52">
        <f>SUM(B86:AF86)</f>
        <v/>
      </c>
      <c r="AJ86" s="53">
        <f>SUM(B86:D86,F86,H86,J86:M86)</f>
        <v/>
      </c>
      <c r="AM86" s="53">
        <f>SUM(E86,G86,I86,N86:AB86)</f>
        <v/>
      </c>
      <c r="AP86" s="53">
        <f>SUM(AC86:AF86)</f>
        <v/>
      </c>
    </row>
    <row r="87">
      <c r="A87" s="6" t="inlineStr">
        <is>
          <t>АШ-7, д28, шт.</t>
        </is>
      </c>
      <c r="B87" s="51" t="n"/>
      <c r="C87" s="51" t="n"/>
      <c r="D87" s="51" t="n"/>
      <c r="E87" s="51" t="n">
        <v>10</v>
      </c>
      <c r="F87" s="51" t="n"/>
      <c r="G87" s="51" t="n">
        <v>12</v>
      </c>
      <c r="H87" s="51" t="n"/>
      <c r="I87" s="51" t="n">
        <v>10</v>
      </c>
      <c r="J87" s="51" t="n"/>
      <c r="K87" s="51" t="n"/>
      <c r="L87" s="51" t="n"/>
      <c r="M87" s="51" t="n"/>
      <c r="N87" s="51" t="n">
        <v>8</v>
      </c>
      <c r="O87" s="51" t="n">
        <v>16</v>
      </c>
      <c r="P87" s="51" t="n">
        <v>8</v>
      </c>
      <c r="Q87" s="51" t="n">
        <v>10</v>
      </c>
      <c r="R87" s="51" t="n">
        <v>8</v>
      </c>
      <c r="S87" s="51" t="n"/>
      <c r="T87" s="51" t="n"/>
      <c r="U87" s="51" t="n"/>
      <c r="V87" s="51" t="n"/>
      <c r="W87" s="51" t="n"/>
      <c r="X87" s="51" t="n"/>
      <c r="Y87" s="51" t="n"/>
      <c r="Z87" s="51" t="n"/>
      <c r="AA87" s="51" t="n"/>
      <c r="AB87" s="51" t="n"/>
      <c r="AC87" s="51" t="n"/>
      <c r="AD87" s="51" t="n"/>
      <c r="AE87" s="51" t="n"/>
      <c r="AF87" s="51" t="n"/>
      <c r="AG87" s="52">
        <f>SUM(B87:AF87)</f>
        <v/>
      </c>
      <c r="AJ87" s="53">
        <f>SUM(B87:D87,F87,H87,J87:M87)</f>
        <v/>
      </c>
      <c r="AM87" s="53">
        <f>SUM(E87,G87,I87,N87:AB87)</f>
        <v/>
      </c>
      <c r="AP87" s="53">
        <f>SUM(AC87:AF87)</f>
        <v/>
      </c>
    </row>
    <row r="88">
      <c r="A88" s="6" t="inlineStr">
        <is>
          <t>АШ-8, д32, шт.</t>
        </is>
      </c>
      <c r="B88" s="51" t="n"/>
      <c r="C88" s="51" t="n"/>
      <c r="D88" s="51" t="n"/>
      <c r="E88" s="51" t="n">
        <v>2</v>
      </c>
      <c r="F88" s="51" t="n"/>
      <c r="G88" s="51" t="n"/>
      <c r="H88" s="51" t="n"/>
      <c r="I88" s="51" t="n"/>
      <c r="J88" s="51" t="n"/>
      <c r="K88" s="51" t="n"/>
      <c r="L88" s="51" t="n"/>
      <c r="M88" s="51" t="n"/>
      <c r="N88" s="51" t="n"/>
      <c r="O88" s="51" t="n">
        <v>4</v>
      </c>
      <c r="P88" s="51" t="n">
        <v>2</v>
      </c>
      <c r="Q88" s="51" t="n">
        <v>2</v>
      </c>
      <c r="R88" s="51" t="n">
        <v>2</v>
      </c>
      <c r="S88" s="51" t="n"/>
      <c r="T88" s="51" t="n"/>
      <c r="U88" s="51" t="n"/>
      <c r="V88" s="51" t="n"/>
      <c r="W88" s="51" t="n"/>
      <c r="X88" s="51" t="n"/>
      <c r="Y88" s="51" t="n"/>
      <c r="Z88" s="51" t="n"/>
      <c r="AA88" s="51" t="n"/>
      <c r="AB88" s="51" t="n"/>
      <c r="AC88" s="51" t="n"/>
      <c r="AD88" s="51" t="n"/>
      <c r="AE88" s="51" t="n"/>
      <c r="AF88" s="51" t="n"/>
      <c r="AG88" s="52">
        <f>SUM(B88:AF88)</f>
        <v/>
      </c>
      <c r="AJ88" s="53">
        <f>SUM(B88:D88,F88,H88,J88:M88)</f>
        <v/>
      </c>
      <c r="AM88" s="53">
        <f>SUM(E88,G88,I88,N88:AB88)</f>
        <v/>
      </c>
      <c r="AP88" s="53">
        <f>SUM(AC88:AF88)</f>
        <v/>
      </c>
    </row>
    <row r="89">
      <c r="A89" s="6" t="inlineStr">
        <is>
          <t>ВН32, шт. (стыки ванной сваркой)</t>
        </is>
      </c>
      <c r="B89" s="51" t="n"/>
      <c r="C89" s="51" t="n"/>
      <c r="D89" s="51" t="n"/>
      <c r="E89" s="51" t="n"/>
      <c r="F89" s="51" t="n"/>
      <c r="G89" s="51" t="n"/>
      <c r="H89" s="51" t="n"/>
      <c r="I89" s="51" t="n"/>
      <c r="J89" s="51" t="n"/>
      <c r="K89" s="51" t="n"/>
      <c r="L89" s="51" t="n"/>
      <c r="M89" s="51" t="n"/>
      <c r="N89" s="51" t="n"/>
      <c r="O89" s="51" t="n"/>
      <c r="P89" s="51" t="n"/>
      <c r="Q89" s="51" t="n"/>
      <c r="R89" s="51" t="n"/>
      <c r="S89" s="51" t="n"/>
      <c r="T89" s="51" t="n"/>
      <c r="U89" s="51" t="n"/>
      <c r="V89" s="51" t="n"/>
      <c r="W89" s="51" t="n"/>
      <c r="X89" s="51" t="n"/>
      <c r="Y89" s="51" t="n"/>
      <c r="Z89" s="51" t="n"/>
      <c r="AA89" s="51" t="n"/>
      <c r="AB89" s="51" t="n"/>
      <c r="AC89" s="51" t="n"/>
      <c r="AD89" s="51" t="n"/>
      <c r="AE89" s="51" t="n"/>
      <c r="AF89" s="51" t="n"/>
      <c r="AG89" s="52">
        <f>SUM(B89:AF89)</f>
        <v/>
      </c>
      <c r="AJ89" s="53">
        <f>SUM(B89:D89,F89,H89,J89:M89)</f>
        <v/>
      </c>
      <c r="AM89" s="53">
        <f>SUM(E89,G89,I89,N89:AB89)</f>
        <v/>
      </c>
      <c r="AP89" s="53">
        <f>SUM(AC89:AF89)</f>
        <v/>
      </c>
    </row>
    <row r="90">
      <c r="A90" s="6" t="inlineStr">
        <is>
          <t>ВН28, шт. (стыки ванной сваркой)</t>
        </is>
      </c>
      <c r="B90" s="51" t="n">
        <v>4</v>
      </c>
      <c r="C90" s="51" t="n">
        <v>4</v>
      </c>
      <c r="D90" s="51" t="n">
        <v>12</v>
      </c>
      <c r="E90" s="51" t="n">
        <v>8</v>
      </c>
      <c r="F90" s="51" t="n">
        <v>20</v>
      </c>
      <c r="G90" s="51" t="n">
        <v>8</v>
      </c>
      <c r="H90" s="51" t="n">
        <v>20</v>
      </c>
      <c r="I90" s="51" t="n">
        <v>8</v>
      </c>
      <c r="J90" s="51" t="n">
        <v>8</v>
      </c>
      <c r="K90" s="51" t="n">
        <v>4</v>
      </c>
      <c r="L90" s="51" t="n">
        <v>4</v>
      </c>
      <c r="M90" s="51" t="n">
        <v>4</v>
      </c>
      <c r="N90" s="51" t="n">
        <v>8</v>
      </c>
      <c r="O90" s="51" t="n">
        <v>8</v>
      </c>
      <c r="P90" s="51" t="n">
        <v>4</v>
      </c>
      <c r="Q90" s="51" t="n">
        <v>4</v>
      </c>
      <c r="R90" s="51" t="n">
        <v>4</v>
      </c>
      <c r="S90" s="51" t="n"/>
      <c r="T90" s="51" t="n"/>
      <c r="U90" s="51" t="n"/>
      <c r="V90" s="51" t="n"/>
      <c r="W90" s="51" t="n"/>
      <c r="X90" s="51" t="n"/>
      <c r="Y90" s="51" t="n"/>
      <c r="Z90" s="51" t="n"/>
      <c r="AA90" s="51" t="n"/>
      <c r="AB90" s="51" t="n"/>
      <c r="AC90" s="51" t="n"/>
      <c r="AD90" s="51" t="n"/>
      <c r="AE90" s="51" t="n"/>
      <c r="AF90" s="51" t="n"/>
      <c r="AG90" s="52">
        <f>SUM(B90:AF90)</f>
        <v/>
      </c>
      <c r="AJ90" s="53">
        <f>SUM(B90:D90,F90,H90,J90:M90)</f>
        <v/>
      </c>
      <c r="AM90" s="53">
        <f>SUM(E90,G90,I90,N90:AB90)</f>
        <v/>
      </c>
      <c r="AP90" s="53">
        <f>SUM(AC90:AF90)</f>
        <v/>
      </c>
    </row>
    <row r="91">
      <c r="A91" s="6" t="inlineStr">
        <is>
          <t>ВН25, шт. (стыки ванной сваркой)</t>
        </is>
      </c>
      <c r="B91" s="51" t="n">
        <v>18</v>
      </c>
      <c r="C91" s="51" t="n">
        <v>12</v>
      </c>
      <c r="D91" s="51" t="n"/>
      <c r="E91" s="51" t="n"/>
      <c r="F91" s="51" t="n"/>
      <c r="G91" s="51" t="n"/>
      <c r="H91" s="51" t="n"/>
      <c r="I91" s="51" t="n"/>
      <c r="J91" s="51" t="n"/>
      <c r="K91" s="51" t="n">
        <v>18</v>
      </c>
      <c r="L91" s="51" t="n">
        <v>6</v>
      </c>
      <c r="M91" s="51" t="n">
        <v>6</v>
      </c>
      <c r="N91" s="51" t="n"/>
      <c r="O91" s="51" t="n"/>
      <c r="P91" s="51" t="n"/>
      <c r="Q91" s="51" t="n"/>
      <c r="R91" s="51" t="n"/>
      <c r="S91" s="51" t="n">
        <v>40</v>
      </c>
      <c r="T91" s="51" t="n"/>
      <c r="U91" s="51" t="n"/>
      <c r="V91" s="51" t="n"/>
      <c r="W91" s="51" t="n"/>
      <c r="X91" s="51" t="n"/>
      <c r="Y91" s="51" t="n"/>
      <c r="Z91" s="51" t="n"/>
      <c r="AA91" s="51" t="n"/>
      <c r="AB91" s="51" t="n"/>
      <c r="AC91" s="51" t="n"/>
      <c r="AD91" s="51" t="n"/>
      <c r="AE91" s="51" t="n"/>
      <c r="AF91" s="51" t="n"/>
      <c r="AG91" s="52">
        <f>SUM(B91:AF91)</f>
        <v/>
      </c>
      <c r="AJ91" s="53">
        <f>SUM(B91:D91,F91,H91,J91:M91)</f>
        <v/>
      </c>
      <c r="AM91" s="53">
        <f>SUM(E91,G91,I91,N91:AB91)</f>
        <v/>
      </c>
      <c r="AP91" s="53">
        <f>SUM(AC91:AF91)</f>
        <v/>
      </c>
    </row>
    <row r="92">
      <c r="A92" s="6" t="inlineStr">
        <is>
          <t>ВН22, шт. (стыки ванной сваркой)</t>
        </is>
      </c>
      <c r="B92" s="51" t="n"/>
      <c r="C92" s="51" t="n"/>
      <c r="D92" s="51" t="n"/>
      <c r="E92" s="51" t="n"/>
      <c r="F92" s="51" t="n"/>
      <c r="G92" s="51" t="n"/>
      <c r="H92" s="51" t="n"/>
      <c r="I92" s="51" t="n"/>
      <c r="J92" s="51" t="n"/>
      <c r="K92" s="51" t="n"/>
      <c r="L92" s="51" t="n"/>
      <c r="M92" s="51" t="n">
        <v>6</v>
      </c>
      <c r="N92" s="51" t="n"/>
      <c r="O92" s="51" t="n"/>
      <c r="P92" s="51" t="n"/>
      <c r="Q92" s="51" t="n"/>
      <c r="R92" s="51" t="n"/>
      <c r="S92" s="51" t="n"/>
      <c r="T92" s="51" t="n"/>
      <c r="U92" s="51" t="n"/>
      <c r="V92" s="51" t="n"/>
      <c r="W92" s="51" t="n"/>
      <c r="X92" s="51" t="n"/>
      <c r="Y92" s="51" t="n"/>
      <c r="Z92" s="51" t="n"/>
      <c r="AA92" s="51" t="n"/>
      <c r="AB92" s="51" t="n"/>
      <c r="AC92" s="51" t="n"/>
      <c r="AD92" s="51" t="n"/>
      <c r="AE92" s="51" t="n"/>
      <c r="AF92" s="51" t="n"/>
      <c r="AG92" s="52">
        <f>SUM(B92:AF92)</f>
        <v/>
      </c>
      <c r="AJ92" s="53">
        <f>SUM(B92:D92,F92,H92,J92:M92)</f>
        <v/>
      </c>
      <c r="AM92" s="53">
        <f>SUM(E92,G92,I92,N92:AB92)</f>
        <v/>
      </c>
      <c r="AP92" s="53">
        <f>SUM(AC92:AF92)</f>
        <v/>
      </c>
    </row>
    <row r="93">
      <c r="A93" s="6" t="inlineStr">
        <is>
          <t>ВН20, шт. (стыки ванной сваркой)</t>
        </is>
      </c>
      <c r="B93" s="51" t="n">
        <v>8</v>
      </c>
      <c r="C93" s="51" t="n">
        <v>12</v>
      </c>
      <c r="D93" s="51" t="n">
        <v>24</v>
      </c>
      <c r="E93" s="51" t="n"/>
      <c r="F93" s="51" t="n">
        <v>40</v>
      </c>
      <c r="G93" s="51" t="n"/>
      <c r="H93" s="51" t="n">
        <v>40</v>
      </c>
      <c r="I93" s="51" t="n"/>
      <c r="J93" s="51" t="n">
        <v>16</v>
      </c>
      <c r="K93" s="51" t="n">
        <v>8</v>
      </c>
      <c r="L93" s="51" t="n">
        <v>8</v>
      </c>
      <c r="M93" s="51" t="n">
        <v>8</v>
      </c>
      <c r="N93" s="51" t="n"/>
      <c r="O93" s="51" t="n"/>
      <c r="P93" s="51" t="n"/>
      <c r="Q93" s="51" t="n"/>
      <c r="R93" s="51" t="n"/>
      <c r="S93" s="51" t="n"/>
      <c r="T93" s="51" t="n"/>
      <c r="U93" s="51" t="n"/>
      <c r="V93" s="51" t="n"/>
      <c r="W93" s="51" t="n"/>
      <c r="X93" s="51" t="n"/>
      <c r="Y93" s="51" t="n"/>
      <c r="Z93" s="51" t="n"/>
      <c r="AA93" s="51" t="n"/>
      <c r="AB93" s="51" t="n"/>
      <c r="AC93" s="51" t="n"/>
      <c r="AD93" s="51" t="n"/>
      <c r="AE93" s="51" t="n"/>
      <c r="AF93" s="51" t="n"/>
      <c r="AG93" s="52">
        <f>SUM(B93:AF93)</f>
        <v/>
      </c>
      <c r="AJ93" s="53">
        <f>SUM(B93:D93,F93,H93,J93:M93)</f>
        <v/>
      </c>
      <c r="AM93" s="53">
        <f>SUM(E93,G93,I93,N93:AB93)</f>
        <v/>
      </c>
      <c r="AP93" s="53">
        <f>SUM(AC93:AF93)</f>
        <v/>
      </c>
    </row>
    <row r="96" ht="30" customHeight="1">
      <c r="A96" s="32" t="inlineStr">
        <is>
          <t>3 ЭТАЖ</t>
        </is>
      </c>
      <c r="B96" s="32" t="inlineStr">
        <is>
          <t>Рамы</t>
        </is>
      </c>
      <c r="C96" s="33" t="n"/>
      <c r="D96" s="33" t="n"/>
      <c r="E96" s="33" t="n"/>
      <c r="F96" s="33" t="n"/>
      <c r="G96" s="33" t="n"/>
      <c r="H96" s="33" t="n"/>
      <c r="I96" s="33" t="n"/>
      <c r="J96" s="33" t="n"/>
      <c r="K96" s="33" t="n"/>
      <c r="L96" s="33" t="n"/>
      <c r="M96" s="33" t="n"/>
      <c r="N96" s="33" t="n"/>
      <c r="O96" s="33" t="n"/>
      <c r="P96" s="33" t="n"/>
      <c r="Q96" s="33" t="n"/>
      <c r="R96" s="34" t="n"/>
      <c r="S96" s="32" t="inlineStr">
        <is>
          <t>Балки</t>
        </is>
      </c>
      <c r="T96" s="33" t="n"/>
      <c r="U96" s="34" t="n"/>
      <c r="V96" s="32" t="inlineStr">
        <is>
          <t>Перекрытие</t>
        </is>
      </c>
      <c r="W96" s="33" t="n"/>
      <c r="X96" s="33" t="n"/>
      <c r="Y96" s="33" t="n"/>
      <c r="Z96" s="33" t="n"/>
      <c r="AA96" s="34" t="n"/>
      <c r="AB96" s="32" t="inlineStr">
        <is>
          <t>Сетки С-1</t>
        </is>
      </c>
      <c r="AC96" s="32" t="inlineStr">
        <is>
          <t>Лестничный марш</t>
        </is>
      </c>
      <c r="AD96" s="33" t="n"/>
      <c r="AE96" s="33" t="n"/>
      <c r="AF96" s="34" t="n"/>
      <c r="AG96" s="32" t="n"/>
      <c r="AH96" s="32" t="n"/>
      <c r="AI96" s="32" t="n"/>
      <c r="AJ96" s="32" t="inlineStr">
        <is>
          <t>Колонны, диафрагмы</t>
        </is>
      </c>
      <c r="AK96" s="33" t="n"/>
      <c r="AL96" s="34" t="n"/>
      <c r="AM96" s="32" t="inlineStr">
        <is>
          <t>Ригели, балки, плита, С-1</t>
        </is>
      </c>
      <c r="AN96" s="33" t="n"/>
      <c r="AO96" s="34" t="n"/>
      <c r="AP96" s="32" t="inlineStr">
        <is>
          <t>Лестницы</t>
        </is>
      </c>
      <c r="AQ96" s="33" t="n"/>
      <c r="AR96" s="34" t="n"/>
    </row>
    <row r="97" ht="30" customHeight="1">
      <c r="A97" s="5" t="inlineStr">
        <is>
          <t>На отметке +7.550…+11.150</t>
        </is>
      </c>
      <c r="B97" s="5" t="inlineStr">
        <is>
          <t>По оси А</t>
        </is>
      </c>
      <c r="C97" s="5" t="inlineStr">
        <is>
          <t>По оси А</t>
        </is>
      </c>
      <c r="D97" s="5" t="inlineStr">
        <is>
          <t>По оси А</t>
        </is>
      </c>
      <c r="E97" s="5" t="inlineStr">
        <is>
          <t>По оси А</t>
        </is>
      </c>
      <c r="F97" s="5" t="inlineStr">
        <is>
          <t>По оси Б</t>
        </is>
      </c>
      <c r="G97" s="5" t="inlineStr">
        <is>
          <t>По оси Б</t>
        </is>
      </c>
      <c r="H97" s="5" t="inlineStr">
        <is>
          <t>По оси В</t>
        </is>
      </c>
      <c r="I97" s="5" t="inlineStr">
        <is>
          <t>По оси В</t>
        </is>
      </c>
      <c r="J97" s="5" t="inlineStr">
        <is>
          <t>По оси Г</t>
        </is>
      </c>
      <c r="K97" s="5" t="inlineStr">
        <is>
          <t>По оси Г</t>
        </is>
      </c>
      <c r="L97" s="5" t="inlineStr">
        <is>
          <t>По оси Г</t>
        </is>
      </c>
      <c r="M97" s="5" t="inlineStr">
        <is>
          <t>По оси Г</t>
        </is>
      </c>
      <c r="N97" s="5" t="inlineStr">
        <is>
          <t>По оси Г</t>
        </is>
      </c>
      <c r="O97" s="5" t="inlineStr">
        <is>
          <t>По оси 1/5</t>
        </is>
      </c>
      <c r="P97" s="5" t="inlineStr">
        <is>
          <t>По оси 2</t>
        </is>
      </c>
      <c r="Q97" s="5" t="inlineStr">
        <is>
          <t>По оси 3</t>
        </is>
      </c>
      <c r="R97" s="5" t="inlineStr">
        <is>
          <t>По оси 4</t>
        </is>
      </c>
      <c r="S97" s="5" t="inlineStr">
        <is>
          <t>Основная</t>
        </is>
      </c>
      <c r="T97" s="5" t="inlineStr">
        <is>
          <t>Хомуты</t>
        </is>
      </c>
      <c r="U97" s="5" t="inlineStr">
        <is>
          <t>Допник</t>
        </is>
      </c>
      <c r="V97" s="5" t="inlineStr">
        <is>
          <t>Основная</t>
        </is>
      </c>
      <c r="W97" s="5" t="inlineStr">
        <is>
          <t>Хомуты</t>
        </is>
      </c>
      <c r="X97" s="5" t="inlineStr">
        <is>
          <t>Отверстия</t>
        </is>
      </c>
      <c r="Y97" s="5" t="inlineStr">
        <is>
          <t>Допник</t>
        </is>
      </c>
      <c r="Z97" s="34" t="n"/>
      <c r="AA97" s="5" t="inlineStr">
        <is>
          <t>Край</t>
        </is>
      </c>
      <c r="AB97" s="5" t="inlineStr">
        <is>
          <t>С-1</t>
        </is>
      </c>
      <c r="AC97" s="5" t="inlineStr">
        <is>
          <t>Л1</t>
        </is>
      </c>
      <c r="AD97" s="5" t="inlineStr">
        <is>
          <t>Л2</t>
        </is>
      </c>
      <c r="AE97" s="5" t="inlineStr">
        <is>
          <t>Площадка</t>
        </is>
      </c>
      <c r="AF97" s="5" t="inlineStr">
        <is>
          <t>Рама</t>
        </is>
      </c>
      <c r="AG97" s="5" t="inlineStr">
        <is>
          <t>Итого:</t>
        </is>
      </c>
      <c r="AH97" s="5" t="inlineStr">
        <is>
          <t>Масса ед. кг</t>
        </is>
      </c>
      <c r="AI97" s="5" t="inlineStr">
        <is>
          <t>Всего</t>
        </is>
      </c>
      <c r="AJ97" s="5" t="inlineStr">
        <is>
          <t>Итого:</t>
        </is>
      </c>
      <c r="AK97" s="5" t="inlineStr">
        <is>
          <t>Масса ед. кг</t>
        </is>
      </c>
      <c r="AL97" s="5" t="inlineStr">
        <is>
          <t>Всего</t>
        </is>
      </c>
      <c r="AM97" s="5" t="inlineStr">
        <is>
          <t>Итого:</t>
        </is>
      </c>
      <c r="AN97" s="5" t="inlineStr">
        <is>
          <t>Масса ед. кг</t>
        </is>
      </c>
      <c r="AO97" s="5" t="inlineStr">
        <is>
          <t>Всего</t>
        </is>
      </c>
      <c r="AP97" s="5" t="inlineStr">
        <is>
          <t>Итого:</t>
        </is>
      </c>
      <c r="AQ97" s="5" t="inlineStr">
        <is>
          <t>Масса ед. кг</t>
        </is>
      </c>
      <c r="AR97" s="5" t="inlineStr">
        <is>
          <t>Всего</t>
        </is>
      </c>
    </row>
    <row r="98" ht="30" customHeight="1">
      <c r="A98" s="5" t="inlineStr">
        <is>
          <t>(3 этаж)</t>
        </is>
      </c>
      <c r="B98" s="5" t="inlineStr">
        <is>
          <t>Дм-1</t>
        </is>
      </c>
      <c r="C98" s="5" t="inlineStr">
        <is>
          <t>Дм-2</t>
        </is>
      </c>
      <c r="D98" s="5" t="inlineStr">
        <is>
          <t>К 2-2 (3)</t>
        </is>
      </c>
      <c r="E98" s="5" t="inlineStr">
        <is>
          <t>Ригель 4-4</t>
        </is>
      </c>
      <c r="F98" s="5" t="inlineStr">
        <is>
          <t>К 2-2 (5)</t>
        </is>
      </c>
      <c r="G98" s="5" t="inlineStr">
        <is>
          <t>Ригель 4-4</t>
        </is>
      </c>
      <c r="H98" s="5" t="inlineStr">
        <is>
          <t>К 2-2 (5)</t>
        </is>
      </c>
      <c r="I98" s="5" t="inlineStr">
        <is>
          <t>Ригель 4-4</t>
        </is>
      </c>
      <c r="J98" s="5" t="inlineStr">
        <is>
          <t>К 2-2 (2)</t>
        </is>
      </c>
      <c r="K98" s="5" t="inlineStr">
        <is>
          <t>Дм-3</t>
        </is>
      </c>
      <c r="L98" s="5" t="inlineStr">
        <is>
          <t>Дм-4</t>
        </is>
      </c>
      <c r="M98" s="5" t="inlineStr">
        <is>
          <t>Дм-5</t>
        </is>
      </c>
      <c r="N98" s="5" t="inlineStr">
        <is>
          <t>Ригель 4-4</t>
        </is>
      </c>
      <c r="O98" s="5" t="inlineStr">
        <is>
          <t>Ригель 5-5 (×2)</t>
        </is>
      </c>
      <c r="P98" s="5" t="inlineStr">
        <is>
          <t>Ригель 5-5</t>
        </is>
      </c>
      <c r="Q98" s="5" t="inlineStr">
        <is>
          <t>Ригель 5-5</t>
        </is>
      </c>
      <c r="R98" s="5" t="inlineStr">
        <is>
          <t>Ригель 5-5</t>
        </is>
      </c>
      <c r="S98" s="5" t="inlineStr"/>
      <c r="T98" s="5" t="inlineStr"/>
      <c r="U98" s="5" t="inlineStr">
        <is>
          <t>Ø18 L=1200</t>
        </is>
      </c>
      <c r="V98" s="5" t="inlineStr"/>
      <c r="W98" s="5" t="inlineStr">
        <is>
          <t>Ф-1, шп.</t>
        </is>
      </c>
      <c r="X98" s="5" t="inlineStr"/>
      <c r="Y98" s="5" t="inlineStr">
        <is>
          <t>Низ</t>
        </is>
      </c>
      <c r="Z98" s="5" t="inlineStr">
        <is>
          <t>Верх</t>
        </is>
      </c>
      <c r="AA98" s="5" t="inlineStr">
        <is>
          <t>сеч.6-6</t>
        </is>
      </c>
      <c r="AB98" s="5" t="inlineStr">
        <is>
          <t>200 шт</t>
        </is>
      </c>
      <c r="AC98" s="5" t="inlineStr">
        <is>
          <t>марш 5</t>
        </is>
      </c>
      <c r="AD98" s="5" t="inlineStr">
        <is>
          <t>марш 6</t>
        </is>
      </c>
      <c r="AE98" s="5" t="inlineStr">
        <is>
          <t>отм. 9.400</t>
        </is>
      </c>
      <c r="AF98" s="5" t="inlineStr">
        <is>
          <t>Лрм-2</t>
        </is>
      </c>
      <c r="AG98" s="5" t="inlineStr">
        <is>
          <t>(м.п.)</t>
        </is>
      </c>
      <c r="AH98" s="5" t="inlineStr"/>
      <c r="AI98" s="5" t="inlineStr">
        <is>
          <t>кг</t>
        </is>
      </c>
      <c r="AJ98" s="5" t="inlineStr">
        <is>
          <t>(м.п.)</t>
        </is>
      </c>
      <c r="AK98" s="5" t="inlineStr"/>
      <c r="AL98" s="5" t="inlineStr">
        <is>
          <t>кг</t>
        </is>
      </c>
      <c r="AM98" s="5" t="inlineStr">
        <is>
          <t>(м.п.)</t>
        </is>
      </c>
      <c r="AN98" s="5" t="inlineStr"/>
      <c r="AO98" s="5" t="inlineStr">
        <is>
          <t>кг</t>
        </is>
      </c>
      <c r="AP98" s="5" t="inlineStr">
        <is>
          <t>(м.п.)</t>
        </is>
      </c>
      <c r="AQ98" s="5" t="inlineStr"/>
      <c r="AR98" s="5" t="inlineStr">
        <is>
          <t>кг</t>
        </is>
      </c>
    </row>
    <row r="99">
      <c r="A99" s="4" t="inlineStr">
        <is>
          <t>Арматура, (м.п.)</t>
        </is>
      </c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  <c r="AB99" s="4" t="n"/>
      <c r="AC99" s="4" t="n"/>
      <c r="AD99" s="4" t="n"/>
      <c r="AE99" s="4" t="n"/>
      <c r="AF99" s="4" t="n"/>
      <c r="AG99" s="4" t="n"/>
      <c r="AH99" s="4" t="n"/>
      <c r="AI99" s="4" t="n"/>
      <c r="AJ99" s="4" t="n"/>
      <c r="AK99" s="4" t="n"/>
      <c r="AL99" s="4" t="n"/>
      <c r="AM99" s="4" t="n"/>
      <c r="AN99" s="4" t="n"/>
      <c r="AO99" s="4" t="n"/>
      <c r="AP99" s="4" t="n"/>
      <c r="AQ99" s="4" t="n"/>
      <c r="AR99" s="4" t="n"/>
    </row>
    <row r="100">
      <c r="A100" s="6" t="inlineStr">
        <is>
          <t>Диаметр 32 А500С, L=м.п.</t>
        </is>
      </c>
      <c r="B100" s="35">
        <f>SUMIFS(Ведомость!$N$5:$N$1270,Ведомость!$H$5:$H$1270,32,Ведомость!$I$5:$I$1270,"А500С",Ведомость!$V$5:$V$1270,"Дм-1",Ведомость!$W$5:$W$1270,3)</f>
        <v/>
      </c>
      <c r="C100" s="35">
        <f>SUMIFS(Ведомость!$N$5:$N$1270,Ведомость!$H$5:$H$1270,32,Ведомость!$I$5:$I$1270,"А500С",Ведомость!$V$5:$V$1270,"Дм-2",Ведомость!$W$5:$W$1270,3)</f>
        <v/>
      </c>
      <c r="D100" s="35">
        <f>SUMIFS(Ведомость!$N$5:$N$1270,Ведомость!$H$5:$H$1270,32,Ведомость!$I$5:$I$1270,"А500С",Ведомость!$V$5:$V$1270,"К-А",Ведомость!$W$5:$W$1270,3)</f>
        <v/>
      </c>
      <c r="E100" s="35">
        <f>SUMIFS(Ведомость!$N$5:$N$1270,Ведомость!$H$5:$H$1270,32,Ведомость!$I$5:$I$1270,"А500С",Ведомость!$V$5:$V$1270,"Р-А",Ведомость!$W$5:$W$1270,3)</f>
        <v/>
      </c>
      <c r="F100" s="35">
        <f>SUMIFS(Ведомость!$N$5:$N$1270,Ведомость!$H$5:$H$1270,32,Ведомость!$I$5:$I$1270,"А500С",Ведомость!$V$5:$V$1270,"К-Б",Ведомость!$W$5:$W$1270,3)</f>
        <v/>
      </c>
      <c r="G100" s="35">
        <f>SUMIFS(Ведомость!$N$5:$N$1270,Ведомость!$H$5:$H$1270,32,Ведомость!$I$5:$I$1270,"А500С",Ведомость!$V$5:$V$1270,"Р-Б",Ведомость!$W$5:$W$1270,3)</f>
        <v/>
      </c>
      <c r="H100" s="35">
        <f>SUMIFS(Ведомость!$N$5:$N$1270,Ведомость!$H$5:$H$1270,32,Ведомость!$I$5:$I$1270,"А500С",Ведомость!$V$5:$V$1270,"К-В",Ведомость!$W$5:$W$1270,3)</f>
        <v/>
      </c>
      <c r="I100" s="35">
        <f>SUMIFS(Ведомость!$N$5:$N$1270,Ведомость!$H$5:$H$1270,32,Ведомость!$I$5:$I$1270,"А500С",Ведомость!$V$5:$V$1270,"Р-В",Ведомость!$W$5:$W$1270,3)</f>
        <v/>
      </c>
      <c r="J100" s="35">
        <f>SUMIFS(Ведомость!$N$5:$N$1270,Ведомость!$H$5:$H$1270,32,Ведомость!$I$5:$I$1270,"А500С",Ведомость!$V$5:$V$1270,"К-Г",Ведомость!$W$5:$W$1270,3)</f>
        <v/>
      </c>
      <c r="K100" s="35">
        <f>SUMIFS(Ведомость!$N$5:$N$1270,Ведомость!$H$5:$H$1270,32,Ведомость!$I$5:$I$1270,"А500С",Ведомость!$V$5:$V$1270,"Дм-3",Ведомость!$W$5:$W$1270,3)</f>
        <v/>
      </c>
      <c r="L100" s="35">
        <f>SUMIFS(Ведомость!$N$5:$N$1270,Ведомость!$H$5:$H$1270,32,Ведомость!$I$5:$I$1270,"А500С",Ведомость!$V$5:$V$1270,"Дм-4",Ведомость!$W$5:$W$1270,3)</f>
        <v/>
      </c>
      <c r="M100" s="35">
        <f>SUMIFS(Ведомость!$N$5:$N$1270,Ведомость!$H$5:$H$1270,32,Ведомость!$I$5:$I$1270,"А500С",Ведомость!$V$5:$V$1270,"Дм-5",Ведомость!$W$5:$W$1270,3)</f>
        <v/>
      </c>
      <c r="N100" s="35">
        <f>SUMIFS(Ведомость!$N$5:$N$1270,Ведомость!$H$5:$H$1270,32,Ведомость!$I$5:$I$1270,"А500С",Ведомость!$V$5:$V$1270,"Р-Г",Ведомость!$W$5:$W$1270,3)</f>
        <v/>
      </c>
      <c r="O100" s="35">
        <f>SUMIFS(Ведомость!$N$5:$N$1270,Ведомость!$H$5:$H$1270,32,Ведомость!$I$5:$I$1270,"А500С",Ведомость!$V$5:$V$1270,"Р-1, 5",Ведомость!$W$5:$W$1270,3)</f>
        <v/>
      </c>
      <c r="P100" s="35">
        <f>SUMIFS(Ведомость!$N$5:$N$1270,Ведомость!$H$5:$H$1270,32,Ведомость!$I$5:$I$1270,"А500С",Ведомость!$V$5:$V$1270,"Р-2",Ведомость!$W$5:$W$1270,3)</f>
        <v/>
      </c>
      <c r="Q100" s="35">
        <f>SUMIFS(Ведомость!$N$5:$N$1270,Ведомость!$H$5:$H$1270,32,Ведомость!$I$5:$I$1270,"А500С",Ведомость!$V$5:$V$1270,"Р-3",Ведомость!$W$5:$W$1270,3)</f>
        <v/>
      </c>
      <c r="R100" s="35">
        <f>SUMIFS(Ведомость!$N$5:$N$1270,Ведомость!$H$5:$H$1270,32,Ведомость!$I$5:$I$1270,"А500С",Ведомость!$V$5:$V$1270,"Р-4",Ведомость!$W$5:$W$1270,3)</f>
        <v/>
      </c>
      <c r="S100" s="35">
        <f>SUMIFS(Ведомость!$N$5:$N$1270,Ведомость!$H$5:$H$1270,32,Ведомость!$I$5:$I$1270,"А500С",Ведомость!$V$5:$V$1270,"Б-основная",Ведомость!$W$5:$W$1270,3)</f>
        <v/>
      </c>
      <c r="T100" s="35">
        <f>SUMIFS(Ведомость!$N$5:$N$1270,Ведомость!$H$5:$H$1270,32,Ведомость!$I$5:$I$1270,"А500С",Ведомость!$V$5:$V$1270,"Б-хомуты",Ведомость!$W$5:$W$1270,3)</f>
        <v/>
      </c>
      <c r="U100" s="35">
        <f>SUMIFS(Ведомость!$N$5:$N$1270,Ведомость!$H$5:$H$1270,32,Ведомость!$I$5:$I$1270,"А500С",Ведомость!$V$5:$V$1270,"Б-допник",Ведомость!$W$5:$W$1270,3)</f>
        <v/>
      </c>
      <c r="V100" s="35">
        <f>SUMIFS(Ведомость!$N$5:$N$1270,Ведомость!$H$5:$H$1270,32,Ведомость!$I$5:$I$1270,"А500С",Ведомость!$V$5:$V$1270,"П-сетка",Ведомость!$W$5:$W$1270,3)</f>
        <v/>
      </c>
      <c r="W100" s="35">
        <f>SUMIFS(Ведомость!$N$5:$N$1270,Ведомость!$H$5:$H$1270,32,Ведомость!$I$5:$I$1270,"А500С",Ведомость!$V$5:$V$1270,"П-фикс",Ведомость!$W$5:$W$1270,3)</f>
        <v/>
      </c>
      <c r="X100" s="35">
        <f>SUMIFS(Ведомость!$N$5:$N$1270,Ведомость!$H$5:$H$1270,32,Ведомость!$I$5:$I$1270,"А500С",Ведомость!$V$5:$V$1270,"П-отв",Ведомость!$W$5:$W$1270,3)</f>
        <v/>
      </c>
      <c r="Y100" s="35">
        <f>SUMIFS(Ведомость!$N$5:$N$1270,Ведомость!$H$5:$H$1270,32,Ведомость!$I$5:$I$1270,"А500С",Ведомость!$V$5:$V$1270,"П-доп-низ",Ведомость!$W$5:$W$1270,3)</f>
        <v/>
      </c>
      <c r="Z100" s="35">
        <f>SUMIFS(Ведомость!$N$5:$N$1270,Ведомость!$H$5:$H$1270,32,Ведомость!$I$5:$I$1270,"А500С",Ведомость!$V$5:$V$1270,"П-доп-верх",Ведомость!$W$5:$W$1270,3)</f>
        <v/>
      </c>
      <c r="AA100" s="35">
        <f>SUMIFS(Ведомость!$N$5:$N$1270,Ведомость!$H$5:$H$1270,32,Ведомость!$I$5:$I$1270,"А500С",Ведомость!$V$5:$V$1270,"П-край",Ведомость!$W$5:$W$1270,3)</f>
        <v/>
      </c>
      <c r="AB100" s="35">
        <f>SUMIFS(Ведомость!$N$5:$N$1270,Ведомость!$H$5:$H$1270,32,Ведомость!$I$5:$I$1270,"А500С",Ведомость!$V$5:$V$1270,"С-1",Ведомость!$W$5:$W$1270,3)</f>
        <v/>
      </c>
      <c r="AC100" s="35">
        <f>SUMIFS(Ведомость!$N$5:$N$1270,Ведомость!$H$5:$H$1270,32,Ведомость!$I$5:$I$1270,"А500С",Ведомость!$V$5:$V$1270,"Л1",Ведомость!$W$5:$W$1270,3)</f>
        <v/>
      </c>
      <c r="AD100" s="35">
        <f>SUMIFS(Ведомость!$N$5:$N$1270,Ведомость!$H$5:$H$1270,32,Ведомость!$I$5:$I$1270,"А500С",Ведомость!$V$5:$V$1270,"Л2",Ведомость!$W$5:$W$1270,3)</f>
        <v/>
      </c>
      <c r="AE100" s="35">
        <f>SUMIFS(Ведомость!$N$5:$N$1270,Ведомость!$H$5:$H$1270,32,Ведомость!$I$5:$I$1270,"А500С",Ведомость!$V$5:$V$1270,"Л-пл",Ведомость!$W$5:$W$1270,3)</f>
        <v/>
      </c>
      <c r="AF100" s="35">
        <f>SUMIFS(Ведомость!$N$5:$N$1270,Ведомость!$H$5:$H$1270,32,Ведомость!$I$5:$I$1270,"А500С",Ведомость!$V$5:$V$1270,"Л-рама",Ведомость!$W$5:$W$1270,3)</f>
        <v/>
      </c>
      <c r="AG100" s="36">
        <f>SUM(B100:AF100)</f>
        <v/>
      </c>
      <c r="AH100" s="37">
        <f>IFERROR(INDEX(Исходные!$B$19:$B$31,MATCH(32,Исходные!$A$19:$A$31,0)),0)</f>
        <v/>
      </c>
      <c r="AI100" s="36">
        <f>AG100*AH100*$AJ$2</f>
        <v/>
      </c>
      <c r="AJ100" s="38">
        <f>SUM(B100:D100,F100,H100,J100:M100)</f>
        <v/>
      </c>
      <c r="AK100" s="39">
        <f>AH100</f>
        <v/>
      </c>
      <c r="AL100" s="40">
        <f>AJ100*AK100*$AJ$2</f>
        <v/>
      </c>
      <c r="AM100" s="38">
        <f>SUM(E100,G100,I100,N100:AB100)</f>
        <v/>
      </c>
      <c r="AN100" s="39">
        <f>AH100</f>
        <v/>
      </c>
      <c r="AO100" s="40">
        <f>AM100*AN100*$AJ$2</f>
        <v/>
      </c>
      <c r="AP100" s="38">
        <f>SUM(AC100:AF100)</f>
        <v/>
      </c>
      <c r="AQ100" s="39">
        <f>AH100</f>
        <v/>
      </c>
      <c r="AR100" s="40">
        <f>AP100*AQ100*$AJ$2</f>
        <v/>
      </c>
    </row>
    <row r="101">
      <c r="A101" s="6" t="inlineStr">
        <is>
          <t>Диаметр 28 А500С, L=м.п.</t>
        </is>
      </c>
      <c r="B101" s="35">
        <f>SUMIFS(Ведомость!$N$5:$N$1270,Ведомость!$H$5:$H$1270,28,Ведомость!$I$5:$I$1270,"А500С",Ведомость!$V$5:$V$1270,"Дм-1",Ведомость!$W$5:$W$1270,3)</f>
        <v/>
      </c>
      <c r="C101" s="35">
        <f>SUMIFS(Ведомость!$N$5:$N$1270,Ведомость!$H$5:$H$1270,28,Ведомость!$I$5:$I$1270,"А500С",Ведомость!$V$5:$V$1270,"Дм-2",Ведомость!$W$5:$W$1270,3)</f>
        <v/>
      </c>
      <c r="D101" s="35">
        <f>SUMIFS(Ведомость!$N$5:$N$1270,Ведомость!$H$5:$H$1270,28,Ведомость!$I$5:$I$1270,"А500С",Ведомость!$V$5:$V$1270,"К-А",Ведомость!$W$5:$W$1270,3)</f>
        <v/>
      </c>
      <c r="E101" s="35">
        <f>SUMIFS(Ведомость!$N$5:$N$1270,Ведомость!$H$5:$H$1270,28,Ведомость!$I$5:$I$1270,"А500С",Ведомость!$V$5:$V$1270,"Р-А",Ведомость!$W$5:$W$1270,3)</f>
        <v/>
      </c>
      <c r="F101" s="35">
        <f>SUMIFS(Ведомость!$N$5:$N$1270,Ведомость!$H$5:$H$1270,28,Ведомость!$I$5:$I$1270,"А500С",Ведомость!$V$5:$V$1270,"К-Б",Ведомость!$W$5:$W$1270,3)</f>
        <v/>
      </c>
      <c r="G101" s="35">
        <f>SUMIFS(Ведомость!$N$5:$N$1270,Ведомость!$H$5:$H$1270,28,Ведомость!$I$5:$I$1270,"А500С",Ведомость!$V$5:$V$1270,"Р-Б",Ведомость!$W$5:$W$1270,3)</f>
        <v/>
      </c>
      <c r="H101" s="35">
        <f>SUMIFS(Ведомость!$N$5:$N$1270,Ведомость!$H$5:$H$1270,28,Ведомость!$I$5:$I$1270,"А500С",Ведомость!$V$5:$V$1270,"К-В",Ведомость!$W$5:$W$1270,3)</f>
        <v/>
      </c>
      <c r="I101" s="35">
        <f>SUMIFS(Ведомость!$N$5:$N$1270,Ведомость!$H$5:$H$1270,28,Ведомость!$I$5:$I$1270,"А500С",Ведомость!$V$5:$V$1270,"Р-В",Ведомость!$W$5:$W$1270,3)</f>
        <v/>
      </c>
      <c r="J101" s="35">
        <f>SUMIFS(Ведомость!$N$5:$N$1270,Ведомость!$H$5:$H$1270,28,Ведомость!$I$5:$I$1270,"А500С",Ведомость!$V$5:$V$1270,"К-Г",Ведомость!$W$5:$W$1270,3)</f>
        <v/>
      </c>
      <c r="K101" s="35">
        <f>SUMIFS(Ведомость!$N$5:$N$1270,Ведомость!$H$5:$H$1270,28,Ведомость!$I$5:$I$1270,"А500С",Ведомость!$V$5:$V$1270,"Дм-3",Ведомость!$W$5:$W$1270,3)</f>
        <v/>
      </c>
      <c r="L101" s="35">
        <f>SUMIFS(Ведомость!$N$5:$N$1270,Ведомость!$H$5:$H$1270,28,Ведомость!$I$5:$I$1270,"А500С",Ведомость!$V$5:$V$1270,"Дм-4",Ведомость!$W$5:$W$1270,3)</f>
        <v/>
      </c>
      <c r="M101" s="35">
        <f>SUMIFS(Ведомость!$N$5:$N$1270,Ведомость!$H$5:$H$1270,28,Ведомость!$I$5:$I$1270,"А500С",Ведомость!$V$5:$V$1270,"Дм-5",Ведомость!$W$5:$W$1270,3)</f>
        <v/>
      </c>
      <c r="N101" s="35">
        <f>SUMIFS(Ведомость!$N$5:$N$1270,Ведомость!$H$5:$H$1270,28,Ведомость!$I$5:$I$1270,"А500С",Ведомость!$V$5:$V$1270,"Р-Г",Ведомость!$W$5:$W$1270,3)</f>
        <v/>
      </c>
      <c r="O101" s="35">
        <f>SUMIFS(Ведомость!$N$5:$N$1270,Ведомость!$H$5:$H$1270,28,Ведомость!$I$5:$I$1270,"А500С",Ведомость!$V$5:$V$1270,"Р-1, 5",Ведомость!$W$5:$W$1270,3)</f>
        <v/>
      </c>
      <c r="P101" s="35">
        <f>SUMIFS(Ведомость!$N$5:$N$1270,Ведомость!$H$5:$H$1270,28,Ведомость!$I$5:$I$1270,"А500С",Ведомость!$V$5:$V$1270,"Р-2",Ведомость!$W$5:$W$1270,3)</f>
        <v/>
      </c>
      <c r="Q101" s="35">
        <f>SUMIFS(Ведомость!$N$5:$N$1270,Ведомость!$H$5:$H$1270,28,Ведомость!$I$5:$I$1270,"А500С",Ведомость!$V$5:$V$1270,"Р-3",Ведомость!$W$5:$W$1270,3)</f>
        <v/>
      </c>
      <c r="R101" s="35">
        <f>SUMIFS(Ведомость!$N$5:$N$1270,Ведомость!$H$5:$H$1270,28,Ведомость!$I$5:$I$1270,"А500С",Ведомость!$V$5:$V$1270,"Р-4",Ведомость!$W$5:$W$1270,3)</f>
        <v/>
      </c>
      <c r="S101" s="35">
        <f>SUMIFS(Ведомость!$N$5:$N$1270,Ведомость!$H$5:$H$1270,28,Ведомость!$I$5:$I$1270,"А500С",Ведомость!$V$5:$V$1270,"Б-основная",Ведомость!$W$5:$W$1270,3)</f>
        <v/>
      </c>
      <c r="T101" s="35">
        <f>SUMIFS(Ведомость!$N$5:$N$1270,Ведомость!$H$5:$H$1270,28,Ведомость!$I$5:$I$1270,"А500С",Ведомость!$V$5:$V$1270,"Б-хомуты",Ведомость!$W$5:$W$1270,3)</f>
        <v/>
      </c>
      <c r="U101" s="35">
        <f>SUMIFS(Ведомость!$N$5:$N$1270,Ведомость!$H$5:$H$1270,28,Ведомость!$I$5:$I$1270,"А500С",Ведомость!$V$5:$V$1270,"Б-допник",Ведомость!$W$5:$W$1270,3)</f>
        <v/>
      </c>
      <c r="V101" s="35">
        <f>SUMIFS(Ведомость!$N$5:$N$1270,Ведомость!$H$5:$H$1270,28,Ведомость!$I$5:$I$1270,"А500С",Ведомость!$V$5:$V$1270,"П-сетка",Ведомость!$W$5:$W$1270,3)</f>
        <v/>
      </c>
      <c r="W101" s="35">
        <f>SUMIFS(Ведомость!$N$5:$N$1270,Ведомость!$H$5:$H$1270,28,Ведомость!$I$5:$I$1270,"А500С",Ведомость!$V$5:$V$1270,"П-фикс",Ведомость!$W$5:$W$1270,3)</f>
        <v/>
      </c>
      <c r="X101" s="35">
        <f>SUMIFS(Ведомость!$N$5:$N$1270,Ведомость!$H$5:$H$1270,28,Ведомость!$I$5:$I$1270,"А500С",Ведомость!$V$5:$V$1270,"П-отв",Ведомость!$W$5:$W$1270,3)</f>
        <v/>
      </c>
      <c r="Y101" s="35">
        <f>SUMIFS(Ведомость!$N$5:$N$1270,Ведомость!$H$5:$H$1270,28,Ведомость!$I$5:$I$1270,"А500С",Ведомость!$V$5:$V$1270,"П-доп-низ",Ведомость!$W$5:$W$1270,3)</f>
        <v/>
      </c>
      <c r="Z101" s="35">
        <f>SUMIFS(Ведомость!$N$5:$N$1270,Ведомость!$H$5:$H$1270,28,Ведомость!$I$5:$I$1270,"А500С",Ведомость!$V$5:$V$1270,"П-доп-верх",Ведомость!$W$5:$W$1270,3)</f>
        <v/>
      </c>
      <c r="AA101" s="35">
        <f>SUMIFS(Ведомость!$N$5:$N$1270,Ведомость!$H$5:$H$1270,28,Ведомость!$I$5:$I$1270,"А500С",Ведомость!$V$5:$V$1270,"П-край",Ведомость!$W$5:$W$1270,3)</f>
        <v/>
      </c>
      <c r="AB101" s="35">
        <f>SUMIFS(Ведомость!$N$5:$N$1270,Ведомость!$H$5:$H$1270,28,Ведомость!$I$5:$I$1270,"А500С",Ведомость!$V$5:$V$1270,"С-1",Ведомость!$W$5:$W$1270,3)</f>
        <v/>
      </c>
      <c r="AC101" s="35">
        <f>SUMIFS(Ведомость!$N$5:$N$1270,Ведомость!$H$5:$H$1270,28,Ведомость!$I$5:$I$1270,"А500С",Ведомость!$V$5:$V$1270,"Л1",Ведомость!$W$5:$W$1270,3)</f>
        <v/>
      </c>
      <c r="AD101" s="35">
        <f>SUMIFS(Ведомость!$N$5:$N$1270,Ведомость!$H$5:$H$1270,28,Ведомость!$I$5:$I$1270,"А500С",Ведомость!$V$5:$V$1270,"Л2",Ведомость!$W$5:$W$1270,3)</f>
        <v/>
      </c>
      <c r="AE101" s="35">
        <f>SUMIFS(Ведомость!$N$5:$N$1270,Ведомость!$H$5:$H$1270,28,Ведомость!$I$5:$I$1270,"А500С",Ведомость!$V$5:$V$1270,"Л-пл",Ведомость!$W$5:$W$1270,3)</f>
        <v/>
      </c>
      <c r="AF101" s="35">
        <f>SUMIFS(Ведомость!$N$5:$N$1270,Ведомость!$H$5:$H$1270,28,Ведомость!$I$5:$I$1270,"А500С",Ведомость!$V$5:$V$1270,"Л-рама",Ведомость!$W$5:$W$1270,3)</f>
        <v/>
      </c>
      <c r="AG101" s="36">
        <f>SUM(B101:AF101)</f>
        <v/>
      </c>
      <c r="AH101" s="37">
        <f>IFERROR(INDEX(Исходные!$B$19:$B$31,MATCH(28,Исходные!$A$19:$A$31,0)),0)</f>
        <v/>
      </c>
      <c r="AI101" s="36">
        <f>AG101*AH101*$AJ$2</f>
        <v/>
      </c>
      <c r="AJ101" s="38">
        <f>SUM(B101:D101,F101,H101,J101:M101)</f>
        <v/>
      </c>
      <c r="AK101" s="39">
        <f>AH101</f>
        <v/>
      </c>
      <c r="AL101" s="40">
        <f>AJ101*AK101*$AJ$2</f>
        <v/>
      </c>
      <c r="AM101" s="38">
        <f>SUM(E101,G101,I101,N101:AB101)</f>
        <v/>
      </c>
      <c r="AN101" s="39">
        <f>AH101</f>
        <v/>
      </c>
      <c r="AO101" s="40">
        <f>AM101*AN101*$AJ$2</f>
        <v/>
      </c>
      <c r="AP101" s="38">
        <f>SUM(AC101:AF101)</f>
        <v/>
      </c>
      <c r="AQ101" s="39">
        <f>AH101</f>
        <v/>
      </c>
      <c r="AR101" s="40">
        <f>AP101*AQ101*$AJ$2</f>
        <v/>
      </c>
    </row>
    <row r="102">
      <c r="A102" s="6" t="inlineStr">
        <is>
          <t>Диаметр 25 А500С, L=м.п.</t>
        </is>
      </c>
      <c r="B102" s="35">
        <f>SUMIFS(Ведомость!$N$5:$N$1270,Ведомость!$H$5:$H$1270,25,Ведомость!$I$5:$I$1270,"А500С",Ведомость!$V$5:$V$1270,"Дм-1",Ведомость!$W$5:$W$1270,3)</f>
        <v/>
      </c>
      <c r="C102" s="35">
        <f>SUMIFS(Ведомость!$N$5:$N$1270,Ведомость!$H$5:$H$1270,25,Ведомость!$I$5:$I$1270,"А500С",Ведомость!$V$5:$V$1270,"Дм-2",Ведомость!$W$5:$W$1270,3)</f>
        <v/>
      </c>
      <c r="D102" s="35">
        <f>SUMIFS(Ведомость!$N$5:$N$1270,Ведомость!$H$5:$H$1270,25,Ведомость!$I$5:$I$1270,"А500С",Ведомость!$V$5:$V$1270,"К-А",Ведомость!$W$5:$W$1270,3)</f>
        <v/>
      </c>
      <c r="E102" s="35">
        <f>SUMIFS(Ведомость!$N$5:$N$1270,Ведомость!$H$5:$H$1270,25,Ведомость!$I$5:$I$1270,"А500С",Ведомость!$V$5:$V$1270,"Р-А",Ведомость!$W$5:$W$1270,3)</f>
        <v/>
      </c>
      <c r="F102" s="35">
        <f>SUMIFS(Ведомость!$N$5:$N$1270,Ведомость!$H$5:$H$1270,25,Ведомость!$I$5:$I$1270,"А500С",Ведомость!$V$5:$V$1270,"К-Б",Ведомость!$W$5:$W$1270,3)</f>
        <v/>
      </c>
      <c r="G102" s="35">
        <f>SUMIFS(Ведомость!$N$5:$N$1270,Ведомость!$H$5:$H$1270,25,Ведомость!$I$5:$I$1270,"А500С",Ведомость!$V$5:$V$1270,"Р-Б",Ведомость!$W$5:$W$1270,3)</f>
        <v/>
      </c>
      <c r="H102" s="35">
        <f>SUMIFS(Ведомость!$N$5:$N$1270,Ведомость!$H$5:$H$1270,25,Ведомость!$I$5:$I$1270,"А500С",Ведомость!$V$5:$V$1270,"К-В",Ведомость!$W$5:$W$1270,3)</f>
        <v/>
      </c>
      <c r="I102" s="35">
        <f>SUMIFS(Ведомость!$N$5:$N$1270,Ведомость!$H$5:$H$1270,25,Ведомость!$I$5:$I$1270,"А500С",Ведомость!$V$5:$V$1270,"Р-В",Ведомость!$W$5:$W$1270,3)</f>
        <v/>
      </c>
      <c r="J102" s="35">
        <f>SUMIFS(Ведомость!$N$5:$N$1270,Ведомость!$H$5:$H$1270,25,Ведомость!$I$5:$I$1270,"А500С",Ведомость!$V$5:$V$1270,"К-Г",Ведомость!$W$5:$W$1270,3)</f>
        <v/>
      </c>
      <c r="K102" s="35">
        <f>SUMIFS(Ведомость!$N$5:$N$1270,Ведомость!$H$5:$H$1270,25,Ведомость!$I$5:$I$1270,"А500С",Ведомость!$V$5:$V$1270,"Дм-3",Ведомость!$W$5:$W$1270,3)</f>
        <v/>
      </c>
      <c r="L102" s="35">
        <f>SUMIFS(Ведомость!$N$5:$N$1270,Ведомость!$H$5:$H$1270,25,Ведомость!$I$5:$I$1270,"А500С",Ведомость!$V$5:$V$1270,"Дм-4",Ведомость!$W$5:$W$1270,3)</f>
        <v/>
      </c>
      <c r="M102" s="35">
        <f>SUMIFS(Ведомость!$N$5:$N$1270,Ведомость!$H$5:$H$1270,25,Ведомость!$I$5:$I$1270,"А500С",Ведомость!$V$5:$V$1270,"Дм-5",Ведомость!$W$5:$W$1270,3)</f>
        <v/>
      </c>
      <c r="N102" s="35">
        <f>SUMIFS(Ведомость!$N$5:$N$1270,Ведомость!$H$5:$H$1270,25,Ведомость!$I$5:$I$1270,"А500С",Ведомость!$V$5:$V$1270,"Р-Г",Ведомость!$W$5:$W$1270,3)</f>
        <v/>
      </c>
      <c r="O102" s="35">
        <f>SUMIFS(Ведомость!$N$5:$N$1270,Ведомость!$H$5:$H$1270,25,Ведомость!$I$5:$I$1270,"А500С",Ведомость!$V$5:$V$1270,"Р-1, 5",Ведомость!$W$5:$W$1270,3)</f>
        <v/>
      </c>
      <c r="P102" s="35">
        <f>SUMIFS(Ведомость!$N$5:$N$1270,Ведомость!$H$5:$H$1270,25,Ведомость!$I$5:$I$1270,"А500С",Ведомость!$V$5:$V$1270,"Р-2",Ведомость!$W$5:$W$1270,3)</f>
        <v/>
      </c>
      <c r="Q102" s="35">
        <f>SUMIFS(Ведомость!$N$5:$N$1270,Ведомость!$H$5:$H$1270,25,Ведомость!$I$5:$I$1270,"А500С",Ведомость!$V$5:$V$1270,"Р-3",Ведомость!$W$5:$W$1270,3)</f>
        <v/>
      </c>
      <c r="R102" s="35">
        <f>SUMIFS(Ведомость!$N$5:$N$1270,Ведомость!$H$5:$H$1270,25,Ведомость!$I$5:$I$1270,"А500С",Ведомость!$V$5:$V$1270,"Р-4",Ведомость!$W$5:$W$1270,3)</f>
        <v/>
      </c>
      <c r="S102" s="35">
        <f>SUMIFS(Ведомость!$N$5:$N$1270,Ведомость!$H$5:$H$1270,25,Ведомость!$I$5:$I$1270,"А500С",Ведомость!$V$5:$V$1270,"Б-основная",Ведомость!$W$5:$W$1270,3)</f>
        <v/>
      </c>
      <c r="T102" s="35">
        <f>SUMIFS(Ведомость!$N$5:$N$1270,Ведомость!$H$5:$H$1270,25,Ведомость!$I$5:$I$1270,"А500С",Ведомость!$V$5:$V$1270,"Б-хомуты",Ведомость!$W$5:$W$1270,3)</f>
        <v/>
      </c>
      <c r="U102" s="35">
        <f>SUMIFS(Ведомость!$N$5:$N$1270,Ведомость!$H$5:$H$1270,25,Ведомость!$I$5:$I$1270,"А500С",Ведомость!$V$5:$V$1270,"Б-допник",Ведомость!$W$5:$W$1270,3)</f>
        <v/>
      </c>
      <c r="V102" s="35">
        <f>SUMIFS(Ведомость!$N$5:$N$1270,Ведомость!$H$5:$H$1270,25,Ведомость!$I$5:$I$1270,"А500С",Ведомость!$V$5:$V$1270,"П-сетка",Ведомость!$W$5:$W$1270,3)</f>
        <v/>
      </c>
      <c r="W102" s="35">
        <f>SUMIFS(Ведомость!$N$5:$N$1270,Ведомость!$H$5:$H$1270,25,Ведомость!$I$5:$I$1270,"А500С",Ведомость!$V$5:$V$1270,"П-фикс",Ведомость!$W$5:$W$1270,3)</f>
        <v/>
      </c>
      <c r="X102" s="35">
        <f>SUMIFS(Ведомость!$N$5:$N$1270,Ведомость!$H$5:$H$1270,25,Ведомость!$I$5:$I$1270,"А500С",Ведомость!$V$5:$V$1270,"П-отв",Ведомость!$W$5:$W$1270,3)</f>
        <v/>
      </c>
      <c r="Y102" s="35">
        <f>SUMIFS(Ведомость!$N$5:$N$1270,Ведомость!$H$5:$H$1270,25,Ведомость!$I$5:$I$1270,"А500С",Ведомость!$V$5:$V$1270,"П-доп-низ",Ведомость!$W$5:$W$1270,3)</f>
        <v/>
      </c>
      <c r="Z102" s="35">
        <f>SUMIFS(Ведомость!$N$5:$N$1270,Ведомость!$H$5:$H$1270,25,Ведомость!$I$5:$I$1270,"А500С",Ведомость!$V$5:$V$1270,"П-доп-верх",Ведомость!$W$5:$W$1270,3)</f>
        <v/>
      </c>
      <c r="AA102" s="35">
        <f>SUMIFS(Ведомость!$N$5:$N$1270,Ведомость!$H$5:$H$1270,25,Ведомость!$I$5:$I$1270,"А500С",Ведомость!$V$5:$V$1270,"П-край",Ведомость!$W$5:$W$1270,3)</f>
        <v/>
      </c>
      <c r="AB102" s="35">
        <f>SUMIFS(Ведомость!$N$5:$N$1270,Ведомость!$H$5:$H$1270,25,Ведомость!$I$5:$I$1270,"А500С",Ведомость!$V$5:$V$1270,"С-1",Ведомость!$W$5:$W$1270,3)</f>
        <v/>
      </c>
      <c r="AC102" s="35">
        <f>SUMIFS(Ведомость!$N$5:$N$1270,Ведомость!$H$5:$H$1270,25,Ведомость!$I$5:$I$1270,"А500С",Ведомость!$V$5:$V$1270,"Л1",Ведомость!$W$5:$W$1270,3)</f>
        <v/>
      </c>
      <c r="AD102" s="35">
        <f>SUMIFS(Ведомость!$N$5:$N$1270,Ведомость!$H$5:$H$1270,25,Ведомость!$I$5:$I$1270,"А500С",Ведомость!$V$5:$V$1270,"Л2",Ведомость!$W$5:$W$1270,3)</f>
        <v/>
      </c>
      <c r="AE102" s="35">
        <f>SUMIFS(Ведомость!$N$5:$N$1270,Ведомость!$H$5:$H$1270,25,Ведомость!$I$5:$I$1270,"А500С",Ведомость!$V$5:$V$1270,"Л-пл",Ведомость!$W$5:$W$1270,3)</f>
        <v/>
      </c>
      <c r="AF102" s="35">
        <f>SUMIFS(Ведомость!$N$5:$N$1270,Ведомость!$H$5:$H$1270,25,Ведомость!$I$5:$I$1270,"А500С",Ведомость!$V$5:$V$1270,"Л-рама",Ведомость!$W$5:$W$1270,3)</f>
        <v/>
      </c>
      <c r="AG102" s="36">
        <f>SUM(B102:AF102)</f>
        <v/>
      </c>
      <c r="AH102" s="37">
        <f>IFERROR(INDEX(Исходные!$B$19:$B$31,MATCH(25,Исходные!$A$19:$A$31,0)),0)</f>
        <v/>
      </c>
      <c r="AI102" s="36">
        <f>AG102*AH102*$AJ$2</f>
        <v/>
      </c>
      <c r="AJ102" s="38">
        <f>SUM(B102:D102,F102,H102,J102:M102)</f>
        <v/>
      </c>
      <c r="AK102" s="39">
        <f>AH102</f>
        <v/>
      </c>
      <c r="AL102" s="40">
        <f>AJ102*AK102*$AJ$2</f>
        <v/>
      </c>
      <c r="AM102" s="38">
        <f>SUM(E102,G102,I102,N102:AB102)</f>
        <v/>
      </c>
      <c r="AN102" s="39">
        <f>AH102</f>
        <v/>
      </c>
      <c r="AO102" s="40">
        <f>AM102*AN102*$AJ$2</f>
        <v/>
      </c>
      <c r="AP102" s="38">
        <f>SUM(AC102:AF102)</f>
        <v/>
      </c>
      <c r="AQ102" s="39">
        <f>AH102</f>
        <v/>
      </c>
      <c r="AR102" s="40">
        <f>AP102*AQ102*$AJ$2</f>
        <v/>
      </c>
    </row>
    <row r="103">
      <c r="A103" s="6" t="inlineStr">
        <is>
          <t>Диаметр 22 А500С, L=м.п.</t>
        </is>
      </c>
      <c r="B103" s="35">
        <f>SUMIFS(Ведомость!$N$5:$N$1270,Ведомость!$H$5:$H$1270,22,Ведомость!$I$5:$I$1270,"А500С",Ведомость!$V$5:$V$1270,"Дм-1",Ведомость!$W$5:$W$1270,3)</f>
        <v/>
      </c>
      <c r="C103" s="35">
        <f>SUMIFS(Ведомость!$N$5:$N$1270,Ведомость!$H$5:$H$1270,22,Ведомость!$I$5:$I$1270,"А500С",Ведомость!$V$5:$V$1270,"Дм-2",Ведомость!$W$5:$W$1270,3)</f>
        <v/>
      </c>
      <c r="D103" s="35">
        <f>SUMIFS(Ведомость!$N$5:$N$1270,Ведомость!$H$5:$H$1270,22,Ведомость!$I$5:$I$1270,"А500С",Ведомость!$V$5:$V$1270,"К-А",Ведомость!$W$5:$W$1270,3)</f>
        <v/>
      </c>
      <c r="E103" s="35">
        <f>SUMIFS(Ведомость!$N$5:$N$1270,Ведомость!$H$5:$H$1270,22,Ведомость!$I$5:$I$1270,"А500С",Ведомость!$V$5:$V$1270,"Р-А",Ведомость!$W$5:$W$1270,3)</f>
        <v/>
      </c>
      <c r="F103" s="35">
        <f>SUMIFS(Ведомость!$N$5:$N$1270,Ведомость!$H$5:$H$1270,22,Ведомость!$I$5:$I$1270,"А500С",Ведомость!$V$5:$V$1270,"К-Б",Ведомость!$W$5:$W$1270,3)</f>
        <v/>
      </c>
      <c r="G103" s="35">
        <f>SUMIFS(Ведомость!$N$5:$N$1270,Ведомость!$H$5:$H$1270,22,Ведомость!$I$5:$I$1270,"А500С",Ведомость!$V$5:$V$1270,"Р-Б",Ведомость!$W$5:$W$1270,3)</f>
        <v/>
      </c>
      <c r="H103" s="35">
        <f>SUMIFS(Ведомость!$N$5:$N$1270,Ведомость!$H$5:$H$1270,22,Ведомость!$I$5:$I$1270,"А500С",Ведомость!$V$5:$V$1270,"К-В",Ведомость!$W$5:$W$1270,3)</f>
        <v/>
      </c>
      <c r="I103" s="35">
        <f>SUMIFS(Ведомость!$N$5:$N$1270,Ведомость!$H$5:$H$1270,22,Ведомость!$I$5:$I$1270,"А500С",Ведомость!$V$5:$V$1270,"Р-В",Ведомость!$W$5:$W$1270,3)</f>
        <v/>
      </c>
      <c r="J103" s="35">
        <f>SUMIFS(Ведомость!$N$5:$N$1270,Ведомость!$H$5:$H$1270,22,Ведомость!$I$5:$I$1270,"А500С",Ведомость!$V$5:$V$1270,"К-Г",Ведомость!$W$5:$W$1270,3)</f>
        <v/>
      </c>
      <c r="K103" s="35">
        <f>SUMIFS(Ведомость!$N$5:$N$1270,Ведомость!$H$5:$H$1270,22,Ведомость!$I$5:$I$1270,"А500С",Ведомость!$V$5:$V$1270,"Дм-3",Ведомость!$W$5:$W$1270,3)</f>
        <v/>
      </c>
      <c r="L103" s="35">
        <f>SUMIFS(Ведомость!$N$5:$N$1270,Ведомость!$H$5:$H$1270,22,Ведомость!$I$5:$I$1270,"А500С",Ведомость!$V$5:$V$1270,"Дм-4",Ведомость!$W$5:$W$1270,3)</f>
        <v/>
      </c>
      <c r="M103" s="35">
        <f>SUMIFS(Ведомость!$N$5:$N$1270,Ведомость!$H$5:$H$1270,22,Ведомость!$I$5:$I$1270,"А500С",Ведомость!$V$5:$V$1270,"Дм-5",Ведомость!$W$5:$W$1270,3)</f>
        <v/>
      </c>
      <c r="N103" s="35">
        <f>SUMIFS(Ведомость!$N$5:$N$1270,Ведомость!$H$5:$H$1270,22,Ведомость!$I$5:$I$1270,"А500С",Ведомость!$V$5:$V$1270,"Р-Г",Ведомость!$W$5:$W$1270,3)</f>
        <v/>
      </c>
      <c r="O103" s="35">
        <f>SUMIFS(Ведомость!$N$5:$N$1270,Ведомость!$H$5:$H$1270,22,Ведомость!$I$5:$I$1270,"А500С",Ведомость!$V$5:$V$1270,"Р-1, 5",Ведомость!$W$5:$W$1270,3)</f>
        <v/>
      </c>
      <c r="P103" s="35">
        <f>SUMIFS(Ведомость!$N$5:$N$1270,Ведомость!$H$5:$H$1270,22,Ведомость!$I$5:$I$1270,"А500С",Ведомость!$V$5:$V$1270,"Р-2",Ведомость!$W$5:$W$1270,3)</f>
        <v/>
      </c>
      <c r="Q103" s="35">
        <f>SUMIFS(Ведомость!$N$5:$N$1270,Ведомость!$H$5:$H$1270,22,Ведомость!$I$5:$I$1270,"А500С",Ведомость!$V$5:$V$1270,"Р-3",Ведомость!$W$5:$W$1270,3)</f>
        <v/>
      </c>
      <c r="R103" s="35">
        <f>SUMIFS(Ведомость!$N$5:$N$1270,Ведомость!$H$5:$H$1270,22,Ведомость!$I$5:$I$1270,"А500С",Ведомость!$V$5:$V$1270,"Р-4",Ведомость!$W$5:$W$1270,3)</f>
        <v/>
      </c>
      <c r="S103" s="35">
        <f>SUMIFS(Ведомость!$N$5:$N$1270,Ведомость!$H$5:$H$1270,22,Ведомость!$I$5:$I$1270,"А500С",Ведомость!$V$5:$V$1270,"Б-основная",Ведомость!$W$5:$W$1270,3)</f>
        <v/>
      </c>
      <c r="T103" s="35">
        <f>SUMIFS(Ведомость!$N$5:$N$1270,Ведомость!$H$5:$H$1270,22,Ведомость!$I$5:$I$1270,"А500С",Ведомость!$V$5:$V$1270,"Б-хомуты",Ведомость!$W$5:$W$1270,3)</f>
        <v/>
      </c>
      <c r="U103" s="35">
        <f>SUMIFS(Ведомость!$N$5:$N$1270,Ведомость!$H$5:$H$1270,22,Ведомость!$I$5:$I$1270,"А500С",Ведомость!$V$5:$V$1270,"Б-допник",Ведомость!$W$5:$W$1270,3)</f>
        <v/>
      </c>
      <c r="V103" s="35">
        <f>SUMIFS(Ведомость!$N$5:$N$1270,Ведомость!$H$5:$H$1270,22,Ведомость!$I$5:$I$1270,"А500С",Ведомость!$V$5:$V$1270,"П-сетка",Ведомость!$W$5:$W$1270,3)</f>
        <v/>
      </c>
      <c r="W103" s="35">
        <f>SUMIFS(Ведомость!$N$5:$N$1270,Ведомость!$H$5:$H$1270,22,Ведомость!$I$5:$I$1270,"А500С",Ведомость!$V$5:$V$1270,"П-фикс",Ведомость!$W$5:$W$1270,3)</f>
        <v/>
      </c>
      <c r="X103" s="35">
        <f>SUMIFS(Ведомость!$N$5:$N$1270,Ведомость!$H$5:$H$1270,22,Ведомость!$I$5:$I$1270,"А500С",Ведомость!$V$5:$V$1270,"П-отв",Ведомость!$W$5:$W$1270,3)</f>
        <v/>
      </c>
      <c r="Y103" s="35">
        <f>SUMIFS(Ведомость!$N$5:$N$1270,Ведомость!$H$5:$H$1270,22,Ведомость!$I$5:$I$1270,"А500С",Ведомость!$V$5:$V$1270,"П-доп-низ",Ведомость!$W$5:$W$1270,3)</f>
        <v/>
      </c>
      <c r="Z103" s="35">
        <f>SUMIFS(Ведомость!$N$5:$N$1270,Ведомость!$H$5:$H$1270,22,Ведомость!$I$5:$I$1270,"А500С",Ведомость!$V$5:$V$1270,"П-доп-верх",Ведомость!$W$5:$W$1270,3)</f>
        <v/>
      </c>
      <c r="AA103" s="35">
        <f>SUMIFS(Ведомость!$N$5:$N$1270,Ведомость!$H$5:$H$1270,22,Ведомость!$I$5:$I$1270,"А500С",Ведомость!$V$5:$V$1270,"П-край",Ведомость!$W$5:$W$1270,3)</f>
        <v/>
      </c>
      <c r="AB103" s="35">
        <f>SUMIFS(Ведомость!$N$5:$N$1270,Ведомость!$H$5:$H$1270,22,Ведомость!$I$5:$I$1270,"А500С",Ведомость!$V$5:$V$1270,"С-1",Ведомость!$W$5:$W$1270,3)</f>
        <v/>
      </c>
      <c r="AC103" s="35">
        <f>SUMIFS(Ведомость!$N$5:$N$1270,Ведомость!$H$5:$H$1270,22,Ведомость!$I$5:$I$1270,"А500С",Ведомость!$V$5:$V$1270,"Л1",Ведомость!$W$5:$W$1270,3)</f>
        <v/>
      </c>
      <c r="AD103" s="35">
        <f>SUMIFS(Ведомость!$N$5:$N$1270,Ведомость!$H$5:$H$1270,22,Ведомость!$I$5:$I$1270,"А500С",Ведомость!$V$5:$V$1270,"Л2",Ведомость!$W$5:$W$1270,3)</f>
        <v/>
      </c>
      <c r="AE103" s="35">
        <f>SUMIFS(Ведомость!$N$5:$N$1270,Ведомость!$H$5:$H$1270,22,Ведомость!$I$5:$I$1270,"А500С",Ведомость!$V$5:$V$1270,"Л-пл",Ведомость!$W$5:$W$1270,3)</f>
        <v/>
      </c>
      <c r="AF103" s="35">
        <f>SUMIFS(Ведомость!$N$5:$N$1270,Ведомость!$H$5:$H$1270,22,Ведомость!$I$5:$I$1270,"А500С",Ведомость!$V$5:$V$1270,"Л-рама",Ведомость!$W$5:$W$1270,3)</f>
        <v/>
      </c>
      <c r="AG103" s="36">
        <f>SUM(B103:AF103)</f>
        <v/>
      </c>
      <c r="AH103" s="37">
        <f>IFERROR(INDEX(Исходные!$B$19:$B$31,MATCH(22,Исходные!$A$19:$A$31,0)),0)</f>
        <v/>
      </c>
      <c r="AI103" s="36">
        <f>AG103*AH103*$AJ$2</f>
        <v/>
      </c>
      <c r="AJ103" s="38">
        <f>SUM(B103:D103,F103,H103,J103:M103)</f>
        <v/>
      </c>
      <c r="AK103" s="39">
        <f>AH103</f>
        <v/>
      </c>
      <c r="AL103" s="40">
        <f>AJ103*AK103*$AJ$2</f>
        <v/>
      </c>
      <c r="AM103" s="38">
        <f>SUM(E103,G103,I103,N103:AB103)</f>
        <v/>
      </c>
      <c r="AN103" s="39">
        <f>AH103</f>
        <v/>
      </c>
      <c r="AO103" s="40">
        <f>AM103*AN103*$AJ$2</f>
        <v/>
      </c>
      <c r="AP103" s="38">
        <f>SUM(AC103:AF103)</f>
        <v/>
      </c>
      <c r="AQ103" s="39">
        <f>AH103</f>
        <v/>
      </c>
      <c r="AR103" s="40">
        <f>AP103*AQ103*$AJ$2</f>
        <v/>
      </c>
    </row>
    <row r="104">
      <c r="A104" s="6" t="inlineStr">
        <is>
          <t>Диаметр 20 А500С, L=м.п.</t>
        </is>
      </c>
      <c r="B104" s="35">
        <f>SUMIFS(Ведомость!$N$5:$N$1270,Ведомость!$H$5:$H$1270,20,Ведомость!$I$5:$I$1270,"А500С",Ведомость!$V$5:$V$1270,"Дм-1",Ведомость!$W$5:$W$1270,3)</f>
        <v/>
      </c>
      <c r="C104" s="35">
        <f>SUMIFS(Ведомость!$N$5:$N$1270,Ведомость!$H$5:$H$1270,20,Ведомость!$I$5:$I$1270,"А500С",Ведомость!$V$5:$V$1270,"Дм-2",Ведомость!$W$5:$W$1270,3)</f>
        <v/>
      </c>
      <c r="D104" s="35">
        <f>SUMIFS(Ведомость!$N$5:$N$1270,Ведомость!$H$5:$H$1270,20,Ведомость!$I$5:$I$1270,"А500С",Ведомость!$V$5:$V$1270,"К-А",Ведомость!$W$5:$W$1270,3)</f>
        <v/>
      </c>
      <c r="E104" s="35">
        <f>SUMIFS(Ведомость!$N$5:$N$1270,Ведомость!$H$5:$H$1270,20,Ведомость!$I$5:$I$1270,"А500С",Ведомость!$V$5:$V$1270,"Р-А",Ведомость!$W$5:$W$1270,3)</f>
        <v/>
      </c>
      <c r="F104" s="35">
        <f>SUMIFS(Ведомость!$N$5:$N$1270,Ведомость!$H$5:$H$1270,20,Ведомость!$I$5:$I$1270,"А500С",Ведомость!$V$5:$V$1270,"К-Б",Ведомость!$W$5:$W$1270,3)</f>
        <v/>
      </c>
      <c r="G104" s="35">
        <f>SUMIFS(Ведомость!$N$5:$N$1270,Ведомость!$H$5:$H$1270,20,Ведомость!$I$5:$I$1270,"А500С",Ведомость!$V$5:$V$1270,"Р-Б",Ведомость!$W$5:$W$1270,3)</f>
        <v/>
      </c>
      <c r="H104" s="35">
        <f>SUMIFS(Ведомость!$N$5:$N$1270,Ведомость!$H$5:$H$1270,20,Ведомость!$I$5:$I$1270,"А500С",Ведомость!$V$5:$V$1270,"К-В",Ведомость!$W$5:$W$1270,3)</f>
        <v/>
      </c>
      <c r="I104" s="35">
        <f>SUMIFS(Ведомость!$N$5:$N$1270,Ведомость!$H$5:$H$1270,20,Ведомость!$I$5:$I$1270,"А500С",Ведомость!$V$5:$V$1270,"Р-В",Ведомость!$W$5:$W$1270,3)</f>
        <v/>
      </c>
      <c r="J104" s="35">
        <f>SUMIFS(Ведомость!$N$5:$N$1270,Ведомость!$H$5:$H$1270,20,Ведомость!$I$5:$I$1270,"А500С",Ведомость!$V$5:$V$1270,"К-Г",Ведомость!$W$5:$W$1270,3)</f>
        <v/>
      </c>
      <c r="K104" s="35">
        <f>SUMIFS(Ведомость!$N$5:$N$1270,Ведомость!$H$5:$H$1270,20,Ведомость!$I$5:$I$1270,"А500С",Ведомость!$V$5:$V$1270,"Дм-3",Ведомость!$W$5:$W$1270,3)</f>
        <v/>
      </c>
      <c r="L104" s="35">
        <f>SUMIFS(Ведомость!$N$5:$N$1270,Ведомость!$H$5:$H$1270,20,Ведомость!$I$5:$I$1270,"А500С",Ведомость!$V$5:$V$1270,"Дм-4",Ведомость!$W$5:$W$1270,3)</f>
        <v/>
      </c>
      <c r="M104" s="35">
        <f>SUMIFS(Ведомость!$N$5:$N$1270,Ведомость!$H$5:$H$1270,20,Ведомость!$I$5:$I$1270,"А500С",Ведомость!$V$5:$V$1270,"Дм-5",Ведомость!$W$5:$W$1270,3)</f>
        <v/>
      </c>
      <c r="N104" s="35">
        <f>SUMIFS(Ведомость!$N$5:$N$1270,Ведомость!$H$5:$H$1270,20,Ведомость!$I$5:$I$1270,"А500С",Ведомость!$V$5:$V$1270,"Р-Г",Ведомость!$W$5:$W$1270,3)</f>
        <v/>
      </c>
      <c r="O104" s="35">
        <f>SUMIFS(Ведомость!$N$5:$N$1270,Ведомость!$H$5:$H$1270,20,Ведомость!$I$5:$I$1270,"А500С",Ведомость!$V$5:$V$1270,"Р-1, 5",Ведомость!$W$5:$W$1270,3)</f>
        <v/>
      </c>
      <c r="P104" s="35">
        <f>SUMIFS(Ведомость!$N$5:$N$1270,Ведомость!$H$5:$H$1270,20,Ведомость!$I$5:$I$1270,"А500С",Ведомость!$V$5:$V$1270,"Р-2",Ведомость!$W$5:$W$1270,3)</f>
        <v/>
      </c>
      <c r="Q104" s="35">
        <f>SUMIFS(Ведомость!$N$5:$N$1270,Ведомость!$H$5:$H$1270,20,Ведомость!$I$5:$I$1270,"А500С",Ведомость!$V$5:$V$1270,"Р-3",Ведомость!$W$5:$W$1270,3)</f>
        <v/>
      </c>
      <c r="R104" s="35">
        <f>SUMIFS(Ведомость!$N$5:$N$1270,Ведомость!$H$5:$H$1270,20,Ведомость!$I$5:$I$1270,"А500С",Ведомость!$V$5:$V$1270,"Р-4",Ведомость!$W$5:$W$1270,3)</f>
        <v/>
      </c>
      <c r="S104" s="35">
        <f>SUMIFS(Ведомость!$N$5:$N$1270,Ведомость!$H$5:$H$1270,20,Ведомость!$I$5:$I$1270,"А500С",Ведомость!$V$5:$V$1270,"Б-основная",Ведомость!$W$5:$W$1270,3)</f>
        <v/>
      </c>
      <c r="T104" s="35">
        <f>SUMIFS(Ведомость!$N$5:$N$1270,Ведомость!$H$5:$H$1270,20,Ведомость!$I$5:$I$1270,"А500С",Ведомость!$V$5:$V$1270,"Б-хомуты",Ведомость!$W$5:$W$1270,3)</f>
        <v/>
      </c>
      <c r="U104" s="35">
        <f>SUMIFS(Ведомость!$N$5:$N$1270,Ведомость!$H$5:$H$1270,20,Ведомость!$I$5:$I$1270,"А500С",Ведомость!$V$5:$V$1270,"Б-допник",Ведомость!$W$5:$W$1270,3)</f>
        <v/>
      </c>
      <c r="V104" s="35">
        <f>SUMIFS(Ведомость!$N$5:$N$1270,Ведомость!$H$5:$H$1270,20,Ведомость!$I$5:$I$1270,"А500С",Ведомость!$V$5:$V$1270,"П-сетка",Ведомость!$W$5:$W$1270,3)</f>
        <v/>
      </c>
      <c r="W104" s="35">
        <f>SUMIFS(Ведомость!$N$5:$N$1270,Ведомость!$H$5:$H$1270,20,Ведомость!$I$5:$I$1270,"А500С",Ведомость!$V$5:$V$1270,"П-фикс",Ведомость!$W$5:$W$1270,3)</f>
        <v/>
      </c>
      <c r="X104" s="35">
        <f>SUMIFS(Ведомость!$N$5:$N$1270,Ведомость!$H$5:$H$1270,20,Ведомость!$I$5:$I$1270,"А500С",Ведомость!$V$5:$V$1270,"П-отв",Ведомость!$W$5:$W$1270,3)</f>
        <v/>
      </c>
      <c r="Y104" s="35">
        <f>SUMIFS(Ведомость!$N$5:$N$1270,Ведомость!$H$5:$H$1270,20,Ведомость!$I$5:$I$1270,"А500С",Ведомость!$V$5:$V$1270,"П-доп-низ",Ведомость!$W$5:$W$1270,3)</f>
        <v/>
      </c>
      <c r="Z104" s="35">
        <f>SUMIFS(Ведомость!$N$5:$N$1270,Ведомость!$H$5:$H$1270,20,Ведомость!$I$5:$I$1270,"А500С",Ведомость!$V$5:$V$1270,"П-доп-верх",Ведомость!$W$5:$W$1270,3)</f>
        <v/>
      </c>
      <c r="AA104" s="35">
        <f>SUMIFS(Ведомость!$N$5:$N$1270,Ведомость!$H$5:$H$1270,20,Ведомость!$I$5:$I$1270,"А500С",Ведомость!$V$5:$V$1270,"П-край",Ведомость!$W$5:$W$1270,3)</f>
        <v/>
      </c>
      <c r="AB104" s="35">
        <f>SUMIFS(Ведомость!$N$5:$N$1270,Ведомость!$H$5:$H$1270,20,Ведомость!$I$5:$I$1270,"А500С",Ведомость!$V$5:$V$1270,"С-1",Ведомость!$W$5:$W$1270,3)</f>
        <v/>
      </c>
      <c r="AC104" s="35">
        <f>SUMIFS(Ведомость!$N$5:$N$1270,Ведомость!$H$5:$H$1270,20,Ведомость!$I$5:$I$1270,"А500С",Ведомость!$V$5:$V$1270,"Л1",Ведомость!$W$5:$W$1270,3)</f>
        <v/>
      </c>
      <c r="AD104" s="35">
        <f>SUMIFS(Ведомость!$N$5:$N$1270,Ведомость!$H$5:$H$1270,20,Ведомость!$I$5:$I$1270,"А500С",Ведомость!$V$5:$V$1270,"Л2",Ведомость!$W$5:$W$1270,3)</f>
        <v/>
      </c>
      <c r="AE104" s="35">
        <f>SUMIFS(Ведомость!$N$5:$N$1270,Ведомость!$H$5:$H$1270,20,Ведомость!$I$5:$I$1270,"А500С",Ведомость!$V$5:$V$1270,"Л-пл",Ведомость!$W$5:$W$1270,3)</f>
        <v/>
      </c>
      <c r="AF104" s="35">
        <f>SUMIFS(Ведомость!$N$5:$N$1270,Ведомость!$H$5:$H$1270,20,Ведомость!$I$5:$I$1270,"А500С",Ведомость!$V$5:$V$1270,"Л-рама",Ведомость!$W$5:$W$1270,3)</f>
        <v/>
      </c>
      <c r="AG104" s="36">
        <f>SUM(B104:AF104)</f>
        <v/>
      </c>
      <c r="AH104" s="37">
        <f>IFERROR(INDEX(Исходные!$B$19:$B$31,MATCH(20,Исходные!$A$19:$A$31,0)),0)</f>
        <v/>
      </c>
      <c r="AI104" s="36">
        <f>AG104*AH104*$AJ$2</f>
        <v/>
      </c>
      <c r="AJ104" s="38">
        <f>SUM(B104:D104,F104,H104,J104:M104)</f>
        <v/>
      </c>
      <c r="AK104" s="39">
        <f>AH104</f>
        <v/>
      </c>
      <c r="AL104" s="40">
        <f>AJ104*AK104*$AJ$2</f>
        <v/>
      </c>
      <c r="AM104" s="38">
        <f>SUM(E104,G104,I104,N104:AB104)</f>
        <v/>
      </c>
      <c r="AN104" s="39">
        <f>AH104</f>
        <v/>
      </c>
      <c r="AO104" s="40">
        <f>AM104*AN104*$AJ$2</f>
        <v/>
      </c>
      <c r="AP104" s="38">
        <f>SUM(AC104:AF104)</f>
        <v/>
      </c>
      <c r="AQ104" s="39">
        <f>AH104</f>
        <v/>
      </c>
      <c r="AR104" s="40">
        <f>AP104*AQ104*$AJ$2</f>
        <v/>
      </c>
    </row>
    <row r="105">
      <c r="A105" s="6" t="inlineStr">
        <is>
          <t>Диаметр 18 А500С, L=м.п.</t>
        </is>
      </c>
      <c r="B105" s="35">
        <f>SUMIFS(Ведомость!$N$5:$N$1270,Ведомость!$H$5:$H$1270,18,Ведомость!$I$5:$I$1270,"А500С",Ведомость!$V$5:$V$1270,"Дм-1",Ведомость!$W$5:$W$1270,3)</f>
        <v/>
      </c>
      <c r="C105" s="35">
        <f>SUMIFS(Ведомость!$N$5:$N$1270,Ведомость!$H$5:$H$1270,18,Ведомость!$I$5:$I$1270,"А500С",Ведомость!$V$5:$V$1270,"Дм-2",Ведомость!$W$5:$W$1270,3)</f>
        <v/>
      </c>
      <c r="D105" s="35">
        <f>SUMIFS(Ведомость!$N$5:$N$1270,Ведомость!$H$5:$H$1270,18,Ведомость!$I$5:$I$1270,"А500С",Ведомость!$V$5:$V$1270,"К-А",Ведомость!$W$5:$W$1270,3)</f>
        <v/>
      </c>
      <c r="E105" s="35">
        <f>SUMIFS(Ведомость!$N$5:$N$1270,Ведомость!$H$5:$H$1270,18,Ведомость!$I$5:$I$1270,"А500С",Ведомость!$V$5:$V$1270,"Р-А",Ведомость!$W$5:$W$1270,3)</f>
        <v/>
      </c>
      <c r="F105" s="35">
        <f>SUMIFS(Ведомость!$N$5:$N$1270,Ведомость!$H$5:$H$1270,18,Ведомость!$I$5:$I$1270,"А500С",Ведомость!$V$5:$V$1270,"К-Б",Ведомость!$W$5:$W$1270,3)</f>
        <v/>
      </c>
      <c r="G105" s="35">
        <f>SUMIFS(Ведомость!$N$5:$N$1270,Ведомость!$H$5:$H$1270,18,Ведомость!$I$5:$I$1270,"А500С",Ведомость!$V$5:$V$1270,"Р-Б",Ведомость!$W$5:$W$1270,3)</f>
        <v/>
      </c>
      <c r="H105" s="35">
        <f>SUMIFS(Ведомость!$N$5:$N$1270,Ведомость!$H$5:$H$1270,18,Ведомость!$I$5:$I$1270,"А500С",Ведомость!$V$5:$V$1270,"К-В",Ведомость!$W$5:$W$1270,3)</f>
        <v/>
      </c>
      <c r="I105" s="35">
        <f>SUMIFS(Ведомость!$N$5:$N$1270,Ведомость!$H$5:$H$1270,18,Ведомость!$I$5:$I$1270,"А500С",Ведомость!$V$5:$V$1270,"Р-В",Ведомость!$W$5:$W$1270,3)</f>
        <v/>
      </c>
      <c r="J105" s="35">
        <f>SUMIFS(Ведомость!$N$5:$N$1270,Ведомость!$H$5:$H$1270,18,Ведомость!$I$5:$I$1270,"А500С",Ведомость!$V$5:$V$1270,"К-Г",Ведомость!$W$5:$W$1270,3)</f>
        <v/>
      </c>
      <c r="K105" s="35">
        <f>SUMIFS(Ведомость!$N$5:$N$1270,Ведомость!$H$5:$H$1270,18,Ведомость!$I$5:$I$1270,"А500С",Ведомость!$V$5:$V$1270,"Дм-3",Ведомость!$W$5:$W$1270,3)</f>
        <v/>
      </c>
      <c r="L105" s="35">
        <f>SUMIFS(Ведомость!$N$5:$N$1270,Ведомость!$H$5:$H$1270,18,Ведомость!$I$5:$I$1270,"А500С",Ведомость!$V$5:$V$1270,"Дм-4",Ведомость!$W$5:$W$1270,3)</f>
        <v/>
      </c>
      <c r="M105" s="35">
        <f>SUMIFS(Ведомость!$N$5:$N$1270,Ведомость!$H$5:$H$1270,18,Ведомость!$I$5:$I$1270,"А500С",Ведомость!$V$5:$V$1270,"Дм-5",Ведомость!$W$5:$W$1270,3)</f>
        <v/>
      </c>
      <c r="N105" s="35">
        <f>SUMIFS(Ведомость!$N$5:$N$1270,Ведомость!$H$5:$H$1270,18,Ведомость!$I$5:$I$1270,"А500С",Ведомость!$V$5:$V$1270,"Р-Г",Ведомость!$W$5:$W$1270,3)</f>
        <v/>
      </c>
      <c r="O105" s="35">
        <f>SUMIFS(Ведомость!$N$5:$N$1270,Ведомость!$H$5:$H$1270,18,Ведомость!$I$5:$I$1270,"А500С",Ведомость!$V$5:$V$1270,"Р-1, 5",Ведомость!$W$5:$W$1270,3)</f>
        <v/>
      </c>
      <c r="P105" s="35">
        <f>SUMIFS(Ведомость!$N$5:$N$1270,Ведомость!$H$5:$H$1270,18,Ведомость!$I$5:$I$1270,"А500С",Ведомость!$V$5:$V$1270,"Р-2",Ведомость!$W$5:$W$1270,3)</f>
        <v/>
      </c>
      <c r="Q105" s="35">
        <f>SUMIFS(Ведомость!$N$5:$N$1270,Ведомость!$H$5:$H$1270,18,Ведомость!$I$5:$I$1270,"А500С",Ведомость!$V$5:$V$1270,"Р-3",Ведомость!$W$5:$W$1270,3)</f>
        <v/>
      </c>
      <c r="R105" s="35">
        <f>SUMIFS(Ведомость!$N$5:$N$1270,Ведомость!$H$5:$H$1270,18,Ведомость!$I$5:$I$1270,"А500С",Ведомость!$V$5:$V$1270,"Р-4",Ведомость!$W$5:$W$1270,3)</f>
        <v/>
      </c>
      <c r="S105" s="35">
        <f>SUMIFS(Ведомость!$N$5:$N$1270,Ведомость!$H$5:$H$1270,18,Ведомость!$I$5:$I$1270,"А500С",Ведомость!$V$5:$V$1270,"Б-основная",Ведомость!$W$5:$W$1270,3)</f>
        <v/>
      </c>
      <c r="T105" s="35">
        <f>SUMIFS(Ведомость!$N$5:$N$1270,Ведомость!$H$5:$H$1270,18,Ведомость!$I$5:$I$1270,"А500С",Ведомость!$V$5:$V$1270,"Б-хомуты",Ведомость!$W$5:$W$1270,3)</f>
        <v/>
      </c>
      <c r="U105" s="35">
        <f>SUMIFS(Ведомость!$N$5:$N$1270,Ведомость!$H$5:$H$1270,18,Ведомость!$I$5:$I$1270,"А500С",Ведомость!$V$5:$V$1270,"Б-допник",Ведомость!$W$5:$W$1270,3)</f>
        <v/>
      </c>
      <c r="V105" s="35">
        <f>SUMIFS(Ведомость!$N$5:$N$1270,Ведомость!$H$5:$H$1270,18,Ведомость!$I$5:$I$1270,"А500С",Ведомость!$V$5:$V$1270,"П-сетка",Ведомость!$W$5:$W$1270,3)</f>
        <v/>
      </c>
      <c r="W105" s="35">
        <f>SUMIFS(Ведомость!$N$5:$N$1270,Ведомость!$H$5:$H$1270,18,Ведомость!$I$5:$I$1270,"А500С",Ведомость!$V$5:$V$1270,"П-фикс",Ведомость!$W$5:$W$1270,3)</f>
        <v/>
      </c>
      <c r="X105" s="35">
        <f>SUMIFS(Ведомость!$N$5:$N$1270,Ведомость!$H$5:$H$1270,18,Ведомость!$I$5:$I$1270,"А500С",Ведомость!$V$5:$V$1270,"П-отв",Ведомость!$W$5:$W$1270,3)</f>
        <v/>
      </c>
      <c r="Y105" s="35">
        <f>SUMIFS(Ведомость!$N$5:$N$1270,Ведомость!$H$5:$H$1270,18,Ведомость!$I$5:$I$1270,"А500С",Ведомость!$V$5:$V$1270,"П-доп-низ",Ведомость!$W$5:$W$1270,3)</f>
        <v/>
      </c>
      <c r="Z105" s="35">
        <f>SUMIFS(Ведомость!$N$5:$N$1270,Ведомость!$H$5:$H$1270,18,Ведомость!$I$5:$I$1270,"А500С",Ведомость!$V$5:$V$1270,"П-доп-верх",Ведомость!$W$5:$W$1270,3)</f>
        <v/>
      </c>
      <c r="AA105" s="35">
        <f>SUMIFS(Ведомость!$N$5:$N$1270,Ведомость!$H$5:$H$1270,18,Ведомость!$I$5:$I$1270,"А500С",Ведомость!$V$5:$V$1270,"П-край",Ведомость!$W$5:$W$1270,3)</f>
        <v/>
      </c>
      <c r="AB105" s="35">
        <f>SUMIFS(Ведомость!$N$5:$N$1270,Ведомость!$H$5:$H$1270,18,Ведомость!$I$5:$I$1270,"А500С",Ведомость!$V$5:$V$1270,"С-1",Ведомость!$W$5:$W$1270,3)</f>
        <v/>
      </c>
      <c r="AC105" s="35">
        <f>SUMIFS(Ведомость!$N$5:$N$1270,Ведомость!$H$5:$H$1270,18,Ведомость!$I$5:$I$1270,"А500С",Ведомость!$V$5:$V$1270,"Л1",Ведомость!$W$5:$W$1270,3)</f>
        <v/>
      </c>
      <c r="AD105" s="35">
        <f>SUMIFS(Ведомость!$N$5:$N$1270,Ведомость!$H$5:$H$1270,18,Ведомость!$I$5:$I$1270,"А500С",Ведомость!$V$5:$V$1270,"Л2",Ведомость!$W$5:$W$1270,3)</f>
        <v/>
      </c>
      <c r="AE105" s="35">
        <f>SUMIFS(Ведомость!$N$5:$N$1270,Ведомость!$H$5:$H$1270,18,Ведомость!$I$5:$I$1270,"А500С",Ведомость!$V$5:$V$1270,"Л-пл",Ведомость!$W$5:$W$1270,3)</f>
        <v/>
      </c>
      <c r="AF105" s="35">
        <f>SUMIFS(Ведомость!$N$5:$N$1270,Ведомость!$H$5:$H$1270,18,Ведомость!$I$5:$I$1270,"А500С",Ведомость!$V$5:$V$1270,"Л-рама",Ведомость!$W$5:$W$1270,3)</f>
        <v/>
      </c>
      <c r="AG105" s="36">
        <f>SUM(B105:AF105)</f>
        <v/>
      </c>
      <c r="AH105" s="37">
        <f>IFERROR(INDEX(Исходные!$B$19:$B$31,MATCH(18,Исходные!$A$19:$A$31,0)),0)</f>
        <v/>
      </c>
      <c r="AI105" s="36">
        <f>AG105*AH105*$AJ$2</f>
        <v/>
      </c>
      <c r="AJ105" s="38">
        <f>SUM(B105:D105,F105,H105,J105:M105)</f>
        <v/>
      </c>
      <c r="AK105" s="39">
        <f>AH105</f>
        <v/>
      </c>
      <c r="AL105" s="40">
        <f>AJ105*AK105*$AJ$2</f>
        <v/>
      </c>
      <c r="AM105" s="38">
        <f>SUM(E105,G105,I105,N105:AB105)</f>
        <v/>
      </c>
      <c r="AN105" s="39">
        <f>AH105</f>
        <v/>
      </c>
      <c r="AO105" s="40">
        <f>AM105*AN105*$AJ$2</f>
        <v/>
      </c>
      <c r="AP105" s="38">
        <f>SUM(AC105:AF105)</f>
        <v/>
      </c>
      <c r="AQ105" s="39">
        <f>AH105</f>
        <v/>
      </c>
      <c r="AR105" s="40">
        <f>AP105*AQ105*$AJ$2</f>
        <v/>
      </c>
    </row>
    <row r="106">
      <c r="A106" s="6" t="inlineStr">
        <is>
          <t>Диаметр 16 А500С, L=м.п.</t>
        </is>
      </c>
      <c r="B106" s="35">
        <f>SUMIFS(Ведомость!$N$5:$N$1270,Ведомость!$H$5:$H$1270,16,Ведомость!$I$5:$I$1270,"А500С",Ведомость!$V$5:$V$1270,"Дм-1",Ведомость!$W$5:$W$1270,3)</f>
        <v/>
      </c>
      <c r="C106" s="35">
        <f>SUMIFS(Ведомость!$N$5:$N$1270,Ведомость!$H$5:$H$1270,16,Ведомость!$I$5:$I$1270,"А500С",Ведомость!$V$5:$V$1270,"Дм-2",Ведомость!$W$5:$W$1270,3)</f>
        <v/>
      </c>
      <c r="D106" s="35">
        <f>SUMIFS(Ведомость!$N$5:$N$1270,Ведомость!$H$5:$H$1270,16,Ведомость!$I$5:$I$1270,"А500С",Ведомость!$V$5:$V$1270,"К-А",Ведомость!$W$5:$W$1270,3)</f>
        <v/>
      </c>
      <c r="E106" s="35">
        <f>SUMIFS(Ведомость!$N$5:$N$1270,Ведомость!$H$5:$H$1270,16,Ведомость!$I$5:$I$1270,"А500С",Ведомость!$V$5:$V$1270,"Р-А",Ведомость!$W$5:$W$1270,3)</f>
        <v/>
      </c>
      <c r="F106" s="35">
        <f>SUMIFS(Ведомость!$N$5:$N$1270,Ведомость!$H$5:$H$1270,16,Ведомость!$I$5:$I$1270,"А500С",Ведомость!$V$5:$V$1270,"К-Б",Ведомость!$W$5:$W$1270,3)</f>
        <v/>
      </c>
      <c r="G106" s="35">
        <f>SUMIFS(Ведомость!$N$5:$N$1270,Ведомость!$H$5:$H$1270,16,Ведомость!$I$5:$I$1270,"А500С",Ведомость!$V$5:$V$1270,"Р-Б",Ведомость!$W$5:$W$1270,3)</f>
        <v/>
      </c>
      <c r="H106" s="35">
        <f>SUMIFS(Ведомость!$N$5:$N$1270,Ведомость!$H$5:$H$1270,16,Ведомость!$I$5:$I$1270,"А500С",Ведомость!$V$5:$V$1270,"К-В",Ведомость!$W$5:$W$1270,3)</f>
        <v/>
      </c>
      <c r="I106" s="35">
        <f>SUMIFS(Ведомость!$N$5:$N$1270,Ведомость!$H$5:$H$1270,16,Ведомость!$I$5:$I$1270,"А500С",Ведомость!$V$5:$V$1270,"Р-В",Ведомость!$W$5:$W$1270,3)</f>
        <v/>
      </c>
      <c r="J106" s="35">
        <f>SUMIFS(Ведомость!$N$5:$N$1270,Ведомость!$H$5:$H$1270,16,Ведомость!$I$5:$I$1270,"А500С",Ведомость!$V$5:$V$1270,"К-Г",Ведомость!$W$5:$W$1270,3)</f>
        <v/>
      </c>
      <c r="K106" s="35">
        <f>SUMIFS(Ведомость!$N$5:$N$1270,Ведомость!$H$5:$H$1270,16,Ведомость!$I$5:$I$1270,"А500С",Ведомость!$V$5:$V$1270,"Дм-3",Ведомость!$W$5:$W$1270,3)</f>
        <v/>
      </c>
      <c r="L106" s="35">
        <f>SUMIFS(Ведомость!$N$5:$N$1270,Ведомость!$H$5:$H$1270,16,Ведомость!$I$5:$I$1270,"А500С",Ведомость!$V$5:$V$1270,"Дм-4",Ведомость!$W$5:$W$1270,3)</f>
        <v/>
      </c>
      <c r="M106" s="35">
        <f>SUMIFS(Ведомость!$N$5:$N$1270,Ведомость!$H$5:$H$1270,16,Ведомость!$I$5:$I$1270,"А500С",Ведомость!$V$5:$V$1270,"Дм-5",Ведомость!$W$5:$W$1270,3)</f>
        <v/>
      </c>
      <c r="N106" s="35">
        <f>SUMIFS(Ведомость!$N$5:$N$1270,Ведомость!$H$5:$H$1270,16,Ведомость!$I$5:$I$1270,"А500С",Ведомость!$V$5:$V$1270,"Р-Г",Ведомость!$W$5:$W$1270,3)</f>
        <v/>
      </c>
      <c r="O106" s="35">
        <f>SUMIFS(Ведомость!$N$5:$N$1270,Ведомость!$H$5:$H$1270,16,Ведомость!$I$5:$I$1270,"А500С",Ведомость!$V$5:$V$1270,"Р-1, 5",Ведомость!$W$5:$W$1270,3)</f>
        <v/>
      </c>
      <c r="P106" s="35">
        <f>SUMIFS(Ведомость!$N$5:$N$1270,Ведомость!$H$5:$H$1270,16,Ведомость!$I$5:$I$1270,"А500С",Ведомость!$V$5:$V$1270,"Р-2",Ведомость!$W$5:$W$1270,3)</f>
        <v/>
      </c>
      <c r="Q106" s="35">
        <f>SUMIFS(Ведомость!$N$5:$N$1270,Ведомость!$H$5:$H$1270,16,Ведомость!$I$5:$I$1270,"А500С",Ведомость!$V$5:$V$1270,"Р-3",Ведомость!$W$5:$W$1270,3)</f>
        <v/>
      </c>
      <c r="R106" s="35">
        <f>SUMIFS(Ведомость!$N$5:$N$1270,Ведомость!$H$5:$H$1270,16,Ведомость!$I$5:$I$1270,"А500С",Ведомость!$V$5:$V$1270,"Р-4",Ведомость!$W$5:$W$1270,3)</f>
        <v/>
      </c>
      <c r="S106" s="35">
        <f>SUMIFS(Ведомость!$N$5:$N$1270,Ведомость!$H$5:$H$1270,16,Ведомость!$I$5:$I$1270,"А500С",Ведомость!$V$5:$V$1270,"Б-основная",Ведомость!$W$5:$W$1270,3)</f>
        <v/>
      </c>
      <c r="T106" s="35">
        <f>SUMIFS(Ведомость!$N$5:$N$1270,Ведомость!$H$5:$H$1270,16,Ведомость!$I$5:$I$1270,"А500С",Ведомость!$V$5:$V$1270,"Б-хомуты",Ведомость!$W$5:$W$1270,3)</f>
        <v/>
      </c>
      <c r="U106" s="35">
        <f>SUMIFS(Ведомость!$N$5:$N$1270,Ведомость!$H$5:$H$1270,16,Ведомость!$I$5:$I$1270,"А500С",Ведомость!$V$5:$V$1270,"Б-допник",Ведомость!$W$5:$W$1270,3)</f>
        <v/>
      </c>
      <c r="V106" s="35">
        <f>SUMIFS(Ведомость!$N$5:$N$1270,Ведомость!$H$5:$H$1270,16,Ведомость!$I$5:$I$1270,"А500С",Ведомость!$V$5:$V$1270,"П-сетка",Ведомость!$W$5:$W$1270,3)</f>
        <v/>
      </c>
      <c r="W106" s="35">
        <f>SUMIFS(Ведомость!$N$5:$N$1270,Ведомость!$H$5:$H$1270,16,Ведомость!$I$5:$I$1270,"А500С",Ведомость!$V$5:$V$1270,"П-фикс",Ведомость!$W$5:$W$1270,3)</f>
        <v/>
      </c>
      <c r="X106" s="35">
        <f>SUMIFS(Ведомость!$N$5:$N$1270,Ведомость!$H$5:$H$1270,16,Ведомость!$I$5:$I$1270,"А500С",Ведомость!$V$5:$V$1270,"П-отв",Ведомость!$W$5:$W$1270,3)</f>
        <v/>
      </c>
      <c r="Y106" s="35">
        <f>SUMIFS(Ведомость!$N$5:$N$1270,Ведомость!$H$5:$H$1270,16,Ведомость!$I$5:$I$1270,"А500С",Ведомость!$V$5:$V$1270,"П-доп-низ",Ведомость!$W$5:$W$1270,3)</f>
        <v/>
      </c>
      <c r="Z106" s="35">
        <f>SUMIFS(Ведомость!$N$5:$N$1270,Ведомость!$H$5:$H$1270,16,Ведомость!$I$5:$I$1270,"А500С",Ведомость!$V$5:$V$1270,"П-доп-верх",Ведомость!$W$5:$W$1270,3)</f>
        <v/>
      </c>
      <c r="AA106" s="35">
        <f>SUMIFS(Ведомость!$N$5:$N$1270,Ведомость!$H$5:$H$1270,16,Ведомость!$I$5:$I$1270,"А500С",Ведомость!$V$5:$V$1270,"П-край",Ведомость!$W$5:$W$1270,3)</f>
        <v/>
      </c>
      <c r="AB106" s="35">
        <f>SUMIFS(Ведомость!$N$5:$N$1270,Ведомость!$H$5:$H$1270,16,Ведомость!$I$5:$I$1270,"А500С",Ведомость!$V$5:$V$1270,"С-1",Ведомость!$W$5:$W$1270,3)</f>
        <v/>
      </c>
      <c r="AC106" s="35">
        <f>SUMIFS(Ведомость!$N$5:$N$1270,Ведомость!$H$5:$H$1270,16,Ведомость!$I$5:$I$1270,"А500С",Ведомость!$V$5:$V$1270,"Л1",Ведомость!$W$5:$W$1270,3)</f>
        <v/>
      </c>
      <c r="AD106" s="35">
        <f>SUMIFS(Ведомость!$N$5:$N$1270,Ведомость!$H$5:$H$1270,16,Ведомость!$I$5:$I$1270,"А500С",Ведомость!$V$5:$V$1270,"Л2",Ведомость!$W$5:$W$1270,3)</f>
        <v/>
      </c>
      <c r="AE106" s="35">
        <f>SUMIFS(Ведомость!$N$5:$N$1270,Ведомость!$H$5:$H$1270,16,Ведомость!$I$5:$I$1270,"А500С",Ведомость!$V$5:$V$1270,"Л-пл",Ведомость!$W$5:$W$1270,3)</f>
        <v/>
      </c>
      <c r="AF106" s="35">
        <f>SUMIFS(Ведомость!$N$5:$N$1270,Ведомость!$H$5:$H$1270,16,Ведомость!$I$5:$I$1270,"А500С",Ведомость!$V$5:$V$1270,"Л-рама",Ведомость!$W$5:$W$1270,3)</f>
        <v/>
      </c>
      <c r="AG106" s="36">
        <f>SUM(B106:AF106)</f>
        <v/>
      </c>
      <c r="AH106" s="37">
        <f>IFERROR(INDEX(Исходные!$B$19:$B$31,MATCH(16,Исходные!$A$19:$A$31,0)),0)</f>
        <v/>
      </c>
      <c r="AI106" s="36">
        <f>AG106*AH106*$AJ$2</f>
        <v/>
      </c>
      <c r="AJ106" s="38">
        <f>SUM(B106:D106,F106,H106,J106:M106)</f>
        <v/>
      </c>
      <c r="AK106" s="39">
        <f>AH106</f>
        <v/>
      </c>
      <c r="AL106" s="40">
        <f>AJ106*AK106*$AJ$2</f>
        <v/>
      </c>
      <c r="AM106" s="38">
        <f>SUM(E106,G106,I106,N106:AB106)</f>
        <v/>
      </c>
      <c r="AN106" s="39">
        <f>AH106</f>
        <v/>
      </c>
      <c r="AO106" s="40">
        <f>AM106*AN106*$AJ$2</f>
        <v/>
      </c>
      <c r="AP106" s="38">
        <f>SUM(AC106:AF106)</f>
        <v/>
      </c>
      <c r="AQ106" s="39">
        <f>AH106</f>
        <v/>
      </c>
      <c r="AR106" s="40">
        <f>AP106*AQ106*$AJ$2</f>
        <v/>
      </c>
    </row>
    <row r="107">
      <c r="A107" s="6" t="inlineStr">
        <is>
          <t>Диаметр 14 А500С, L=м.п.</t>
        </is>
      </c>
      <c r="B107" s="35">
        <f>SUMIFS(Ведомость!$N$5:$N$1270,Ведомость!$H$5:$H$1270,14,Ведомость!$I$5:$I$1270,"А500С",Ведомость!$V$5:$V$1270,"Дм-1",Ведомость!$W$5:$W$1270,3)</f>
        <v/>
      </c>
      <c r="C107" s="35">
        <f>SUMIFS(Ведомость!$N$5:$N$1270,Ведомость!$H$5:$H$1270,14,Ведомость!$I$5:$I$1270,"А500С",Ведомость!$V$5:$V$1270,"Дм-2",Ведомость!$W$5:$W$1270,3)</f>
        <v/>
      </c>
      <c r="D107" s="35">
        <f>SUMIFS(Ведомость!$N$5:$N$1270,Ведомость!$H$5:$H$1270,14,Ведомость!$I$5:$I$1270,"А500С",Ведомость!$V$5:$V$1270,"К-А",Ведомость!$W$5:$W$1270,3)</f>
        <v/>
      </c>
      <c r="E107" s="35">
        <f>SUMIFS(Ведомость!$N$5:$N$1270,Ведомость!$H$5:$H$1270,14,Ведомость!$I$5:$I$1270,"А500С",Ведомость!$V$5:$V$1270,"Р-А",Ведомость!$W$5:$W$1270,3)</f>
        <v/>
      </c>
      <c r="F107" s="35">
        <f>SUMIFS(Ведомость!$N$5:$N$1270,Ведомость!$H$5:$H$1270,14,Ведомость!$I$5:$I$1270,"А500С",Ведомость!$V$5:$V$1270,"К-Б",Ведомость!$W$5:$W$1270,3)</f>
        <v/>
      </c>
      <c r="G107" s="35">
        <f>SUMIFS(Ведомость!$N$5:$N$1270,Ведомость!$H$5:$H$1270,14,Ведомость!$I$5:$I$1270,"А500С",Ведомость!$V$5:$V$1270,"Р-Б",Ведомость!$W$5:$W$1270,3)</f>
        <v/>
      </c>
      <c r="H107" s="35">
        <f>SUMIFS(Ведомость!$N$5:$N$1270,Ведомость!$H$5:$H$1270,14,Ведомость!$I$5:$I$1270,"А500С",Ведомость!$V$5:$V$1270,"К-В",Ведомость!$W$5:$W$1270,3)</f>
        <v/>
      </c>
      <c r="I107" s="35">
        <f>SUMIFS(Ведомость!$N$5:$N$1270,Ведомость!$H$5:$H$1270,14,Ведомость!$I$5:$I$1270,"А500С",Ведомость!$V$5:$V$1270,"Р-В",Ведомость!$W$5:$W$1270,3)</f>
        <v/>
      </c>
      <c r="J107" s="35">
        <f>SUMIFS(Ведомость!$N$5:$N$1270,Ведомость!$H$5:$H$1270,14,Ведомость!$I$5:$I$1270,"А500С",Ведомость!$V$5:$V$1270,"К-Г",Ведомость!$W$5:$W$1270,3)</f>
        <v/>
      </c>
      <c r="K107" s="35">
        <f>SUMIFS(Ведомость!$N$5:$N$1270,Ведомость!$H$5:$H$1270,14,Ведомость!$I$5:$I$1270,"А500С",Ведомость!$V$5:$V$1270,"Дм-3",Ведомость!$W$5:$W$1270,3)</f>
        <v/>
      </c>
      <c r="L107" s="35">
        <f>SUMIFS(Ведомость!$N$5:$N$1270,Ведомость!$H$5:$H$1270,14,Ведомость!$I$5:$I$1270,"А500С",Ведомость!$V$5:$V$1270,"Дм-4",Ведомость!$W$5:$W$1270,3)</f>
        <v/>
      </c>
      <c r="M107" s="35">
        <f>SUMIFS(Ведомость!$N$5:$N$1270,Ведомость!$H$5:$H$1270,14,Ведомость!$I$5:$I$1270,"А500С",Ведомость!$V$5:$V$1270,"Дм-5",Ведомость!$W$5:$W$1270,3)</f>
        <v/>
      </c>
      <c r="N107" s="35">
        <f>SUMIFS(Ведомость!$N$5:$N$1270,Ведомость!$H$5:$H$1270,14,Ведомость!$I$5:$I$1270,"А500С",Ведомость!$V$5:$V$1270,"Р-Г",Ведомость!$W$5:$W$1270,3)</f>
        <v/>
      </c>
      <c r="O107" s="35">
        <f>SUMIFS(Ведомость!$N$5:$N$1270,Ведомость!$H$5:$H$1270,14,Ведомость!$I$5:$I$1270,"А500С",Ведомость!$V$5:$V$1270,"Р-1, 5",Ведомость!$W$5:$W$1270,3)</f>
        <v/>
      </c>
      <c r="P107" s="35">
        <f>SUMIFS(Ведомость!$N$5:$N$1270,Ведомость!$H$5:$H$1270,14,Ведомость!$I$5:$I$1270,"А500С",Ведомость!$V$5:$V$1270,"Р-2",Ведомость!$W$5:$W$1270,3)</f>
        <v/>
      </c>
      <c r="Q107" s="35">
        <f>SUMIFS(Ведомость!$N$5:$N$1270,Ведомость!$H$5:$H$1270,14,Ведомость!$I$5:$I$1270,"А500С",Ведомость!$V$5:$V$1270,"Р-3",Ведомость!$W$5:$W$1270,3)</f>
        <v/>
      </c>
      <c r="R107" s="35">
        <f>SUMIFS(Ведомость!$N$5:$N$1270,Ведомость!$H$5:$H$1270,14,Ведомость!$I$5:$I$1270,"А500С",Ведомость!$V$5:$V$1270,"Р-4",Ведомость!$W$5:$W$1270,3)</f>
        <v/>
      </c>
      <c r="S107" s="35">
        <f>SUMIFS(Ведомость!$N$5:$N$1270,Ведомость!$H$5:$H$1270,14,Ведомость!$I$5:$I$1270,"А500С",Ведомость!$V$5:$V$1270,"Б-основная",Ведомость!$W$5:$W$1270,3)</f>
        <v/>
      </c>
      <c r="T107" s="35">
        <f>SUMIFS(Ведомость!$N$5:$N$1270,Ведомость!$H$5:$H$1270,14,Ведомость!$I$5:$I$1270,"А500С",Ведомость!$V$5:$V$1270,"Б-хомуты",Ведомость!$W$5:$W$1270,3)</f>
        <v/>
      </c>
      <c r="U107" s="35">
        <f>SUMIFS(Ведомость!$N$5:$N$1270,Ведомость!$H$5:$H$1270,14,Ведомость!$I$5:$I$1270,"А500С",Ведомость!$V$5:$V$1270,"Б-допник",Ведомость!$W$5:$W$1270,3)</f>
        <v/>
      </c>
      <c r="V107" s="35">
        <f>SUMIFS(Ведомость!$N$5:$N$1270,Ведомость!$H$5:$H$1270,14,Ведомость!$I$5:$I$1270,"А500С",Ведомость!$V$5:$V$1270,"П-сетка",Ведомость!$W$5:$W$1270,3)</f>
        <v/>
      </c>
      <c r="W107" s="35">
        <f>SUMIFS(Ведомость!$N$5:$N$1270,Ведомость!$H$5:$H$1270,14,Ведомость!$I$5:$I$1270,"А500С",Ведомость!$V$5:$V$1270,"П-фикс",Ведомость!$W$5:$W$1270,3)</f>
        <v/>
      </c>
      <c r="X107" s="35">
        <f>SUMIFS(Ведомость!$N$5:$N$1270,Ведомость!$H$5:$H$1270,14,Ведомость!$I$5:$I$1270,"А500С",Ведомость!$V$5:$V$1270,"П-отв",Ведомость!$W$5:$W$1270,3)</f>
        <v/>
      </c>
      <c r="Y107" s="35">
        <f>SUMIFS(Ведомость!$N$5:$N$1270,Ведомость!$H$5:$H$1270,14,Ведомость!$I$5:$I$1270,"А500С",Ведомость!$V$5:$V$1270,"П-доп-низ",Ведомость!$W$5:$W$1270,3)</f>
        <v/>
      </c>
      <c r="Z107" s="35">
        <f>SUMIFS(Ведомость!$N$5:$N$1270,Ведомость!$H$5:$H$1270,14,Ведомость!$I$5:$I$1270,"А500С",Ведомость!$V$5:$V$1270,"П-доп-верх",Ведомость!$W$5:$W$1270,3)</f>
        <v/>
      </c>
      <c r="AA107" s="35">
        <f>SUMIFS(Ведомость!$N$5:$N$1270,Ведомость!$H$5:$H$1270,14,Ведомость!$I$5:$I$1270,"А500С",Ведомость!$V$5:$V$1270,"П-край",Ведомость!$W$5:$W$1270,3)</f>
        <v/>
      </c>
      <c r="AB107" s="35">
        <f>SUMIFS(Ведомость!$N$5:$N$1270,Ведомость!$H$5:$H$1270,14,Ведомость!$I$5:$I$1270,"А500С",Ведомость!$V$5:$V$1270,"С-1",Ведомость!$W$5:$W$1270,3)</f>
        <v/>
      </c>
      <c r="AC107" s="35">
        <f>SUMIFS(Ведомость!$N$5:$N$1270,Ведомость!$H$5:$H$1270,14,Ведомость!$I$5:$I$1270,"А500С",Ведомость!$V$5:$V$1270,"Л1",Ведомость!$W$5:$W$1270,3)</f>
        <v/>
      </c>
      <c r="AD107" s="35">
        <f>SUMIFS(Ведомость!$N$5:$N$1270,Ведомость!$H$5:$H$1270,14,Ведомость!$I$5:$I$1270,"А500С",Ведомость!$V$5:$V$1270,"Л2",Ведомость!$W$5:$W$1270,3)</f>
        <v/>
      </c>
      <c r="AE107" s="35">
        <f>SUMIFS(Ведомость!$N$5:$N$1270,Ведомость!$H$5:$H$1270,14,Ведомость!$I$5:$I$1270,"А500С",Ведомость!$V$5:$V$1270,"Л-пл",Ведомость!$W$5:$W$1270,3)</f>
        <v/>
      </c>
      <c r="AF107" s="35">
        <f>SUMIFS(Ведомость!$N$5:$N$1270,Ведомость!$H$5:$H$1270,14,Ведомость!$I$5:$I$1270,"А500С",Ведомость!$V$5:$V$1270,"Л-рама",Ведомость!$W$5:$W$1270,3)</f>
        <v/>
      </c>
      <c r="AG107" s="36">
        <f>SUM(B107:AF107)</f>
        <v/>
      </c>
      <c r="AH107" s="37">
        <f>IFERROR(INDEX(Исходные!$B$19:$B$31,MATCH(14,Исходные!$A$19:$A$31,0)),0)</f>
        <v/>
      </c>
      <c r="AI107" s="36">
        <f>AG107*AH107*$AJ$2</f>
        <v/>
      </c>
      <c r="AJ107" s="38">
        <f>SUM(B107:D107,F107,H107,J107:M107)</f>
        <v/>
      </c>
      <c r="AK107" s="39">
        <f>AH107</f>
        <v/>
      </c>
      <c r="AL107" s="40">
        <f>AJ107*AK107*$AJ$2</f>
        <v/>
      </c>
      <c r="AM107" s="38">
        <f>SUM(E107,G107,I107,N107:AB107)</f>
        <v/>
      </c>
      <c r="AN107" s="39">
        <f>AH107</f>
        <v/>
      </c>
      <c r="AO107" s="40">
        <f>AM107*AN107*$AJ$2</f>
        <v/>
      </c>
      <c r="AP107" s="38">
        <f>SUM(AC107:AF107)</f>
        <v/>
      </c>
      <c r="AQ107" s="39">
        <f>AH107</f>
        <v/>
      </c>
      <c r="AR107" s="40">
        <f>AP107*AQ107*$AJ$2</f>
        <v/>
      </c>
    </row>
    <row r="108">
      <c r="A108" s="6" t="inlineStr">
        <is>
          <t>Диаметр 12 А500С, L=м.п.</t>
        </is>
      </c>
      <c r="B108" s="35">
        <f>SUMIFS(Ведомость!$N$5:$N$1270,Ведомость!$H$5:$H$1270,12,Ведомость!$I$5:$I$1270,"А500С",Ведомость!$V$5:$V$1270,"Дм-1",Ведомость!$W$5:$W$1270,3)</f>
        <v/>
      </c>
      <c r="C108" s="35">
        <f>SUMIFS(Ведомость!$N$5:$N$1270,Ведомость!$H$5:$H$1270,12,Ведомость!$I$5:$I$1270,"А500С",Ведомость!$V$5:$V$1270,"Дм-2",Ведомость!$W$5:$W$1270,3)</f>
        <v/>
      </c>
      <c r="D108" s="35">
        <f>SUMIFS(Ведомость!$N$5:$N$1270,Ведомость!$H$5:$H$1270,12,Ведомость!$I$5:$I$1270,"А500С",Ведомость!$V$5:$V$1270,"К-А",Ведомость!$W$5:$W$1270,3)</f>
        <v/>
      </c>
      <c r="E108" s="35">
        <f>SUMIFS(Ведомость!$N$5:$N$1270,Ведомость!$H$5:$H$1270,12,Ведомость!$I$5:$I$1270,"А500С",Ведомость!$V$5:$V$1270,"Р-А",Ведомость!$W$5:$W$1270,3)</f>
        <v/>
      </c>
      <c r="F108" s="35">
        <f>SUMIFS(Ведомость!$N$5:$N$1270,Ведомость!$H$5:$H$1270,12,Ведомость!$I$5:$I$1270,"А500С",Ведомость!$V$5:$V$1270,"К-Б",Ведомость!$W$5:$W$1270,3)</f>
        <v/>
      </c>
      <c r="G108" s="35">
        <f>SUMIFS(Ведомость!$N$5:$N$1270,Ведомость!$H$5:$H$1270,12,Ведомость!$I$5:$I$1270,"А500С",Ведомость!$V$5:$V$1270,"Р-Б",Ведомость!$W$5:$W$1270,3)</f>
        <v/>
      </c>
      <c r="H108" s="35">
        <f>SUMIFS(Ведомость!$N$5:$N$1270,Ведомость!$H$5:$H$1270,12,Ведомость!$I$5:$I$1270,"А500С",Ведомость!$V$5:$V$1270,"К-В",Ведомость!$W$5:$W$1270,3)</f>
        <v/>
      </c>
      <c r="I108" s="35">
        <f>SUMIFS(Ведомость!$N$5:$N$1270,Ведомость!$H$5:$H$1270,12,Ведомость!$I$5:$I$1270,"А500С",Ведомость!$V$5:$V$1270,"Р-В",Ведомость!$W$5:$W$1270,3)</f>
        <v/>
      </c>
      <c r="J108" s="35">
        <f>SUMIFS(Ведомость!$N$5:$N$1270,Ведомость!$H$5:$H$1270,12,Ведомость!$I$5:$I$1270,"А500С",Ведомость!$V$5:$V$1270,"К-Г",Ведомость!$W$5:$W$1270,3)</f>
        <v/>
      </c>
      <c r="K108" s="35">
        <f>SUMIFS(Ведомость!$N$5:$N$1270,Ведомость!$H$5:$H$1270,12,Ведомость!$I$5:$I$1270,"А500С",Ведомость!$V$5:$V$1270,"Дм-3",Ведомость!$W$5:$W$1270,3)</f>
        <v/>
      </c>
      <c r="L108" s="35">
        <f>SUMIFS(Ведомость!$N$5:$N$1270,Ведомость!$H$5:$H$1270,12,Ведомость!$I$5:$I$1270,"А500С",Ведомость!$V$5:$V$1270,"Дм-4",Ведомость!$W$5:$W$1270,3)</f>
        <v/>
      </c>
      <c r="M108" s="35">
        <f>SUMIFS(Ведомость!$N$5:$N$1270,Ведомость!$H$5:$H$1270,12,Ведомость!$I$5:$I$1270,"А500С",Ведомость!$V$5:$V$1270,"Дм-5",Ведомость!$W$5:$W$1270,3)</f>
        <v/>
      </c>
      <c r="N108" s="35">
        <f>SUMIFS(Ведомость!$N$5:$N$1270,Ведомость!$H$5:$H$1270,12,Ведомость!$I$5:$I$1270,"А500С",Ведомость!$V$5:$V$1270,"Р-Г",Ведомость!$W$5:$W$1270,3)</f>
        <v/>
      </c>
      <c r="O108" s="35">
        <f>SUMIFS(Ведомость!$N$5:$N$1270,Ведомость!$H$5:$H$1270,12,Ведомость!$I$5:$I$1270,"А500С",Ведомость!$V$5:$V$1270,"Р-1, 5",Ведомость!$W$5:$W$1270,3)</f>
        <v/>
      </c>
      <c r="P108" s="35">
        <f>SUMIFS(Ведомость!$N$5:$N$1270,Ведомость!$H$5:$H$1270,12,Ведомость!$I$5:$I$1270,"А500С",Ведомость!$V$5:$V$1270,"Р-2",Ведомость!$W$5:$W$1270,3)</f>
        <v/>
      </c>
      <c r="Q108" s="35">
        <f>SUMIFS(Ведомость!$N$5:$N$1270,Ведомость!$H$5:$H$1270,12,Ведомость!$I$5:$I$1270,"А500С",Ведомость!$V$5:$V$1270,"Р-3",Ведомость!$W$5:$W$1270,3)</f>
        <v/>
      </c>
      <c r="R108" s="35">
        <f>SUMIFS(Ведомость!$N$5:$N$1270,Ведомость!$H$5:$H$1270,12,Ведомость!$I$5:$I$1270,"А500С",Ведомость!$V$5:$V$1270,"Р-4",Ведомость!$W$5:$W$1270,3)</f>
        <v/>
      </c>
      <c r="S108" s="35">
        <f>SUMIFS(Ведомость!$N$5:$N$1270,Ведомость!$H$5:$H$1270,12,Ведомость!$I$5:$I$1270,"А500С",Ведомость!$V$5:$V$1270,"Б-основная",Ведомость!$W$5:$W$1270,3)</f>
        <v/>
      </c>
      <c r="T108" s="35">
        <f>SUMIFS(Ведомость!$N$5:$N$1270,Ведомость!$H$5:$H$1270,12,Ведомость!$I$5:$I$1270,"А500С",Ведомость!$V$5:$V$1270,"Б-хомуты",Ведомость!$W$5:$W$1270,3)</f>
        <v/>
      </c>
      <c r="U108" s="35">
        <f>SUMIFS(Ведомость!$N$5:$N$1270,Ведомость!$H$5:$H$1270,12,Ведомость!$I$5:$I$1270,"А500С",Ведомость!$V$5:$V$1270,"Б-допник",Ведомость!$W$5:$W$1270,3)</f>
        <v/>
      </c>
      <c r="V108" s="35">
        <f>SUMIFS(Ведомость!$N$5:$N$1270,Ведомость!$H$5:$H$1270,12,Ведомость!$I$5:$I$1270,"А500С",Ведомость!$V$5:$V$1270,"П-сетка",Ведомость!$W$5:$W$1270,3)</f>
        <v/>
      </c>
      <c r="W108" s="35">
        <f>SUMIFS(Ведомость!$N$5:$N$1270,Ведомость!$H$5:$H$1270,12,Ведомость!$I$5:$I$1270,"А500С",Ведомость!$V$5:$V$1270,"П-фикс",Ведомость!$W$5:$W$1270,3)</f>
        <v/>
      </c>
      <c r="X108" s="35">
        <f>SUMIFS(Ведомость!$N$5:$N$1270,Ведомость!$H$5:$H$1270,12,Ведомость!$I$5:$I$1270,"А500С",Ведомость!$V$5:$V$1270,"П-отв",Ведомость!$W$5:$W$1270,3)</f>
        <v/>
      </c>
      <c r="Y108" s="35">
        <f>SUMIFS(Ведомость!$N$5:$N$1270,Ведомость!$H$5:$H$1270,12,Ведомость!$I$5:$I$1270,"А500С",Ведомость!$V$5:$V$1270,"П-доп-низ",Ведомость!$W$5:$W$1270,3)</f>
        <v/>
      </c>
      <c r="Z108" s="35">
        <f>SUMIFS(Ведомость!$N$5:$N$1270,Ведомость!$H$5:$H$1270,12,Ведомость!$I$5:$I$1270,"А500С",Ведомость!$V$5:$V$1270,"П-доп-верх",Ведомость!$W$5:$W$1270,3)</f>
        <v/>
      </c>
      <c r="AA108" s="35">
        <f>SUMIFS(Ведомость!$N$5:$N$1270,Ведомость!$H$5:$H$1270,12,Ведомость!$I$5:$I$1270,"А500С",Ведомость!$V$5:$V$1270,"П-край",Ведомость!$W$5:$W$1270,3)</f>
        <v/>
      </c>
      <c r="AB108" s="35">
        <f>SUMIFS(Ведомость!$N$5:$N$1270,Ведомость!$H$5:$H$1270,12,Ведомость!$I$5:$I$1270,"А500С",Ведомость!$V$5:$V$1270,"С-1",Ведомость!$W$5:$W$1270,3)</f>
        <v/>
      </c>
      <c r="AC108" s="35">
        <f>SUMIFS(Ведомость!$N$5:$N$1270,Ведомость!$H$5:$H$1270,12,Ведомость!$I$5:$I$1270,"А500С",Ведомость!$V$5:$V$1270,"Л1",Ведомость!$W$5:$W$1270,3)</f>
        <v/>
      </c>
      <c r="AD108" s="35">
        <f>SUMIFS(Ведомость!$N$5:$N$1270,Ведомость!$H$5:$H$1270,12,Ведомость!$I$5:$I$1270,"А500С",Ведомость!$V$5:$V$1270,"Л2",Ведомость!$W$5:$W$1270,3)</f>
        <v/>
      </c>
      <c r="AE108" s="35">
        <f>SUMIFS(Ведомость!$N$5:$N$1270,Ведомость!$H$5:$H$1270,12,Ведомость!$I$5:$I$1270,"А500С",Ведомость!$V$5:$V$1270,"Л-пл",Ведомость!$W$5:$W$1270,3)</f>
        <v/>
      </c>
      <c r="AF108" s="35">
        <f>SUMIFS(Ведомость!$N$5:$N$1270,Ведомость!$H$5:$H$1270,12,Ведомость!$I$5:$I$1270,"А500С",Ведомость!$V$5:$V$1270,"Л-рама",Ведомость!$W$5:$W$1270,3)</f>
        <v/>
      </c>
      <c r="AG108" s="36">
        <f>SUM(B108:AF108)</f>
        <v/>
      </c>
      <c r="AH108" s="37">
        <f>IFERROR(INDEX(Исходные!$B$19:$B$31,MATCH(12,Исходные!$A$19:$A$31,0)),0)</f>
        <v/>
      </c>
      <c r="AI108" s="36">
        <f>AG108*AH108*$AJ$2</f>
        <v/>
      </c>
      <c r="AJ108" s="38">
        <f>SUM(B108:D108,F108,H108,J108:M108)</f>
        <v/>
      </c>
      <c r="AK108" s="39">
        <f>AH108</f>
        <v/>
      </c>
      <c r="AL108" s="40">
        <f>AJ108*AK108*$AJ$2</f>
        <v/>
      </c>
      <c r="AM108" s="38">
        <f>SUM(E108,G108,I108,N108:AB108)</f>
        <v/>
      </c>
      <c r="AN108" s="39">
        <f>AH108</f>
        <v/>
      </c>
      <c r="AO108" s="40">
        <f>AM108*AN108*$AJ$2</f>
        <v/>
      </c>
      <c r="AP108" s="38">
        <f>SUM(AC108:AF108)</f>
        <v/>
      </c>
      <c r="AQ108" s="39">
        <f>AH108</f>
        <v/>
      </c>
      <c r="AR108" s="40">
        <f>AP108*AQ108*$AJ$2</f>
        <v/>
      </c>
    </row>
    <row r="109">
      <c r="A109" s="6" t="inlineStr">
        <is>
          <t>Диаметр 10 А500С, L=м.п.</t>
        </is>
      </c>
      <c r="B109" s="35">
        <f>SUMIFS(Ведомость!$N$5:$N$1270,Ведомость!$H$5:$H$1270,10,Ведомость!$I$5:$I$1270,"А500С",Ведомость!$V$5:$V$1270,"Дм-1",Ведомость!$W$5:$W$1270,3)</f>
        <v/>
      </c>
      <c r="C109" s="35">
        <f>SUMIFS(Ведомость!$N$5:$N$1270,Ведомость!$H$5:$H$1270,10,Ведомость!$I$5:$I$1270,"А500С",Ведомость!$V$5:$V$1270,"Дм-2",Ведомость!$W$5:$W$1270,3)</f>
        <v/>
      </c>
      <c r="D109" s="35">
        <f>SUMIFS(Ведомость!$N$5:$N$1270,Ведомость!$H$5:$H$1270,10,Ведомость!$I$5:$I$1270,"А500С",Ведомость!$V$5:$V$1270,"К-А",Ведомость!$W$5:$W$1270,3)</f>
        <v/>
      </c>
      <c r="E109" s="35">
        <f>SUMIFS(Ведомость!$N$5:$N$1270,Ведомость!$H$5:$H$1270,10,Ведомость!$I$5:$I$1270,"А500С",Ведомость!$V$5:$V$1270,"Р-А",Ведомость!$W$5:$W$1270,3)</f>
        <v/>
      </c>
      <c r="F109" s="35">
        <f>SUMIFS(Ведомость!$N$5:$N$1270,Ведомость!$H$5:$H$1270,10,Ведомость!$I$5:$I$1270,"А500С",Ведомость!$V$5:$V$1270,"К-Б",Ведомость!$W$5:$W$1270,3)</f>
        <v/>
      </c>
      <c r="G109" s="35">
        <f>SUMIFS(Ведомость!$N$5:$N$1270,Ведомость!$H$5:$H$1270,10,Ведомость!$I$5:$I$1270,"А500С",Ведомость!$V$5:$V$1270,"Р-Б",Ведомость!$W$5:$W$1270,3)</f>
        <v/>
      </c>
      <c r="H109" s="35">
        <f>SUMIFS(Ведомость!$N$5:$N$1270,Ведомость!$H$5:$H$1270,10,Ведомость!$I$5:$I$1270,"А500С",Ведомость!$V$5:$V$1270,"К-В",Ведомость!$W$5:$W$1270,3)</f>
        <v/>
      </c>
      <c r="I109" s="35">
        <f>SUMIFS(Ведомость!$N$5:$N$1270,Ведомость!$H$5:$H$1270,10,Ведомость!$I$5:$I$1270,"А500С",Ведомость!$V$5:$V$1270,"Р-В",Ведомость!$W$5:$W$1270,3)</f>
        <v/>
      </c>
      <c r="J109" s="35">
        <f>SUMIFS(Ведомость!$N$5:$N$1270,Ведомость!$H$5:$H$1270,10,Ведомость!$I$5:$I$1270,"А500С",Ведомость!$V$5:$V$1270,"К-Г",Ведомость!$W$5:$W$1270,3)</f>
        <v/>
      </c>
      <c r="K109" s="35">
        <f>SUMIFS(Ведомость!$N$5:$N$1270,Ведомость!$H$5:$H$1270,10,Ведомость!$I$5:$I$1270,"А500С",Ведомость!$V$5:$V$1270,"Дм-3",Ведомость!$W$5:$W$1270,3)</f>
        <v/>
      </c>
      <c r="L109" s="35">
        <f>SUMIFS(Ведомость!$N$5:$N$1270,Ведомость!$H$5:$H$1270,10,Ведомость!$I$5:$I$1270,"А500С",Ведомость!$V$5:$V$1270,"Дм-4",Ведомость!$W$5:$W$1270,3)</f>
        <v/>
      </c>
      <c r="M109" s="35">
        <f>SUMIFS(Ведомость!$N$5:$N$1270,Ведомость!$H$5:$H$1270,10,Ведомость!$I$5:$I$1270,"А500С",Ведомость!$V$5:$V$1270,"Дм-5",Ведомость!$W$5:$W$1270,3)</f>
        <v/>
      </c>
      <c r="N109" s="35">
        <f>SUMIFS(Ведомость!$N$5:$N$1270,Ведомость!$H$5:$H$1270,10,Ведомость!$I$5:$I$1270,"А500С",Ведомость!$V$5:$V$1270,"Р-Г",Ведомость!$W$5:$W$1270,3)</f>
        <v/>
      </c>
      <c r="O109" s="35">
        <f>SUMIFS(Ведомость!$N$5:$N$1270,Ведомость!$H$5:$H$1270,10,Ведомость!$I$5:$I$1270,"А500С",Ведомость!$V$5:$V$1270,"Р-1, 5",Ведомость!$W$5:$W$1270,3)</f>
        <v/>
      </c>
      <c r="P109" s="35">
        <f>SUMIFS(Ведомость!$N$5:$N$1270,Ведомость!$H$5:$H$1270,10,Ведомость!$I$5:$I$1270,"А500С",Ведомость!$V$5:$V$1270,"Р-2",Ведомость!$W$5:$W$1270,3)</f>
        <v/>
      </c>
      <c r="Q109" s="35">
        <f>SUMIFS(Ведомость!$N$5:$N$1270,Ведомость!$H$5:$H$1270,10,Ведомость!$I$5:$I$1270,"А500С",Ведомость!$V$5:$V$1270,"Р-3",Ведомость!$W$5:$W$1270,3)</f>
        <v/>
      </c>
      <c r="R109" s="35">
        <f>SUMIFS(Ведомость!$N$5:$N$1270,Ведомость!$H$5:$H$1270,10,Ведомость!$I$5:$I$1270,"А500С",Ведомость!$V$5:$V$1270,"Р-4",Ведомость!$W$5:$W$1270,3)</f>
        <v/>
      </c>
      <c r="S109" s="35">
        <f>SUMIFS(Ведомость!$N$5:$N$1270,Ведомость!$H$5:$H$1270,10,Ведомость!$I$5:$I$1270,"А500С",Ведомость!$V$5:$V$1270,"Б-основная",Ведомость!$W$5:$W$1270,3)</f>
        <v/>
      </c>
      <c r="T109" s="35">
        <f>SUMIFS(Ведомость!$N$5:$N$1270,Ведомость!$H$5:$H$1270,10,Ведомость!$I$5:$I$1270,"А500С",Ведомость!$V$5:$V$1270,"Б-хомуты",Ведомость!$W$5:$W$1270,3)</f>
        <v/>
      </c>
      <c r="U109" s="35">
        <f>SUMIFS(Ведомость!$N$5:$N$1270,Ведомость!$H$5:$H$1270,10,Ведомость!$I$5:$I$1270,"А500С",Ведомость!$V$5:$V$1270,"Б-допник",Ведомость!$W$5:$W$1270,3)</f>
        <v/>
      </c>
      <c r="V109" s="35">
        <f>SUMIFS(Ведомость!$N$5:$N$1270,Ведомость!$H$5:$H$1270,10,Ведомость!$I$5:$I$1270,"А500С",Ведомость!$V$5:$V$1270,"П-сетка",Ведомость!$W$5:$W$1270,3)</f>
        <v/>
      </c>
      <c r="W109" s="35">
        <f>SUMIFS(Ведомость!$N$5:$N$1270,Ведомость!$H$5:$H$1270,10,Ведомость!$I$5:$I$1270,"А500С",Ведомость!$V$5:$V$1270,"П-фикс",Ведомость!$W$5:$W$1270,3)</f>
        <v/>
      </c>
      <c r="X109" s="35">
        <f>SUMIFS(Ведомость!$N$5:$N$1270,Ведомость!$H$5:$H$1270,10,Ведомость!$I$5:$I$1270,"А500С",Ведомость!$V$5:$V$1270,"П-отв",Ведомость!$W$5:$W$1270,3)</f>
        <v/>
      </c>
      <c r="Y109" s="35">
        <f>SUMIFS(Ведомость!$N$5:$N$1270,Ведомость!$H$5:$H$1270,10,Ведомость!$I$5:$I$1270,"А500С",Ведомость!$V$5:$V$1270,"П-доп-низ",Ведомость!$W$5:$W$1270,3)</f>
        <v/>
      </c>
      <c r="Z109" s="35">
        <f>SUMIFS(Ведомость!$N$5:$N$1270,Ведомость!$H$5:$H$1270,10,Ведомость!$I$5:$I$1270,"А500С",Ведомость!$V$5:$V$1270,"П-доп-верх",Ведомость!$W$5:$W$1270,3)</f>
        <v/>
      </c>
      <c r="AA109" s="35">
        <f>SUMIFS(Ведомость!$N$5:$N$1270,Ведомость!$H$5:$H$1270,10,Ведомость!$I$5:$I$1270,"А500С",Ведомость!$V$5:$V$1270,"П-край",Ведомость!$W$5:$W$1270,3)</f>
        <v/>
      </c>
      <c r="AB109" s="35">
        <f>SUMIFS(Ведомость!$N$5:$N$1270,Ведомость!$H$5:$H$1270,10,Ведомость!$I$5:$I$1270,"А500С",Ведомость!$V$5:$V$1270,"С-1",Ведомость!$W$5:$W$1270,3)</f>
        <v/>
      </c>
      <c r="AC109" s="35">
        <f>SUMIFS(Ведомость!$N$5:$N$1270,Ведомость!$H$5:$H$1270,10,Ведомость!$I$5:$I$1270,"А500С",Ведомость!$V$5:$V$1270,"Л1",Ведомость!$W$5:$W$1270,3)</f>
        <v/>
      </c>
      <c r="AD109" s="35">
        <f>SUMIFS(Ведомость!$N$5:$N$1270,Ведомость!$H$5:$H$1270,10,Ведомость!$I$5:$I$1270,"А500С",Ведомость!$V$5:$V$1270,"Л2",Ведомость!$W$5:$W$1270,3)</f>
        <v/>
      </c>
      <c r="AE109" s="35">
        <f>SUMIFS(Ведомость!$N$5:$N$1270,Ведомость!$H$5:$H$1270,10,Ведомость!$I$5:$I$1270,"А500С",Ведомость!$V$5:$V$1270,"Л-пл",Ведомость!$W$5:$W$1270,3)</f>
        <v/>
      </c>
      <c r="AF109" s="35">
        <f>SUMIFS(Ведомость!$N$5:$N$1270,Ведомость!$H$5:$H$1270,10,Ведомость!$I$5:$I$1270,"А500С",Ведомость!$V$5:$V$1270,"Л-рама",Ведомость!$W$5:$W$1270,3)</f>
        <v/>
      </c>
      <c r="AG109" s="36">
        <f>SUM(B109:AF109)</f>
        <v/>
      </c>
      <c r="AH109" s="37">
        <f>IFERROR(INDEX(Исходные!$B$19:$B$31,MATCH(10,Исходные!$A$19:$A$31,0)),0)</f>
        <v/>
      </c>
      <c r="AI109" s="36">
        <f>AG109*AH109*$AJ$2</f>
        <v/>
      </c>
      <c r="AJ109" s="38">
        <f>SUM(B109:D109,F109,H109,J109:M109)</f>
        <v/>
      </c>
      <c r="AK109" s="39">
        <f>AH109</f>
        <v/>
      </c>
      <c r="AL109" s="40">
        <f>AJ109*AK109*$AJ$2</f>
        <v/>
      </c>
      <c r="AM109" s="38">
        <f>SUM(E109,G109,I109,N109:AB109)</f>
        <v/>
      </c>
      <c r="AN109" s="39">
        <f>AH109</f>
        <v/>
      </c>
      <c r="AO109" s="40">
        <f>AM109*AN109*$AJ$2</f>
        <v/>
      </c>
      <c r="AP109" s="38">
        <f>SUM(AC109:AF109)</f>
        <v/>
      </c>
      <c r="AQ109" s="39">
        <f>AH109</f>
        <v/>
      </c>
      <c r="AR109" s="40">
        <f>AP109*AQ109*$AJ$2</f>
        <v/>
      </c>
    </row>
    <row r="110">
      <c r="A110" s="6" t="inlineStr">
        <is>
          <t>Диаметр 8 А500С, L=м.п.</t>
        </is>
      </c>
      <c r="B110" s="35">
        <f>SUMIFS(Ведомость!$N$5:$N$1270,Ведомость!$H$5:$H$1270,8,Ведомость!$I$5:$I$1270,"А500С",Ведомость!$V$5:$V$1270,"Дм-1",Ведомость!$W$5:$W$1270,3)</f>
        <v/>
      </c>
      <c r="C110" s="35">
        <f>SUMIFS(Ведомость!$N$5:$N$1270,Ведомость!$H$5:$H$1270,8,Ведомость!$I$5:$I$1270,"А500С",Ведомость!$V$5:$V$1270,"Дм-2",Ведомость!$W$5:$W$1270,3)</f>
        <v/>
      </c>
      <c r="D110" s="35">
        <f>SUMIFS(Ведомость!$N$5:$N$1270,Ведомость!$H$5:$H$1270,8,Ведомость!$I$5:$I$1270,"А500С",Ведомость!$V$5:$V$1270,"К-А",Ведомость!$W$5:$W$1270,3)</f>
        <v/>
      </c>
      <c r="E110" s="35">
        <f>SUMIFS(Ведомость!$N$5:$N$1270,Ведомость!$H$5:$H$1270,8,Ведомость!$I$5:$I$1270,"А500С",Ведомость!$V$5:$V$1270,"Р-А",Ведомость!$W$5:$W$1270,3)</f>
        <v/>
      </c>
      <c r="F110" s="35">
        <f>SUMIFS(Ведомость!$N$5:$N$1270,Ведомость!$H$5:$H$1270,8,Ведомость!$I$5:$I$1270,"А500С",Ведомость!$V$5:$V$1270,"К-Б",Ведомость!$W$5:$W$1270,3)</f>
        <v/>
      </c>
      <c r="G110" s="35">
        <f>SUMIFS(Ведомость!$N$5:$N$1270,Ведомость!$H$5:$H$1270,8,Ведомость!$I$5:$I$1270,"А500С",Ведомость!$V$5:$V$1270,"Р-Б",Ведомость!$W$5:$W$1270,3)</f>
        <v/>
      </c>
      <c r="H110" s="35">
        <f>SUMIFS(Ведомость!$N$5:$N$1270,Ведомость!$H$5:$H$1270,8,Ведомость!$I$5:$I$1270,"А500С",Ведомость!$V$5:$V$1270,"К-В",Ведомость!$W$5:$W$1270,3)</f>
        <v/>
      </c>
      <c r="I110" s="35">
        <f>SUMIFS(Ведомость!$N$5:$N$1270,Ведомость!$H$5:$H$1270,8,Ведомость!$I$5:$I$1270,"А500С",Ведомость!$V$5:$V$1270,"Р-В",Ведомость!$W$5:$W$1270,3)</f>
        <v/>
      </c>
      <c r="J110" s="35">
        <f>SUMIFS(Ведомость!$N$5:$N$1270,Ведомость!$H$5:$H$1270,8,Ведомость!$I$5:$I$1270,"А500С",Ведомость!$V$5:$V$1270,"К-Г",Ведомость!$W$5:$W$1270,3)</f>
        <v/>
      </c>
      <c r="K110" s="35">
        <f>SUMIFS(Ведомость!$N$5:$N$1270,Ведомость!$H$5:$H$1270,8,Ведомость!$I$5:$I$1270,"А500С",Ведомость!$V$5:$V$1270,"Дм-3",Ведомость!$W$5:$W$1270,3)</f>
        <v/>
      </c>
      <c r="L110" s="35">
        <f>SUMIFS(Ведомость!$N$5:$N$1270,Ведомость!$H$5:$H$1270,8,Ведомость!$I$5:$I$1270,"А500С",Ведомость!$V$5:$V$1270,"Дм-4",Ведомость!$W$5:$W$1270,3)</f>
        <v/>
      </c>
      <c r="M110" s="35">
        <f>SUMIFS(Ведомость!$N$5:$N$1270,Ведомость!$H$5:$H$1270,8,Ведомость!$I$5:$I$1270,"А500С",Ведомость!$V$5:$V$1270,"Дм-5",Ведомость!$W$5:$W$1270,3)</f>
        <v/>
      </c>
      <c r="N110" s="35">
        <f>SUMIFS(Ведомость!$N$5:$N$1270,Ведомость!$H$5:$H$1270,8,Ведомость!$I$5:$I$1270,"А500С",Ведомость!$V$5:$V$1270,"Р-Г",Ведомость!$W$5:$W$1270,3)</f>
        <v/>
      </c>
      <c r="O110" s="35">
        <f>SUMIFS(Ведомость!$N$5:$N$1270,Ведомость!$H$5:$H$1270,8,Ведомость!$I$5:$I$1270,"А500С",Ведомость!$V$5:$V$1270,"Р-1, 5",Ведомость!$W$5:$W$1270,3)</f>
        <v/>
      </c>
      <c r="P110" s="35">
        <f>SUMIFS(Ведомость!$N$5:$N$1270,Ведомость!$H$5:$H$1270,8,Ведомость!$I$5:$I$1270,"А500С",Ведомость!$V$5:$V$1270,"Р-2",Ведомость!$W$5:$W$1270,3)</f>
        <v/>
      </c>
      <c r="Q110" s="35">
        <f>SUMIFS(Ведомость!$N$5:$N$1270,Ведомость!$H$5:$H$1270,8,Ведомость!$I$5:$I$1270,"А500С",Ведомость!$V$5:$V$1270,"Р-3",Ведомость!$W$5:$W$1270,3)</f>
        <v/>
      </c>
      <c r="R110" s="35">
        <f>SUMIFS(Ведомость!$N$5:$N$1270,Ведомость!$H$5:$H$1270,8,Ведомость!$I$5:$I$1270,"А500С",Ведомость!$V$5:$V$1270,"Р-4",Ведомость!$W$5:$W$1270,3)</f>
        <v/>
      </c>
      <c r="S110" s="35">
        <f>SUMIFS(Ведомость!$N$5:$N$1270,Ведомость!$H$5:$H$1270,8,Ведомость!$I$5:$I$1270,"А500С",Ведомость!$V$5:$V$1270,"Б-основная",Ведомость!$W$5:$W$1270,3)</f>
        <v/>
      </c>
      <c r="T110" s="35">
        <f>SUMIFS(Ведомость!$N$5:$N$1270,Ведомость!$H$5:$H$1270,8,Ведомость!$I$5:$I$1270,"А500С",Ведомость!$V$5:$V$1270,"Б-хомуты",Ведомость!$W$5:$W$1270,3)</f>
        <v/>
      </c>
      <c r="U110" s="35">
        <f>SUMIFS(Ведомость!$N$5:$N$1270,Ведомость!$H$5:$H$1270,8,Ведомость!$I$5:$I$1270,"А500С",Ведомость!$V$5:$V$1270,"Б-допник",Ведомость!$W$5:$W$1270,3)</f>
        <v/>
      </c>
      <c r="V110" s="35">
        <f>SUMIFS(Ведомость!$N$5:$N$1270,Ведомость!$H$5:$H$1270,8,Ведомость!$I$5:$I$1270,"А500С",Ведомость!$V$5:$V$1270,"П-сетка",Ведомость!$W$5:$W$1270,3)</f>
        <v/>
      </c>
      <c r="W110" s="35">
        <f>SUMIFS(Ведомость!$N$5:$N$1270,Ведомость!$H$5:$H$1270,8,Ведомость!$I$5:$I$1270,"А500С",Ведомость!$V$5:$V$1270,"П-фикс",Ведомость!$W$5:$W$1270,3)</f>
        <v/>
      </c>
      <c r="X110" s="35">
        <f>SUMIFS(Ведомость!$N$5:$N$1270,Ведомость!$H$5:$H$1270,8,Ведомость!$I$5:$I$1270,"А500С",Ведомость!$V$5:$V$1270,"П-отв",Ведомость!$W$5:$W$1270,3)</f>
        <v/>
      </c>
      <c r="Y110" s="35">
        <f>SUMIFS(Ведомость!$N$5:$N$1270,Ведомость!$H$5:$H$1270,8,Ведомость!$I$5:$I$1270,"А500С",Ведомость!$V$5:$V$1270,"П-доп-низ",Ведомость!$W$5:$W$1270,3)</f>
        <v/>
      </c>
      <c r="Z110" s="35">
        <f>SUMIFS(Ведомость!$N$5:$N$1270,Ведомость!$H$5:$H$1270,8,Ведомость!$I$5:$I$1270,"А500С",Ведомость!$V$5:$V$1270,"П-доп-верх",Ведомость!$W$5:$W$1270,3)</f>
        <v/>
      </c>
      <c r="AA110" s="35">
        <f>SUMIFS(Ведомость!$N$5:$N$1270,Ведомость!$H$5:$H$1270,8,Ведомость!$I$5:$I$1270,"А500С",Ведомость!$V$5:$V$1270,"П-край",Ведомость!$W$5:$W$1270,3)</f>
        <v/>
      </c>
      <c r="AB110" s="35">
        <f>SUMIFS(Ведомость!$N$5:$N$1270,Ведомость!$H$5:$H$1270,8,Ведомость!$I$5:$I$1270,"А500С",Ведомость!$V$5:$V$1270,"С-1",Ведомость!$W$5:$W$1270,3)</f>
        <v/>
      </c>
      <c r="AC110" s="35">
        <f>SUMIFS(Ведомость!$N$5:$N$1270,Ведомость!$H$5:$H$1270,8,Ведомость!$I$5:$I$1270,"А500С",Ведомость!$V$5:$V$1270,"Л1",Ведомость!$W$5:$W$1270,3)</f>
        <v/>
      </c>
      <c r="AD110" s="35">
        <f>SUMIFS(Ведомость!$N$5:$N$1270,Ведомость!$H$5:$H$1270,8,Ведомость!$I$5:$I$1270,"А500С",Ведомость!$V$5:$V$1270,"Л2",Ведомость!$W$5:$W$1270,3)</f>
        <v/>
      </c>
      <c r="AE110" s="35">
        <f>SUMIFS(Ведомость!$N$5:$N$1270,Ведомость!$H$5:$H$1270,8,Ведомость!$I$5:$I$1270,"А500С",Ведомость!$V$5:$V$1270,"Л-пл",Ведомость!$W$5:$W$1270,3)</f>
        <v/>
      </c>
      <c r="AF110" s="35">
        <f>SUMIFS(Ведомость!$N$5:$N$1270,Ведомость!$H$5:$H$1270,8,Ведомость!$I$5:$I$1270,"А500С",Ведомость!$V$5:$V$1270,"Л-рама",Ведомость!$W$5:$W$1270,3)</f>
        <v/>
      </c>
      <c r="AG110" s="36">
        <f>SUM(B110:AF110)</f>
        <v/>
      </c>
      <c r="AH110" s="37">
        <f>IFERROR(INDEX(Исходные!$B$19:$B$31,MATCH(8,Исходные!$A$19:$A$31,0)),0)</f>
        <v/>
      </c>
      <c r="AI110" s="36">
        <f>AG110*AH110*$AJ$2</f>
        <v/>
      </c>
      <c r="AJ110" s="38">
        <f>SUM(B110:D110,F110,H110,J110:M110)</f>
        <v/>
      </c>
      <c r="AK110" s="39">
        <f>AH110</f>
        <v/>
      </c>
      <c r="AL110" s="40">
        <f>AJ110*AK110*$AJ$2</f>
        <v/>
      </c>
      <c r="AM110" s="38">
        <f>SUM(E110,G110,I110,N110:AB110)</f>
        <v/>
      </c>
      <c r="AN110" s="39">
        <f>AH110</f>
        <v/>
      </c>
      <c r="AO110" s="40">
        <f>AM110*AN110*$AJ$2</f>
        <v/>
      </c>
      <c r="AP110" s="38">
        <f>SUM(AC110:AF110)</f>
        <v/>
      </c>
      <c r="AQ110" s="39">
        <f>AH110</f>
        <v/>
      </c>
      <c r="AR110" s="40">
        <f>AP110*AQ110*$AJ$2</f>
        <v/>
      </c>
    </row>
    <row r="111">
      <c r="A111" s="6" t="inlineStr">
        <is>
          <t>Диаметр 16 А240, L=м.п.</t>
        </is>
      </c>
      <c r="B111" s="35">
        <f>SUMIFS(Ведомость!$N$5:$N$1270,Ведомость!$H$5:$H$1270,16,Ведомость!$I$5:$I$1270,"А240",Ведомость!$V$5:$V$1270,"Дм-1",Ведомость!$W$5:$W$1270,3)</f>
        <v/>
      </c>
      <c r="C111" s="35">
        <f>SUMIFS(Ведомость!$N$5:$N$1270,Ведомость!$H$5:$H$1270,16,Ведомость!$I$5:$I$1270,"А240",Ведомость!$V$5:$V$1270,"Дм-2",Ведомость!$W$5:$W$1270,3)</f>
        <v/>
      </c>
      <c r="D111" s="35">
        <f>SUMIFS(Ведомость!$N$5:$N$1270,Ведомость!$H$5:$H$1270,16,Ведомость!$I$5:$I$1270,"А240",Ведомость!$V$5:$V$1270,"К-А",Ведомость!$W$5:$W$1270,3)</f>
        <v/>
      </c>
      <c r="E111" s="35">
        <f>SUMIFS(Ведомость!$N$5:$N$1270,Ведомость!$H$5:$H$1270,16,Ведомость!$I$5:$I$1270,"А240",Ведомость!$V$5:$V$1270,"Р-А",Ведомость!$W$5:$W$1270,3)</f>
        <v/>
      </c>
      <c r="F111" s="35">
        <f>SUMIFS(Ведомость!$N$5:$N$1270,Ведомость!$H$5:$H$1270,16,Ведомость!$I$5:$I$1270,"А240",Ведомость!$V$5:$V$1270,"К-Б",Ведомость!$W$5:$W$1270,3)</f>
        <v/>
      </c>
      <c r="G111" s="35">
        <f>SUMIFS(Ведомость!$N$5:$N$1270,Ведомость!$H$5:$H$1270,16,Ведомость!$I$5:$I$1270,"А240",Ведомость!$V$5:$V$1270,"Р-Б",Ведомость!$W$5:$W$1270,3)</f>
        <v/>
      </c>
      <c r="H111" s="35">
        <f>SUMIFS(Ведомость!$N$5:$N$1270,Ведомость!$H$5:$H$1270,16,Ведомость!$I$5:$I$1270,"А240",Ведомость!$V$5:$V$1270,"К-В",Ведомость!$W$5:$W$1270,3)</f>
        <v/>
      </c>
      <c r="I111" s="35">
        <f>SUMIFS(Ведомость!$N$5:$N$1270,Ведомость!$H$5:$H$1270,16,Ведомость!$I$5:$I$1270,"А240",Ведомость!$V$5:$V$1270,"Р-В",Ведомость!$W$5:$W$1270,3)</f>
        <v/>
      </c>
      <c r="J111" s="35">
        <f>SUMIFS(Ведомость!$N$5:$N$1270,Ведомость!$H$5:$H$1270,16,Ведомость!$I$5:$I$1270,"А240",Ведомость!$V$5:$V$1270,"К-Г",Ведомость!$W$5:$W$1270,3)</f>
        <v/>
      </c>
      <c r="K111" s="35">
        <f>SUMIFS(Ведомость!$N$5:$N$1270,Ведомость!$H$5:$H$1270,16,Ведомость!$I$5:$I$1270,"А240",Ведомость!$V$5:$V$1270,"Дм-3",Ведомость!$W$5:$W$1270,3)</f>
        <v/>
      </c>
      <c r="L111" s="35">
        <f>SUMIFS(Ведомость!$N$5:$N$1270,Ведомость!$H$5:$H$1270,16,Ведомость!$I$5:$I$1270,"А240",Ведомость!$V$5:$V$1270,"Дм-4",Ведомость!$W$5:$W$1270,3)</f>
        <v/>
      </c>
      <c r="M111" s="35">
        <f>SUMIFS(Ведомость!$N$5:$N$1270,Ведомость!$H$5:$H$1270,16,Ведомость!$I$5:$I$1270,"А240",Ведомость!$V$5:$V$1270,"Дм-5",Ведомость!$W$5:$W$1270,3)</f>
        <v/>
      </c>
      <c r="N111" s="35">
        <f>SUMIFS(Ведомость!$N$5:$N$1270,Ведомость!$H$5:$H$1270,16,Ведомость!$I$5:$I$1270,"А240",Ведомость!$V$5:$V$1270,"Р-Г",Ведомость!$W$5:$W$1270,3)</f>
        <v/>
      </c>
      <c r="O111" s="35">
        <f>SUMIFS(Ведомость!$N$5:$N$1270,Ведомость!$H$5:$H$1270,16,Ведомость!$I$5:$I$1270,"А240",Ведомость!$V$5:$V$1270,"Р-1, 5",Ведомость!$W$5:$W$1270,3)</f>
        <v/>
      </c>
      <c r="P111" s="35">
        <f>SUMIFS(Ведомость!$N$5:$N$1270,Ведомость!$H$5:$H$1270,16,Ведомость!$I$5:$I$1270,"А240",Ведомость!$V$5:$V$1270,"Р-2",Ведомость!$W$5:$W$1270,3)</f>
        <v/>
      </c>
      <c r="Q111" s="35">
        <f>SUMIFS(Ведомость!$N$5:$N$1270,Ведомость!$H$5:$H$1270,16,Ведомость!$I$5:$I$1270,"А240",Ведомость!$V$5:$V$1270,"Р-3",Ведомость!$W$5:$W$1270,3)</f>
        <v/>
      </c>
      <c r="R111" s="35">
        <f>SUMIFS(Ведомость!$N$5:$N$1270,Ведомость!$H$5:$H$1270,16,Ведомость!$I$5:$I$1270,"А240",Ведомость!$V$5:$V$1270,"Р-4",Ведомость!$W$5:$W$1270,3)</f>
        <v/>
      </c>
      <c r="S111" s="35">
        <f>SUMIFS(Ведомость!$N$5:$N$1270,Ведомость!$H$5:$H$1270,16,Ведомость!$I$5:$I$1270,"А240",Ведомость!$V$5:$V$1270,"Б-основная",Ведомость!$W$5:$W$1270,3)</f>
        <v/>
      </c>
      <c r="T111" s="35">
        <f>SUMIFS(Ведомость!$N$5:$N$1270,Ведомость!$H$5:$H$1270,16,Ведомость!$I$5:$I$1270,"А240",Ведомость!$V$5:$V$1270,"Б-хомуты",Ведомость!$W$5:$W$1270,3)</f>
        <v/>
      </c>
      <c r="U111" s="35">
        <f>SUMIFS(Ведомость!$N$5:$N$1270,Ведомость!$H$5:$H$1270,16,Ведомость!$I$5:$I$1270,"А240",Ведомость!$V$5:$V$1270,"Б-допник",Ведомость!$W$5:$W$1270,3)</f>
        <v/>
      </c>
      <c r="V111" s="35">
        <f>SUMIFS(Ведомость!$N$5:$N$1270,Ведомость!$H$5:$H$1270,16,Ведомость!$I$5:$I$1270,"А240",Ведомость!$V$5:$V$1270,"П-сетка",Ведомость!$W$5:$W$1270,3)</f>
        <v/>
      </c>
      <c r="W111" s="35">
        <f>SUMIFS(Ведомость!$N$5:$N$1270,Ведомость!$H$5:$H$1270,16,Ведомость!$I$5:$I$1270,"А240",Ведомость!$V$5:$V$1270,"П-фикс",Ведомость!$W$5:$W$1270,3)</f>
        <v/>
      </c>
      <c r="X111" s="35">
        <f>SUMIFS(Ведомость!$N$5:$N$1270,Ведомость!$H$5:$H$1270,16,Ведомость!$I$5:$I$1270,"А240",Ведомость!$V$5:$V$1270,"П-отв",Ведомость!$W$5:$W$1270,3)</f>
        <v/>
      </c>
      <c r="Y111" s="35">
        <f>SUMIFS(Ведомость!$N$5:$N$1270,Ведомость!$H$5:$H$1270,16,Ведомость!$I$5:$I$1270,"А240",Ведомость!$V$5:$V$1270,"П-доп-низ",Ведомость!$W$5:$W$1270,3)</f>
        <v/>
      </c>
      <c r="Z111" s="35">
        <f>SUMIFS(Ведомость!$N$5:$N$1270,Ведомость!$H$5:$H$1270,16,Ведомость!$I$5:$I$1270,"А240",Ведомость!$V$5:$V$1270,"П-доп-верх",Ведомость!$W$5:$W$1270,3)</f>
        <v/>
      </c>
      <c r="AA111" s="35">
        <f>SUMIFS(Ведомость!$N$5:$N$1270,Ведомость!$H$5:$H$1270,16,Ведомость!$I$5:$I$1270,"А240",Ведомость!$V$5:$V$1270,"П-край",Ведомость!$W$5:$W$1270,3)</f>
        <v/>
      </c>
      <c r="AB111" s="35">
        <f>SUMIFS(Ведомость!$N$5:$N$1270,Ведомость!$H$5:$H$1270,16,Ведомость!$I$5:$I$1270,"А240",Ведомость!$V$5:$V$1270,"С-1",Ведомость!$W$5:$W$1270,3)</f>
        <v/>
      </c>
      <c r="AC111" s="35">
        <f>SUMIFS(Ведомость!$N$5:$N$1270,Ведомость!$H$5:$H$1270,16,Ведомость!$I$5:$I$1270,"А240",Ведомость!$V$5:$V$1270,"Л1",Ведомость!$W$5:$W$1270,3)</f>
        <v/>
      </c>
      <c r="AD111" s="35">
        <f>SUMIFS(Ведомость!$N$5:$N$1270,Ведомость!$H$5:$H$1270,16,Ведомость!$I$5:$I$1270,"А240",Ведомость!$V$5:$V$1270,"Л2",Ведомость!$W$5:$W$1270,3)</f>
        <v/>
      </c>
      <c r="AE111" s="35">
        <f>SUMIFS(Ведомость!$N$5:$N$1270,Ведомость!$H$5:$H$1270,16,Ведомость!$I$5:$I$1270,"А240",Ведомость!$V$5:$V$1270,"Л-пл",Ведомость!$W$5:$W$1270,3)</f>
        <v/>
      </c>
      <c r="AF111" s="35">
        <f>SUMIFS(Ведомость!$N$5:$N$1270,Ведомость!$H$5:$H$1270,16,Ведомость!$I$5:$I$1270,"А240",Ведомость!$V$5:$V$1270,"Л-рама",Ведомость!$W$5:$W$1270,3)</f>
        <v/>
      </c>
      <c r="AG111" s="36">
        <f>SUM(B111:AF111)</f>
        <v/>
      </c>
      <c r="AH111" s="37">
        <f>IFERROR(INDEX(Исходные!$B$19:$B$31,MATCH(16,Исходные!$A$19:$A$31,0)),0)</f>
        <v/>
      </c>
      <c r="AI111" s="36">
        <f>AG111*AH111*$AJ$2</f>
        <v/>
      </c>
      <c r="AJ111" s="38">
        <f>SUM(B111:D111,F111,H111,J111:M111)</f>
        <v/>
      </c>
      <c r="AK111" s="39">
        <f>AH111</f>
        <v/>
      </c>
      <c r="AL111" s="40">
        <f>AJ111*AK111*$AJ$2</f>
        <v/>
      </c>
      <c r="AM111" s="38">
        <f>SUM(E111,G111,I111,N111:AB111)</f>
        <v/>
      </c>
      <c r="AN111" s="39">
        <f>AH111</f>
        <v/>
      </c>
      <c r="AO111" s="40">
        <f>AM111*AN111*$AJ$2</f>
        <v/>
      </c>
      <c r="AP111" s="38">
        <f>SUM(AC111:AF111)</f>
        <v/>
      </c>
      <c r="AQ111" s="39">
        <f>AH111</f>
        <v/>
      </c>
      <c r="AR111" s="40">
        <f>AP111*AQ111*$AJ$2</f>
        <v/>
      </c>
    </row>
    <row r="112">
      <c r="A112" s="6" t="inlineStr">
        <is>
          <t>Диаметр 12 А240, L=м.п.</t>
        </is>
      </c>
      <c r="B112" s="35">
        <f>SUMIFS(Ведомость!$N$5:$N$1270,Ведомость!$H$5:$H$1270,12,Ведомость!$I$5:$I$1270,"А240",Ведомость!$V$5:$V$1270,"Дм-1",Ведомость!$W$5:$W$1270,3)</f>
        <v/>
      </c>
      <c r="C112" s="35">
        <f>SUMIFS(Ведомость!$N$5:$N$1270,Ведомость!$H$5:$H$1270,12,Ведомость!$I$5:$I$1270,"А240",Ведомость!$V$5:$V$1270,"Дм-2",Ведомость!$W$5:$W$1270,3)</f>
        <v/>
      </c>
      <c r="D112" s="35">
        <f>SUMIFS(Ведомость!$N$5:$N$1270,Ведомость!$H$5:$H$1270,12,Ведомость!$I$5:$I$1270,"А240",Ведомость!$V$5:$V$1270,"К-А",Ведомость!$W$5:$W$1270,3)</f>
        <v/>
      </c>
      <c r="E112" s="35">
        <f>SUMIFS(Ведомость!$N$5:$N$1270,Ведомость!$H$5:$H$1270,12,Ведомость!$I$5:$I$1270,"А240",Ведомость!$V$5:$V$1270,"Р-А",Ведомость!$W$5:$W$1270,3)</f>
        <v/>
      </c>
      <c r="F112" s="35">
        <f>SUMIFS(Ведомость!$N$5:$N$1270,Ведомость!$H$5:$H$1270,12,Ведомость!$I$5:$I$1270,"А240",Ведомость!$V$5:$V$1270,"К-Б",Ведомость!$W$5:$W$1270,3)</f>
        <v/>
      </c>
      <c r="G112" s="35">
        <f>SUMIFS(Ведомость!$N$5:$N$1270,Ведомость!$H$5:$H$1270,12,Ведомость!$I$5:$I$1270,"А240",Ведомость!$V$5:$V$1270,"Р-Б",Ведомость!$W$5:$W$1270,3)</f>
        <v/>
      </c>
      <c r="H112" s="35">
        <f>SUMIFS(Ведомость!$N$5:$N$1270,Ведомость!$H$5:$H$1270,12,Ведомость!$I$5:$I$1270,"А240",Ведомость!$V$5:$V$1270,"К-В",Ведомость!$W$5:$W$1270,3)</f>
        <v/>
      </c>
      <c r="I112" s="35">
        <f>SUMIFS(Ведомость!$N$5:$N$1270,Ведомость!$H$5:$H$1270,12,Ведомость!$I$5:$I$1270,"А240",Ведомость!$V$5:$V$1270,"Р-В",Ведомость!$W$5:$W$1270,3)</f>
        <v/>
      </c>
      <c r="J112" s="35">
        <f>SUMIFS(Ведомость!$N$5:$N$1270,Ведомость!$H$5:$H$1270,12,Ведомость!$I$5:$I$1270,"А240",Ведомость!$V$5:$V$1270,"К-Г",Ведомость!$W$5:$W$1270,3)</f>
        <v/>
      </c>
      <c r="K112" s="35">
        <f>SUMIFS(Ведомость!$N$5:$N$1270,Ведомость!$H$5:$H$1270,12,Ведомость!$I$5:$I$1270,"А240",Ведомость!$V$5:$V$1270,"Дм-3",Ведомость!$W$5:$W$1270,3)</f>
        <v/>
      </c>
      <c r="L112" s="35">
        <f>SUMIFS(Ведомость!$N$5:$N$1270,Ведомость!$H$5:$H$1270,12,Ведомость!$I$5:$I$1270,"А240",Ведомость!$V$5:$V$1270,"Дм-4",Ведомость!$W$5:$W$1270,3)</f>
        <v/>
      </c>
      <c r="M112" s="35">
        <f>SUMIFS(Ведомость!$N$5:$N$1270,Ведомость!$H$5:$H$1270,12,Ведомость!$I$5:$I$1270,"А240",Ведомость!$V$5:$V$1270,"Дм-5",Ведомость!$W$5:$W$1270,3)</f>
        <v/>
      </c>
      <c r="N112" s="35">
        <f>SUMIFS(Ведомость!$N$5:$N$1270,Ведомость!$H$5:$H$1270,12,Ведомость!$I$5:$I$1270,"А240",Ведомость!$V$5:$V$1270,"Р-Г",Ведомость!$W$5:$W$1270,3)</f>
        <v/>
      </c>
      <c r="O112" s="35">
        <f>SUMIFS(Ведомость!$N$5:$N$1270,Ведомость!$H$5:$H$1270,12,Ведомость!$I$5:$I$1270,"А240",Ведомость!$V$5:$V$1270,"Р-1, 5",Ведомость!$W$5:$W$1270,3)</f>
        <v/>
      </c>
      <c r="P112" s="35">
        <f>SUMIFS(Ведомость!$N$5:$N$1270,Ведомость!$H$5:$H$1270,12,Ведомость!$I$5:$I$1270,"А240",Ведомость!$V$5:$V$1270,"Р-2",Ведомость!$W$5:$W$1270,3)</f>
        <v/>
      </c>
      <c r="Q112" s="35">
        <f>SUMIFS(Ведомость!$N$5:$N$1270,Ведомость!$H$5:$H$1270,12,Ведомость!$I$5:$I$1270,"А240",Ведомость!$V$5:$V$1270,"Р-3",Ведомость!$W$5:$W$1270,3)</f>
        <v/>
      </c>
      <c r="R112" s="35">
        <f>SUMIFS(Ведомость!$N$5:$N$1270,Ведомость!$H$5:$H$1270,12,Ведомость!$I$5:$I$1270,"А240",Ведомость!$V$5:$V$1270,"Р-4",Ведомость!$W$5:$W$1270,3)</f>
        <v/>
      </c>
      <c r="S112" s="35">
        <f>SUMIFS(Ведомость!$N$5:$N$1270,Ведомость!$H$5:$H$1270,12,Ведомость!$I$5:$I$1270,"А240",Ведомость!$V$5:$V$1270,"Б-основная",Ведомость!$W$5:$W$1270,3)</f>
        <v/>
      </c>
      <c r="T112" s="35">
        <f>SUMIFS(Ведомость!$N$5:$N$1270,Ведомость!$H$5:$H$1270,12,Ведомость!$I$5:$I$1270,"А240",Ведомость!$V$5:$V$1270,"Б-хомуты",Ведомость!$W$5:$W$1270,3)</f>
        <v/>
      </c>
      <c r="U112" s="35">
        <f>SUMIFS(Ведомость!$N$5:$N$1270,Ведомость!$H$5:$H$1270,12,Ведомость!$I$5:$I$1270,"А240",Ведомость!$V$5:$V$1270,"Б-допник",Ведомость!$W$5:$W$1270,3)</f>
        <v/>
      </c>
      <c r="V112" s="35">
        <f>SUMIFS(Ведомость!$N$5:$N$1270,Ведомость!$H$5:$H$1270,12,Ведомость!$I$5:$I$1270,"А240",Ведомость!$V$5:$V$1270,"П-сетка",Ведомость!$W$5:$W$1270,3)</f>
        <v/>
      </c>
      <c r="W112" s="35">
        <f>SUMIFS(Ведомость!$N$5:$N$1270,Ведомость!$H$5:$H$1270,12,Ведомость!$I$5:$I$1270,"А240",Ведомость!$V$5:$V$1270,"П-фикс",Ведомость!$W$5:$W$1270,3)</f>
        <v/>
      </c>
      <c r="X112" s="35">
        <f>SUMIFS(Ведомость!$N$5:$N$1270,Ведомость!$H$5:$H$1270,12,Ведомость!$I$5:$I$1270,"А240",Ведомость!$V$5:$V$1270,"П-отв",Ведомость!$W$5:$W$1270,3)</f>
        <v/>
      </c>
      <c r="Y112" s="35">
        <f>SUMIFS(Ведомость!$N$5:$N$1270,Ведомость!$H$5:$H$1270,12,Ведомость!$I$5:$I$1270,"А240",Ведомость!$V$5:$V$1270,"П-доп-низ",Ведомость!$W$5:$W$1270,3)</f>
        <v/>
      </c>
      <c r="Z112" s="35">
        <f>SUMIFS(Ведомость!$N$5:$N$1270,Ведомость!$H$5:$H$1270,12,Ведомость!$I$5:$I$1270,"А240",Ведомость!$V$5:$V$1270,"П-доп-верх",Ведомость!$W$5:$W$1270,3)</f>
        <v/>
      </c>
      <c r="AA112" s="35">
        <f>SUMIFS(Ведомость!$N$5:$N$1270,Ведомость!$H$5:$H$1270,12,Ведомость!$I$5:$I$1270,"А240",Ведомость!$V$5:$V$1270,"П-край",Ведомость!$W$5:$W$1270,3)</f>
        <v/>
      </c>
      <c r="AB112" s="35">
        <f>SUMIFS(Ведомость!$N$5:$N$1270,Ведомость!$H$5:$H$1270,12,Ведомость!$I$5:$I$1270,"А240",Ведомость!$V$5:$V$1270,"С-1",Ведомость!$W$5:$W$1270,3)</f>
        <v/>
      </c>
      <c r="AC112" s="35">
        <f>SUMIFS(Ведомость!$N$5:$N$1270,Ведомость!$H$5:$H$1270,12,Ведомость!$I$5:$I$1270,"А240",Ведомость!$V$5:$V$1270,"Л1",Ведомость!$W$5:$W$1270,3)</f>
        <v/>
      </c>
      <c r="AD112" s="35">
        <f>SUMIFS(Ведомость!$N$5:$N$1270,Ведомость!$H$5:$H$1270,12,Ведомость!$I$5:$I$1270,"А240",Ведомость!$V$5:$V$1270,"Л2",Ведомость!$W$5:$W$1270,3)</f>
        <v/>
      </c>
      <c r="AE112" s="35">
        <f>SUMIFS(Ведомость!$N$5:$N$1270,Ведомость!$H$5:$H$1270,12,Ведомость!$I$5:$I$1270,"А240",Ведомость!$V$5:$V$1270,"Л-пл",Ведомость!$W$5:$W$1270,3)</f>
        <v/>
      </c>
      <c r="AF112" s="35">
        <f>SUMIFS(Ведомость!$N$5:$N$1270,Ведомость!$H$5:$H$1270,12,Ведомость!$I$5:$I$1270,"А240",Ведомость!$V$5:$V$1270,"Л-рама",Ведомость!$W$5:$W$1270,3)</f>
        <v/>
      </c>
      <c r="AG112" s="36">
        <f>SUM(B112:AF112)</f>
        <v/>
      </c>
      <c r="AH112" s="37">
        <f>IFERROR(INDEX(Исходные!$B$19:$B$31,MATCH(12,Исходные!$A$19:$A$31,0)),0)</f>
        <v/>
      </c>
      <c r="AI112" s="36">
        <f>AG112*AH112*$AJ$2</f>
        <v/>
      </c>
      <c r="AJ112" s="38">
        <f>SUM(B112:D112,F112,H112,J112:M112)</f>
        <v/>
      </c>
      <c r="AK112" s="39">
        <f>AH112</f>
        <v/>
      </c>
      <c r="AL112" s="40">
        <f>AJ112*AK112*$AJ$2</f>
        <v/>
      </c>
      <c r="AM112" s="38">
        <f>SUM(E112,G112,I112,N112:AB112)</f>
        <v/>
      </c>
      <c r="AN112" s="39">
        <f>AH112</f>
        <v/>
      </c>
      <c r="AO112" s="40">
        <f>AM112*AN112*$AJ$2</f>
        <v/>
      </c>
      <c r="AP112" s="38">
        <f>SUM(AC112:AF112)</f>
        <v/>
      </c>
      <c r="AQ112" s="39">
        <f>AH112</f>
        <v/>
      </c>
      <c r="AR112" s="40">
        <f>AP112*AQ112*$AJ$2</f>
        <v/>
      </c>
    </row>
    <row r="113">
      <c r="A113" s="6" t="inlineStr">
        <is>
          <t>Диаметр 10 А240, L=м.п.</t>
        </is>
      </c>
      <c r="B113" s="35">
        <f>SUMIFS(Ведомость!$N$5:$N$1270,Ведомость!$H$5:$H$1270,10,Ведомость!$I$5:$I$1270,"А240",Ведомость!$V$5:$V$1270,"Дм-1",Ведомость!$W$5:$W$1270,3)</f>
        <v/>
      </c>
      <c r="C113" s="35">
        <f>SUMIFS(Ведомость!$N$5:$N$1270,Ведомость!$H$5:$H$1270,10,Ведомость!$I$5:$I$1270,"А240",Ведомость!$V$5:$V$1270,"Дм-2",Ведомость!$W$5:$W$1270,3)</f>
        <v/>
      </c>
      <c r="D113" s="35">
        <f>SUMIFS(Ведомость!$N$5:$N$1270,Ведомость!$H$5:$H$1270,10,Ведомость!$I$5:$I$1270,"А240",Ведомость!$V$5:$V$1270,"К-А",Ведомость!$W$5:$W$1270,3)</f>
        <v/>
      </c>
      <c r="E113" s="35">
        <f>SUMIFS(Ведомость!$N$5:$N$1270,Ведомость!$H$5:$H$1270,10,Ведомость!$I$5:$I$1270,"А240",Ведомость!$V$5:$V$1270,"Р-А",Ведомость!$W$5:$W$1270,3)</f>
        <v/>
      </c>
      <c r="F113" s="35">
        <f>SUMIFS(Ведомость!$N$5:$N$1270,Ведомость!$H$5:$H$1270,10,Ведомость!$I$5:$I$1270,"А240",Ведомость!$V$5:$V$1270,"К-Б",Ведомость!$W$5:$W$1270,3)</f>
        <v/>
      </c>
      <c r="G113" s="35">
        <f>SUMIFS(Ведомость!$N$5:$N$1270,Ведомость!$H$5:$H$1270,10,Ведомость!$I$5:$I$1270,"А240",Ведомость!$V$5:$V$1270,"Р-Б",Ведомость!$W$5:$W$1270,3)</f>
        <v/>
      </c>
      <c r="H113" s="35">
        <f>SUMIFS(Ведомость!$N$5:$N$1270,Ведомость!$H$5:$H$1270,10,Ведомость!$I$5:$I$1270,"А240",Ведомость!$V$5:$V$1270,"К-В",Ведомость!$W$5:$W$1270,3)</f>
        <v/>
      </c>
      <c r="I113" s="35">
        <f>SUMIFS(Ведомость!$N$5:$N$1270,Ведомость!$H$5:$H$1270,10,Ведомость!$I$5:$I$1270,"А240",Ведомость!$V$5:$V$1270,"Р-В",Ведомость!$W$5:$W$1270,3)</f>
        <v/>
      </c>
      <c r="J113" s="35">
        <f>SUMIFS(Ведомость!$N$5:$N$1270,Ведомость!$H$5:$H$1270,10,Ведомость!$I$5:$I$1270,"А240",Ведомость!$V$5:$V$1270,"К-Г",Ведомость!$W$5:$W$1270,3)</f>
        <v/>
      </c>
      <c r="K113" s="35">
        <f>SUMIFS(Ведомость!$N$5:$N$1270,Ведомость!$H$5:$H$1270,10,Ведомость!$I$5:$I$1270,"А240",Ведомость!$V$5:$V$1270,"Дм-3",Ведомость!$W$5:$W$1270,3)</f>
        <v/>
      </c>
      <c r="L113" s="35">
        <f>SUMIFS(Ведомость!$N$5:$N$1270,Ведомость!$H$5:$H$1270,10,Ведомость!$I$5:$I$1270,"А240",Ведомость!$V$5:$V$1270,"Дм-4",Ведомость!$W$5:$W$1270,3)</f>
        <v/>
      </c>
      <c r="M113" s="35">
        <f>SUMIFS(Ведомость!$N$5:$N$1270,Ведомость!$H$5:$H$1270,10,Ведомость!$I$5:$I$1270,"А240",Ведомость!$V$5:$V$1270,"Дм-5",Ведомость!$W$5:$W$1270,3)</f>
        <v/>
      </c>
      <c r="N113" s="35">
        <f>SUMIFS(Ведомость!$N$5:$N$1270,Ведомость!$H$5:$H$1270,10,Ведомость!$I$5:$I$1270,"А240",Ведомость!$V$5:$V$1270,"Р-Г",Ведомость!$W$5:$W$1270,3)</f>
        <v/>
      </c>
      <c r="O113" s="35">
        <f>SUMIFS(Ведомость!$N$5:$N$1270,Ведомость!$H$5:$H$1270,10,Ведомость!$I$5:$I$1270,"А240",Ведомость!$V$5:$V$1270,"Р-1, 5",Ведомость!$W$5:$W$1270,3)</f>
        <v/>
      </c>
      <c r="P113" s="35">
        <f>SUMIFS(Ведомость!$N$5:$N$1270,Ведомость!$H$5:$H$1270,10,Ведомость!$I$5:$I$1270,"А240",Ведомость!$V$5:$V$1270,"Р-2",Ведомость!$W$5:$W$1270,3)</f>
        <v/>
      </c>
      <c r="Q113" s="35">
        <f>SUMIFS(Ведомость!$N$5:$N$1270,Ведомость!$H$5:$H$1270,10,Ведомость!$I$5:$I$1270,"А240",Ведомость!$V$5:$V$1270,"Р-3",Ведомость!$W$5:$W$1270,3)</f>
        <v/>
      </c>
      <c r="R113" s="35">
        <f>SUMIFS(Ведомость!$N$5:$N$1270,Ведомость!$H$5:$H$1270,10,Ведомость!$I$5:$I$1270,"А240",Ведомость!$V$5:$V$1270,"Р-4",Ведомость!$W$5:$W$1270,3)</f>
        <v/>
      </c>
      <c r="S113" s="35">
        <f>SUMIFS(Ведомость!$N$5:$N$1270,Ведомость!$H$5:$H$1270,10,Ведомость!$I$5:$I$1270,"А240",Ведомость!$V$5:$V$1270,"Б-основная",Ведомость!$W$5:$W$1270,3)</f>
        <v/>
      </c>
      <c r="T113" s="35">
        <f>SUMIFS(Ведомость!$N$5:$N$1270,Ведомость!$H$5:$H$1270,10,Ведомость!$I$5:$I$1270,"А240",Ведомость!$V$5:$V$1270,"Б-хомуты",Ведомость!$W$5:$W$1270,3)</f>
        <v/>
      </c>
      <c r="U113" s="35">
        <f>SUMIFS(Ведомость!$N$5:$N$1270,Ведомость!$H$5:$H$1270,10,Ведомость!$I$5:$I$1270,"А240",Ведомость!$V$5:$V$1270,"Б-допник",Ведомость!$W$5:$W$1270,3)</f>
        <v/>
      </c>
      <c r="V113" s="35">
        <f>SUMIFS(Ведомость!$N$5:$N$1270,Ведомость!$H$5:$H$1270,10,Ведомость!$I$5:$I$1270,"А240",Ведомость!$V$5:$V$1270,"П-сетка",Ведомость!$W$5:$W$1270,3)</f>
        <v/>
      </c>
      <c r="W113" s="35">
        <f>SUMIFS(Ведомость!$N$5:$N$1270,Ведомость!$H$5:$H$1270,10,Ведомость!$I$5:$I$1270,"А240",Ведомость!$V$5:$V$1270,"П-фикс",Ведомость!$W$5:$W$1270,3)</f>
        <v/>
      </c>
      <c r="X113" s="35">
        <f>SUMIFS(Ведомость!$N$5:$N$1270,Ведомость!$H$5:$H$1270,10,Ведомость!$I$5:$I$1270,"А240",Ведомость!$V$5:$V$1270,"П-отв",Ведомость!$W$5:$W$1270,3)</f>
        <v/>
      </c>
      <c r="Y113" s="35">
        <f>SUMIFS(Ведомость!$N$5:$N$1270,Ведомость!$H$5:$H$1270,10,Ведомость!$I$5:$I$1270,"А240",Ведомость!$V$5:$V$1270,"П-доп-низ",Ведомость!$W$5:$W$1270,3)</f>
        <v/>
      </c>
      <c r="Z113" s="35">
        <f>SUMIFS(Ведомость!$N$5:$N$1270,Ведомость!$H$5:$H$1270,10,Ведомость!$I$5:$I$1270,"А240",Ведомость!$V$5:$V$1270,"П-доп-верх",Ведомость!$W$5:$W$1270,3)</f>
        <v/>
      </c>
      <c r="AA113" s="35">
        <f>SUMIFS(Ведомость!$N$5:$N$1270,Ведомость!$H$5:$H$1270,10,Ведомость!$I$5:$I$1270,"А240",Ведомость!$V$5:$V$1270,"П-край",Ведомость!$W$5:$W$1270,3)</f>
        <v/>
      </c>
      <c r="AB113" s="35">
        <f>SUMIFS(Ведомость!$N$5:$N$1270,Ведомость!$H$5:$H$1270,10,Ведомость!$I$5:$I$1270,"А240",Ведомость!$V$5:$V$1270,"С-1",Ведомость!$W$5:$W$1270,3)</f>
        <v/>
      </c>
      <c r="AC113" s="35">
        <f>SUMIFS(Ведомость!$N$5:$N$1270,Ведомость!$H$5:$H$1270,10,Ведомость!$I$5:$I$1270,"А240",Ведомость!$V$5:$V$1270,"Л1",Ведомость!$W$5:$W$1270,3)</f>
        <v/>
      </c>
      <c r="AD113" s="35">
        <f>SUMIFS(Ведомость!$N$5:$N$1270,Ведомость!$H$5:$H$1270,10,Ведомость!$I$5:$I$1270,"А240",Ведомость!$V$5:$V$1270,"Л2",Ведомость!$W$5:$W$1270,3)</f>
        <v/>
      </c>
      <c r="AE113" s="35">
        <f>SUMIFS(Ведомость!$N$5:$N$1270,Ведомость!$H$5:$H$1270,10,Ведомость!$I$5:$I$1270,"А240",Ведомость!$V$5:$V$1270,"Л-пл",Ведомость!$W$5:$W$1270,3)</f>
        <v/>
      </c>
      <c r="AF113" s="35">
        <f>SUMIFS(Ведомость!$N$5:$N$1270,Ведомость!$H$5:$H$1270,10,Ведомость!$I$5:$I$1270,"А240",Ведомость!$V$5:$V$1270,"Л-рама",Ведомость!$W$5:$W$1270,3)</f>
        <v/>
      </c>
      <c r="AG113" s="36">
        <f>SUM(B113:AF113)</f>
        <v/>
      </c>
      <c r="AH113" s="37">
        <f>IFERROR(INDEX(Исходные!$B$19:$B$31,MATCH(10,Исходные!$A$19:$A$31,0)),0)</f>
        <v/>
      </c>
      <c r="AI113" s="36">
        <f>AG113*AH113*$AJ$2</f>
        <v/>
      </c>
      <c r="AJ113" s="38">
        <f>SUM(B113:D113,F113,H113,J113:M113)</f>
        <v/>
      </c>
      <c r="AK113" s="39">
        <f>AH113</f>
        <v/>
      </c>
      <c r="AL113" s="40">
        <f>AJ113*AK113*$AJ$2</f>
        <v/>
      </c>
      <c r="AM113" s="38">
        <f>SUM(E113,G113,I113,N113:AB113)</f>
        <v/>
      </c>
      <c r="AN113" s="39">
        <f>AH113</f>
        <v/>
      </c>
      <c r="AO113" s="40">
        <f>AM113*AN113*$AJ$2</f>
        <v/>
      </c>
      <c r="AP113" s="38">
        <f>SUM(AC113:AF113)</f>
        <v/>
      </c>
      <c r="AQ113" s="39">
        <f>AH113</f>
        <v/>
      </c>
      <c r="AR113" s="40">
        <f>AP113*AQ113*$AJ$2</f>
        <v/>
      </c>
    </row>
    <row r="114">
      <c r="A114" s="6" t="inlineStr">
        <is>
          <t>Диаметр 8 А240, L=м.п.</t>
        </is>
      </c>
      <c r="B114" s="35">
        <f>SUMIFS(Ведомость!$N$5:$N$1270,Ведомость!$H$5:$H$1270,8,Ведомость!$I$5:$I$1270,"А240",Ведомость!$V$5:$V$1270,"Дм-1",Ведомость!$W$5:$W$1270,3)</f>
        <v/>
      </c>
      <c r="C114" s="35">
        <f>SUMIFS(Ведомость!$N$5:$N$1270,Ведомость!$H$5:$H$1270,8,Ведомость!$I$5:$I$1270,"А240",Ведомость!$V$5:$V$1270,"Дм-2",Ведомость!$W$5:$W$1270,3)</f>
        <v/>
      </c>
      <c r="D114" s="35">
        <f>SUMIFS(Ведомость!$N$5:$N$1270,Ведомость!$H$5:$H$1270,8,Ведомость!$I$5:$I$1270,"А240",Ведомость!$V$5:$V$1270,"К-А",Ведомость!$W$5:$W$1270,3)</f>
        <v/>
      </c>
      <c r="E114" s="35">
        <f>SUMIFS(Ведомость!$N$5:$N$1270,Ведомость!$H$5:$H$1270,8,Ведомость!$I$5:$I$1270,"А240",Ведомость!$V$5:$V$1270,"Р-А",Ведомость!$W$5:$W$1270,3)</f>
        <v/>
      </c>
      <c r="F114" s="35">
        <f>SUMIFS(Ведомость!$N$5:$N$1270,Ведомость!$H$5:$H$1270,8,Ведомость!$I$5:$I$1270,"А240",Ведомость!$V$5:$V$1270,"К-Б",Ведомость!$W$5:$W$1270,3)</f>
        <v/>
      </c>
      <c r="G114" s="35">
        <f>SUMIFS(Ведомость!$N$5:$N$1270,Ведомость!$H$5:$H$1270,8,Ведомость!$I$5:$I$1270,"А240",Ведомость!$V$5:$V$1270,"Р-Б",Ведомость!$W$5:$W$1270,3)</f>
        <v/>
      </c>
      <c r="H114" s="35">
        <f>SUMIFS(Ведомость!$N$5:$N$1270,Ведомость!$H$5:$H$1270,8,Ведомость!$I$5:$I$1270,"А240",Ведомость!$V$5:$V$1270,"К-В",Ведомость!$W$5:$W$1270,3)</f>
        <v/>
      </c>
      <c r="I114" s="35">
        <f>SUMIFS(Ведомость!$N$5:$N$1270,Ведомость!$H$5:$H$1270,8,Ведомость!$I$5:$I$1270,"А240",Ведомость!$V$5:$V$1270,"Р-В",Ведомость!$W$5:$W$1270,3)</f>
        <v/>
      </c>
      <c r="J114" s="35">
        <f>SUMIFS(Ведомость!$N$5:$N$1270,Ведомость!$H$5:$H$1270,8,Ведомость!$I$5:$I$1270,"А240",Ведомость!$V$5:$V$1270,"К-Г",Ведомость!$W$5:$W$1270,3)</f>
        <v/>
      </c>
      <c r="K114" s="35">
        <f>SUMIFS(Ведомость!$N$5:$N$1270,Ведомость!$H$5:$H$1270,8,Ведомость!$I$5:$I$1270,"А240",Ведомость!$V$5:$V$1270,"Дм-3",Ведомость!$W$5:$W$1270,3)</f>
        <v/>
      </c>
      <c r="L114" s="35">
        <f>SUMIFS(Ведомость!$N$5:$N$1270,Ведомость!$H$5:$H$1270,8,Ведомость!$I$5:$I$1270,"А240",Ведомость!$V$5:$V$1270,"Дм-4",Ведомость!$W$5:$W$1270,3)</f>
        <v/>
      </c>
      <c r="M114" s="35">
        <f>SUMIFS(Ведомость!$N$5:$N$1270,Ведомость!$H$5:$H$1270,8,Ведомость!$I$5:$I$1270,"А240",Ведомость!$V$5:$V$1270,"Дм-5",Ведомость!$W$5:$W$1270,3)</f>
        <v/>
      </c>
      <c r="N114" s="35">
        <f>SUMIFS(Ведомость!$N$5:$N$1270,Ведомость!$H$5:$H$1270,8,Ведомость!$I$5:$I$1270,"А240",Ведомость!$V$5:$V$1270,"Р-Г",Ведомость!$W$5:$W$1270,3)</f>
        <v/>
      </c>
      <c r="O114" s="35">
        <f>SUMIFS(Ведомость!$N$5:$N$1270,Ведомость!$H$5:$H$1270,8,Ведомость!$I$5:$I$1270,"А240",Ведомость!$V$5:$V$1270,"Р-1, 5",Ведомость!$W$5:$W$1270,3)</f>
        <v/>
      </c>
      <c r="P114" s="35">
        <f>SUMIFS(Ведомость!$N$5:$N$1270,Ведомость!$H$5:$H$1270,8,Ведомость!$I$5:$I$1270,"А240",Ведомость!$V$5:$V$1270,"Р-2",Ведомость!$W$5:$W$1270,3)</f>
        <v/>
      </c>
      <c r="Q114" s="35">
        <f>SUMIFS(Ведомость!$N$5:$N$1270,Ведомость!$H$5:$H$1270,8,Ведомость!$I$5:$I$1270,"А240",Ведомость!$V$5:$V$1270,"Р-3",Ведомость!$W$5:$W$1270,3)</f>
        <v/>
      </c>
      <c r="R114" s="35">
        <f>SUMIFS(Ведомость!$N$5:$N$1270,Ведомость!$H$5:$H$1270,8,Ведомость!$I$5:$I$1270,"А240",Ведомость!$V$5:$V$1270,"Р-4",Ведомость!$W$5:$W$1270,3)</f>
        <v/>
      </c>
      <c r="S114" s="35">
        <f>SUMIFS(Ведомость!$N$5:$N$1270,Ведомость!$H$5:$H$1270,8,Ведомость!$I$5:$I$1270,"А240",Ведомость!$V$5:$V$1270,"Б-основная",Ведомость!$W$5:$W$1270,3)</f>
        <v/>
      </c>
      <c r="T114" s="35">
        <f>SUMIFS(Ведомость!$N$5:$N$1270,Ведомость!$H$5:$H$1270,8,Ведомость!$I$5:$I$1270,"А240",Ведомость!$V$5:$V$1270,"Б-хомуты",Ведомость!$W$5:$W$1270,3)</f>
        <v/>
      </c>
      <c r="U114" s="35">
        <f>SUMIFS(Ведомость!$N$5:$N$1270,Ведомость!$H$5:$H$1270,8,Ведомость!$I$5:$I$1270,"А240",Ведомость!$V$5:$V$1270,"Б-допник",Ведомость!$W$5:$W$1270,3)</f>
        <v/>
      </c>
      <c r="V114" s="35">
        <f>SUMIFS(Ведомость!$N$5:$N$1270,Ведомость!$H$5:$H$1270,8,Ведомость!$I$5:$I$1270,"А240",Ведомость!$V$5:$V$1270,"П-сетка",Ведомость!$W$5:$W$1270,3)</f>
        <v/>
      </c>
      <c r="W114" s="35">
        <f>SUMIFS(Ведомость!$N$5:$N$1270,Ведомость!$H$5:$H$1270,8,Ведомость!$I$5:$I$1270,"А240",Ведомость!$V$5:$V$1270,"П-фикс",Ведомость!$W$5:$W$1270,3)</f>
        <v/>
      </c>
      <c r="X114" s="35">
        <f>SUMIFS(Ведомость!$N$5:$N$1270,Ведомость!$H$5:$H$1270,8,Ведомость!$I$5:$I$1270,"А240",Ведомость!$V$5:$V$1270,"П-отв",Ведомость!$W$5:$W$1270,3)</f>
        <v/>
      </c>
      <c r="Y114" s="35">
        <f>SUMIFS(Ведомость!$N$5:$N$1270,Ведомость!$H$5:$H$1270,8,Ведомость!$I$5:$I$1270,"А240",Ведомость!$V$5:$V$1270,"П-доп-низ",Ведомость!$W$5:$W$1270,3)</f>
        <v/>
      </c>
      <c r="Z114" s="35">
        <f>SUMIFS(Ведомость!$N$5:$N$1270,Ведомость!$H$5:$H$1270,8,Ведомость!$I$5:$I$1270,"А240",Ведомость!$V$5:$V$1270,"П-доп-верх",Ведомость!$W$5:$W$1270,3)</f>
        <v/>
      </c>
      <c r="AA114" s="35">
        <f>SUMIFS(Ведомость!$N$5:$N$1270,Ведомость!$H$5:$H$1270,8,Ведомость!$I$5:$I$1270,"А240",Ведомость!$V$5:$V$1270,"П-край",Ведомость!$W$5:$W$1270,3)</f>
        <v/>
      </c>
      <c r="AB114" s="35">
        <f>SUMIFS(Ведомость!$N$5:$N$1270,Ведомость!$H$5:$H$1270,8,Ведомость!$I$5:$I$1270,"А240",Ведомость!$V$5:$V$1270,"С-1",Ведомость!$W$5:$W$1270,3)</f>
        <v/>
      </c>
      <c r="AC114" s="35">
        <f>SUMIFS(Ведомость!$N$5:$N$1270,Ведомость!$H$5:$H$1270,8,Ведомость!$I$5:$I$1270,"А240",Ведомость!$V$5:$V$1270,"Л1",Ведомость!$W$5:$W$1270,3)</f>
        <v/>
      </c>
      <c r="AD114" s="35">
        <f>SUMIFS(Ведомость!$N$5:$N$1270,Ведомость!$H$5:$H$1270,8,Ведомость!$I$5:$I$1270,"А240",Ведомость!$V$5:$V$1270,"Л2",Ведомость!$W$5:$W$1270,3)</f>
        <v/>
      </c>
      <c r="AE114" s="35">
        <f>SUMIFS(Ведомость!$N$5:$N$1270,Ведомость!$H$5:$H$1270,8,Ведомость!$I$5:$I$1270,"А240",Ведомость!$V$5:$V$1270,"Л-пл",Ведомость!$W$5:$W$1270,3)</f>
        <v/>
      </c>
      <c r="AF114" s="35">
        <f>SUMIFS(Ведомость!$N$5:$N$1270,Ведомость!$H$5:$H$1270,8,Ведомость!$I$5:$I$1270,"А240",Ведомость!$V$5:$V$1270,"Л-рама",Ведомость!$W$5:$W$1270,3)</f>
        <v/>
      </c>
      <c r="AG114" s="36">
        <f>SUM(B114:AF114)</f>
        <v/>
      </c>
      <c r="AH114" s="37">
        <f>IFERROR(INDEX(Исходные!$B$19:$B$31,MATCH(8,Исходные!$A$19:$A$31,0)),0)</f>
        <v/>
      </c>
      <c r="AI114" s="36">
        <f>AG114*AH114*$AJ$2</f>
        <v/>
      </c>
      <c r="AJ114" s="38">
        <f>SUM(B114:D114,F114,H114,J114:M114)</f>
        <v/>
      </c>
      <c r="AK114" s="39">
        <f>AH114</f>
        <v/>
      </c>
      <c r="AL114" s="40">
        <f>AJ114*AK114*$AJ$2</f>
        <v/>
      </c>
      <c r="AM114" s="38">
        <f>SUM(E114,G114,I114,N114:AB114)</f>
        <v/>
      </c>
      <c r="AN114" s="39">
        <f>AH114</f>
        <v/>
      </c>
      <c r="AO114" s="40">
        <f>AM114*AN114*$AJ$2</f>
        <v/>
      </c>
      <c r="AP114" s="38">
        <f>SUM(AC114:AF114)</f>
        <v/>
      </c>
      <c r="AQ114" s="39">
        <f>AH114</f>
        <v/>
      </c>
      <c r="AR114" s="40">
        <f>AP114*AQ114*$AJ$2</f>
        <v/>
      </c>
    </row>
    <row r="115">
      <c r="A115" s="6" t="inlineStr">
        <is>
          <t>Диаметр 6 А240, L=м.п.</t>
        </is>
      </c>
      <c r="B115" s="35">
        <f>SUMIFS(Ведомость!$N$5:$N$1270,Ведомость!$H$5:$H$1270,6,Ведомость!$I$5:$I$1270,"А240",Ведомость!$V$5:$V$1270,"Дм-1",Ведомость!$W$5:$W$1270,3)</f>
        <v/>
      </c>
      <c r="C115" s="35">
        <f>SUMIFS(Ведомость!$N$5:$N$1270,Ведомость!$H$5:$H$1270,6,Ведомость!$I$5:$I$1270,"А240",Ведомость!$V$5:$V$1270,"Дм-2",Ведомость!$W$5:$W$1270,3)</f>
        <v/>
      </c>
      <c r="D115" s="35">
        <f>SUMIFS(Ведомость!$N$5:$N$1270,Ведомость!$H$5:$H$1270,6,Ведомость!$I$5:$I$1270,"А240",Ведомость!$V$5:$V$1270,"К-А",Ведомость!$W$5:$W$1270,3)</f>
        <v/>
      </c>
      <c r="E115" s="35">
        <f>SUMIFS(Ведомость!$N$5:$N$1270,Ведомость!$H$5:$H$1270,6,Ведомость!$I$5:$I$1270,"А240",Ведомость!$V$5:$V$1270,"Р-А",Ведомость!$W$5:$W$1270,3)</f>
        <v/>
      </c>
      <c r="F115" s="35">
        <f>SUMIFS(Ведомость!$N$5:$N$1270,Ведомость!$H$5:$H$1270,6,Ведомость!$I$5:$I$1270,"А240",Ведомость!$V$5:$V$1270,"К-Б",Ведомость!$W$5:$W$1270,3)</f>
        <v/>
      </c>
      <c r="G115" s="35">
        <f>SUMIFS(Ведомость!$N$5:$N$1270,Ведомость!$H$5:$H$1270,6,Ведомость!$I$5:$I$1270,"А240",Ведомость!$V$5:$V$1270,"Р-Б",Ведомость!$W$5:$W$1270,3)</f>
        <v/>
      </c>
      <c r="H115" s="35">
        <f>SUMIFS(Ведомость!$N$5:$N$1270,Ведомость!$H$5:$H$1270,6,Ведомость!$I$5:$I$1270,"А240",Ведомость!$V$5:$V$1270,"К-В",Ведомость!$W$5:$W$1270,3)</f>
        <v/>
      </c>
      <c r="I115" s="35">
        <f>SUMIFS(Ведомость!$N$5:$N$1270,Ведомость!$H$5:$H$1270,6,Ведомость!$I$5:$I$1270,"А240",Ведомость!$V$5:$V$1270,"Р-В",Ведомость!$W$5:$W$1270,3)</f>
        <v/>
      </c>
      <c r="J115" s="35">
        <f>SUMIFS(Ведомость!$N$5:$N$1270,Ведомость!$H$5:$H$1270,6,Ведомость!$I$5:$I$1270,"А240",Ведомость!$V$5:$V$1270,"К-Г",Ведомость!$W$5:$W$1270,3)</f>
        <v/>
      </c>
      <c r="K115" s="35">
        <f>SUMIFS(Ведомость!$N$5:$N$1270,Ведомость!$H$5:$H$1270,6,Ведомость!$I$5:$I$1270,"А240",Ведомость!$V$5:$V$1270,"Дм-3",Ведомость!$W$5:$W$1270,3)</f>
        <v/>
      </c>
      <c r="L115" s="35">
        <f>SUMIFS(Ведомость!$N$5:$N$1270,Ведомость!$H$5:$H$1270,6,Ведомость!$I$5:$I$1270,"А240",Ведомость!$V$5:$V$1270,"Дм-4",Ведомость!$W$5:$W$1270,3)</f>
        <v/>
      </c>
      <c r="M115" s="35">
        <f>SUMIFS(Ведомость!$N$5:$N$1270,Ведомость!$H$5:$H$1270,6,Ведомость!$I$5:$I$1270,"А240",Ведомость!$V$5:$V$1270,"Дм-5",Ведомость!$W$5:$W$1270,3)</f>
        <v/>
      </c>
      <c r="N115" s="35">
        <f>SUMIFS(Ведомость!$N$5:$N$1270,Ведомость!$H$5:$H$1270,6,Ведомость!$I$5:$I$1270,"А240",Ведомость!$V$5:$V$1270,"Р-Г",Ведомость!$W$5:$W$1270,3)</f>
        <v/>
      </c>
      <c r="O115" s="35">
        <f>SUMIFS(Ведомость!$N$5:$N$1270,Ведомость!$H$5:$H$1270,6,Ведомость!$I$5:$I$1270,"А240",Ведомость!$V$5:$V$1270,"Р-1, 5",Ведомость!$W$5:$W$1270,3)</f>
        <v/>
      </c>
      <c r="P115" s="35">
        <f>SUMIFS(Ведомость!$N$5:$N$1270,Ведомость!$H$5:$H$1270,6,Ведомость!$I$5:$I$1270,"А240",Ведомость!$V$5:$V$1270,"Р-2",Ведомость!$W$5:$W$1270,3)</f>
        <v/>
      </c>
      <c r="Q115" s="35">
        <f>SUMIFS(Ведомость!$N$5:$N$1270,Ведомость!$H$5:$H$1270,6,Ведомость!$I$5:$I$1270,"А240",Ведомость!$V$5:$V$1270,"Р-3",Ведомость!$W$5:$W$1270,3)</f>
        <v/>
      </c>
      <c r="R115" s="35">
        <f>SUMIFS(Ведомость!$N$5:$N$1270,Ведомость!$H$5:$H$1270,6,Ведомость!$I$5:$I$1270,"А240",Ведомость!$V$5:$V$1270,"Р-4",Ведомость!$W$5:$W$1270,3)</f>
        <v/>
      </c>
      <c r="S115" s="35">
        <f>SUMIFS(Ведомость!$N$5:$N$1270,Ведомость!$H$5:$H$1270,6,Ведомость!$I$5:$I$1270,"А240",Ведомость!$V$5:$V$1270,"Б-основная",Ведомость!$W$5:$W$1270,3)</f>
        <v/>
      </c>
      <c r="T115" s="35">
        <f>SUMIFS(Ведомость!$N$5:$N$1270,Ведомость!$H$5:$H$1270,6,Ведомость!$I$5:$I$1270,"А240",Ведомость!$V$5:$V$1270,"Б-хомуты",Ведомость!$W$5:$W$1270,3)</f>
        <v/>
      </c>
      <c r="U115" s="35">
        <f>SUMIFS(Ведомость!$N$5:$N$1270,Ведомость!$H$5:$H$1270,6,Ведомость!$I$5:$I$1270,"А240",Ведомость!$V$5:$V$1270,"Б-допник",Ведомость!$W$5:$W$1270,3)</f>
        <v/>
      </c>
      <c r="V115" s="35">
        <f>SUMIFS(Ведомость!$N$5:$N$1270,Ведомость!$H$5:$H$1270,6,Ведомость!$I$5:$I$1270,"А240",Ведомость!$V$5:$V$1270,"П-сетка",Ведомость!$W$5:$W$1270,3)</f>
        <v/>
      </c>
      <c r="W115" s="35">
        <f>SUMIFS(Ведомость!$N$5:$N$1270,Ведомость!$H$5:$H$1270,6,Ведомость!$I$5:$I$1270,"А240",Ведомость!$V$5:$V$1270,"П-фикс",Ведомость!$W$5:$W$1270,3)</f>
        <v/>
      </c>
      <c r="X115" s="35">
        <f>SUMIFS(Ведомость!$N$5:$N$1270,Ведомость!$H$5:$H$1270,6,Ведомость!$I$5:$I$1270,"А240",Ведомость!$V$5:$V$1270,"П-отв",Ведомость!$W$5:$W$1270,3)</f>
        <v/>
      </c>
      <c r="Y115" s="35">
        <f>SUMIFS(Ведомость!$N$5:$N$1270,Ведомость!$H$5:$H$1270,6,Ведомость!$I$5:$I$1270,"А240",Ведомость!$V$5:$V$1270,"П-доп-низ",Ведомость!$W$5:$W$1270,3)</f>
        <v/>
      </c>
      <c r="Z115" s="35">
        <f>SUMIFS(Ведомость!$N$5:$N$1270,Ведомость!$H$5:$H$1270,6,Ведомость!$I$5:$I$1270,"А240",Ведомость!$V$5:$V$1270,"П-доп-верх",Ведомость!$W$5:$W$1270,3)</f>
        <v/>
      </c>
      <c r="AA115" s="35">
        <f>SUMIFS(Ведомость!$N$5:$N$1270,Ведомость!$H$5:$H$1270,6,Ведомость!$I$5:$I$1270,"А240",Ведомость!$V$5:$V$1270,"П-край",Ведомость!$W$5:$W$1270,3)</f>
        <v/>
      </c>
      <c r="AB115" s="35">
        <f>SUMIFS(Ведомость!$N$5:$N$1270,Ведомость!$H$5:$H$1270,6,Ведомость!$I$5:$I$1270,"А240",Ведомость!$V$5:$V$1270,"С-1",Ведомость!$W$5:$W$1270,3)</f>
        <v/>
      </c>
      <c r="AC115" s="35">
        <f>SUMIFS(Ведомость!$N$5:$N$1270,Ведомость!$H$5:$H$1270,6,Ведомость!$I$5:$I$1270,"А240",Ведомость!$V$5:$V$1270,"Л1",Ведомость!$W$5:$W$1270,3)</f>
        <v/>
      </c>
      <c r="AD115" s="35">
        <f>SUMIFS(Ведомость!$N$5:$N$1270,Ведомость!$H$5:$H$1270,6,Ведомость!$I$5:$I$1270,"А240",Ведомость!$V$5:$V$1270,"Л2",Ведомость!$W$5:$W$1270,3)</f>
        <v/>
      </c>
      <c r="AE115" s="35">
        <f>SUMIFS(Ведомость!$N$5:$N$1270,Ведомость!$H$5:$H$1270,6,Ведомость!$I$5:$I$1270,"А240",Ведомость!$V$5:$V$1270,"Л-пл",Ведомость!$W$5:$W$1270,3)</f>
        <v/>
      </c>
      <c r="AF115" s="35">
        <f>SUMIFS(Ведомость!$N$5:$N$1270,Ведомость!$H$5:$H$1270,6,Ведомость!$I$5:$I$1270,"А240",Ведомость!$V$5:$V$1270,"Л-рама",Ведомость!$W$5:$W$1270,3)</f>
        <v/>
      </c>
      <c r="AG115" s="36">
        <f>SUM(B115:AF115)</f>
        <v/>
      </c>
      <c r="AH115" s="37">
        <f>IFERROR(INDEX(Исходные!$B$19:$B$31,MATCH(6,Исходные!$A$19:$A$31,0)),0)</f>
        <v/>
      </c>
      <c r="AI115" s="36">
        <f>AG115*AH115*$AJ$2</f>
        <v/>
      </c>
      <c r="AJ115" s="38">
        <f>SUM(B115:D115,F115,H115,J115:M115)</f>
        <v/>
      </c>
      <c r="AK115" s="39">
        <f>AH115</f>
        <v/>
      </c>
      <c r="AL115" s="40">
        <f>AJ115*AK115*$AJ$2</f>
        <v/>
      </c>
      <c r="AM115" s="38">
        <f>SUM(E115,G115,I115,N115:AB115)</f>
        <v/>
      </c>
      <c r="AN115" s="39">
        <f>AH115</f>
        <v/>
      </c>
      <c r="AO115" s="40">
        <f>AM115*AN115*$AJ$2</f>
        <v/>
      </c>
      <c r="AP115" s="38">
        <f>SUM(AC115:AF115)</f>
        <v/>
      </c>
      <c r="AQ115" s="39">
        <f>AH115</f>
        <v/>
      </c>
      <c r="AR115" s="40">
        <f>AP115*AQ115*$AJ$2</f>
        <v/>
      </c>
    </row>
    <row r="116">
      <c r="A116" s="6" t="inlineStr">
        <is>
          <t>Сетка Ø5 Вр-I 100×100, м²</t>
        </is>
      </c>
      <c r="B116" s="41">
        <f>SUMIFS(Ведомость!$K$5:$K$1270,Ведомость!$H$5:$H$1270,5,Ведомость!$I$5:$I$1270,"Вр-I",Ведомость!$V$5:$V$1270,"Дм-1",Ведомость!$W$5:$W$1270,3)</f>
        <v/>
      </c>
      <c r="C116" s="41">
        <f>SUMIFS(Ведомость!$K$5:$K$1270,Ведомость!$H$5:$H$1270,5,Ведомость!$I$5:$I$1270,"Вр-I",Ведомость!$V$5:$V$1270,"Дм-2",Ведомость!$W$5:$W$1270,3)</f>
        <v/>
      </c>
      <c r="D116" s="41">
        <f>SUMIFS(Ведомость!$K$5:$K$1270,Ведомость!$H$5:$H$1270,5,Ведомость!$I$5:$I$1270,"Вр-I",Ведомость!$V$5:$V$1270,"К-А",Ведомость!$W$5:$W$1270,3)</f>
        <v/>
      </c>
      <c r="E116" s="41">
        <f>SUMIFS(Ведомость!$K$5:$K$1270,Ведомость!$H$5:$H$1270,5,Ведомость!$I$5:$I$1270,"Вр-I",Ведомость!$V$5:$V$1270,"Р-А",Ведомость!$W$5:$W$1270,3)</f>
        <v/>
      </c>
      <c r="F116" s="41">
        <f>SUMIFS(Ведомость!$K$5:$K$1270,Ведомость!$H$5:$H$1270,5,Ведомость!$I$5:$I$1270,"Вр-I",Ведомость!$V$5:$V$1270,"К-Б",Ведомость!$W$5:$W$1270,3)</f>
        <v/>
      </c>
      <c r="G116" s="41">
        <f>SUMIFS(Ведомость!$K$5:$K$1270,Ведомость!$H$5:$H$1270,5,Ведомость!$I$5:$I$1270,"Вр-I",Ведомость!$V$5:$V$1270,"Р-Б",Ведомость!$W$5:$W$1270,3)</f>
        <v/>
      </c>
      <c r="H116" s="41">
        <f>SUMIFS(Ведомость!$K$5:$K$1270,Ведомость!$H$5:$H$1270,5,Ведомость!$I$5:$I$1270,"Вр-I",Ведомость!$V$5:$V$1270,"К-В",Ведомость!$W$5:$W$1270,3)</f>
        <v/>
      </c>
      <c r="I116" s="41">
        <f>SUMIFS(Ведомость!$K$5:$K$1270,Ведомость!$H$5:$H$1270,5,Ведомость!$I$5:$I$1270,"Вр-I",Ведомость!$V$5:$V$1270,"Р-В",Ведомость!$W$5:$W$1270,3)</f>
        <v/>
      </c>
      <c r="J116" s="41">
        <f>SUMIFS(Ведомость!$K$5:$K$1270,Ведомость!$H$5:$H$1270,5,Ведомость!$I$5:$I$1270,"Вр-I",Ведомость!$V$5:$V$1270,"К-Г",Ведомость!$W$5:$W$1270,3)</f>
        <v/>
      </c>
      <c r="K116" s="41">
        <f>SUMIFS(Ведомость!$K$5:$K$1270,Ведомость!$H$5:$H$1270,5,Ведомость!$I$5:$I$1270,"Вр-I",Ведомость!$V$5:$V$1270,"Дм-3",Ведомость!$W$5:$W$1270,3)</f>
        <v/>
      </c>
      <c r="L116" s="41">
        <f>SUMIFS(Ведомость!$K$5:$K$1270,Ведомость!$H$5:$H$1270,5,Ведомость!$I$5:$I$1270,"Вр-I",Ведомость!$V$5:$V$1270,"Дм-4",Ведомость!$W$5:$W$1270,3)</f>
        <v/>
      </c>
      <c r="M116" s="41">
        <f>SUMIFS(Ведомость!$K$5:$K$1270,Ведомость!$H$5:$H$1270,5,Ведомость!$I$5:$I$1270,"Вр-I",Ведомость!$V$5:$V$1270,"Дм-5",Ведомость!$W$5:$W$1270,3)</f>
        <v/>
      </c>
      <c r="N116" s="41">
        <f>SUMIFS(Ведомость!$K$5:$K$1270,Ведомость!$H$5:$H$1270,5,Ведомость!$I$5:$I$1270,"Вр-I",Ведомость!$V$5:$V$1270,"Р-Г",Ведомость!$W$5:$W$1270,3)</f>
        <v/>
      </c>
      <c r="O116" s="41">
        <f>SUMIFS(Ведомость!$K$5:$K$1270,Ведомость!$H$5:$H$1270,5,Ведомость!$I$5:$I$1270,"Вр-I",Ведомость!$V$5:$V$1270,"Р-1, 5",Ведомость!$W$5:$W$1270,3)</f>
        <v/>
      </c>
      <c r="P116" s="41">
        <f>SUMIFS(Ведомость!$K$5:$K$1270,Ведомость!$H$5:$H$1270,5,Ведомость!$I$5:$I$1270,"Вр-I",Ведомость!$V$5:$V$1270,"Р-2",Ведомость!$W$5:$W$1270,3)</f>
        <v/>
      </c>
      <c r="Q116" s="41">
        <f>SUMIFS(Ведомость!$K$5:$K$1270,Ведомость!$H$5:$H$1270,5,Ведомость!$I$5:$I$1270,"Вр-I",Ведомость!$V$5:$V$1270,"Р-3",Ведомость!$W$5:$W$1270,3)</f>
        <v/>
      </c>
      <c r="R116" s="41">
        <f>SUMIFS(Ведомость!$K$5:$K$1270,Ведомость!$H$5:$H$1270,5,Ведомость!$I$5:$I$1270,"Вр-I",Ведомость!$V$5:$V$1270,"Р-4",Ведомость!$W$5:$W$1270,3)</f>
        <v/>
      </c>
      <c r="S116" s="41">
        <f>SUMIFS(Ведомость!$K$5:$K$1270,Ведомость!$H$5:$H$1270,5,Ведомость!$I$5:$I$1270,"Вр-I",Ведомость!$V$5:$V$1270,"Б-основная",Ведомость!$W$5:$W$1270,3)</f>
        <v/>
      </c>
      <c r="T116" s="41">
        <f>SUMIFS(Ведомость!$K$5:$K$1270,Ведомость!$H$5:$H$1270,5,Ведомость!$I$5:$I$1270,"Вр-I",Ведомость!$V$5:$V$1270,"Б-хомуты",Ведомость!$W$5:$W$1270,3)</f>
        <v/>
      </c>
      <c r="U116" s="41">
        <f>SUMIFS(Ведомость!$K$5:$K$1270,Ведомость!$H$5:$H$1270,5,Ведомость!$I$5:$I$1270,"Вр-I",Ведомость!$V$5:$V$1270,"Б-допник",Ведомость!$W$5:$W$1270,3)</f>
        <v/>
      </c>
      <c r="V116" s="41">
        <f>SUMIFS(Ведомость!$K$5:$K$1270,Ведомость!$H$5:$H$1270,5,Ведомость!$I$5:$I$1270,"Вр-I",Ведомость!$V$5:$V$1270,"П-сетка",Ведомость!$W$5:$W$1270,3)</f>
        <v/>
      </c>
      <c r="W116" s="41">
        <f>SUMIFS(Ведомость!$K$5:$K$1270,Ведомость!$H$5:$H$1270,5,Ведомость!$I$5:$I$1270,"Вр-I",Ведомость!$V$5:$V$1270,"П-фикс",Ведомость!$W$5:$W$1270,3)</f>
        <v/>
      </c>
      <c r="X116" s="41">
        <f>SUMIFS(Ведомость!$K$5:$K$1270,Ведомость!$H$5:$H$1270,5,Ведомость!$I$5:$I$1270,"Вр-I",Ведомость!$V$5:$V$1270,"П-отв",Ведомость!$W$5:$W$1270,3)</f>
        <v/>
      </c>
      <c r="Y116" s="41">
        <f>SUMIFS(Ведомость!$K$5:$K$1270,Ведомость!$H$5:$H$1270,5,Ведомость!$I$5:$I$1270,"Вр-I",Ведомость!$V$5:$V$1270,"П-доп-низ",Ведомость!$W$5:$W$1270,3)</f>
        <v/>
      </c>
      <c r="Z116" s="41">
        <f>SUMIFS(Ведомость!$K$5:$K$1270,Ведомость!$H$5:$H$1270,5,Ведомость!$I$5:$I$1270,"Вр-I",Ведомость!$V$5:$V$1270,"П-доп-верх",Ведомость!$W$5:$W$1270,3)</f>
        <v/>
      </c>
      <c r="AA116" s="41">
        <f>SUMIFS(Ведомость!$K$5:$K$1270,Ведомость!$H$5:$H$1270,5,Ведомость!$I$5:$I$1270,"Вр-I",Ведомость!$V$5:$V$1270,"П-край",Ведомость!$W$5:$W$1270,3)</f>
        <v/>
      </c>
      <c r="AB116" s="41">
        <f>SUMIFS(Ведомость!$K$5:$K$1270,Ведомость!$H$5:$H$1270,5,Ведомость!$I$5:$I$1270,"Вр-I",Ведомость!$V$5:$V$1270,"С-1",Ведомость!$W$5:$W$1270,3)</f>
        <v/>
      </c>
      <c r="AC116" s="41">
        <f>SUMIFS(Ведомость!$K$5:$K$1270,Ведомость!$H$5:$H$1270,5,Ведомость!$I$5:$I$1270,"Вр-I",Ведомость!$V$5:$V$1270,"Л1",Ведомость!$W$5:$W$1270,3)</f>
        <v/>
      </c>
      <c r="AD116" s="41">
        <f>SUMIFS(Ведомость!$K$5:$K$1270,Ведомость!$H$5:$H$1270,5,Ведомость!$I$5:$I$1270,"Вр-I",Ведомость!$V$5:$V$1270,"Л2",Ведомость!$W$5:$W$1270,3)</f>
        <v/>
      </c>
      <c r="AE116" s="41">
        <f>SUMIFS(Ведомость!$K$5:$K$1270,Ведомость!$H$5:$H$1270,5,Ведомость!$I$5:$I$1270,"Вр-I",Ведомость!$V$5:$V$1270,"Л-пл",Ведомость!$W$5:$W$1270,3)</f>
        <v/>
      </c>
      <c r="AF116" s="41">
        <f>SUMIFS(Ведомость!$K$5:$K$1270,Ведомость!$H$5:$H$1270,5,Ведомость!$I$5:$I$1270,"Вр-I",Ведомость!$V$5:$V$1270,"Л-рама",Ведомость!$W$5:$W$1270,3)</f>
        <v/>
      </c>
      <c r="AG116" s="36">
        <f>SUM(B116:AF116)</f>
        <v/>
      </c>
      <c r="AH116" s="37">
        <f>Исходные!$B$32</f>
        <v/>
      </c>
      <c r="AI116" s="36">
        <f>AG116*AH116*$AJ$2</f>
        <v/>
      </c>
      <c r="AJ116" s="38">
        <f>SUM(B116:D116,F116,H116,J116:M116)</f>
        <v/>
      </c>
      <c r="AK116" s="39">
        <f>AH116</f>
        <v/>
      </c>
      <c r="AL116" s="40">
        <f>AJ116*AK116*$AJ$2</f>
        <v/>
      </c>
      <c r="AM116" s="38">
        <f>SUM(E116,G116,I116,N116:AB116)</f>
        <v/>
      </c>
      <c r="AN116" s="39">
        <f>AH116</f>
        <v/>
      </c>
      <c r="AO116" s="40">
        <f>AM116*AN116*$AJ$2</f>
        <v/>
      </c>
      <c r="AP116" s="38">
        <f>SUM(AC116:AF116)</f>
        <v/>
      </c>
      <c r="AQ116" s="39">
        <f>AH116</f>
        <v/>
      </c>
      <c r="AR116" s="40">
        <f>AP116*AQ116*$AJ$2</f>
        <v/>
      </c>
    </row>
    <row r="117">
      <c r="A117" s="20" t="inlineStr">
        <is>
          <t>Масса чистая (без К зап), кг</t>
        </is>
      </c>
      <c r="B117" s="42">
        <f>SUMPRODUCT(B100:B116,$AH$100:$AH$116)</f>
        <v/>
      </c>
      <c r="C117" s="42">
        <f>SUMPRODUCT(C100:C116,$AH$100:$AH$116)</f>
        <v/>
      </c>
      <c r="D117" s="42">
        <f>SUMPRODUCT(D100:D116,$AH$100:$AH$116)</f>
        <v/>
      </c>
      <c r="E117" s="42">
        <f>SUMPRODUCT(E100:E116,$AH$100:$AH$116)</f>
        <v/>
      </c>
      <c r="F117" s="42">
        <f>SUMPRODUCT(F100:F116,$AH$100:$AH$116)</f>
        <v/>
      </c>
      <c r="G117" s="42">
        <f>SUMPRODUCT(G100:G116,$AH$100:$AH$116)</f>
        <v/>
      </c>
      <c r="H117" s="42">
        <f>SUMPRODUCT(H100:H116,$AH$100:$AH$116)</f>
        <v/>
      </c>
      <c r="I117" s="42">
        <f>SUMPRODUCT(I100:I116,$AH$100:$AH$116)</f>
        <v/>
      </c>
      <c r="J117" s="42">
        <f>SUMPRODUCT(J100:J116,$AH$100:$AH$116)</f>
        <v/>
      </c>
      <c r="K117" s="42">
        <f>SUMPRODUCT(K100:K116,$AH$100:$AH$116)</f>
        <v/>
      </c>
      <c r="L117" s="42">
        <f>SUMPRODUCT(L100:L116,$AH$100:$AH$116)</f>
        <v/>
      </c>
      <c r="M117" s="42">
        <f>SUMPRODUCT(M100:M116,$AH$100:$AH$116)</f>
        <v/>
      </c>
      <c r="N117" s="42">
        <f>SUMPRODUCT(N100:N116,$AH$100:$AH$116)</f>
        <v/>
      </c>
      <c r="O117" s="42">
        <f>SUMPRODUCT(O100:O116,$AH$100:$AH$116)</f>
        <v/>
      </c>
      <c r="P117" s="42">
        <f>SUMPRODUCT(P100:P116,$AH$100:$AH$116)</f>
        <v/>
      </c>
      <c r="Q117" s="42">
        <f>SUMPRODUCT(Q100:Q116,$AH$100:$AH$116)</f>
        <v/>
      </c>
      <c r="R117" s="42">
        <f>SUMPRODUCT(R100:R116,$AH$100:$AH$116)</f>
        <v/>
      </c>
      <c r="S117" s="42">
        <f>SUMPRODUCT(S100:S116,$AH$100:$AH$116)</f>
        <v/>
      </c>
      <c r="T117" s="42">
        <f>SUMPRODUCT(T100:T116,$AH$100:$AH$116)</f>
        <v/>
      </c>
      <c r="U117" s="42">
        <f>SUMPRODUCT(U100:U116,$AH$100:$AH$116)</f>
        <v/>
      </c>
      <c r="V117" s="42">
        <f>SUMPRODUCT(V100:V116,$AH$100:$AH$116)</f>
        <v/>
      </c>
      <c r="W117" s="42">
        <f>SUMPRODUCT(W100:W116,$AH$100:$AH$116)</f>
        <v/>
      </c>
      <c r="X117" s="42">
        <f>SUMPRODUCT(X100:X116,$AH$100:$AH$116)</f>
        <v/>
      </c>
      <c r="Y117" s="42">
        <f>SUMPRODUCT(Y100:Y116,$AH$100:$AH$116)</f>
        <v/>
      </c>
      <c r="Z117" s="42">
        <f>SUMPRODUCT(Z100:Z116,$AH$100:$AH$116)</f>
        <v/>
      </c>
      <c r="AA117" s="42">
        <f>SUMPRODUCT(AA100:AA116,$AH$100:$AH$116)</f>
        <v/>
      </c>
      <c r="AB117" s="42">
        <f>SUMPRODUCT(AB100:AB116,$AH$100:$AH$116)</f>
        <v/>
      </c>
      <c r="AC117" s="42">
        <f>SUMPRODUCT(AC100:AC116,$AH$100:$AH$116)</f>
        <v/>
      </c>
      <c r="AD117" s="42">
        <f>SUMPRODUCT(AD100:AD116,$AH$100:$AH$116)</f>
        <v/>
      </c>
      <c r="AE117" s="42">
        <f>SUMPRODUCT(AE100:AE116,$AH$100:$AH$116)</f>
        <v/>
      </c>
      <c r="AF117" s="42">
        <f>SUMPRODUCT(AF100:AF116,$AH$100:$AH$116)</f>
        <v/>
      </c>
      <c r="AG117" s="20" t="n"/>
      <c r="AH117" s="18" t="inlineStr">
        <is>
          <t>Итого:</t>
        </is>
      </c>
      <c r="AI117" s="43">
        <f>SUMPRODUCT(AG100:AG116,AH100:AH116)</f>
        <v/>
      </c>
      <c r="AJ117" s="20" t="n"/>
      <c r="AK117" s="18" t="inlineStr">
        <is>
          <t>Итого:</t>
        </is>
      </c>
      <c r="AL117" s="43">
        <f>SUMPRODUCT(AJ100:AJ116,AK100:AK116)</f>
        <v/>
      </c>
      <c r="AM117" s="20" t="n"/>
      <c r="AN117" s="18" t="inlineStr">
        <is>
          <t>Итого:</t>
        </is>
      </c>
      <c r="AO117" s="43">
        <f>SUMPRODUCT(AM100:AM116,AN100:AN116)</f>
        <v/>
      </c>
      <c r="AP117" s="20" t="n"/>
      <c r="AQ117" s="18" t="inlineStr">
        <is>
          <t>Итого:</t>
        </is>
      </c>
      <c r="AR117" s="43">
        <f>SUMPRODUCT(AP100:AP116,AQ100:AQ116)</f>
        <v/>
      </c>
    </row>
    <row r="118">
      <c r="A118" s="4" t="inlineStr">
        <is>
          <t>Всего с К зап, кг</t>
        </is>
      </c>
      <c r="B118" s="44">
        <f>B117*$AJ$2</f>
        <v/>
      </c>
      <c r="C118" s="44">
        <f>C117*$AJ$2</f>
        <v/>
      </c>
      <c r="D118" s="44">
        <f>D117*$AJ$2</f>
        <v/>
      </c>
      <c r="E118" s="44">
        <f>E117*$AJ$2</f>
        <v/>
      </c>
      <c r="F118" s="44">
        <f>F117*$AJ$2</f>
        <v/>
      </c>
      <c r="G118" s="44">
        <f>G117*$AJ$2</f>
        <v/>
      </c>
      <c r="H118" s="44">
        <f>H117*$AJ$2</f>
        <v/>
      </c>
      <c r="I118" s="44">
        <f>I117*$AJ$2</f>
        <v/>
      </c>
      <c r="J118" s="44">
        <f>J117*$AJ$2</f>
        <v/>
      </c>
      <c r="K118" s="44">
        <f>K117*$AJ$2</f>
        <v/>
      </c>
      <c r="L118" s="44">
        <f>L117*$AJ$2</f>
        <v/>
      </c>
      <c r="M118" s="44">
        <f>M117*$AJ$2</f>
        <v/>
      </c>
      <c r="N118" s="44">
        <f>N117*$AJ$2</f>
        <v/>
      </c>
      <c r="O118" s="44">
        <f>O117*$AJ$2</f>
        <v/>
      </c>
      <c r="P118" s="44">
        <f>P117*$AJ$2</f>
        <v/>
      </c>
      <c r="Q118" s="44">
        <f>Q117*$AJ$2</f>
        <v/>
      </c>
      <c r="R118" s="44">
        <f>R117*$AJ$2</f>
        <v/>
      </c>
      <c r="S118" s="44">
        <f>S117*$AJ$2</f>
        <v/>
      </c>
      <c r="T118" s="44">
        <f>T117*$AJ$2</f>
        <v/>
      </c>
      <c r="U118" s="44">
        <f>U117*$AJ$2</f>
        <v/>
      </c>
      <c r="V118" s="44">
        <f>V117*$AJ$2</f>
        <v/>
      </c>
      <c r="W118" s="44">
        <f>W117*$AJ$2</f>
        <v/>
      </c>
      <c r="X118" s="44">
        <f>X117*$AJ$2</f>
        <v/>
      </c>
      <c r="Y118" s="44">
        <f>Y117*$AJ$2</f>
        <v/>
      </c>
      <c r="Z118" s="44">
        <f>Z117*$AJ$2</f>
        <v/>
      </c>
      <c r="AA118" s="44">
        <f>AA117*$AJ$2</f>
        <v/>
      </c>
      <c r="AB118" s="44">
        <f>AB117*$AJ$2</f>
        <v/>
      </c>
      <c r="AC118" s="44">
        <f>AC117*$AJ$2</f>
        <v/>
      </c>
      <c r="AD118" s="44">
        <f>AD117*$AJ$2</f>
        <v/>
      </c>
      <c r="AE118" s="44">
        <f>AE117*$AJ$2</f>
        <v/>
      </c>
      <c r="AF118" s="44">
        <f>AF117*$AJ$2</f>
        <v/>
      </c>
      <c r="AG118" s="4" t="n"/>
      <c r="AH118" s="5" t="inlineStr">
        <is>
          <t>Итого (кг):</t>
        </is>
      </c>
      <c r="AI118" s="45">
        <f>SUM(AI100:AI116)</f>
        <v/>
      </c>
      <c r="AJ118" s="4" t="n"/>
      <c r="AK118" s="5" t="inlineStr">
        <is>
          <t>Итого (кг):</t>
        </is>
      </c>
      <c r="AL118" s="45">
        <f>SUM(AL100:AL116)</f>
        <v/>
      </c>
      <c r="AM118" s="4" t="n"/>
      <c r="AN118" s="5" t="inlineStr">
        <is>
          <t>Итого (кг):</t>
        </is>
      </c>
      <c r="AO118" s="45">
        <f>SUM(AO100:AO116)</f>
        <v/>
      </c>
      <c r="AP118" s="4" t="n"/>
      <c r="AQ118" s="5" t="inlineStr">
        <is>
          <t>Итого (кг):</t>
        </is>
      </c>
      <c r="AR118" s="45">
        <f>SUM(AR100:AR116)</f>
        <v/>
      </c>
    </row>
    <row r="119">
      <c r="AH119" s="5" t="inlineStr">
        <is>
          <t>Итого (т):</t>
        </is>
      </c>
      <c r="AI119" s="46">
        <f>AI118/1000</f>
        <v/>
      </c>
      <c r="AK119" s="5" t="inlineStr">
        <is>
          <t>Итого (т):</t>
        </is>
      </c>
      <c r="AL119" s="46">
        <f>AL118/1000</f>
        <v/>
      </c>
      <c r="AN119" s="5" t="inlineStr">
        <is>
          <t>Итого (т):</t>
        </is>
      </c>
      <c r="AO119" s="46">
        <f>AO118/1000</f>
        <v/>
      </c>
      <c r="AQ119" s="5" t="inlineStr">
        <is>
          <t>Итого (т):</t>
        </is>
      </c>
      <c r="AR119" s="46">
        <f>AR118/1000</f>
        <v/>
      </c>
    </row>
    <row r="120">
      <c r="A120" s="21" t="inlineStr">
        <is>
          <t>Контроль: чистая масса = «Ведомость», 3 этаж</t>
        </is>
      </c>
      <c r="AI120" s="22">
        <f>ROUND(AI117-Ведомость!P1273,1)</f>
        <v/>
      </c>
      <c r="AJ120" s="29" t="inlineStr">
        <is>
          <t>← должно быть 0</t>
        </is>
      </c>
    </row>
    <row r="122">
      <c r="A122" s="4" t="inlineStr">
        <is>
          <t>Бетон, (м3)</t>
        </is>
      </c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  <c r="AB122" s="4" t="n"/>
      <c r="AC122" s="4" t="n"/>
      <c r="AD122" s="4" t="n"/>
      <c r="AE122" s="4" t="n"/>
      <c r="AF122" s="4" t="n"/>
      <c r="AG122" s="4" t="n"/>
      <c r="AH122" s="4" t="n"/>
      <c r="AI122" s="4" t="n"/>
      <c r="AJ122" s="4" t="n"/>
      <c r="AK122" s="4" t="n"/>
      <c r="AL122" s="4" t="n"/>
      <c r="AM122" s="4" t="n"/>
      <c r="AN122" s="4" t="n"/>
      <c r="AO122" s="4" t="n"/>
      <c r="AP122" s="4" t="n"/>
      <c r="AQ122" s="4" t="n"/>
      <c r="AR122" s="4" t="n"/>
    </row>
    <row r="123">
      <c r="A123" s="6" t="inlineStr">
        <is>
          <t>Бетон В25, м3</t>
        </is>
      </c>
      <c r="B123" s="41">
        <f>(0.6*0.6+2*0.7*0.4+1.7*0.4)*(3.6-0.12)</f>
        <v/>
      </c>
      <c r="C123" s="41">
        <f>(0.6*0.6+0.7*0.4+1.7*0.4)*(3.6-0.12)</f>
        <v/>
      </c>
      <c r="D123" s="41">
        <f>3*0.6*0.6*(3.6-0.12)</f>
        <v/>
      </c>
      <c r="E123" s="41">
        <f>1*0.45*(0.6-0.12)*20.50</f>
        <v/>
      </c>
      <c r="F123" s="41">
        <f>5*0.6*0.6*(3.6-0.12)</f>
        <v/>
      </c>
      <c r="G123" s="41">
        <f>1*0.45*(0.6-0.12)*22.60</f>
        <v/>
      </c>
      <c r="H123" s="41">
        <f>5*0.6*0.6*(3.6-0.12)</f>
        <v/>
      </c>
      <c r="I123" s="41">
        <f>1*0.45*(0.6-0.12)*22.60</f>
        <v/>
      </c>
      <c r="J123" s="41">
        <f>2*0.6*0.6*(3.6-0.12)</f>
        <v/>
      </c>
      <c r="K123" s="41">
        <f>(0.6*0.6+2*0.7*0.4+0.9*0.4)*(3.6-0.12)</f>
        <v/>
      </c>
      <c r="L123" s="41">
        <f>(0.6*0.6+0.9*0.4)*(3.6-0.12)</f>
        <v/>
      </c>
      <c r="M123" s="41">
        <f>(0.6*0.6+0.7*0.4+0.9*0.4)*(3.6-0.12)</f>
        <v/>
      </c>
      <c r="N123" s="41">
        <f>1*0.45*(0.6-0.12)*19.80</f>
        <v/>
      </c>
      <c r="O123" s="41">
        <f>2*0.45*(0.6-0.12)*18.20</f>
        <v/>
      </c>
      <c r="P123" s="41">
        <f>1*0.45*(0.6-0.12)*15.80</f>
        <v/>
      </c>
      <c r="Q123" s="41">
        <f>1*0.45*(0.6-0.12)*18.20</f>
        <v/>
      </c>
      <c r="R123" s="41">
        <f>1*0.45*(0.6-0.12)*15.80</f>
        <v/>
      </c>
      <c r="S123" s="41">
        <f>137.85*0.3*(0.3-0.12)+6.05*0.3*(0.4-0.12)+(11.71+3.08)*0.2*(0.3-0.12)+35.75*0.25*(0.3-0.12)</f>
        <v/>
      </c>
      <c r="T123" s="41" t="n"/>
      <c r="U123" s="41" t="n"/>
      <c r="V123" s="41">
        <f>541.54*0.12</f>
        <v/>
      </c>
      <c r="W123" s="41" t="n"/>
      <c r="X123" s="41" t="n"/>
      <c r="Y123" s="41" t="n"/>
      <c r="Z123" s="41" t="n"/>
      <c r="AA123" s="41" t="n"/>
      <c r="AB123" s="41" t="n"/>
      <c r="AC123" s="41">
        <f>SQRT(3.3^2+1.8^2)*1.25*0.15+12*0.3*0.15/2*1.25</f>
        <v/>
      </c>
      <c r="AD123" s="41">
        <f>SQRT(3.3^2+1.8^2)*1.25*0.15+12*0.3*0.15/2*1.25</f>
        <v/>
      </c>
      <c r="AE123" s="41">
        <f>1.4*2.89*0.15</f>
        <v/>
      </c>
      <c r="AF123" s="41">
        <f>0.3*0.3*(1.7-0.3+0.55)+0.3*0.3*2.255</f>
        <v/>
      </c>
      <c r="AG123" s="47">
        <f>SUM(B123:AF123)</f>
        <v/>
      </c>
      <c r="AH123" s="21" t="n"/>
      <c r="AI123" s="47">
        <f>AG123*$AK$2</f>
        <v/>
      </c>
      <c r="AJ123" s="48">
        <f>SUM(B123:D123,F123,H123,J123:M123)</f>
        <v/>
      </c>
      <c r="AK123" s="6" t="n"/>
      <c r="AL123" s="25">
        <f>AJ123*$AK$2</f>
        <v/>
      </c>
      <c r="AM123" s="48">
        <f>SUM(E123,G123,I123,N123:AB123)</f>
        <v/>
      </c>
      <c r="AN123" s="6" t="n"/>
      <c r="AO123" s="25">
        <f>AM123*$AK$2</f>
        <v/>
      </c>
      <c r="AP123" s="48">
        <f>SUM(AC123:AF123)</f>
        <v/>
      </c>
      <c r="AQ123" s="6" t="n"/>
      <c r="AR123" s="25">
        <f>AP123*$AK$2</f>
        <v/>
      </c>
    </row>
    <row r="124">
      <c r="A124" s="21" t="inlineStr">
        <is>
          <t>Удельный расход (чистый), кг/м³</t>
        </is>
      </c>
      <c r="AI124" s="49">
        <f>IF(AG123&gt;0,AI117/AG123,0)</f>
        <v/>
      </c>
      <c r="AL124" s="50">
        <f>IF(AJ123&gt;0,AL117/AJ123,0)</f>
        <v/>
      </c>
      <c r="AO124" s="50">
        <f>IF(AM123&gt;0,AO117/AM123,0)</f>
        <v/>
      </c>
      <c r="AR124" s="50">
        <f>IF(AP123&gt;0,AR117/AP123,0)</f>
        <v/>
      </c>
    </row>
    <row r="126">
      <c r="A126" s="4" t="inlineStr">
        <is>
          <t>Прочие материалы, (шт.)</t>
        </is>
      </c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  <c r="AB126" s="4" t="n"/>
      <c r="AC126" s="4" t="n"/>
      <c r="AD126" s="4" t="n"/>
      <c r="AE126" s="4" t="n"/>
      <c r="AF126" s="4" t="n"/>
      <c r="AG126" s="4" t="n"/>
      <c r="AH126" s="4" t="n"/>
      <c r="AI126" s="4" t="n"/>
      <c r="AJ126" s="4" t="n"/>
      <c r="AK126" s="4" t="n"/>
      <c r="AL126" s="4" t="n"/>
      <c r="AM126" s="4" t="n"/>
      <c r="AN126" s="4" t="n"/>
      <c r="AO126" s="4" t="n"/>
      <c r="AP126" s="4" t="n"/>
      <c r="AQ126" s="4" t="n"/>
      <c r="AR126" s="4" t="n"/>
    </row>
    <row r="127">
      <c r="A127" s="6" t="inlineStr">
        <is>
          <t>АШ-1, д14, шт.</t>
        </is>
      </c>
      <c r="B127" s="51" t="n"/>
      <c r="C127" s="51" t="n"/>
      <c r="D127" s="51" t="n"/>
      <c r="E127" s="51" t="n"/>
      <c r="F127" s="51" t="n"/>
      <c r="G127" s="51" t="n"/>
      <c r="H127" s="51" t="n"/>
      <c r="I127" s="51" t="n"/>
      <c r="J127" s="51" t="n"/>
      <c r="K127" s="51" t="n"/>
      <c r="L127" s="51" t="n"/>
      <c r="M127" s="51" t="n"/>
      <c r="N127" s="51" t="n"/>
      <c r="O127" s="51" t="n"/>
      <c r="P127" s="51" t="n"/>
      <c r="Q127" s="51" t="n"/>
      <c r="R127" s="51" t="n"/>
      <c r="S127" s="51" t="n"/>
      <c r="T127" s="51" t="n"/>
      <c r="U127" s="51" t="n"/>
      <c r="V127" s="51" t="n"/>
      <c r="W127" s="51" t="n"/>
      <c r="X127" s="51" t="n"/>
      <c r="Y127" s="51" t="n"/>
      <c r="Z127" s="51" t="n"/>
      <c r="AA127" s="51" t="n"/>
      <c r="AB127" s="51" t="n"/>
      <c r="AC127" s="51" t="n"/>
      <c r="AD127" s="51" t="n"/>
      <c r="AE127" s="51" t="n"/>
      <c r="AF127" s="51" t="n"/>
      <c r="AG127" s="52">
        <f>SUM(B127:AF127)</f>
        <v/>
      </c>
      <c r="AJ127" s="53">
        <f>SUM(B127:D127,F127,H127,J127:M127)</f>
        <v/>
      </c>
      <c r="AM127" s="53">
        <f>SUM(E127,G127,I127,N127:AB127)</f>
        <v/>
      </c>
      <c r="AP127" s="53">
        <f>SUM(AC127:AF127)</f>
        <v/>
      </c>
    </row>
    <row r="128">
      <c r="A128" s="6" t="inlineStr">
        <is>
          <t>АШ-2, д16, шт.</t>
        </is>
      </c>
      <c r="B128" s="51" t="n"/>
      <c r="C128" s="51" t="n"/>
      <c r="D128" s="51" t="n"/>
      <c r="E128" s="51" t="n"/>
      <c r="F128" s="51" t="n"/>
      <c r="G128" s="51" t="n"/>
      <c r="H128" s="51" t="n"/>
      <c r="I128" s="51" t="n"/>
      <c r="J128" s="51" t="n"/>
      <c r="K128" s="51" t="n"/>
      <c r="L128" s="51" t="n"/>
      <c r="M128" s="51" t="n"/>
      <c r="N128" s="51" t="n"/>
      <c r="O128" s="51" t="n"/>
      <c r="P128" s="51" t="n"/>
      <c r="Q128" s="51" t="n"/>
      <c r="R128" s="51" t="n"/>
      <c r="S128" s="51" t="n"/>
      <c r="T128" s="51" t="n"/>
      <c r="U128" s="51" t="n"/>
      <c r="V128" s="51" t="n"/>
      <c r="W128" s="51" t="n"/>
      <c r="X128" s="51" t="n"/>
      <c r="Y128" s="51" t="n"/>
      <c r="Z128" s="51" t="n"/>
      <c r="AA128" s="51" t="n"/>
      <c r="AB128" s="51" t="n"/>
      <c r="AC128" s="51" t="n"/>
      <c r="AD128" s="51" t="n"/>
      <c r="AE128" s="51" t="n"/>
      <c r="AF128" s="51" t="n"/>
      <c r="AG128" s="52">
        <f>SUM(B128:AF128)</f>
        <v/>
      </c>
      <c r="AJ128" s="53">
        <f>SUM(B128:D128,F128,H128,J128:M128)</f>
        <v/>
      </c>
      <c r="AM128" s="53">
        <f>SUM(E128,G128,I128,N128:AB128)</f>
        <v/>
      </c>
      <c r="AP128" s="53">
        <f>SUM(AC128:AF128)</f>
        <v/>
      </c>
    </row>
    <row r="129">
      <c r="A129" s="6" t="inlineStr">
        <is>
          <t>АШ-3, д18, шт.</t>
        </is>
      </c>
      <c r="B129" s="51" t="n"/>
      <c r="C129" s="51" t="n"/>
      <c r="D129" s="51" t="n"/>
      <c r="E129" s="51" t="n"/>
      <c r="F129" s="51" t="n"/>
      <c r="G129" s="51" t="n"/>
      <c r="H129" s="51" t="n"/>
      <c r="I129" s="51" t="n"/>
      <c r="J129" s="51" t="n"/>
      <c r="K129" s="51" t="n"/>
      <c r="L129" s="51" t="n"/>
      <c r="M129" s="51" t="n"/>
      <c r="N129" s="51" t="n"/>
      <c r="O129" s="51" t="n"/>
      <c r="P129" s="51" t="n"/>
      <c r="Q129" s="51" t="n"/>
      <c r="R129" s="51" t="n"/>
      <c r="S129" s="51" t="n"/>
      <c r="T129" s="51" t="n"/>
      <c r="U129" s="51" t="n"/>
      <c r="V129" s="51" t="n"/>
      <c r="W129" s="51" t="n"/>
      <c r="X129" s="51" t="n"/>
      <c r="Y129" s="51" t="n"/>
      <c r="Z129" s="51" t="n"/>
      <c r="AA129" s="51" t="n"/>
      <c r="AB129" s="51" t="n"/>
      <c r="AC129" s="51" t="n"/>
      <c r="AD129" s="51" t="n"/>
      <c r="AE129" s="51" t="n"/>
      <c r="AF129" s="51" t="n"/>
      <c r="AG129" s="52">
        <f>SUM(B129:AF129)</f>
        <v/>
      </c>
      <c r="AJ129" s="53">
        <f>SUM(B129:D129,F129,H129,J129:M129)</f>
        <v/>
      </c>
      <c r="AM129" s="53">
        <f>SUM(E129,G129,I129,N129:AB129)</f>
        <v/>
      </c>
      <c r="AP129" s="53">
        <f>SUM(AC129:AF129)</f>
        <v/>
      </c>
    </row>
    <row r="130">
      <c r="A130" s="6" t="inlineStr">
        <is>
          <t>АШ-4, д20, шт.</t>
        </is>
      </c>
      <c r="B130" s="51" t="n"/>
      <c r="C130" s="51" t="n"/>
      <c r="D130" s="51" t="n"/>
      <c r="E130" s="51" t="n"/>
      <c r="F130" s="51" t="n"/>
      <c r="G130" s="51" t="n"/>
      <c r="H130" s="51" t="n"/>
      <c r="I130" s="51" t="n"/>
      <c r="J130" s="51" t="n"/>
      <c r="K130" s="51" t="n"/>
      <c r="L130" s="51" t="n"/>
      <c r="M130" s="51" t="n"/>
      <c r="N130" s="51" t="n"/>
      <c r="O130" s="51" t="n"/>
      <c r="P130" s="51" t="n"/>
      <c r="Q130" s="51" t="n"/>
      <c r="R130" s="51" t="n"/>
      <c r="S130" s="51" t="n"/>
      <c r="T130" s="51" t="n"/>
      <c r="U130" s="51" t="n"/>
      <c r="V130" s="51" t="n"/>
      <c r="W130" s="51" t="n"/>
      <c r="X130" s="51" t="n"/>
      <c r="Y130" s="51" t="n"/>
      <c r="Z130" s="51" t="n"/>
      <c r="AA130" s="51" t="n"/>
      <c r="AB130" s="51" t="n"/>
      <c r="AC130" s="51" t="n"/>
      <c r="AD130" s="51" t="n"/>
      <c r="AE130" s="51" t="n"/>
      <c r="AF130" s="51" t="n"/>
      <c r="AG130" s="52">
        <f>SUM(B130:AF130)</f>
        <v/>
      </c>
      <c r="AJ130" s="53">
        <f>SUM(B130:D130,F130,H130,J130:M130)</f>
        <v/>
      </c>
      <c r="AM130" s="53">
        <f>SUM(E130,G130,I130,N130:AB130)</f>
        <v/>
      </c>
      <c r="AP130" s="53">
        <f>SUM(AC130:AF130)</f>
        <v/>
      </c>
    </row>
    <row r="131">
      <c r="A131" s="6" t="inlineStr">
        <is>
          <t>АШ-5, д22, шт.</t>
        </is>
      </c>
      <c r="B131" s="51" t="n"/>
      <c r="C131" s="51" t="n"/>
      <c r="D131" s="51" t="n"/>
      <c r="E131" s="51" t="n"/>
      <c r="F131" s="51" t="n"/>
      <c r="G131" s="51" t="n"/>
      <c r="H131" s="51" t="n"/>
      <c r="I131" s="51" t="n"/>
      <c r="J131" s="51" t="n"/>
      <c r="K131" s="51" t="n"/>
      <c r="L131" s="51" t="n"/>
      <c r="M131" s="51" t="n"/>
      <c r="N131" s="51" t="n">
        <v>2</v>
      </c>
      <c r="O131" s="51" t="n"/>
      <c r="P131" s="51" t="n"/>
      <c r="Q131" s="51" t="n"/>
      <c r="R131" s="51" t="n"/>
      <c r="S131" s="51" t="n"/>
      <c r="T131" s="51" t="n"/>
      <c r="U131" s="51" t="n"/>
      <c r="V131" s="51" t="n"/>
      <c r="W131" s="51" t="n"/>
      <c r="X131" s="51" t="n"/>
      <c r="Y131" s="51" t="n"/>
      <c r="Z131" s="51" t="n"/>
      <c r="AA131" s="51" t="n"/>
      <c r="AB131" s="51" t="n"/>
      <c r="AC131" s="51" t="n"/>
      <c r="AD131" s="51" t="n"/>
      <c r="AE131" s="51" t="n"/>
      <c r="AF131" s="51" t="n"/>
      <c r="AG131" s="52">
        <f>SUM(B131:AF131)</f>
        <v/>
      </c>
      <c r="AJ131" s="53">
        <f>SUM(B131:D131,F131,H131,J131:M131)</f>
        <v/>
      </c>
      <c r="AM131" s="53">
        <f>SUM(E131,G131,I131,N131:AB131)</f>
        <v/>
      </c>
      <c r="AP131" s="53">
        <f>SUM(AC131:AF131)</f>
        <v/>
      </c>
    </row>
    <row r="132">
      <c r="A132" s="6" t="inlineStr">
        <is>
          <t>АШ-6, д25, шт.</t>
        </is>
      </c>
      <c r="B132" s="51" t="n"/>
      <c r="C132" s="51" t="n"/>
      <c r="D132" s="51" t="n"/>
      <c r="E132" s="51" t="n"/>
      <c r="F132" s="51" t="n"/>
      <c r="G132" s="51" t="n">
        <v>4</v>
      </c>
      <c r="H132" s="51" t="n"/>
      <c r="I132" s="51" t="n">
        <v>2</v>
      </c>
      <c r="J132" s="51" t="n"/>
      <c r="K132" s="51" t="n"/>
      <c r="L132" s="51" t="n"/>
      <c r="M132" s="51" t="n"/>
      <c r="N132" s="51" t="n">
        <v>4</v>
      </c>
      <c r="O132" s="51" t="n">
        <v>4</v>
      </c>
      <c r="P132" s="51" t="n"/>
      <c r="Q132" s="51" t="n"/>
      <c r="R132" s="51" t="n"/>
      <c r="S132" s="51" t="n"/>
      <c r="T132" s="51" t="n"/>
      <c r="U132" s="51" t="n"/>
      <c r="V132" s="51" t="n"/>
      <c r="W132" s="51" t="n"/>
      <c r="X132" s="51" t="n"/>
      <c r="Y132" s="51" t="n"/>
      <c r="Z132" s="51" t="n"/>
      <c r="AA132" s="51" t="n"/>
      <c r="AB132" s="51" t="n"/>
      <c r="AC132" s="51" t="n"/>
      <c r="AD132" s="51" t="n"/>
      <c r="AE132" s="51" t="n"/>
      <c r="AF132" s="51" t="n">
        <v>16</v>
      </c>
      <c r="AG132" s="52">
        <f>SUM(B132:AF132)</f>
        <v/>
      </c>
      <c r="AJ132" s="53">
        <f>SUM(B132:D132,F132,H132,J132:M132)</f>
        <v/>
      </c>
      <c r="AM132" s="53">
        <f>SUM(E132,G132,I132,N132:AB132)</f>
        <v/>
      </c>
      <c r="AP132" s="53">
        <f>SUM(AC132:AF132)</f>
        <v/>
      </c>
    </row>
    <row r="133">
      <c r="A133" s="6" t="inlineStr">
        <is>
          <t>АШ-7, д28, шт.</t>
        </is>
      </c>
      <c r="B133" s="51" t="n"/>
      <c r="C133" s="51" t="n"/>
      <c r="D133" s="51" t="n"/>
      <c r="E133" s="51" t="n">
        <v>12</v>
      </c>
      <c r="F133" s="51" t="n"/>
      <c r="G133" s="51" t="n">
        <v>8</v>
      </c>
      <c r="H133" s="51" t="n"/>
      <c r="I133" s="51" t="n">
        <v>10</v>
      </c>
      <c r="J133" s="51" t="n"/>
      <c r="K133" s="51" t="n"/>
      <c r="L133" s="51" t="n"/>
      <c r="M133" s="51" t="n"/>
      <c r="N133" s="51" t="n">
        <v>8</v>
      </c>
      <c r="O133" s="51" t="n">
        <v>20</v>
      </c>
      <c r="P133" s="51" t="n">
        <v>8</v>
      </c>
      <c r="Q133" s="51" t="n">
        <v>10</v>
      </c>
      <c r="R133" s="51" t="n">
        <v>8</v>
      </c>
      <c r="S133" s="51" t="n"/>
      <c r="T133" s="51" t="n"/>
      <c r="U133" s="51" t="n"/>
      <c r="V133" s="51" t="n"/>
      <c r="W133" s="51" t="n"/>
      <c r="X133" s="51" t="n"/>
      <c r="Y133" s="51" t="n"/>
      <c r="Z133" s="51" t="n"/>
      <c r="AA133" s="51" t="n"/>
      <c r="AB133" s="51" t="n"/>
      <c r="AC133" s="51" t="n"/>
      <c r="AD133" s="51" t="n"/>
      <c r="AE133" s="51" t="n"/>
      <c r="AF133" s="51" t="n"/>
      <c r="AG133" s="52">
        <f>SUM(B133:AF133)</f>
        <v/>
      </c>
      <c r="AJ133" s="53">
        <f>SUM(B133:D133,F133,H133,J133:M133)</f>
        <v/>
      </c>
      <c r="AM133" s="53">
        <f>SUM(E133,G133,I133,N133:AB133)</f>
        <v/>
      </c>
      <c r="AP133" s="53">
        <f>SUM(AC133:AF133)</f>
        <v/>
      </c>
    </row>
    <row r="134">
      <c r="A134" s="6" t="inlineStr">
        <is>
          <t>АШ-8, д32, шт.</t>
        </is>
      </c>
      <c r="B134" s="51" t="n"/>
      <c r="C134" s="51" t="n"/>
      <c r="D134" s="51" t="n"/>
      <c r="E134" s="51" t="n">
        <v>2</v>
      </c>
      <c r="F134" s="51" t="n"/>
      <c r="G134" s="51" t="n"/>
      <c r="H134" s="51" t="n"/>
      <c r="I134" s="51" t="n"/>
      <c r="J134" s="51" t="n"/>
      <c r="K134" s="51" t="n"/>
      <c r="L134" s="51" t="n"/>
      <c r="M134" s="51" t="n"/>
      <c r="N134" s="51" t="n"/>
      <c r="O134" s="51" t="n"/>
      <c r="P134" s="51" t="n">
        <v>2</v>
      </c>
      <c r="Q134" s="51" t="n">
        <v>2</v>
      </c>
      <c r="R134" s="51" t="n">
        <v>2</v>
      </c>
      <c r="S134" s="51" t="n"/>
      <c r="T134" s="51" t="n"/>
      <c r="U134" s="51" t="n"/>
      <c r="V134" s="51" t="n"/>
      <c r="W134" s="51" t="n"/>
      <c r="X134" s="51" t="n"/>
      <c r="Y134" s="51" t="n"/>
      <c r="Z134" s="51" t="n"/>
      <c r="AA134" s="51" t="n"/>
      <c r="AB134" s="51" t="n"/>
      <c r="AC134" s="51" t="n"/>
      <c r="AD134" s="51" t="n"/>
      <c r="AE134" s="51" t="n"/>
      <c r="AF134" s="51" t="n"/>
      <c r="AG134" s="52">
        <f>SUM(B134:AF134)</f>
        <v/>
      </c>
      <c r="AJ134" s="53">
        <f>SUM(B134:D134,F134,H134,J134:M134)</f>
        <v/>
      </c>
      <c r="AM134" s="53">
        <f>SUM(E134,G134,I134,N134:AB134)</f>
        <v/>
      </c>
      <c r="AP134" s="53">
        <f>SUM(AC134:AF134)</f>
        <v/>
      </c>
    </row>
    <row r="135">
      <c r="A135" s="6" t="inlineStr">
        <is>
          <t>ВН32, шт. (стыки ванной сваркой)</t>
        </is>
      </c>
      <c r="B135" s="51" t="n"/>
      <c r="C135" s="51" t="n"/>
      <c r="D135" s="51" t="n"/>
      <c r="E135" s="51" t="n"/>
      <c r="F135" s="51" t="n"/>
      <c r="G135" s="51" t="n"/>
      <c r="H135" s="51" t="n"/>
      <c r="I135" s="51" t="n"/>
      <c r="J135" s="51" t="n"/>
      <c r="K135" s="51" t="n"/>
      <c r="L135" s="51" t="n"/>
      <c r="M135" s="51" t="n"/>
      <c r="N135" s="51" t="n"/>
      <c r="O135" s="51" t="n"/>
      <c r="P135" s="51" t="n"/>
      <c r="Q135" s="51" t="n"/>
      <c r="R135" s="51" t="n"/>
      <c r="S135" s="51" t="n"/>
      <c r="T135" s="51" t="n"/>
      <c r="U135" s="51" t="n"/>
      <c r="V135" s="51" t="n"/>
      <c r="W135" s="51" t="n"/>
      <c r="X135" s="51" t="n"/>
      <c r="Y135" s="51" t="n"/>
      <c r="Z135" s="51" t="n"/>
      <c r="AA135" s="51" t="n"/>
      <c r="AB135" s="51" t="n"/>
      <c r="AC135" s="51" t="n"/>
      <c r="AD135" s="51" t="n"/>
      <c r="AE135" s="51" t="n"/>
      <c r="AF135" s="51" t="n"/>
      <c r="AG135" s="52">
        <f>SUM(B135:AF135)</f>
        <v/>
      </c>
      <c r="AJ135" s="53">
        <f>SUM(B135:D135,F135,H135,J135:M135)</f>
        <v/>
      </c>
      <c r="AM135" s="53">
        <f>SUM(E135,G135,I135,N135:AB135)</f>
        <v/>
      </c>
      <c r="AP135" s="53">
        <f>SUM(AC135:AF135)</f>
        <v/>
      </c>
    </row>
    <row r="136">
      <c r="A136" s="6" t="inlineStr">
        <is>
          <t>ВН28, шт. (стыки ванной сваркой)</t>
        </is>
      </c>
      <c r="B136" s="51" t="n">
        <v>4</v>
      </c>
      <c r="C136" s="51" t="n">
        <v>4</v>
      </c>
      <c r="D136" s="51" t="n">
        <v>12</v>
      </c>
      <c r="E136" s="51" t="n">
        <v>8</v>
      </c>
      <c r="F136" s="51" t="n">
        <v>20</v>
      </c>
      <c r="G136" s="51" t="n">
        <v>8</v>
      </c>
      <c r="H136" s="51" t="n">
        <v>20</v>
      </c>
      <c r="I136" s="51" t="n">
        <v>8</v>
      </c>
      <c r="J136" s="51" t="n">
        <v>8</v>
      </c>
      <c r="K136" s="51" t="n">
        <v>4</v>
      </c>
      <c r="L136" s="51" t="n">
        <v>4</v>
      </c>
      <c r="M136" s="51" t="n">
        <v>4</v>
      </c>
      <c r="N136" s="51" t="n">
        <v>8</v>
      </c>
      <c r="O136" s="51" t="n">
        <v>8</v>
      </c>
      <c r="P136" s="51" t="n">
        <v>4</v>
      </c>
      <c r="Q136" s="51" t="n">
        <v>4</v>
      </c>
      <c r="R136" s="51" t="n">
        <v>4</v>
      </c>
      <c r="S136" s="51" t="n"/>
      <c r="T136" s="51" t="n"/>
      <c r="U136" s="51" t="n"/>
      <c r="V136" s="51" t="n"/>
      <c r="W136" s="51" t="n"/>
      <c r="X136" s="51" t="n"/>
      <c r="Y136" s="51" t="n"/>
      <c r="Z136" s="51" t="n"/>
      <c r="AA136" s="51" t="n"/>
      <c r="AB136" s="51" t="n"/>
      <c r="AC136" s="51" t="n"/>
      <c r="AD136" s="51" t="n"/>
      <c r="AE136" s="51" t="n"/>
      <c r="AF136" s="51" t="n"/>
      <c r="AG136" s="52">
        <f>SUM(B136:AF136)</f>
        <v/>
      </c>
      <c r="AJ136" s="53">
        <f>SUM(B136:D136,F136,H136,J136:M136)</f>
        <v/>
      </c>
      <c r="AM136" s="53">
        <f>SUM(E136,G136,I136,N136:AB136)</f>
        <v/>
      </c>
      <c r="AP136" s="53">
        <f>SUM(AC136:AF136)</f>
        <v/>
      </c>
    </row>
    <row r="137">
      <c r="A137" s="6" t="inlineStr">
        <is>
          <t>ВН25, шт. (стыки ванной сваркой)</t>
        </is>
      </c>
      <c r="B137" s="51" t="n">
        <v>6</v>
      </c>
      <c r="C137" s="51" t="n"/>
      <c r="D137" s="51" t="n"/>
      <c r="E137" s="51" t="n"/>
      <c r="F137" s="51" t="n"/>
      <c r="G137" s="51" t="n"/>
      <c r="H137" s="51" t="n"/>
      <c r="I137" s="51" t="n"/>
      <c r="J137" s="51" t="n"/>
      <c r="K137" s="51" t="n">
        <v>18</v>
      </c>
      <c r="L137" s="51" t="n">
        <v>6</v>
      </c>
      <c r="M137" s="51" t="n"/>
      <c r="N137" s="51" t="n"/>
      <c r="O137" s="51" t="n"/>
      <c r="P137" s="51" t="n"/>
      <c r="Q137" s="51" t="n"/>
      <c r="R137" s="51" t="n"/>
      <c r="S137" s="51" t="n">
        <v>40</v>
      </c>
      <c r="T137" s="51" t="n"/>
      <c r="U137" s="51" t="n"/>
      <c r="V137" s="51" t="n"/>
      <c r="W137" s="51" t="n"/>
      <c r="X137" s="51" t="n"/>
      <c r="Y137" s="51" t="n"/>
      <c r="Z137" s="51" t="n"/>
      <c r="AA137" s="51" t="n"/>
      <c r="AB137" s="51" t="n"/>
      <c r="AC137" s="51" t="n"/>
      <c r="AD137" s="51" t="n"/>
      <c r="AE137" s="51" t="n"/>
      <c r="AF137" s="51" t="n"/>
      <c r="AG137" s="52">
        <f>SUM(B137:AF137)</f>
        <v/>
      </c>
      <c r="AJ137" s="53">
        <f>SUM(B137:D137,F137,H137,J137:M137)</f>
        <v/>
      </c>
      <c r="AM137" s="53">
        <f>SUM(E137,G137,I137,N137:AB137)</f>
        <v/>
      </c>
      <c r="AP137" s="53">
        <f>SUM(AC137:AF137)</f>
        <v/>
      </c>
    </row>
    <row r="138">
      <c r="A138" s="6" t="inlineStr">
        <is>
          <t>ВН22, шт. (стыки ванной сваркой)</t>
        </is>
      </c>
      <c r="B138" s="51" t="n">
        <v>12</v>
      </c>
      <c r="C138" s="51" t="n">
        <v>12</v>
      </c>
      <c r="D138" s="51" t="n"/>
      <c r="E138" s="51" t="n"/>
      <c r="F138" s="51" t="n"/>
      <c r="G138" s="51" t="n"/>
      <c r="H138" s="51" t="n"/>
      <c r="I138" s="51" t="n"/>
      <c r="J138" s="51" t="n"/>
      <c r="K138" s="51" t="n"/>
      <c r="L138" s="51" t="n"/>
      <c r="M138" s="51" t="n">
        <v>12</v>
      </c>
      <c r="N138" s="51" t="n"/>
      <c r="O138" s="51" t="n"/>
      <c r="P138" s="51" t="n"/>
      <c r="Q138" s="51" t="n"/>
      <c r="R138" s="51" t="n"/>
      <c r="S138" s="51" t="n"/>
      <c r="T138" s="51" t="n"/>
      <c r="U138" s="51" t="n"/>
      <c r="V138" s="51" t="n"/>
      <c r="W138" s="51" t="n"/>
      <c r="X138" s="51" t="n"/>
      <c r="Y138" s="51" t="n"/>
      <c r="Z138" s="51" t="n"/>
      <c r="AA138" s="51" t="n"/>
      <c r="AB138" s="51" t="n"/>
      <c r="AC138" s="51" t="n"/>
      <c r="AD138" s="51" t="n"/>
      <c r="AE138" s="51" t="n"/>
      <c r="AF138" s="51" t="n"/>
      <c r="AG138" s="52">
        <f>SUM(B138:AF138)</f>
        <v/>
      </c>
      <c r="AJ138" s="53">
        <f>SUM(B138:D138,F138,H138,J138:M138)</f>
        <v/>
      </c>
      <c r="AM138" s="53">
        <f>SUM(E138,G138,I138,N138:AB138)</f>
        <v/>
      </c>
      <c r="AP138" s="53">
        <f>SUM(AC138:AF138)</f>
        <v/>
      </c>
    </row>
    <row r="139">
      <c r="A139" s="6" t="inlineStr">
        <is>
          <t>ВН20, шт. (стыки ванной сваркой)</t>
        </is>
      </c>
      <c r="B139" s="51" t="n">
        <v>8</v>
      </c>
      <c r="C139" s="51" t="n">
        <v>8</v>
      </c>
      <c r="D139" s="51" t="n">
        <v>24</v>
      </c>
      <c r="E139" s="51" t="n"/>
      <c r="F139" s="51" t="n">
        <v>40</v>
      </c>
      <c r="G139" s="51" t="n"/>
      <c r="H139" s="51" t="n">
        <v>40</v>
      </c>
      <c r="I139" s="51" t="n"/>
      <c r="J139" s="51" t="n">
        <v>16</v>
      </c>
      <c r="K139" s="51" t="n">
        <v>8</v>
      </c>
      <c r="L139" s="51" t="n">
        <v>8</v>
      </c>
      <c r="M139" s="51" t="n">
        <v>8</v>
      </c>
      <c r="N139" s="51" t="n"/>
      <c r="O139" s="51" t="n"/>
      <c r="P139" s="51" t="n"/>
      <c r="Q139" s="51" t="n"/>
      <c r="R139" s="51" t="n"/>
      <c r="S139" s="51" t="n"/>
      <c r="T139" s="51" t="n"/>
      <c r="U139" s="51" t="n"/>
      <c r="V139" s="51" t="n"/>
      <c r="W139" s="51" t="n"/>
      <c r="X139" s="51" t="n"/>
      <c r="Y139" s="51" t="n"/>
      <c r="Z139" s="51" t="n"/>
      <c r="AA139" s="51" t="n"/>
      <c r="AB139" s="51" t="n"/>
      <c r="AC139" s="51" t="n"/>
      <c r="AD139" s="51" t="n"/>
      <c r="AE139" s="51" t="n"/>
      <c r="AF139" s="51" t="n"/>
      <c r="AG139" s="52">
        <f>SUM(B139:AF139)</f>
        <v/>
      </c>
      <c r="AJ139" s="53">
        <f>SUM(B139:D139,F139,H139,J139:M139)</f>
        <v/>
      </c>
      <c r="AM139" s="53">
        <f>SUM(E139,G139,I139,N139:AB139)</f>
        <v/>
      </c>
      <c r="AP139" s="53">
        <f>SUM(AC139:AF139)</f>
        <v/>
      </c>
    </row>
    <row r="142">
      <c r="A142" s="28" t="inlineStr">
        <is>
          <t>Примечания:</t>
        </is>
      </c>
    </row>
    <row r="143">
      <c r="A143" s="29" t="inlineStr">
        <is>
          <t>1. Порядок колонок — как в вашем шаблоне «Лист1»: ось А (Дм-1, Дм-2, колонны, ригель) → ось Б → ось В → ось Г (колонны, Дм-3, Дм-4, Дм-5, ригель) → ригели по цифровым осям → балки → перекрытие → С-1 → лестница.</t>
        </is>
      </c>
    </row>
    <row r="144">
      <c r="A144" s="29" t="inlineStr">
        <is>
          <t>2. Добавлены колонки: «Край» плиты (2Ø14 сеч.6-6 + пешки), «С-1» (сетки-гребёнки) и «Площадка» лестницы — в шаблоне для них места не было.</t>
        </is>
      </c>
    </row>
    <row r="145">
      <c r="A145" s="29" t="inlineStr">
        <is>
          <t>3. Ригель «1/5» — две рамы (оси 1 и 5, лист АС-24) — ×2. Колонны: К 1-1 / К 2-2 (кол-во в скобках) — без колонн в составе Дм.</t>
        </is>
      </c>
    </row>
    <row r="146">
      <c r="A146" s="29" t="inlineStr">
        <is>
          <t>4. Ванная сварка: вертикали Дм и колонн Ø≥20 — 1 стык на стержень на этаж; продольные Ø28 ригелей и Ø25 балок &gt; 11,7 м — стыки прутков.</t>
        </is>
      </c>
    </row>
    <row r="147">
      <c r="A147" s="29" t="inlineStr">
        <is>
          <t>5. Отверстия: отдельного армирования нет — проёмы обрамлены балками 2-2, 4-4, 5-5 (в «Балки»).</t>
        </is>
      </c>
    </row>
  </sheetData>
  <mergeCells count="25">
    <mergeCell ref="B4:R4"/>
    <mergeCell ref="B50:R50"/>
    <mergeCell ref="AP50:AR50"/>
    <mergeCell ref="B96:R96"/>
    <mergeCell ref="A1:AF1"/>
    <mergeCell ref="Y5:Z5"/>
    <mergeCell ref="AM4:AO4"/>
    <mergeCell ref="Y51:Z51"/>
    <mergeCell ref="AC96:AF96"/>
    <mergeCell ref="AJ4:AL4"/>
    <mergeCell ref="AM50:AO50"/>
    <mergeCell ref="V50:AA50"/>
    <mergeCell ref="S4:U4"/>
    <mergeCell ref="S50:U50"/>
    <mergeCell ref="AP4:AR4"/>
    <mergeCell ref="AJ96:AL96"/>
    <mergeCell ref="AP96:AR96"/>
    <mergeCell ref="AJ50:AL50"/>
    <mergeCell ref="AC4:AF4"/>
    <mergeCell ref="S96:U96"/>
    <mergeCell ref="AM96:AO96"/>
    <mergeCell ref="V4:AA4"/>
    <mergeCell ref="Y97:Z97"/>
    <mergeCell ref="V96:AA96"/>
    <mergeCell ref="AC50:AF50"/>
  </mergeCell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47"/>
  <sheetViews>
    <sheetView zoomScale="9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6" customWidth="1" min="5" max="5"/>
    <col width="20" customWidth="1" min="6" max="6"/>
    <col width="14" customWidth="1" min="7" max="7"/>
    <col width="14" customWidth="1" min="8" max="8"/>
    <col width="10" customWidth="1" min="9" max="9"/>
    <col width="90" customWidth="1" min="10" max="10"/>
  </cols>
  <sheetData>
    <row r="1">
      <c r="A1" s="54" t="inlineStr">
        <is>
          <t>Сверка с расчётом коллеги ПТО — 1 этаж, Блок 14 (по 2 этажу данных коллеги нет)</t>
        </is>
      </c>
    </row>
    <row r="2">
      <c r="A2" s="28" t="inlineStr">
        <is>
          <t>К(зап) в таблице коллеги (предположение, как в образце 1,07):</t>
        </is>
      </c>
      <c r="F2" s="55" t="n">
        <v>1.07</v>
      </c>
    </row>
    <row r="3">
      <c r="A3" s="29" t="inlineStr">
        <is>
          <t>Данные коллеги — синие (скриншот, колонки «1 этаж: вертикалка / перекрытие»); мои — формулы с листа «потребность» (1 этаж) × К(зап).</t>
        </is>
      </c>
    </row>
    <row r="5" ht="60" customHeight="1">
      <c r="A5" s="5" t="inlineStr">
        <is>
          <t>Диаметр</t>
        </is>
      </c>
      <c r="B5" s="5" t="inlineStr">
        <is>
          <t>Коллега: вертикалка, кг</t>
        </is>
      </c>
      <c r="C5" s="5" t="inlineStr">
        <is>
          <t>Коллега: перекрытие, кг</t>
        </is>
      </c>
      <c r="D5" s="5" t="inlineStr">
        <is>
          <t>Коллега: всего, кг</t>
        </is>
      </c>
      <c r="E5" s="5" t="inlineStr">
        <is>
          <t>Мой ×К: вертикалка (колонны, Дм), кг</t>
        </is>
      </c>
      <c r="F5" s="5" t="inlineStr">
        <is>
          <t>Мой ×К: перекрытие (плита, балки, ригели, ЛВ-1, С-1), кг</t>
        </is>
      </c>
      <c r="G5" s="5" t="inlineStr">
        <is>
          <t>Мой ×К: всего, кг</t>
        </is>
      </c>
      <c r="H5" s="5" t="inlineStr">
        <is>
          <t>Разница (коллега − мой), кг</t>
        </is>
      </c>
      <c r="I5" s="5" t="inlineStr">
        <is>
          <t>Разница, %</t>
        </is>
      </c>
      <c r="J5" s="5" t="inlineStr">
        <is>
          <t>Вероятная причина / что сверить</t>
        </is>
      </c>
    </row>
    <row r="6">
      <c r="A6" s="6" t="inlineStr">
        <is>
          <t>Диаметр 32 А500С</t>
        </is>
      </c>
      <c r="B6" s="56" t="n">
        <v>2066.59</v>
      </c>
      <c r="C6" s="56" t="n">
        <v>691.12</v>
      </c>
      <c r="D6" s="57">
        <f>B6+C6</f>
        <v/>
      </c>
      <c r="E6" s="58">
        <f>потребность!C5*$F$2</f>
        <v/>
      </c>
      <c r="F6" s="58">
        <f>(потребность!D5+потребность!E5)*$F$2</f>
        <v/>
      </c>
      <c r="G6" s="57">
        <f>E6+F6</f>
        <v/>
      </c>
      <c r="H6" s="59">
        <f>D6-G6</f>
        <v/>
      </c>
      <c r="I6" s="60">
        <f>IF(G6&gt;0,H6/G6,0)</f>
        <v/>
      </c>
      <c r="J6" s="21" t="inlineStr"/>
    </row>
    <row r="7">
      <c r="A7" s="6" t="inlineStr">
        <is>
          <t>Диаметр 28 А500С</t>
        </is>
      </c>
      <c r="B7" s="56" t="n">
        <v>2699.82</v>
      </c>
      <c r="C7" s="56" t="n">
        <v>5151.56</v>
      </c>
      <c r="D7" s="57">
        <f>B7+C7</f>
        <v/>
      </c>
      <c r="E7" s="58">
        <f>потребность!C6*$F$2</f>
        <v/>
      </c>
      <c r="F7" s="58">
        <f>(потребность!D6+потребность!E6)*$F$2</f>
        <v/>
      </c>
      <c r="G7" s="57">
        <f>E7+F7</f>
        <v/>
      </c>
      <c r="H7" s="59">
        <f>D7-G7</f>
        <v/>
      </c>
      <c r="I7" s="60">
        <f>IF(G7&gt;0,H7/G7,0)</f>
        <v/>
      </c>
      <c r="J7" s="21" t="inlineStr">
        <is>
          <t>У коллеги в «вертикалке» стержни сечения 2-2 (2 этаж) в «переходе» — см. сверку по элементам ниже.</t>
        </is>
      </c>
    </row>
    <row r="8">
      <c r="A8" s="6" t="inlineStr">
        <is>
          <t>Диаметр 25 А500С</t>
        </is>
      </c>
      <c r="B8" s="56" t="n">
        <v>1611.55</v>
      </c>
      <c r="C8" s="56" t="n">
        <v>3251.93</v>
      </c>
      <c r="D8" s="57">
        <f>B8+C8</f>
        <v/>
      </c>
      <c r="E8" s="58">
        <f>потребность!C7*$F$2</f>
        <v/>
      </c>
      <c r="F8" s="58">
        <f>(потребность!D7+потребность!E7)*$F$2</f>
        <v/>
      </c>
      <c r="G8" s="57">
        <f>E8+F8</f>
        <v/>
      </c>
      <c r="H8" s="59">
        <f>D8-G8</f>
        <v/>
      </c>
      <c r="I8" s="60">
        <f>IF(G8&gt;0,H8/G8,0)</f>
        <v/>
      </c>
      <c r="J8" s="21" t="inlineStr"/>
    </row>
    <row r="9">
      <c r="A9" s="6" t="inlineStr">
        <is>
          <t>Диаметр 22 А500С</t>
        </is>
      </c>
      <c r="B9" s="56" t="n">
        <v>422.31</v>
      </c>
      <c r="C9" s="56" t="n">
        <v>668.01</v>
      </c>
      <c r="D9" s="57">
        <f>B9+C9</f>
        <v/>
      </c>
      <c r="E9" s="58">
        <f>потребность!C8*$F$2</f>
        <v/>
      </c>
      <c r="F9" s="58">
        <f>(потребность!D8+потребность!E8)*$F$2</f>
        <v/>
      </c>
      <c r="G9" s="57">
        <f>E9+F9</f>
        <v/>
      </c>
      <c r="H9" s="59">
        <f>D9-G9</f>
        <v/>
      </c>
      <c r="I9" s="60">
        <f>IF(G9&gt;0,H9/G9,0)</f>
        <v/>
      </c>
      <c r="J9" s="21" t="inlineStr"/>
    </row>
    <row r="10">
      <c r="A10" s="6" t="inlineStr">
        <is>
          <t>Диаметр 20 А500С</t>
        </is>
      </c>
      <c r="B10" s="56" t="n">
        <v>2230.61</v>
      </c>
      <c r="C10" s="56" t="n">
        <v>188.17</v>
      </c>
      <c r="D10" s="57">
        <f>B10+C10</f>
        <v/>
      </c>
      <c r="E10" s="58">
        <f>потребность!C9*$F$2</f>
        <v/>
      </c>
      <c r="F10" s="58">
        <f>(потребность!D9+потребность!E9)*$F$2</f>
        <v/>
      </c>
      <c r="G10" s="57">
        <f>E10+F10</f>
        <v/>
      </c>
      <c r="H10" s="59">
        <f>D10-G10</f>
        <v/>
      </c>
      <c r="I10" s="60">
        <f>IF(G10&gt;0,H10/G10,0)</f>
        <v/>
      </c>
      <c r="J10" s="21" t="inlineStr"/>
    </row>
    <row r="11">
      <c r="A11" s="6" t="inlineStr">
        <is>
          <t>Диаметр 18 А500С</t>
        </is>
      </c>
      <c r="B11" s="56" t="n">
        <v>896.23</v>
      </c>
      <c r="C11" s="56" t="n">
        <v>912.5</v>
      </c>
      <c r="D11" s="57">
        <f>B11+C11</f>
        <v/>
      </c>
      <c r="E11" s="58">
        <f>потребность!C10*$F$2</f>
        <v/>
      </c>
      <c r="F11" s="58">
        <f>(потребность!D10+потребность!E10)*$F$2</f>
        <v/>
      </c>
      <c r="G11" s="57">
        <f>E11+F11</f>
        <v/>
      </c>
      <c r="H11" s="59">
        <f>D11-G11</f>
        <v/>
      </c>
      <c r="I11" s="60">
        <f>IF(G11&gt;0,H11/G11,0)</f>
        <v/>
      </c>
      <c r="J11" s="21" t="inlineStr">
        <is>
          <t>Лестница ЛВ-1 (Ø18) у меня в «перекрытии».</t>
        </is>
      </c>
    </row>
    <row r="12">
      <c r="A12" s="6" t="inlineStr">
        <is>
          <t>Диаметр 16 А500С</t>
        </is>
      </c>
      <c r="B12" s="56" t="n">
        <v>148.77</v>
      </c>
      <c r="C12" s="56" t="n">
        <v>932.2</v>
      </c>
      <c r="D12" s="57">
        <f>B12+C12</f>
        <v/>
      </c>
      <c r="E12" s="58">
        <f>потребность!C11*$F$2</f>
        <v/>
      </c>
      <c r="F12" s="58">
        <f>(потребность!D11+потребность!E11)*$F$2</f>
        <v/>
      </c>
      <c r="G12" s="57">
        <f>E12+F12</f>
        <v/>
      </c>
      <c r="H12" s="59">
        <f>D12-G12</f>
        <v/>
      </c>
      <c r="I12" s="60">
        <f>IF(G12&gt;0,H12/G12,0)</f>
        <v/>
      </c>
      <c r="J12" s="21" t="inlineStr">
        <is>
          <t>Горизонтали Дм — у меня обе стены, у коллеги одна.</t>
        </is>
      </c>
    </row>
    <row r="13">
      <c r="A13" s="6" t="inlineStr">
        <is>
          <t>Диаметр 14 А500С</t>
        </is>
      </c>
      <c r="B13" s="56" t="n">
        <v>41.09</v>
      </c>
      <c r="C13" s="56" t="n">
        <v>87.56999999999999</v>
      </c>
      <c r="D13" s="57">
        <f>B13+C13</f>
        <v/>
      </c>
      <c r="E13" s="58">
        <f>потребность!C12*$F$2</f>
        <v/>
      </c>
      <c r="F13" s="58">
        <f>(потребность!D12+потребность!E12)*$F$2</f>
        <v/>
      </c>
      <c r="G13" s="57">
        <f>E13+F13</f>
        <v/>
      </c>
      <c r="H13" s="59">
        <f>D13-G13</f>
        <v/>
      </c>
      <c r="I13" s="60">
        <f>IF(G13&gt;0,H13/G13,0)</f>
        <v/>
      </c>
      <c r="J13" s="21" t="inlineStr"/>
    </row>
    <row r="14">
      <c r="A14" s="6" t="inlineStr">
        <is>
          <t>Диаметр 12 А500С</t>
        </is>
      </c>
      <c r="B14" s="56" t="n">
        <v>0</v>
      </c>
      <c r="C14" s="56" t="n">
        <v>208.66</v>
      </c>
      <c r="D14" s="57">
        <f>B14+C14</f>
        <v/>
      </c>
      <c r="E14" s="58">
        <f>потребность!C13*$F$2</f>
        <v/>
      </c>
      <c r="F14" s="58">
        <f>(потребность!D13+потребность!E13)*$F$2</f>
        <v/>
      </c>
      <c r="G14" s="57">
        <f>E14+F14</f>
        <v/>
      </c>
      <c r="H14" s="59">
        <f>D14-G14</f>
        <v/>
      </c>
      <c r="I14" s="60">
        <f>IF(G14&gt;0,H14/G14,0)</f>
        <v/>
      </c>
      <c r="J14" s="21" t="inlineStr"/>
    </row>
    <row r="15">
      <c r="A15" s="6" t="inlineStr">
        <is>
          <t>Диаметр 10 А500С</t>
        </is>
      </c>
      <c r="B15" s="56" t="n">
        <v>0</v>
      </c>
      <c r="C15" s="56" t="n">
        <v>7659.36</v>
      </c>
      <c r="D15" s="57">
        <f>B15+C15</f>
        <v/>
      </c>
      <c r="E15" s="58">
        <f>потребность!C14*$F$2</f>
        <v/>
      </c>
      <c r="F15" s="58">
        <f>(потребность!D14+потребность!E14)*$F$2</f>
        <v/>
      </c>
      <c r="G15" s="57">
        <f>E15+F15</f>
        <v/>
      </c>
      <c r="H15" s="59">
        <f>D15-G15</f>
        <v/>
      </c>
      <c r="I15" s="60">
        <f>IF(G15&gt;0,H15/G15,0)</f>
        <v/>
      </c>
      <c r="J15" s="21" t="inlineStr">
        <is>
          <t>У меня сетки-гребёнки С-1 (492 кг) и Ø10 лестницы.</t>
        </is>
      </c>
    </row>
    <row r="16">
      <c r="A16" s="6" t="inlineStr">
        <is>
          <t>Диаметр 8 А500С</t>
        </is>
      </c>
      <c r="B16" s="56" t="n">
        <v>0</v>
      </c>
      <c r="C16" s="56" t="n">
        <v>0</v>
      </c>
      <c r="D16" s="57">
        <f>B16+C16</f>
        <v/>
      </c>
      <c r="E16" s="58">
        <f>потребность!C15*$F$2</f>
        <v/>
      </c>
      <c r="F16" s="58">
        <f>(потребность!D15+потребность!E15)*$F$2</f>
        <v/>
      </c>
      <c r="G16" s="57">
        <f>E16+F16</f>
        <v/>
      </c>
      <c r="H16" s="59">
        <f>D16-G16</f>
        <v/>
      </c>
      <c r="I16" s="60">
        <f>IF(G16&gt;0,H16/G16,0)</f>
        <v/>
      </c>
      <c r="J16" s="21" t="inlineStr"/>
    </row>
    <row r="17">
      <c r="A17" s="6" t="inlineStr">
        <is>
          <t>Диаметр 16 А240</t>
        </is>
      </c>
      <c r="B17" s="56" t="n">
        <v>0</v>
      </c>
      <c r="C17" s="56" t="n">
        <v>0</v>
      </c>
      <c r="D17" s="57">
        <f>B17+C17</f>
        <v/>
      </c>
      <c r="E17" s="58">
        <f>потребность!C16*$F$2</f>
        <v/>
      </c>
      <c r="F17" s="58">
        <f>(потребность!D16+потребность!E16)*$F$2</f>
        <v/>
      </c>
      <c r="G17" s="57">
        <f>E17+F17</f>
        <v/>
      </c>
      <c r="H17" s="59">
        <f>D17-G17</f>
        <v/>
      </c>
      <c r="I17" s="60">
        <f>IF(G17&gt;0,H17/G17,0)</f>
        <v/>
      </c>
      <c r="J17" s="21" t="inlineStr"/>
    </row>
    <row r="18">
      <c r="A18" s="6" t="inlineStr">
        <is>
          <t>Диаметр 12 А240</t>
        </is>
      </c>
      <c r="B18" s="56" t="n">
        <v>0</v>
      </c>
      <c r="C18" s="56" t="n">
        <v>0</v>
      </c>
      <c r="D18" s="57">
        <f>B18+C18</f>
        <v/>
      </c>
      <c r="E18" s="58">
        <f>потребность!C17*$F$2</f>
        <v/>
      </c>
      <c r="F18" s="58">
        <f>(потребность!D17+потребность!E17)*$F$2</f>
        <v/>
      </c>
      <c r="G18" s="57">
        <f>E18+F18</f>
        <v/>
      </c>
      <c r="H18" s="59">
        <f>D18-G18</f>
        <v/>
      </c>
      <c r="I18" s="60">
        <f>IF(G18&gt;0,H18/G18,0)</f>
        <v/>
      </c>
      <c r="J18" s="21" t="inlineStr"/>
    </row>
    <row r="19">
      <c r="A19" s="6" t="inlineStr">
        <is>
          <t>Диаметр 10 А240</t>
        </is>
      </c>
      <c r="B19" s="56" t="n">
        <v>291.39</v>
      </c>
      <c r="C19" s="56" t="n">
        <v>312.23</v>
      </c>
      <c r="D19" s="57">
        <f>B19+C19</f>
        <v/>
      </c>
      <c r="E19" s="58">
        <f>потребность!C18*$F$2</f>
        <v/>
      </c>
      <c r="F19" s="58">
        <f>(потребность!D18+потребность!E18)*$F$2</f>
        <v/>
      </c>
      <c r="G19" s="57">
        <f>E19+F19</f>
        <v/>
      </c>
      <c r="H19" s="59">
        <f>D19-G19</f>
        <v/>
      </c>
      <c r="I19" s="60">
        <f>IF(G19&gt;0,H19/G19,0)</f>
        <v/>
      </c>
      <c r="J19" s="21" t="inlineStr">
        <is>
          <t>Хомуты Ø10 ригелей в заштрихованных зонах (поз.13, 15) — у коллеги нет.</t>
        </is>
      </c>
    </row>
    <row r="20">
      <c r="A20" s="6" t="inlineStr">
        <is>
          <t>Диаметр 8 А240</t>
        </is>
      </c>
      <c r="B20" s="56" t="n">
        <v>1566.46</v>
      </c>
      <c r="C20" s="56" t="n">
        <v>2695.97</v>
      </c>
      <c r="D20" s="57">
        <f>B20+C20</f>
        <v/>
      </c>
      <c r="E20" s="58">
        <f>потребность!C19*$F$2</f>
        <v/>
      </c>
      <c r="F20" s="58">
        <f>(потребность!D19+потребность!E19)*$F$2</f>
        <v/>
      </c>
      <c r="G20" s="57">
        <f>E20+F20</f>
        <v/>
      </c>
      <c r="H20" s="59">
        <f>D20-G20</f>
        <v/>
      </c>
      <c r="I20" s="60">
        <f>IF(G20&gt;0,H20/G20,0)</f>
        <v/>
      </c>
      <c r="J20" s="21" t="inlineStr">
        <is>
          <t>Зеркально к Ø10 А240.</t>
        </is>
      </c>
    </row>
    <row r="21">
      <c r="A21" s="6" t="inlineStr">
        <is>
          <t>Диаметр 6 А240</t>
        </is>
      </c>
      <c r="B21" s="56" t="n">
        <v>0</v>
      </c>
      <c r="C21" s="56" t="n">
        <v>0</v>
      </c>
      <c r="D21" s="57">
        <f>B21+C21</f>
        <v/>
      </c>
      <c r="E21" s="58">
        <f>потребность!C20*$F$2</f>
        <v/>
      </c>
      <c r="F21" s="58">
        <f>(потребность!D20+потребность!E20)*$F$2</f>
        <v/>
      </c>
      <c r="G21" s="57">
        <f>E21+F21</f>
        <v/>
      </c>
      <c r="H21" s="59">
        <f>D21-G21</f>
        <v/>
      </c>
      <c r="I21" s="60">
        <f>IF(G21&gt;0,H21/G21,0)</f>
        <v/>
      </c>
      <c r="J21" s="21" t="inlineStr"/>
    </row>
    <row r="22">
      <c r="A22" s="6" t="inlineStr">
        <is>
          <t>Сетка Ø5 Вр-I (лестн. С-1)</t>
        </is>
      </c>
      <c r="B22" s="56" t="n">
        <v>0</v>
      </c>
      <c r="C22" s="56" t="n">
        <v>0</v>
      </c>
      <c r="D22" s="57">
        <f>B22+C22</f>
        <v/>
      </c>
      <c r="E22" s="58">
        <f>потребность!C21*$F$2</f>
        <v/>
      </c>
      <c r="F22" s="58">
        <f>(потребность!D21+потребность!E21)*$F$2</f>
        <v/>
      </c>
      <c r="G22" s="57">
        <f>E22+F22</f>
        <v/>
      </c>
      <c r="H22" s="59">
        <f>D22-G22</f>
        <v/>
      </c>
      <c r="I22" s="60">
        <f>IF(G22&gt;0,H22/G22,0)</f>
        <v/>
      </c>
      <c r="J22" s="21" t="inlineStr">
        <is>
          <t>Сетка С-1 лестницы — у коллеги нет.</t>
        </is>
      </c>
    </row>
    <row r="23">
      <c r="A23" s="4" t="inlineStr">
        <is>
          <t>ИТОГО</t>
        </is>
      </c>
      <c r="B23" s="61">
        <f>SUM(B6:B22)</f>
        <v/>
      </c>
      <c r="C23" s="61">
        <f>SUM(C6:C22)</f>
        <v/>
      </c>
      <c r="D23" s="61">
        <f>SUM(D6:D22)</f>
        <v/>
      </c>
      <c r="E23" s="61">
        <f>SUM(E6:E22)</f>
        <v/>
      </c>
      <c r="F23" s="61">
        <f>SUM(F6:F22)</f>
        <v/>
      </c>
      <c r="G23" s="61">
        <f>SUM(G6:G22)</f>
        <v/>
      </c>
      <c r="H23" s="62">
        <f>SUM(H6:H22)</f>
        <v/>
      </c>
      <c r="I23" s="63">
        <f>IF(G23&gt;0,H23/G23,0)</f>
        <v/>
      </c>
      <c r="J23" s="4" t="inlineStr">
        <is>
          <t>По сумме близко, но по диаметрам расхождения взаимно гасятся.</t>
        </is>
      </c>
    </row>
    <row r="25">
      <c r="A25" s="21" t="inlineStr">
        <is>
          <t>Без К(зап): мой проектный расход 1 этажа, кг</t>
        </is>
      </c>
      <c r="G25" s="64">
        <f>SUM(потребность!C22:E22)</f>
        <v/>
      </c>
    </row>
    <row r="26">
      <c r="A26" s="21" t="inlineStr">
        <is>
          <t>Коллега без К(зап) (если в его числах 1,07), кг</t>
        </is>
      </c>
      <c r="D26" s="64">
        <f>D23/$F$2</f>
        <v/>
      </c>
    </row>
    <row r="28">
      <c r="A28" s="65" t="inlineStr">
        <is>
          <t>СВЕРКА ПО ЭЛЕМЕНТАМ — файл коллеги «14.xlsx» (листы «верт 1», «перекр 1»), чистая масса без К(зап), кг</t>
        </is>
      </c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</row>
    <row r="29" ht="30" customHeight="1">
      <c r="A29" s="5" t="inlineStr">
        <is>
          <t>Позиция</t>
        </is>
      </c>
      <c r="B29" s="5" t="inlineStr">
        <is>
          <t>Коллега, кг</t>
        </is>
      </c>
      <c r="C29" s="5" t="inlineStr">
        <is>
          <t>Источник у коллеги</t>
        </is>
      </c>
      <c r="D29" s="4" t="n"/>
      <c r="E29" s="4" t="n"/>
      <c r="F29" s="4" t="n"/>
      <c r="G29" s="5" t="inlineStr">
        <is>
          <t>Мой расчёт, кг</t>
        </is>
      </c>
      <c r="H29" s="5" t="inlineStr">
        <is>
          <t>Разница (коллега − мой), кг</t>
        </is>
      </c>
      <c r="I29" s="4" t="n"/>
      <c r="J29" s="5" t="inlineStr">
        <is>
          <t>Причина расхождения (по чертежам)</t>
        </is>
      </c>
    </row>
    <row r="30" ht="32" customHeight="1">
      <c r="A30" s="6" t="inlineStr">
        <is>
          <t>Колонны: вертикали 1-1 (4Ø32+8Ø20)</t>
        </is>
      </c>
      <c r="B30" s="66" t="n">
        <v>2630.3</v>
      </c>
      <c r="C30" s="21" t="inlineStr">
        <is>
          <t>«верт 1» стр.2–3, 8–9</t>
        </is>
      </c>
      <c r="D30" s="33" t="n"/>
      <c r="E30" s="33" t="n"/>
      <c r="F30" s="34" t="n"/>
      <c r="G30" s="58">
        <f>SUMIFS(Ведомость!$P$5:$P$1270,Ведомость!$W$5:$W$1270,1,Ведомость!$C$5:$C$1270,"Колонны",Ведомость!$G$5:$G$1270,"Вертикальные*")</f>
        <v/>
      </c>
      <c r="H30" s="59">
        <f>B30-G30</f>
        <v/>
      </c>
      <c r="I30" s="21" t="n"/>
      <c r="J30" s="21" t="inlineStr">
        <is>
          <t>У коллеги 4 колонны по 3,6 м, 11 — по 4,0 м. Высота 1 этажа −0.050…+3.950 = 4,0 м.</t>
        </is>
      </c>
    </row>
    <row r="31" ht="32" customHeight="1">
      <c r="A31" s="6" t="inlineStr">
        <is>
          <t>Колонны: хомуты поз.10, 11</t>
        </is>
      </c>
      <c r="B31" s="66" t="n">
        <v>846.1</v>
      </c>
      <c r="C31" s="21" t="inlineStr">
        <is>
          <t>«верт 1» стр.4–5, 10–11</t>
        </is>
      </c>
      <c r="D31" s="33" t="n"/>
      <c r="E31" s="33" t="n"/>
      <c r="F31" s="34" t="n"/>
      <c r="G31" s="58">
        <f>SUMIFS(Ведомость!$P$5:$P$1270,Ведомость!$W$5:$W$1270,1,Ведомость!$C$5:$C$1270,"Колонны")-SUMIFS(Ведомость!$P$5:$P$1270,Ведомость!$W$5:$W$1270,1,Ведомость!$C$5:$C$1270,"Колонны",Ведомость!$G$5:$G$1270,"Вертикальные*")</f>
        <v/>
      </c>
      <c r="H31" s="59">
        <f>B31-G31</f>
        <v/>
      </c>
      <c r="I31" s="21" t="n"/>
      <c r="J31" s="21" t="inlineStr">
        <is>
          <t>Совпадает.</t>
        </is>
      </c>
    </row>
    <row r="32" ht="32" customHeight="1">
      <c r="A32" s="6" t="inlineStr">
        <is>
          <t>Колонны: «переход 2-2» (4Ø28+8Ø20 L=2,0 × 4 шт)</t>
        </is>
      </c>
      <c r="B32" s="66" t="n">
        <v>312.6</v>
      </c>
      <c r="C32" s="21" t="inlineStr">
        <is>
          <t>«верт 1» стр.6–7</t>
        </is>
      </c>
      <c r="D32" s="33" t="n"/>
      <c r="E32" s="33" t="n"/>
      <c r="F32" s="34" t="n"/>
      <c r="G32" s="58">
        <f>0</f>
        <v/>
      </c>
      <c r="H32" s="59">
        <f>B32-G32</f>
        <v/>
      </c>
      <c r="I32" s="21" t="n"/>
      <c r="J32" s="21" t="inlineStr">
        <is>
          <t>Сечение 2-2 — это 2 этаж: в этой книге посчитано во 2 этаже (колонны К 2-2).</t>
        </is>
      </c>
    </row>
    <row r="33" ht="32" customHeight="1">
      <c r="A33" s="6" t="inlineStr">
        <is>
          <t>Дм-1…5: вертикали сеч.1-1</t>
        </is>
      </c>
      <c r="B33" s="66" t="n">
        <v>3467.8</v>
      </c>
      <c r="C33" s="21" t="inlineStr">
        <is>
          <t>«верт 1» блоки «дм-1…5»</t>
        </is>
      </c>
      <c r="D33" s="33" t="n"/>
      <c r="E33" s="33" t="n"/>
      <c r="F33" s="34" t="n"/>
      <c r="G33" s="58">
        <f>SUMIFS(Ведомость!$P$5:$P$1270,Ведомость!$W$5:$W$1270,1,Ведомость!$C$5:$C$1270,"Диафрагмы",Ведомость!$G$5:$G$1270,"Вертикальные*")</f>
        <v/>
      </c>
      <c r="H33" s="59">
        <f>B33-G33</f>
        <v/>
      </c>
      <c r="I33" s="21" t="n"/>
      <c r="J33" s="21" t="inlineStr">
        <is>
          <t>У коллеги L=3,6 м; на 1 этаже 4,0 м (+8d у Ø18).</t>
        </is>
      </c>
    </row>
    <row r="34" ht="32" customHeight="1">
      <c r="A34" s="6" t="inlineStr">
        <is>
          <t>Дм-1…5: «переход 2-2» (L=4,0)</t>
        </is>
      </c>
      <c r="B34" s="66" t="n">
        <v>2527.5</v>
      </c>
      <c r="C34" s="21" t="inlineStr">
        <is>
          <t>«верт 1» блоки «переход 2-2»</t>
        </is>
      </c>
      <c r="D34" s="33" t="n"/>
      <c r="E34" s="33" t="n"/>
      <c r="F34" s="34" t="n"/>
      <c r="G34" s="58">
        <f>0</f>
        <v/>
      </c>
      <c r="H34" s="59">
        <f>B34-G34</f>
        <v/>
      </c>
      <c r="I34" s="21" t="n"/>
      <c r="J34" s="21" t="inlineStr">
        <is>
          <t>Стержни сечения 2-2 — 2 этаж (в этой книге — во 2 этаже, L=3,6 м).</t>
        </is>
      </c>
    </row>
    <row r="35" ht="32" customHeight="1">
      <c r="A35" s="6" t="inlineStr">
        <is>
          <t>Дм: горизонтальные «Осн. стержни»</t>
        </is>
      </c>
      <c r="B35" s="66" t="n">
        <v>516.8</v>
      </c>
      <c r="C35" s="21" t="inlineStr">
        <is>
          <t>«верт 1» стр.25, 47, 64, 98</t>
        </is>
      </c>
      <c r="D35" s="33" t="n"/>
      <c r="E35" s="33" t="n"/>
      <c r="F35" s="34" t="n"/>
      <c r="G35" s="58">
        <f>SUMIFS(Ведомость!$P$5:$P$1270,Ведомость!$W$5:$W$1270,1,Ведомость!$C$5:$C$1270,"Диафрагмы",Ведомость!$F$5:$F$1270,"гор.")</f>
        <v/>
      </c>
      <c r="H35" s="59">
        <f>B35-G35</f>
        <v/>
      </c>
      <c r="I35" s="21" t="n"/>
      <c r="J35" s="21" t="inlineStr">
        <is>
          <t>У коллеги по одной стене на Дм; по развёрткам — обе стены.</t>
        </is>
      </c>
    </row>
    <row r="36" ht="32" customHeight="1">
      <c r="A36" s="6" t="inlineStr">
        <is>
          <t>Дм: доп. стержни у отм. −0.050</t>
        </is>
      </c>
      <c r="B36" s="66" t="n">
        <v>0</v>
      </c>
      <c r="C36" s="21" t="inlineStr">
        <is>
          <t>нет</t>
        </is>
      </c>
      <c r="D36" s="33" t="n"/>
      <c r="E36" s="33" t="n"/>
      <c r="F36" s="34" t="n"/>
      <c r="G36" s="58">
        <f>SUMIFS(Ведомость!$P$5:$P$1270,Ведомость!$W$5:$W$1270,1,Ведомость!$C$5:$C$1270,"Диафрагмы",Ведомость!$F$5:$F$1270,"доп.")</f>
        <v/>
      </c>
      <c r="H36" s="59">
        <f>B36-G36</f>
        <v/>
      </c>
      <c r="I36" s="21" t="n"/>
      <c r="J36" s="21" t="inlineStr">
        <is>
          <t>«Доп. стержень 10Ø20 L=1950», «6Ø20 L=1200», «10Ø22 L=1300» и др. — у коллеги не учтены.</t>
        </is>
      </c>
    </row>
    <row r="37" ht="32" customHeight="1">
      <c r="A37" s="6" t="inlineStr">
        <is>
          <t>Дм: хомуты, шпильки, П-образные</t>
        </is>
      </c>
      <c r="B37" s="66" t="n">
        <v>890.2</v>
      </c>
      <c r="C37" s="21" t="inlineStr">
        <is>
          <t>«верт 1» блоки «дм-1…5»</t>
        </is>
      </c>
      <c r="D37" s="33" t="n"/>
      <c r="E37" s="33" t="n"/>
      <c r="F37" s="34" t="n"/>
      <c r="G37" s="58">
        <f>SUMIFS(Ведомость!$P$5:$P$1270,Ведомость!$W$5:$W$1270,1,Ведомость!$C$5:$C$1270,"Диафрагмы")-SUMIFS(Ведомость!$P$5:$P$1270,Ведомость!$W$5:$W$1270,1,Ведомость!$C$5:$C$1270,"Диафрагмы",Ведомость!$G$5:$G$1270,"Вертикальные*")-SUMIFS(Ведомость!$P$5:$P$1270,Ведомость!$W$5:$W$1270,1,Ведомость!$C$5:$C$1270,"Диафрагмы",Ведомость!$F$5:$F$1270,"гор.")-SUMIFS(Ведомость!$P$5:$P$1270,Ведомость!$W$5:$W$1270,1,Ведомость!$C$5:$C$1270,"Диафрагмы",Ведомость!$F$5:$F$1270,"доп.")</f>
        <v/>
      </c>
      <c r="H37" s="59">
        <f>B37-G37</f>
        <v/>
      </c>
      <c r="I37" s="21" t="n"/>
      <c r="J37" s="21" t="inlineStr">
        <is>
          <t>Разное число внутренних хомутов и шпилек; поз.12* Ø8/Ø10.</t>
        </is>
      </c>
    </row>
    <row r="38" ht="32" customHeight="1">
      <c r="A38" s="6" t="inlineStr">
        <is>
          <t>Ригели: продольные 4Ø28 + 2Ø18 + 2Ø16</t>
        </is>
      </c>
      <c r="B38" s="66" t="n">
        <v>5645.5</v>
      </c>
      <c r="C38" s="21" t="inlineStr">
        <is>
          <t>«перекр 1»</t>
        </is>
      </c>
      <c r="D38" s="33" t="n"/>
      <c r="E38" s="33" t="n"/>
      <c r="F38" s="34" t="n"/>
      <c r="G38" s="58">
        <f>SUMIFS(Ведомость!$P$5:$P$1270,Ведомость!$W$5:$W$1270,1,Ведомость!$C$5:$C$1270,"Ригели",Ведомость!$F$5:$F$1270,"2")+SUMIFS(Ведомость!$P$5:$P$1270,Ведомость!$W$5:$W$1270,1,Ведомость!$C$5:$C$1270,"Ригели",Ведомость!$F$5:$F$1270,"6")+SUMIFS(Ведомость!$P$5:$P$1270,Ведомость!$W$5:$W$1270,1,Ведомость!$C$5:$C$1270,"Ригели",Ведомость!$F$5:$F$1270,"7")+SUMIFS(Ведомость!$P$5:$P$1270,Ведомость!$W$5:$W$1270,1,Ведомость!$C$5:$C$1270,"Ригели",Ведомость!$F$5:$F$1270,"6-нахл")+SUMIFS(Ведомость!$P$5:$P$1270,Ведомость!$W$5:$W$1270,1,Ведомость!$C$5:$C$1270,"Ригели",Ведомость!$F$5:$F$1270,"7-нахл")</f>
        <v/>
      </c>
      <c r="H38" s="59">
        <f>B38-G38</f>
        <v/>
      </c>
      <c r="I38" s="21" t="n"/>
      <c r="J38" s="21" t="inlineStr">
        <is>
          <t>У коллеги нахлёсты Ø28 (по АС-19 — ванная сварка встык).</t>
        </is>
      </c>
    </row>
    <row r="39" ht="32" customHeight="1">
      <c r="A39" s="6" t="inlineStr">
        <is>
          <t>Ригели: ОС, Ос (бок)</t>
        </is>
      </c>
      <c r="B39" s="66" t="n">
        <v>2496.9</v>
      </c>
      <c r="C39" s="21" t="inlineStr">
        <is>
          <t>«перекр 1» по рамам</t>
        </is>
      </c>
      <c r="D39" s="33" t="n"/>
      <c r="E39" s="33" t="n"/>
      <c r="F39" s="34" t="n"/>
      <c r="G39" s="58">
        <f>SUMIFS(Ведомость!$P$5:$P$1270,Ведомость!$W$5:$W$1270,1,Ведомость!$C$5:$C$1270,"Ригели",Ведомость!$F$5:$F$1270,"ОС")</f>
        <v/>
      </c>
      <c r="H39" s="59">
        <f>B39-G39</f>
        <v/>
      </c>
      <c r="I39" s="21" t="n"/>
      <c r="J39" s="21" t="inlineStr">
        <is>
          <t>Практически совпадает.</t>
        </is>
      </c>
    </row>
    <row r="40" ht="32" customHeight="1">
      <c r="A40" s="6" t="inlineStr">
        <is>
          <t>Ригели: хомуты и шпильки</t>
        </is>
      </c>
      <c r="B40" s="66" t="n">
        <v>1739.4</v>
      </c>
      <c r="C40" s="21" t="inlineStr">
        <is>
          <t>«перекр 1» «поз 12, 16, 17»</t>
        </is>
      </c>
      <c r="D40" s="33" t="n"/>
      <c r="E40" s="33" t="n"/>
      <c r="F40" s="34" t="n"/>
      <c r="G40" s="58">
        <f>SUMIFS(Ведомость!$P$5:$P$1270,Ведомость!$W$5:$W$1270,1,Ведомость!$C$5:$C$1270,"Ригели")-(SUMIFS(Ведомость!$P$5:$P$1270,Ведомость!$W$5:$W$1270,1,Ведомость!$C$5:$C$1270,"Ригели",Ведомость!$F$5:$F$1270,"2")+SUMIFS(Ведомость!$P$5:$P$1270,Ведомость!$W$5:$W$1270,1,Ведомость!$C$5:$C$1270,"Ригели",Ведомость!$F$5:$F$1270,"6")+SUMIFS(Ведомость!$P$5:$P$1270,Ведомость!$W$5:$W$1270,1,Ведомость!$C$5:$C$1270,"Ригели",Ведомость!$F$5:$F$1270,"7")+SUMIFS(Ведомость!$P$5:$P$1270,Ведомость!$W$5:$W$1270,1,Ведомость!$C$5:$C$1270,"Ригели",Ведомость!$F$5:$F$1270,"6-нахл")+SUMIFS(Ведомость!$P$5:$P$1270,Ведомость!$W$5:$W$1270,1,Ведомость!$C$5:$C$1270,"Ригели",Ведомость!$F$5:$F$1270,"7-нахл")+SUMIFS(Ведомость!$P$5:$P$1270,Ведомость!$W$5:$W$1270,1,Ведомость!$C$5:$C$1270,"Ригели",Ведомость!$F$5:$F$1270,"ОС"))</f>
        <v/>
      </c>
      <c r="H40" s="59">
        <f>B40-G40</f>
        <v/>
      </c>
      <c r="I40" s="21" t="n"/>
      <c r="J40" s="21" t="inlineStr">
        <is>
          <t>У коллеги все хомуты Ø8; в заштрихованных зонах — Ø10 поз.13/15.</t>
        </is>
      </c>
    </row>
    <row r="41" ht="32" customHeight="1">
      <c r="A41" s="6" t="inlineStr">
        <is>
          <t>Балки монолитной плиты</t>
        </is>
      </c>
      <c r="B41" s="66" t="n">
        <v>3840.2</v>
      </c>
      <c r="C41" s="21" t="inlineStr">
        <is>
          <t>«перекр 1» стр.129–140</t>
        </is>
      </c>
      <c r="D41" s="33" t="n"/>
      <c r="E41" s="33" t="n"/>
      <c r="F41" s="34" t="n"/>
      <c r="G41" s="58">
        <f>SUMIFS(Ведомость!$P$5:$P$1270,Ведомость!$W$5:$W$1270,1,Ведомость!$C$5:$C$1270,"Плита перекрытия — балки")</f>
        <v/>
      </c>
      <c r="H41" s="59">
        <f>B41-G41</f>
        <v/>
      </c>
      <c r="I41" s="21" t="n"/>
      <c r="J41" s="21" t="inlineStr">
        <is>
          <t>Совпадает (±0,5 %).</t>
        </is>
      </c>
    </row>
    <row r="42" ht="32" customHeight="1">
      <c r="A42" s="6" t="inlineStr">
        <is>
          <t>Плита: основная сетка + фиксаторы + шпильки</t>
        </is>
      </c>
      <c r="B42" s="66" t="n">
        <v>6904.5</v>
      </c>
      <c r="C42" s="21" t="inlineStr">
        <is>
          <t>«перекр 1» стр.153–156</t>
        </is>
      </c>
      <c r="D42" s="33" t="n"/>
      <c r="E42" s="33" t="n"/>
      <c r="F42" s="34" t="n"/>
      <c r="G42" s="58">
        <f>SUMIFS(Ведомость!$P$5:$P$1270,Ведомость!$W$5:$W$1270,1,Ведомость!$C$5:$C$1270,"Плита перекрытия",Ведомость!$G$5:$G$1270,"*осн. сетка*")+SUMIFS(Ведомость!$P$5:$P$1270,Ведомость!$W$5:$W$1270,1,Ведомость!$C$5:$C$1270,"Плита перекрытия",Ведомость!$F$5:$F$1270,"Ф-1")+SUMIFS(Ведомость!$P$5:$P$1270,Ведомость!$W$5:$W$1270,1,Ведомость!$C$5:$C$1270,"Плита перекрытия",Ведомость!$F$5:$F$1270,"шп")</f>
        <v/>
      </c>
      <c r="H42" s="59">
        <f>B42-G42</f>
        <v/>
      </c>
      <c r="I42" s="21" t="n"/>
      <c r="J42" s="21" t="inlineStr">
        <is>
          <t>У меня нахлёсты сетки &gt; 11,7 м и эркеры по контуру АС-47.</t>
        </is>
      </c>
    </row>
    <row r="43" ht="32" customHeight="1">
      <c r="A43" s="6" t="inlineStr">
        <is>
          <t>Плита: доп. стержни, край, пешки</t>
        </is>
      </c>
      <c r="B43" s="66" t="n">
        <v>643.8</v>
      </c>
      <c r="C43" s="21" t="inlineStr">
        <is>
          <t>«перекр 1» стр.141–152</t>
        </is>
      </c>
      <c r="D43" s="33" t="n"/>
      <c r="E43" s="33" t="n"/>
      <c r="F43" s="34" t="n"/>
      <c r="G43" s="58">
        <f>SUMIFS(Ведомость!$P$5:$P$1270,Ведомость!$W$5:$W$1270,1,Ведомость!$C$5:$C$1270,"Плита перекрытия")-(SUMIFS(Ведомость!$P$5:$P$1270,Ведомость!$W$5:$W$1270,1,Ведомость!$C$5:$C$1270,"Плита перекрытия",Ведомость!$G$5:$G$1270,"*осн. сетка*")+SUMIFS(Ведомость!$P$5:$P$1270,Ведомость!$W$5:$W$1270,1,Ведомость!$C$5:$C$1270,"Плита перекрытия",Ведомость!$F$5:$F$1270,"Ф-1")+SUMIFS(Ведомость!$P$5:$P$1270,Ведомость!$W$5:$W$1270,1,Ведомость!$C$5:$C$1270,"Плита перекрытия",Ведомость!$F$5:$F$1270,"шп"))</f>
        <v/>
      </c>
      <c r="H43" s="59">
        <f>B43-G43</f>
        <v/>
      </c>
      <c r="I43" s="21" t="n"/>
      <c r="J43" s="21" t="inlineStr">
        <is>
          <t>У меня край плиты 2Ø14 (сеч.6-6) и 4 доп. Ø20 L=3000.</t>
        </is>
      </c>
    </row>
    <row r="44" ht="32" customHeight="1">
      <c r="A44" s="6" t="inlineStr">
        <is>
          <t>Сетки-гребёнки С-1 (200 шт)</t>
        </is>
      </c>
      <c r="B44" s="66" t="n">
        <v>0</v>
      </c>
      <c r="C44" s="21" t="inlineStr">
        <is>
          <t>нет</t>
        </is>
      </c>
      <c r="D44" s="33" t="n"/>
      <c r="E44" s="33" t="n"/>
      <c r="F44" s="34" t="n"/>
      <c r="G44" s="58">
        <f>SUMIFS(Ведомость!$P$5:$P$1270,Ведомость!$W$5:$W$1270,1,Ведомость!$C$5:$C$1270,"Сетки-гребёнки С-1")</f>
        <v/>
      </c>
      <c r="H44" s="59">
        <f>B44-G44</f>
        <v/>
      </c>
      <c r="I44" s="21" t="n"/>
      <c r="J44" s="21" t="inlineStr">
        <is>
          <t>У коллеги не учтены.</t>
        </is>
      </c>
    </row>
    <row r="45" ht="32" customHeight="1">
      <c r="A45" s="6" t="inlineStr">
        <is>
          <t>Лестница ЛВ-1 + рама Лрм-1</t>
        </is>
      </c>
      <c r="B45" s="66" t="n">
        <v>0</v>
      </c>
      <c r="C45" s="21" t="inlineStr">
        <is>
          <t>нет</t>
        </is>
      </c>
      <c r="D45" s="33" t="n"/>
      <c r="E45" s="33" t="n"/>
      <c r="F45" s="34" t="n"/>
      <c r="G45" s="58">
        <f>SUMIFS(Ведомость!$P$5:$P$1270,Ведомость!$W$5:$W$1270,1,Ведомость!$C$5:$C$1270,"Лестница ЛВ-1")</f>
        <v/>
      </c>
      <c r="H45" s="59">
        <f>B45-G45</f>
        <v/>
      </c>
      <c r="I45" s="21" t="n"/>
      <c r="J45" s="21" t="inlineStr">
        <is>
          <t>У коллеги не учтена.</t>
        </is>
      </c>
    </row>
    <row r="46">
      <c r="A46" s="4" t="inlineStr">
        <is>
          <t>ИТОГО (без К(зап))</t>
        </is>
      </c>
      <c r="B46" s="61">
        <f>SUM(B30:B45)</f>
        <v/>
      </c>
      <c r="C46" s="4" t="n"/>
      <c r="D46" s="4" t="n"/>
      <c r="E46" s="4" t="n"/>
      <c r="F46" s="4" t="n"/>
      <c r="G46" s="61">
        <f>SUM(G30:G45)</f>
        <v/>
      </c>
      <c r="H46" s="62">
        <f>B46-G46</f>
        <v/>
      </c>
      <c r="I46" s="4" t="n"/>
      <c r="J46" s="4" t="inlineStr">
        <is>
          <t>Мой итог = «Ведомость», 1 этаж.</t>
        </is>
      </c>
    </row>
    <row r="47">
      <c r="A47" s="21" t="inlineStr">
        <is>
          <t>Контроль: мой итог по элементам = «Ведомость» 1 этаж</t>
        </is>
      </c>
      <c r="H47" s="22">
        <f>ROUND(G46-Ведомость!P1271,1)</f>
        <v/>
      </c>
      <c r="J47" s="67" t="inlineStr">
        <is>
          <t>← должно быть 0</t>
        </is>
      </c>
    </row>
  </sheetData>
  <mergeCells count="16">
    <mergeCell ref="C40:F40"/>
    <mergeCell ref="C31:F31"/>
    <mergeCell ref="C45:F45"/>
    <mergeCell ref="C39:F39"/>
    <mergeCell ref="C35:F35"/>
    <mergeCell ref="C34:F34"/>
    <mergeCell ref="C43:F43"/>
    <mergeCell ref="C30:F30"/>
    <mergeCell ref="C38:F38"/>
    <mergeCell ref="C33:F33"/>
    <mergeCell ref="C32:F32"/>
    <mergeCell ref="C41:F41"/>
    <mergeCell ref="C42:F42"/>
    <mergeCell ref="C37:F37"/>
    <mergeCell ref="C36:F36"/>
    <mergeCell ref="C44:F44"/>
  </mergeCells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55"/>
  <sheetViews>
    <sheetView zoomScale="90" workbookViewId="0">
      <selection activeCell="A1" sqref="A1"/>
    </sheetView>
  </sheetViews>
  <sheetFormatPr baseColWidth="8" defaultRowHeight="15"/>
  <cols>
    <col width="36" customWidth="1" min="1" max="1"/>
    <col width="60" customWidth="1" min="2" max="2"/>
    <col width="44" customWidth="1" min="3" max="3"/>
    <col width="52" customWidth="1" min="4" max="4"/>
    <col width="12" customWidth="1" min="5" max="5"/>
    <col width="12" customWidth="1" min="6" max="6"/>
  </cols>
  <sheetData>
    <row r="1">
      <c r="A1" s="54" t="inlineStr">
        <is>
          <t>Исходные данные, нормативы и принятые допущения</t>
        </is>
      </c>
    </row>
    <row r="3" ht="30" customHeight="1">
      <c r="A3" s="4" t="inlineStr">
        <is>
          <t>Объект</t>
        </is>
      </c>
      <c r="B3" s="21" t="inlineStr">
        <is>
          <t>5,7,9-эт. жилые дома с объектами СКБ, подземным автопаркингом и помещениями футбольной академии на 1 этажах, ул. Токомбаева (Блоки 11–15)</t>
        </is>
      </c>
      <c r="C3" s="33" t="n"/>
      <c r="D3" s="33" t="n"/>
      <c r="E3" s="33" t="n"/>
      <c r="F3" s="34" t="n"/>
    </row>
    <row r="4" ht="30" customHeight="1">
      <c r="A4" s="4" t="inlineStr">
        <is>
          <t>Корпус/блок</t>
        </is>
      </c>
      <c r="B4" s="21" t="inlineStr">
        <is>
          <t>Блок 14 (проект ОсОО «Билд-Форм», стадия РП, раздел АС)</t>
        </is>
      </c>
      <c r="C4" s="33" t="n"/>
      <c r="D4" s="33" t="n"/>
      <c r="E4" s="33" t="n"/>
      <c r="F4" s="34" t="n"/>
    </row>
    <row r="5" ht="30" customHeight="1">
      <c r="A5" s="4" t="inlineStr">
        <is>
          <t>1 этаж</t>
        </is>
      </c>
      <c r="B5" s="21" t="inlineStr">
        <is>
          <t>Дм-1…Дм-5 и 15 колонн от -0.050 до +3.950 (H=4,0 м, сечения 1-1); ригели и плита перекрытия +3.950 (АС-47); С-1; лестница ЛВ-1: марши 0.000→1.920→4.000, площадка 1.920, рама Лрм-1</t>
        </is>
      </c>
      <c r="C5" s="33" t="n"/>
      <c r="D5" s="33" t="n"/>
      <c r="E5" s="33" t="n"/>
      <c r="F5" s="34" t="n"/>
    </row>
    <row r="6" ht="30" customHeight="1">
      <c r="A6" s="4" t="inlineStr">
        <is>
          <t>2 этаж</t>
        </is>
      </c>
      <c r="B6" s="21" t="inlineStr">
        <is>
          <t>Дм-1…Дм-5 и 15 колонн от +3.950 до +7.550 (H=3,6 м, сечения 2-2 / 3-3 «2 этаж»); ригели и плита перекрытия +7.550 (АС-48); С-1; лестница ЛВ-1: марши 4.000→5.800→7.600, площадка 5.800, рама Лрм-2</t>
        </is>
      </c>
      <c r="C6" s="33" t="n"/>
      <c r="D6" s="33" t="n"/>
      <c r="E6" s="33" t="n"/>
      <c r="F6" s="34" t="n"/>
    </row>
    <row r="7" ht="30" customHeight="1">
      <c r="A7" s="4" t="inlineStr">
        <is>
          <t>Цель расчёта</t>
        </is>
      </c>
      <c r="B7" s="21" t="inlineStr">
        <is>
          <t>Чистый проектный расход + раскрой под прутки 11,7 м для заказа, поэтажно</t>
        </is>
      </c>
      <c r="C7" s="33" t="n"/>
      <c r="D7" s="33" t="n"/>
      <c r="E7" s="33" t="n"/>
      <c r="F7" s="34" t="n"/>
    </row>
    <row r="8" ht="30" customHeight="1">
      <c r="A8" s="4" t="inlineStr">
        <is>
          <t>Бетон</t>
        </is>
      </c>
      <c r="B8" s="21" t="inlineStr">
        <is>
          <t>В25 (прим. АС-19, АС-34, АС-55)</t>
        </is>
      </c>
      <c r="C8" s="33" t="n"/>
      <c r="D8" s="33" t="n"/>
      <c r="E8" s="33" t="n"/>
      <c r="F8" s="34" t="n"/>
    </row>
    <row r="9" ht="30" customHeight="1">
      <c r="A9" s="4" t="inlineStr">
        <is>
          <t>3 этаж</t>
        </is>
      </c>
      <c r="B9" s="21" t="inlineStr">
        <is>
          <t>Дм-1…Дм-5 и 15 колонн от +7.550 до +11.150 (H=3,6 м; Дм-1, Дм-2, Дм-5 — сечения «3÷5 этаж», Дм-3, Дм-4 — 2-2); ригели и плита перекрытия +11.150 (АС-48 «7.550÷14.750»); С-1; лестница ЛВ-1: марши 7.600→9.400→11.200, площадка 9.400, рама Лрм-2</t>
        </is>
      </c>
      <c r="C9" s="33" t="n"/>
      <c r="D9" s="33" t="n"/>
      <c r="E9" s="33" t="n"/>
      <c r="F9" s="34" t="n"/>
    </row>
    <row r="10" ht="30" customHeight="1">
      <c r="A10" s="4" t="inlineStr">
        <is>
          <t>Арматура</t>
        </is>
      </c>
      <c r="B10" s="21" t="inlineStr">
        <is>
          <t>А500С, А240 по ГОСТ 34028-2016; сетка Ø5 Вр-I</t>
        </is>
      </c>
      <c r="C10" s="33" t="n"/>
      <c r="D10" s="33" t="n"/>
      <c r="E10" s="33" t="n"/>
      <c r="F10" s="34" t="n"/>
    </row>
    <row r="12">
      <c r="A12" s="28" t="inlineStr">
        <is>
          <t>Параметры (синим — вводимые значения)</t>
        </is>
      </c>
    </row>
    <row r="13">
      <c r="A13" s="4" t="inlineStr">
        <is>
          <t>Длина стандартного прутка, м</t>
        </is>
      </c>
      <c r="B13" s="68" t="n">
        <v>11.7</v>
      </c>
    </row>
    <row r="14">
      <c r="A14" s="4" t="inlineStr">
        <is>
          <t>К(зап) арматура</t>
        </is>
      </c>
      <c r="B14" s="68" t="n">
        <v>1.07</v>
      </c>
      <c r="C14" s="23" t="inlineStr">
        <is>
          <t>как в вашем шаблоне (Лист1!AA2 = 1,07). Умножает только колонки «Всего» на листе «По осям». Чистая проектная масса (без запаса) показана отдельно везде.</t>
        </is>
      </c>
    </row>
    <row r="15">
      <c r="A15" s="4" t="inlineStr">
        <is>
          <t>К(зап) бетон</t>
        </is>
      </c>
      <c r="B15" s="68" t="n">
        <v>1</v>
      </c>
    </row>
    <row r="17">
      <c r="A17" s="28" t="inlineStr">
        <is>
          <t>Теоретическая масса 1 м.п. (ГОСТ 34028-2016)</t>
        </is>
      </c>
    </row>
    <row r="18">
      <c r="A18" s="5" t="inlineStr">
        <is>
          <t>Ø, мм</t>
        </is>
      </c>
      <c r="B18" s="5" t="inlineStr">
        <is>
          <t>кг/м</t>
        </is>
      </c>
    </row>
    <row r="19">
      <c r="A19" s="49" t="n">
        <v>5</v>
      </c>
      <c r="B19" s="69" t="n">
        <v>0.154</v>
      </c>
    </row>
    <row r="20">
      <c r="A20" s="49" t="n">
        <v>6</v>
      </c>
      <c r="B20" s="69" t="n">
        <v>0.222</v>
      </c>
    </row>
    <row r="21">
      <c r="A21" s="49" t="n">
        <v>8</v>
      </c>
      <c r="B21" s="69" t="n">
        <v>0.395</v>
      </c>
    </row>
    <row r="22">
      <c r="A22" s="49" t="n">
        <v>10</v>
      </c>
      <c r="B22" s="69" t="n">
        <v>0.617</v>
      </c>
    </row>
    <row r="23">
      <c r="A23" s="49" t="n">
        <v>12</v>
      </c>
      <c r="B23" s="69" t="n">
        <v>0.888</v>
      </c>
    </row>
    <row r="24">
      <c r="A24" s="49" t="n">
        <v>14</v>
      </c>
      <c r="B24" s="69" t="n">
        <v>1.208</v>
      </c>
    </row>
    <row r="25">
      <c r="A25" s="49" t="n">
        <v>16</v>
      </c>
      <c r="B25" s="69" t="n">
        <v>1.578</v>
      </c>
    </row>
    <row r="26">
      <c r="A26" s="49" t="n">
        <v>18</v>
      </c>
      <c r="B26" s="69" t="n">
        <v>1.998</v>
      </c>
    </row>
    <row r="27">
      <c r="A27" s="49" t="n">
        <v>20</v>
      </c>
      <c r="B27" s="69" t="n">
        <v>2.466</v>
      </c>
    </row>
    <row r="28">
      <c r="A28" s="49" t="n">
        <v>22</v>
      </c>
      <c r="B28" s="69" t="n">
        <v>2.984</v>
      </c>
    </row>
    <row r="29">
      <c r="A29" s="49" t="n">
        <v>25</v>
      </c>
      <c r="B29" s="69" t="n">
        <v>3.853</v>
      </c>
    </row>
    <row r="30">
      <c r="A30" s="49" t="n">
        <v>28</v>
      </c>
      <c r="B30" s="69" t="n">
        <v>4.834</v>
      </c>
    </row>
    <row r="31">
      <c r="A31" s="49" t="n">
        <v>32</v>
      </c>
      <c r="B31" s="69" t="n">
        <v>6.313</v>
      </c>
    </row>
    <row r="32">
      <c r="A32" s="4" t="inlineStr">
        <is>
          <t>Сетка Ø5 Вр-I 100×100, кг/м²</t>
        </is>
      </c>
      <c r="B32" s="70">
        <f>20*INDEX(Исходные!$B$19:$B$31,MATCH(5,Исходные!$A$19:$A$31,0))</f>
        <v/>
      </c>
      <c r="C32" s="23" t="inlineStr">
        <is>
          <t>20 м проволоки на 1 м² (10 + 10 стержней)</t>
        </is>
      </c>
    </row>
    <row r="34">
      <c r="A34" s="71" t="inlineStr">
        <is>
          <t>Нахлёсты и стыки</t>
        </is>
      </c>
    </row>
    <row r="35">
      <c r="A35" s="4" t="inlineStr">
        <is>
          <t>Сетки плиты Ø10 / Ø12 / Ø14</t>
        </is>
      </c>
      <c r="B35" s="21" t="inlineStr">
        <is>
          <t>нахлёст 400 / 500 / 560 мм вразбежку (АС-58 «Деталь стыка арматуры армирования плиты»)</t>
        </is>
      </c>
      <c r="C35" s="33" t="n"/>
      <c r="D35" s="33" t="n"/>
      <c r="E35" s="33" t="n"/>
      <c r="F35" s="34" t="n"/>
    </row>
    <row r="36">
      <c r="A36" s="4" t="inlineStr">
        <is>
          <t>Стержни Ø20 и более</t>
        </is>
      </c>
      <c r="B36" s="21" t="inlineStr">
        <is>
          <t>ванная сварка в инвентарных медных формах встык, без нахлёста (АС-19 прим.1; АС-34 прим.1)</t>
        </is>
      </c>
      <c r="C36" s="33" t="n"/>
      <c r="D36" s="33" t="n"/>
      <c r="E36" s="33" t="n"/>
      <c r="F36" s="34" t="n"/>
    </row>
    <row r="37">
      <c r="A37" s="4" t="inlineStr">
        <is>
          <t>Стержни Ø18 и менее (вертикали Дм, ригели)</t>
        </is>
      </c>
      <c r="B37" s="21" t="inlineStr">
        <is>
          <t>нахлёст с электродуговой сваркой Lшва=8d (АС-19, АС-34 прим.1) → +8d к длине</t>
        </is>
      </c>
      <c r="C37" s="33" t="n"/>
      <c r="D37" s="33" t="n"/>
      <c r="E37" s="33" t="n"/>
      <c r="F37" s="34" t="n"/>
    </row>
    <row r="38">
      <c r="A38" s="4" t="inlineStr">
        <is>
          <t>Выпуски вертикалей Дм и колонн</t>
        </is>
      </c>
      <c r="B38" s="21" t="inlineStr">
        <is>
          <t>перепуск 800/500 мм над перекрытием (АС-34 прим.3, АС-32) → длина стержня на этаж = высота этажа: 1 этаж 4,0 м, 2 этаж 3,6 м</t>
        </is>
      </c>
      <c r="C38" s="33" t="n"/>
      <c r="D38" s="33" t="n"/>
      <c r="E38" s="33" t="n"/>
      <c r="F38" s="34" t="n"/>
    </row>
    <row r="39">
      <c r="A39" s="4" t="inlineStr">
        <is>
          <t>Защитный слой</t>
        </is>
      </c>
      <c r="B39" s="21" t="inlineStr">
        <is>
          <t>сетки плиты — 20 мм до оси (АС-55); торцы стержней — 25 мм</t>
        </is>
      </c>
      <c r="C39" s="33" t="n"/>
      <c r="D39" s="33" t="n"/>
      <c r="E39" s="33" t="n"/>
      <c r="F39" s="34" t="n"/>
    </row>
    <row r="41">
      <c r="A41" s="28" t="inlineStr">
        <is>
          <t>Использованные листы (стр. PDF → лист)</t>
        </is>
      </c>
    </row>
    <row r="42">
      <c r="A42" s="5" t="inlineStr">
        <is>
          <t>Стр. PDF</t>
        </is>
      </c>
      <c r="B42" s="5" t="inlineStr">
        <is>
          <t>Лист</t>
        </is>
      </c>
      <c r="C42" s="5" t="inlineStr">
        <is>
          <t>Содержание</t>
        </is>
      </c>
      <c r="D42" s="5" t="inlineStr">
        <is>
          <t>Использование</t>
        </is>
      </c>
    </row>
    <row r="43">
      <c r="A43" s="72" t="n">
        <v>2</v>
      </c>
      <c r="B43" s="72" t="inlineStr">
        <is>
          <t>АС-19</t>
        </is>
      </c>
      <c r="C43" s="21" t="inlineStr">
        <is>
          <t>Монтажная схема рам, примечания</t>
        </is>
      </c>
      <c r="D43" s="21" t="inlineStr">
        <is>
          <t>расположение Дм-1…Дм-5, число колонн, правила стыков</t>
        </is>
      </c>
    </row>
    <row r="44">
      <c r="A44" s="72" t="inlineStr">
        <is>
          <t>3–10</t>
        </is>
      </c>
      <c r="B44" s="72" t="inlineStr">
        <is>
          <t>АС-20…АС-27</t>
        </is>
      </c>
      <c r="C44" s="21" t="inlineStr">
        <is>
          <t>Рамы по осям А, Б, В, Г, 1, 5, 2, 3, 4</t>
        </is>
      </c>
      <c r="D44" s="21" t="inlineStr">
        <is>
          <t>ригели +3.950 и +7.550: ОС, Ос (бок), привязки, штриховка хомутов; сечения колонн 1-1 / 2-2 по этажам</t>
        </is>
      </c>
    </row>
    <row r="45">
      <c r="A45" s="72" t="n">
        <v>11</v>
      </c>
      <c r="B45" s="72" t="inlineStr">
        <is>
          <t>АС-28</t>
        </is>
      </c>
      <c r="C45" s="21" t="inlineStr">
        <is>
          <t>Сечения колонн 1-1…3-3, ригелей 4-4, 5-5; ведомость деталей; Фрагмент №1</t>
        </is>
      </c>
      <c r="D45" s="21" t="inlineStr">
        <is>
          <t>колонны 1 эт. 4Ø32+8Ø20, 2 эт. 4Ø28+8Ø20; ригели 4Ø28+2Ø18+2Ø16; хомуты поз.10–17</t>
        </is>
      </c>
    </row>
    <row r="46">
      <c r="A46" s="72" t="inlineStr">
        <is>
          <t>12–14</t>
        </is>
      </c>
      <c r="B46" s="72" t="inlineStr">
        <is>
          <t>АС-29…АС-31</t>
        </is>
      </c>
      <c r="C46" s="21" t="inlineStr">
        <is>
          <t>Узлы, расстановка хомутов ригелей, сетка-гребёнка С-1</t>
        </is>
      </c>
      <c r="D46" s="21" t="inlineStr">
        <is>
          <t>С-1 «попарно шаг 90», 7Ø10 × 570</t>
        </is>
      </c>
    </row>
    <row r="47">
      <c r="A47" s="72" t="n">
        <v>15</v>
      </c>
      <c r="B47" s="72" t="inlineStr">
        <is>
          <t>АС-32</t>
        </is>
      </c>
      <c r="C47" s="21" t="inlineStr">
        <is>
          <t>Схема расстановки хомутов колонн</t>
        </is>
      </c>
      <c r="D47" s="21" t="inlineStr">
        <is>
          <t>1 этаж: 100×12 + 200 + 100×12 (30 шт); 2÷4 этаж 3600: 28 шт</t>
        </is>
      </c>
    </row>
    <row r="48">
      <c r="A48" s="72" t="n">
        <v>16</v>
      </c>
      <c r="B48" s="72" t="inlineStr">
        <is>
          <t>АС-33</t>
        </is>
      </c>
      <c r="C48" s="21" t="inlineStr">
        <is>
          <t>Таблица анкерующих шайб</t>
        </is>
      </c>
      <c r="D48" s="21" t="inlineStr">
        <is>
          <t>марки Аш-1…Аш-8</t>
        </is>
      </c>
    </row>
    <row r="49">
      <c r="A49" s="72" t="inlineStr">
        <is>
          <t>17–25</t>
        </is>
      </c>
      <c r="B49" s="72" t="inlineStr">
        <is>
          <t>АС-34…АС-42</t>
        </is>
      </c>
      <c r="C49" s="21" t="inlineStr">
        <is>
          <t>Дм-1…Дм-5: развертки, сечения 1-1 «Подвал, 1 этаж», 2-2 / 3-3 «2 этаж», ведомость деталей</t>
        </is>
      </c>
      <c r="D49" s="21" t="inlineStr">
        <is>
          <t>вся арматура диафрагм обоих этажей</t>
        </is>
      </c>
    </row>
    <row r="50">
      <c r="A50" s="72" t="n">
        <v>29</v>
      </c>
      <c r="B50" s="72" t="inlineStr">
        <is>
          <t>АС-47</t>
        </is>
      </c>
      <c r="C50" s="21" t="inlineStr">
        <is>
          <t>План перекрытия на отм. 3.950</t>
        </is>
      </c>
      <c r="D50" s="21" t="inlineStr">
        <is>
          <t>контур плиты 1 эт., проёмы, балки, доп. 1Ø20 L=3000</t>
        </is>
      </c>
    </row>
    <row r="51">
      <c r="A51" s="72" t="n">
        <v>30</v>
      </c>
      <c r="B51" s="72" t="inlineStr">
        <is>
          <t>АС-48</t>
        </is>
      </c>
      <c r="C51" s="21" t="inlineStr">
        <is>
          <t>План перекрытия на отм. 7.550</t>
        </is>
      </c>
      <c r="D51" s="21" t="inlineStr">
        <is>
          <t>контур плиты 2 эт. (край 420), проём лестницы, балка 4-4, доп. 2Ø20 L=3000, 1Ø18 L=3000 и L=1700</t>
        </is>
      </c>
    </row>
    <row r="52">
      <c r="A52" s="72" t="n">
        <v>31</v>
      </c>
      <c r="B52" s="72" t="inlineStr">
        <is>
          <t>АС-50</t>
        </is>
      </c>
      <c r="C52" s="21" t="inlineStr">
        <is>
          <t>Нижняя сетка перекрытия 3.950÷14.750</t>
        </is>
      </c>
      <c r="D52" s="21" t="inlineStr">
        <is>
          <t>осн. сетка, доп. нижние зоны (одинаково для +3.950 и +7.550)</t>
        </is>
      </c>
    </row>
    <row r="53">
      <c r="A53" s="72" t="n">
        <v>32</v>
      </c>
      <c r="B53" s="72" t="inlineStr">
        <is>
          <t>АС-51</t>
        </is>
      </c>
      <c r="C53" s="21" t="inlineStr">
        <is>
          <t>Верхняя сетка перекрытия 3.950÷14.750</t>
        </is>
      </c>
      <c r="D53" s="21" t="inlineStr">
        <is>
          <t>доп. верхние зоны, Ø12 (одинаково для обоих этажей)</t>
        </is>
      </c>
    </row>
    <row r="54">
      <c r="A54" s="72" t="inlineStr">
        <is>
          <t>35–38</t>
        </is>
      </c>
      <c r="B54" s="72" t="inlineStr">
        <is>
          <t>АС-55…АС-58</t>
        </is>
      </c>
      <c r="C54" s="21" t="inlineStr">
        <is>
          <t>Сечения балок 1-1…6-6, узлы, ведомость деталей</t>
        </is>
      </c>
      <c r="D54" s="21" t="inlineStr">
        <is>
          <t>балки, край плиты, фиксаторы, пешки, нахлёсты</t>
        </is>
      </c>
    </row>
    <row r="55">
      <c r="A55" s="72" t="inlineStr">
        <is>
          <t>скрин</t>
        </is>
      </c>
      <c r="B55" s="72" t="inlineStr">
        <is>
          <t>АС-67…АС-69</t>
        </is>
      </c>
      <c r="C55" s="21" t="inlineStr">
        <is>
          <t>Лестница ЛВ-1, узлы, сечения; рама Лрм-1 (Лрм-2)</t>
        </is>
      </c>
      <c r="D55" s="21" t="inlineStr">
        <is>
          <t>марши 1–4, площадки 1.920 и 5.800, Лрм-1, Лрм-2, А-1, Зд-1, сетка С-1</t>
        </is>
      </c>
    </row>
  </sheetData>
  <mergeCells count="13">
    <mergeCell ref="B4:F4"/>
    <mergeCell ref="B7:F7"/>
    <mergeCell ref="B39:F39"/>
    <mergeCell ref="B6:F6"/>
    <mergeCell ref="B38:F38"/>
    <mergeCell ref="B10:F10"/>
    <mergeCell ref="B3:F3"/>
    <mergeCell ref="B5:F5"/>
    <mergeCell ref="B37:F37"/>
    <mergeCell ref="B36:F36"/>
    <mergeCell ref="B8:F8"/>
    <mergeCell ref="B9:F9"/>
    <mergeCell ref="B35:F35"/>
  </mergeCells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W1274"/>
  <sheetViews>
    <sheetView zoomScale="90" workbookViewId="0">
      <pane xSplit="7" ySplit="4" topLeftCell="H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4" customWidth="1" min="2" max="2"/>
    <col width="16" customWidth="1" min="3" max="3"/>
    <col width="16" customWidth="1" min="4" max="4"/>
    <col width="13" customWidth="1" min="5" max="5"/>
    <col width="7" customWidth="1" min="6" max="6"/>
    <col width="52" customWidth="1" min="7" max="7"/>
    <col width="5" customWidth="1" min="8" max="8"/>
    <col width="8" customWidth="1" min="9" max="9"/>
    <col width="8" customWidth="1" min="10" max="10"/>
    <col width="9" customWidth="1" min="11" max="11"/>
    <col width="9" customWidth="1" min="12" max="12"/>
    <col width="9" customWidth="1" min="13" max="13"/>
    <col width="11" customWidth="1" min="14" max="14"/>
    <col width="7" customWidth="1" min="15" max="15"/>
    <col width="11" customWidth="1" min="16" max="16"/>
    <col width="40" customWidth="1" min="17" max="17"/>
    <col width="16" customWidth="1" min="18" max="18"/>
    <col width="48" customWidth="1" min="19" max="19"/>
    <col width="14" customWidth="1" min="20" max="20"/>
    <col width="10" customWidth="1" min="21" max="21"/>
    <col width="13" customWidth="1" min="22" max="22"/>
    <col width="7" customWidth="1" min="23" max="23"/>
  </cols>
  <sheetData>
    <row r="1">
      <c r="A1" s="54" t="inlineStr">
        <is>
          <t>Рабочая ведомость подсчёта арматуры — Блок 14, 1–3 этаж (Дм-1…Дм-5, колонны, ригели, плита, балки, С-1, ЛВ-1)</t>
        </is>
      </c>
    </row>
    <row r="2">
      <c r="A2" s="29" t="inlineStr">
        <is>
          <t>Общая длина = Кол-во элементов × Стержней в 1 элементе × Длина 1 шт.;  Масса = Общая длина × кг/м. Синим — исходные данные из чертежей. Колонки V, W — ключи для листов «По осям» и «потребность».</t>
        </is>
      </c>
    </row>
    <row r="4" ht="45" customHeight="1">
      <c r="A4" s="5" t="inlineStr">
        <is>
          <t>№</t>
        </is>
      </c>
      <c r="B4" s="5" t="inlineStr">
        <is>
          <t>Этаж/отметка</t>
        </is>
      </c>
      <c r="C4" s="5" t="inlineStr">
        <is>
          <t>Конструкция</t>
        </is>
      </c>
      <c r="D4" s="5" t="inlineStr">
        <is>
          <t>Оси/участок</t>
        </is>
      </c>
      <c r="E4" s="5" t="inlineStr">
        <is>
          <t>Марка элемента</t>
        </is>
      </c>
      <c r="F4" s="5" t="inlineStr">
        <is>
          <t>Поз.</t>
        </is>
      </c>
      <c r="G4" s="5" t="inlineStr">
        <is>
          <t>Описание</t>
        </is>
      </c>
      <c r="H4" s="5" t="inlineStr">
        <is>
          <t>Ø</t>
        </is>
      </c>
      <c r="I4" s="5" t="inlineStr">
        <is>
          <t>Класс</t>
        </is>
      </c>
      <c r="J4" s="5" t="inlineStr">
        <is>
          <t>Шаг, мм</t>
        </is>
      </c>
      <c r="K4" s="5" t="inlineStr">
        <is>
          <t>Кол-во элементов</t>
        </is>
      </c>
      <c r="L4" s="5" t="inlineStr">
        <is>
          <t>Стержней в 1 элементе</t>
        </is>
      </c>
      <c r="M4" s="5" t="inlineStr">
        <is>
          <t>Длина 1 шт., м</t>
        </is>
      </c>
      <c r="N4" s="5" t="inlineStr">
        <is>
          <t>Общая длина, м</t>
        </is>
      </c>
      <c r="O4" s="5" t="inlineStr">
        <is>
          <t>кг/м</t>
        </is>
      </c>
      <c r="P4" s="5" t="inlineStr">
        <is>
          <t>Масса, кг</t>
        </is>
      </c>
      <c r="Q4" s="5" t="inlineStr">
        <is>
          <t>Основание</t>
        </is>
      </c>
      <c r="R4" s="5" t="inlineStr">
        <is>
          <t>Статус</t>
        </is>
      </c>
      <c r="S4" s="5" t="inlineStr">
        <is>
          <t>Примечание / расшифровка</t>
        </is>
      </c>
      <c r="T4" s="5" t="inlineStr">
        <is>
          <t>Группа</t>
        </is>
      </c>
      <c r="U4" s="5" t="inlineStr">
        <is>
          <t>Допущение (1/0)</t>
        </is>
      </c>
      <c r="V4" s="5" t="inlineStr">
        <is>
          <t>Колонка листа «По осям»</t>
        </is>
      </c>
      <c r="W4" s="5" t="inlineStr">
        <is>
          <t>Этаж №</t>
        </is>
      </c>
    </row>
    <row r="5">
      <c r="A5" s="73" t="inlineStr">
        <is>
          <t>1 ЭТАЖ (-0.050…+3.950)</t>
        </is>
      </c>
      <c r="B5" s="33" t="n"/>
      <c r="C5" s="33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33" t="n"/>
      <c r="O5" s="33" t="n"/>
      <c r="P5" s="33" t="n"/>
      <c r="Q5" s="33" t="n"/>
      <c r="R5" s="33" t="n"/>
      <c r="S5" s="33" t="n"/>
      <c r="T5" s="33" t="n"/>
      <c r="U5" s="33" t="n"/>
      <c r="V5" s="33" t="n"/>
      <c r="W5" s="34" t="n"/>
    </row>
    <row r="6">
      <c r="A6" s="74" t="inlineStr">
        <is>
          <t>1.1. ДИАФРАГМЫ Дм-1…Дм-5 — отм. -0.050…+3.950, сечения 1-1 «Подвал, 1 этаж»</t>
        </is>
      </c>
      <c r="B6" s="33" t="n"/>
      <c r="C6" s="33" t="n"/>
      <c r="D6" s="33" t="n"/>
      <c r="E6" s="33" t="n"/>
      <c r="F6" s="33" t="n"/>
      <c r="G6" s="33" t="n"/>
      <c r="H6" s="33" t="n"/>
      <c r="I6" s="33" t="n"/>
      <c r="J6" s="33" t="n"/>
      <c r="K6" s="33" t="n"/>
      <c r="L6" s="33" t="n"/>
      <c r="M6" s="33" t="n"/>
      <c r="N6" s="33" t="n"/>
      <c r="O6" s="33" t="n"/>
      <c r="P6" s="33" t="n"/>
      <c r="Q6" s="33" t="n"/>
      <c r="R6" s="33" t="n"/>
      <c r="S6" s="33" t="n"/>
      <c r="T6" s="33" t="n"/>
      <c r="U6" s="33" t="n"/>
      <c r="V6" s="33" t="n"/>
      <c r="W6" s="34" t="n"/>
    </row>
    <row r="7">
      <c r="A7" s="72" t="n">
        <v>1</v>
      </c>
      <c r="B7" s="21" t="inlineStr">
        <is>
          <t>1 этаж (отм. -0.050…+3.950)</t>
        </is>
      </c>
      <c r="C7" s="21" t="inlineStr">
        <is>
          <t>Диафрагмы</t>
        </is>
      </c>
      <c r="D7" s="21" t="inlineStr">
        <is>
          <t>А/4</t>
        </is>
      </c>
      <c r="E7" s="21" t="inlineStr">
        <is>
          <t>Дм-1</t>
        </is>
      </c>
      <c r="F7" s="72" t="inlineStr">
        <is>
          <t>1</t>
        </is>
      </c>
      <c r="G7" s="21" t="inlineStr">
        <is>
          <t>Вертикальные: колонна, угловые</t>
        </is>
      </c>
      <c r="H7" s="51" t="n">
        <v>32</v>
      </c>
      <c r="I7" s="72" t="inlineStr">
        <is>
          <t>А500С</t>
        </is>
      </c>
      <c r="J7" s="72" t="inlineStr">
        <is>
          <t>—</t>
        </is>
      </c>
      <c r="K7" s="75" t="n">
        <v>1</v>
      </c>
      <c r="L7" s="51" t="n">
        <v>4</v>
      </c>
      <c r="M7" s="69" t="n">
        <v>4</v>
      </c>
      <c r="N7" s="70">
        <f>K7*L7*M7</f>
        <v/>
      </c>
      <c r="O7" s="37">
        <f>IFERROR(INDEX(Исходные!$B$19:$B$31,MATCH(H7,Исходные!$A$19:$A$31,0)),0)</f>
        <v/>
      </c>
      <c r="P7" s="76">
        <f>N7*O7</f>
        <v/>
      </c>
      <c r="Q7" s="21" t="inlineStr">
        <is>
          <t>АС-34 сеч.1-1 «Подвал, 1 этаж»; прим.1,3</t>
        </is>
      </c>
      <c r="R7" s="77" t="inlineStr">
        <is>
          <t>по проекту</t>
        </is>
      </c>
      <c r="S7" s="21" t="inlineStr">
        <is>
          <t>стык ванной сваркой (Ø≥20), длина = высота этажа. поз.1 4Ø32</t>
        </is>
      </c>
      <c r="T7" s="21" t="inlineStr">
        <is>
          <t>Колонны, диафрагмы</t>
        </is>
      </c>
      <c r="U7" s="49" t="n">
        <v>0</v>
      </c>
      <c r="V7" s="72" t="inlineStr">
        <is>
          <t>Дм-1</t>
        </is>
      </c>
      <c r="W7" s="49" t="n">
        <v>1</v>
      </c>
    </row>
    <row r="8">
      <c r="A8" s="72" t="n">
        <v>2</v>
      </c>
      <c r="B8" s="21" t="inlineStr">
        <is>
          <t>1 этаж (отм. -0.050…+3.950)</t>
        </is>
      </c>
      <c r="C8" s="21" t="inlineStr">
        <is>
          <t>Диафрагмы</t>
        </is>
      </c>
      <c r="D8" s="21" t="inlineStr">
        <is>
          <t>А/4</t>
        </is>
      </c>
      <c r="E8" s="21" t="inlineStr">
        <is>
          <t>Дм-1</t>
        </is>
      </c>
      <c r="F8" s="72" t="inlineStr">
        <is>
          <t>5</t>
        </is>
      </c>
      <c r="G8" s="21" t="inlineStr">
        <is>
          <t>Вертикальные: колонна, промежуточные</t>
        </is>
      </c>
      <c r="H8" s="51" t="n">
        <v>20</v>
      </c>
      <c r="I8" s="72" t="inlineStr">
        <is>
          <t>А500С</t>
        </is>
      </c>
      <c r="J8" s="72" t="inlineStr">
        <is>
          <t>—</t>
        </is>
      </c>
      <c r="K8" s="75" t="n">
        <v>1</v>
      </c>
      <c r="L8" s="51" t="n">
        <v>8</v>
      </c>
      <c r="M8" s="69" t="n">
        <v>4</v>
      </c>
      <c r="N8" s="70">
        <f>K8*L8*M8</f>
        <v/>
      </c>
      <c r="O8" s="37">
        <f>IFERROR(INDEX(Исходные!$B$19:$B$31,MATCH(H8,Исходные!$A$19:$A$31,0)),0)</f>
        <v/>
      </c>
      <c r="P8" s="76">
        <f>N8*O8</f>
        <v/>
      </c>
      <c r="Q8" s="21" t="inlineStr">
        <is>
          <t>АС-34 сеч.1-1 «Подвал, 1 этаж»; прим.1,3</t>
        </is>
      </c>
      <c r="R8" s="77" t="inlineStr">
        <is>
          <t>по проекту</t>
        </is>
      </c>
      <c r="S8" s="21" t="inlineStr">
        <is>
          <t>стык ванной сваркой (Ø≥20), длина = высота этажа. поз.5 8Ø20</t>
        </is>
      </c>
      <c r="T8" s="21" t="inlineStr">
        <is>
          <t>Колонны, диафрагмы</t>
        </is>
      </c>
      <c r="U8" s="49" t="n">
        <v>0</v>
      </c>
      <c r="V8" s="72" t="inlineStr">
        <is>
          <t>Дм-1</t>
        </is>
      </c>
      <c r="W8" s="49" t="n">
        <v>1</v>
      </c>
    </row>
    <row r="9">
      <c r="A9" s="72" t="n">
        <v>3</v>
      </c>
      <c r="B9" s="21" t="inlineStr">
        <is>
          <t>1 этаж (отм. -0.050…+3.950)</t>
        </is>
      </c>
      <c r="C9" s="21" t="inlineStr">
        <is>
          <t>Диафрагмы</t>
        </is>
      </c>
      <c r="D9" s="21" t="inlineStr">
        <is>
          <t>А/4</t>
        </is>
      </c>
      <c r="E9" s="21" t="inlineStr">
        <is>
          <t>Дм-1</t>
        </is>
      </c>
      <c r="F9" s="72" t="inlineStr">
        <is>
          <t>2</t>
        </is>
      </c>
      <c r="G9" s="21" t="inlineStr">
        <is>
          <t>Вертикальные: полка (2 торцевых эл-та × 11)</t>
        </is>
      </c>
      <c r="H9" s="51" t="n">
        <v>28</v>
      </c>
      <c r="I9" s="72" t="inlineStr">
        <is>
          <t>А500С</t>
        </is>
      </c>
      <c r="J9" s="72" t="inlineStr">
        <is>
          <t>—</t>
        </is>
      </c>
      <c r="K9" s="75" t="n">
        <v>1</v>
      </c>
      <c r="L9" s="51" t="n">
        <v>22</v>
      </c>
      <c r="M9" s="69" t="n">
        <v>4</v>
      </c>
      <c r="N9" s="70">
        <f>K9*L9*M9</f>
        <v/>
      </c>
      <c r="O9" s="37">
        <f>IFERROR(INDEX(Исходные!$B$19:$B$31,MATCH(H9,Исходные!$A$19:$A$31,0)),0)</f>
        <v/>
      </c>
      <c r="P9" s="76">
        <f>N9*O9</f>
        <v/>
      </c>
      <c r="Q9" s="21" t="inlineStr">
        <is>
          <t>АС-34 сеч.1-1 «Подвал, 1 этаж»; прим.1,3</t>
        </is>
      </c>
      <c r="R9" s="77" t="inlineStr">
        <is>
          <t>по проекту</t>
        </is>
      </c>
      <c r="S9" s="21" t="inlineStr">
        <is>
          <t>стык ванной сваркой (Ø≥20), длина = высота этажа. выноска «6Ø28» на 6 стержней + 5 симметричных без выноски</t>
        </is>
      </c>
      <c r="T9" s="21" t="inlineStr">
        <is>
          <t>Колонны, диафрагмы</t>
        </is>
      </c>
      <c r="U9" s="49" t="n">
        <v>0</v>
      </c>
      <c r="V9" s="72" t="inlineStr">
        <is>
          <t>Дм-1</t>
        </is>
      </c>
      <c r="W9" s="49" t="n">
        <v>1</v>
      </c>
    </row>
    <row r="10">
      <c r="A10" s="72" t="n">
        <v>4</v>
      </c>
      <c r="B10" s="21" t="inlineStr">
        <is>
          <t>1 этаж (отм. -0.050…+3.950)</t>
        </is>
      </c>
      <c r="C10" s="21" t="inlineStr">
        <is>
          <t>Диафрагмы</t>
        </is>
      </c>
      <c r="D10" s="21" t="inlineStr">
        <is>
          <t>А/4</t>
        </is>
      </c>
      <c r="E10" s="21" t="inlineStr">
        <is>
          <t>Дм-1</t>
        </is>
      </c>
      <c r="F10" s="72" t="inlineStr">
        <is>
          <t>3</t>
        </is>
      </c>
      <c r="G10" s="21" t="inlineStr">
        <is>
          <t>Вертикальные: полка, стенка (2 × 4)</t>
        </is>
      </c>
      <c r="H10" s="51" t="n">
        <v>25</v>
      </c>
      <c r="I10" s="72" t="inlineStr">
        <is>
          <t>А500С</t>
        </is>
      </c>
      <c r="J10" s="72" t="inlineStr">
        <is>
          <t>—</t>
        </is>
      </c>
      <c r="K10" s="75" t="n">
        <v>1</v>
      </c>
      <c r="L10" s="51" t="n">
        <v>8</v>
      </c>
      <c r="M10" s="69" t="n">
        <v>4</v>
      </c>
      <c r="N10" s="70">
        <f>K10*L10*M10</f>
        <v/>
      </c>
      <c r="O10" s="37">
        <f>IFERROR(INDEX(Исходные!$B$19:$B$31,MATCH(H10,Исходные!$A$19:$A$31,0)),0)</f>
        <v/>
      </c>
      <c r="P10" s="76">
        <f>N10*O10</f>
        <v/>
      </c>
      <c r="Q10" s="21" t="inlineStr">
        <is>
          <t>АС-34 сеч.1-1 «Подвал, 1 этаж»; прим.1,3</t>
        </is>
      </c>
      <c r="R10" s="77" t="inlineStr">
        <is>
          <t>по проекту</t>
        </is>
      </c>
      <c r="S10" s="21" t="inlineStr">
        <is>
          <t>стык ванной сваркой (Ø≥20), длина = высота этажа. выноска «2Ø25» + 2 симметричных</t>
        </is>
      </c>
      <c r="T10" s="21" t="inlineStr">
        <is>
          <t>Колонны, диафрагмы</t>
        </is>
      </c>
      <c r="U10" s="49" t="n">
        <v>0</v>
      </c>
      <c r="V10" s="72" t="inlineStr">
        <is>
          <t>Дм-1</t>
        </is>
      </c>
      <c r="W10" s="49" t="n">
        <v>1</v>
      </c>
    </row>
    <row r="11">
      <c r="A11" s="72" t="n">
        <v>5</v>
      </c>
      <c r="B11" s="21" t="inlineStr">
        <is>
          <t>1 этаж (отм. -0.050…+3.950)</t>
        </is>
      </c>
      <c r="C11" s="21" t="inlineStr">
        <is>
          <t>Диафрагмы</t>
        </is>
      </c>
      <c r="D11" s="21" t="inlineStr">
        <is>
          <t>А/4</t>
        </is>
      </c>
      <c r="E11" s="21" t="inlineStr">
        <is>
          <t>Дм-1</t>
        </is>
      </c>
      <c r="F11" s="72" t="inlineStr">
        <is>
          <t>2</t>
        </is>
      </c>
      <c r="G11" s="21" t="inlineStr">
        <is>
          <t>Вертикальные: ребро, торцевой элемент</t>
        </is>
      </c>
      <c r="H11" s="51" t="n">
        <v>28</v>
      </c>
      <c r="I11" s="72" t="inlineStr">
        <is>
          <t>А500С</t>
        </is>
      </c>
      <c r="J11" s="72" t="inlineStr">
        <is>
          <t>—</t>
        </is>
      </c>
      <c r="K11" s="75" t="n">
        <v>1</v>
      </c>
      <c r="L11" s="51" t="n">
        <v>10</v>
      </c>
      <c r="M11" s="69" t="n">
        <v>4</v>
      </c>
      <c r="N11" s="70">
        <f>K11*L11*M11</f>
        <v/>
      </c>
      <c r="O11" s="37">
        <f>IFERROR(INDEX(Исходные!$B$19:$B$31,MATCH(H11,Исходные!$A$19:$A$31,0)),0)</f>
        <v/>
      </c>
      <c r="P11" s="76">
        <f>N11*O11</f>
        <v/>
      </c>
      <c r="Q11" s="21" t="inlineStr">
        <is>
          <t>АС-34 сеч.1-1 «Подвал, 1 этаж»; прим.1,3</t>
        </is>
      </c>
      <c r="R11" s="77" t="inlineStr">
        <is>
          <t>по проекту</t>
        </is>
      </c>
      <c r="S11" s="21" t="inlineStr">
        <is>
          <t>стык ванной сваркой (Ø≥20), длина = высота этажа. выноска «5Ø28» + 5 симметричных</t>
        </is>
      </c>
      <c r="T11" s="21" t="inlineStr">
        <is>
          <t>Колонны, диафрагмы</t>
        </is>
      </c>
      <c r="U11" s="49" t="n">
        <v>0</v>
      </c>
      <c r="V11" s="72" t="inlineStr">
        <is>
          <t>Дм-1</t>
        </is>
      </c>
      <c r="W11" s="49" t="n">
        <v>1</v>
      </c>
    </row>
    <row r="12">
      <c r="A12" s="72" t="n">
        <v>6</v>
      </c>
      <c r="B12" s="21" t="inlineStr">
        <is>
          <t>1 этаж (отм. -0.050…+3.950)</t>
        </is>
      </c>
      <c r="C12" s="21" t="inlineStr">
        <is>
          <t>Диафрагмы</t>
        </is>
      </c>
      <c r="D12" s="21" t="inlineStr">
        <is>
          <t>А/4</t>
        </is>
      </c>
      <c r="E12" s="21" t="inlineStr">
        <is>
          <t>Дм-1</t>
        </is>
      </c>
      <c r="F12" s="72" t="inlineStr">
        <is>
          <t>5</t>
        </is>
      </c>
      <c r="G12" s="21" t="inlineStr">
        <is>
          <t>Вертикальные: ребро, стенка</t>
        </is>
      </c>
      <c r="H12" s="51" t="n">
        <v>20</v>
      </c>
      <c r="I12" s="72" t="inlineStr">
        <is>
          <t>А500С</t>
        </is>
      </c>
      <c r="J12" s="72" t="inlineStr">
        <is>
          <t>—</t>
        </is>
      </c>
      <c r="K12" s="75" t="n">
        <v>1</v>
      </c>
      <c r="L12" s="51" t="n">
        <v>8</v>
      </c>
      <c r="M12" s="69" t="n">
        <v>4</v>
      </c>
      <c r="N12" s="70">
        <f>K12*L12*M12</f>
        <v/>
      </c>
      <c r="O12" s="37">
        <f>IFERROR(INDEX(Исходные!$B$19:$B$31,MATCH(H12,Исходные!$A$19:$A$31,0)),0)</f>
        <v/>
      </c>
      <c r="P12" s="76">
        <f>N12*O12</f>
        <v/>
      </c>
      <c r="Q12" s="21" t="inlineStr">
        <is>
          <t>АС-34 сеч.1-1 «Подвал, 1 этаж»; прим.1,3</t>
        </is>
      </c>
      <c r="R12" s="77" t="inlineStr">
        <is>
          <t>по проекту</t>
        </is>
      </c>
      <c r="S12" s="21" t="inlineStr">
        <is>
          <t>стык ванной сваркой (Ø≥20), длина = высота этажа. выноска «4Ø20» + 4 симметричных</t>
        </is>
      </c>
      <c r="T12" s="21" t="inlineStr">
        <is>
          <t>Колонны, диафрагмы</t>
        </is>
      </c>
      <c r="U12" s="49" t="n">
        <v>0</v>
      </c>
      <c r="V12" s="72" t="inlineStr">
        <is>
          <t>Дм-1</t>
        </is>
      </c>
      <c r="W12" s="49" t="n">
        <v>1</v>
      </c>
    </row>
    <row r="13">
      <c r="A13" s="72" t="n">
        <v>7</v>
      </c>
      <c r="B13" s="21" t="inlineStr">
        <is>
          <t>1 этаж (отм. -0.050…+3.950)</t>
        </is>
      </c>
      <c r="C13" s="21" t="inlineStr">
        <is>
          <t>Диафрагмы</t>
        </is>
      </c>
      <c r="D13" s="21" t="inlineStr">
        <is>
          <t>А/4</t>
        </is>
      </c>
      <c r="E13" s="21" t="inlineStr">
        <is>
          <t>Дм-1</t>
        </is>
      </c>
      <c r="F13" s="72" t="inlineStr">
        <is>
          <t>6</t>
        </is>
      </c>
      <c r="G13" s="21" t="inlineStr">
        <is>
          <t>Вертикальные: ребро, стенка (4+4) + 1 на торце</t>
        </is>
      </c>
      <c r="H13" s="51" t="n">
        <v>18</v>
      </c>
      <c r="I13" s="72" t="inlineStr">
        <is>
          <t>А500С</t>
        </is>
      </c>
      <c r="J13" s="72" t="inlineStr">
        <is>
          <t>—</t>
        </is>
      </c>
      <c r="K13" s="75" t="n">
        <v>1</v>
      </c>
      <c r="L13" s="51" t="n">
        <v>9</v>
      </c>
      <c r="M13" s="69" t="n">
        <v>4.144</v>
      </c>
      <c r="N13" s="70">
        <f>K13*L13*M13</f>
        <v/>
      </c>
      <c r="O13" s="37">
        <f>IFERROR(INDEX(Исходные!$B$19:$B$31,MATCH(H13,Исходные!$A$19:$A$31,0)),0)</f>
        <v/>
      </c>
      <c r="P13" s="76">
        <f>N13*O13</f>
        <v/>
      </c>
      <c r="Q13" s="21" t="inlineStr">
        <is>
          <t>АС-34 сеч.1-1 «Подвал, 1 этаж»; прим.1,3</t>
        </is>
      </c>
      <c r="R13" s="77" t="inlineStr">
        <is>
          <t>по проекту</t>
        </is>
      </c>
      <c r="S13" s="21" t="inlineStr">
        <is>
          <t>нахлёст 8d со сваркой (Ø≤18), учтён в длине. выноски «4Ø18» и «1Ø18»</t>
        </is>
      </c>
      <c r="T13" s="21" t="inlineStr">
        <is>
          <t>Колонны, диафрагмы</t>
        </is>
      </c>
      <c r="U13" s="49" t="n">
        <v>0</v>
      </c>
      <c r="V13" s="72" t="inlineStr">
        <is>
          <t>Дм-1</t>
        </is>
      </c>
      <c r="W13" s="49" t="n">
        <v>1</v>
      </c>
    </row>
    <row r="14">
      <c r="A14" s="72" t="n">
        <v>8</v>
      </c>
      <c r="B14" s="21" t="inlineStr">
        <is>
          <t>1 этаж (отм. -0.050…+3.950)</t>
        </is>
      </c>
      <c r="C14" s="21" t="inlineStr">
        <is>
          <t>Диафрагмы</t>
        </is>
      </c>
      <c r="D14" s="21" t="inlineStr">
        <is>
          <t>А/4</t>
        </is>
      </c>
      <c r="E14" s="21" t="inlineStr">
        <is>
          <t>Дм-1</t>
        </is>
      </c>
      <c r="F14" s="72" t="inlineStr">
        <is>
          <t>гор.</t>
        </is>
      </c>
      <c r="G14" s="21" t="inlineStr">
        <is>
          <t>Горизонтальные «Осн. стержни»: полка вдоль оси А, L=2000-2×25</t>
        </is>
      </c>
      <c r="H14" s="51" t="n">
        <v>18</v>
      </c>
      <c r="I14" s="72" t="inlineStr">
        <is>
          <t>А500С</t>
        </is>
      </c>
      <c r="J14" s="72" t="n">
        <v>200</v>
      </c>
      <c r="K14" s="75" t="n">
        <v>1</v>
      </c>
      <c r="L14" s="51" t="n">
        <v>36</v>
      </c>
      <c r="M14" s="69" t="n">
        <v>1.95</v>
      </c>
      <c r="N14" s="70">
        <f>K14*L14*M14</f>
        <v/>
      </c>
      <c r="O14" s="37">
        <f>IFERROR(INDEX(Исходные!$B$19:$B$31,MATCH(H14,Исходные!$A$19:$A$31,0)),0)</f>
        <v/>
      </c>
      <c r="P14" s="76">
        <f>N14*O14</f>
        <v/>
      </c>
      <c r="Q14" s="21" t="inlineStr">
        <is>
          <t>АС-34 развертка, шаг 200x16+100 (18 рядов × 2 грани)</t>
        </is>
      </c>
      <c r="R14" s="78" t="inlineStr">
        <is>
          <t>по геометрии (уточнить)</t>
        </is>
      </c>
      <c r="S14" s="21" t="inlineStr">
        <is>
          <t>L=1950 как у доп. стержней полки</t>
        </is>
      </c>
      <c r="T14" s="21" t="inlineStr">
        <is>
          <t>Колонны, диафрагмы</t>
        </is>
      </c>
      <c r="U14" s="49" t="n">
        <v>1</v>
      </c>
      <c r="V14" s="72" t="inlineStr">
        <is>
          <t>Дм-1</t>
        </is>
      </c>
      <c r="W14" s="49" t="n">
        <v>1</v>
      </c>
    </row>
    <row r="15">
      <c r="A15" s="72" t="n">
        <v>9</v>
      </c>
      <c r="B15" s="21" t="inlineStr">
        <is>
          <t>1 этаж (отм. -0.050…+3.950)</t>
        </is>
      </c>
      <c r="C15" s="21" t="inlineStr">
        <is>
          <t>Диафрагмы</t>
        </is>
      </c>
      <c r="D15" s="21" t="inlineStr">
        <is>
          <t>А/4</t>
        </is>
      </c>
      <c r="E15" s="21" t="inlineStr">
        <is>
          <t>Дм-1</t>
        </is>
      </c>
      <c r="F15" s="72" t="inlineStr">
        <is>
          <t>гор.</t>
        </is>
      </c>
      <c r="G15" s="21" t="inlineStr">
        <is>
          <t>Горизонтальные «Осн. стержни»: ребро вдоль оси 4, L=2300-2×25</t>
        </is>
      </c>
      <c r="H15" s="51" t="n">
        <v>16</v>
      </c>
      <c r="I15" s="72" t="inlineStr">
        <is>
          <t>А500С</t>
        </is>
      </c>
      <c r="J15" s="72" t="n">
        <v>200</v>
      </c>
      <c r="K15" s="75" t="n">
        <v>1</v>
      </c>
      <c r="L15" s="51" t="n">
        <v>36</v>
      </c>
      <c r="M15" s="69" t="n">
        <v>2.25</v>
      </c>
      <c r="N15" s="70">
        <f>K15*L15*M15</f>
        <v/>
      </c>
      <c r="O15" s="37">
        <f>IFERROR(INDEX(Исходные!$B$19:$B$31,MATCH(H15,Исходные!$A$19:$A$31,0)),0)</f>
        <v/>
      </c>
      <c r="P15" s="76">
        <f>N15*O15</f>
        <v/>
      </c>
      <c r="Q15" s="21" t="inlineStr">
        <is>
          <t>АС-34 развертка, шаг 200x16+100 (18 рядов × 2 грани)</t>
        </is>
      </c>
      <c r="R15" s="78" t="inlineStr">
        <is>
          <t>по геометрии (уточнить)</t>
        </is>
      </c>
      <c r="S15" s="21" t="inlineStr">
        <is>
          <t>ребро 1700 + колонна 600</t>
        </is>
      </c>
      <c r="T15" s="21" t="inlineStr">
        <is>
          <t>Колонны, диафрагмы</t>
        </is>
      </c>
      <c r="U15" s="49" t="n">
        <v>1</v>
      </c>
      <c r="V15" s="72" t="inlineStr">
        <is>
          <t>Дм-1</t>
        </is>
      </c>
      <c r="W15" s="49" t="n">
        <v>1</v>
      </c>
    </row>
    <row r="16">
      <c r="A16" s="72" t="n">
        <v>10</v>
      </c>
      <c r="B16" s="21" t="inlineStr">
        <is>
          <t>1 этаж (отм. -0.050…+3.950)</t>
        </is>
      </c>
      <c r="C16" s="21" t="inlineStr">
        <is>
          <t>Диафрагмы</t>
        </is>
      </c>
      <c r="D16" s="21" t="inlineStr">
        <is>
          <t>А/4</t>
        </is>
      </c>
      <c r="E16" s="21" t="inlineStr">
        <is>
          <t>Дм-1</t>
        </is>
      </c>
      <c r="F16" s="72" t="inlineStr">
        <is>
          <t>доп.</t>
        </is>
      </c>
      <c r="G16" s="21" t="inlineStr">
        <is>
          <t>Доп. стержни: полка у отм. -0.050, 10Ø20 L=1950</t>
        </is>
      </c>
      <c r="H16" s="51" t="n">
        <v>20</v>
      </c>
      <c r="I16" s="72" t="inlineStr">
        <is>
          <t>А500С</t>
        </is>
      </c>
      <c r="J16" s="72" t="n">
        <v>200</v>
      </c>
      <c r="K16" s="75" t="n">
        <v>1</v>
      </c>
      <c r="L16" s="51" t="n">
        <v>10</v>
      </c>
      <c r="M16" s="69" t="n">
        <v>1.95</v>
      </c>
      <c r="N16" s="70">
        <f>K16*L16*M16</f>
        <v/>
      </c>
      <c r="O16" s="37">
        <f>IFERROR(INDEX(Исходные!$B$19:$B$31,MATCH(H16,Исходные!$A$19:$A$31,0)),0)</f>
        <v/>
      </c>
      <c r="P16" s="76">
        <f>N16*O16</f>
        <v/>
      </c>
      <c r="Q16" s="21" t="inlineStr">
        <is>
          <t>АС-34 развертка, выноска «Доп. стержень»</t>
        </is>
      </c>
      <c r="R16" s="77" t="inlineStr">
        <is>
          <t>по проекту</t>
        </is>
      </c>
      <c r="S16" s="21" t="inlineStr"/>
      <c r="T16" s="21" t="inlineStr">
        <is>
          <t>Колонны, диафрагмы</t>
        </is>
      </c>
      <c r="U16" s="49" t="n">
        <v>0</v>
      </c>
      <c r="V16" s="72" t="inlineStr">
        <is>
          <t>Дм-1</t>
        </is>
      </c>
      <c r="W16" s="49" t="n">
        <v>1</v>
      </c>
    </row>
    <row r="17">
      <c r="A17" s="72" t="n">
        <v>11</v>
      </c>
      <c r="B17" s="21" t="inlineStr">
        <is>
          <t>1 этаж (отм. -0.050…+3.950)</t>
        </is>
      </c>
      <c r="C17" s="21" t="inlineStr">
        <is>
          <t>Диафрагмы</t>
        </is>
      </c>
      <c r="D17" s="21" t="inlineStr">
        <is>
          <t>А/4</t>
        </is>
      </c>
      <c r="E17" s="21" t="inlineStr">
        <is>
          <t>Дм-1</t>
        </is>
      </c>
      <c r="F17" s="72" t="inlineStr">
        <is>
          <t>доп.</t>
        </is>
      </c>
      <c r="G17" s="21" t="inlineStr">
        <is>
          <t>Доп. стержни: ребро у отм. -0.050, 6Ø20 L=1200</t>
        </is>
      </c>
      <c r="H17" s="51" t="n">
        <v>20</v>
      </c>
      <c r="I17" s="72" t="inlineStr">
        <is>
          <t>А500С</t>
        </is>
      </c>
      <c r="J17" s="72" t="n">
        <v>200</v>
      </c>
      <c r="K17" s="75" t="n">
        <v>1</v>
      </c>
      <c r="L17" s="51" t="n">
        <v>6</v>
      </c>
      <c r="M17" s="69" t="n">
        <v>1.2</v>
      </c>
      <c r="N17" s="70">
        <f>K17*L17*M17</f>
        <v/>
      </c>
      <c r="O17" s="37">
        <f>IFERROR(INDEX(Исходные!$B$19:$B$31,MATCH(H17,Исходные!$A$19:$A$31,0)),0)</f>
        <v/>
      </c>
      <c r="P17" s="76">
        <f>N17*O17</f>
        <v/>
      </c>
      <c r="Q17" s="21" t="inlineStr">
        <is>
          <t>АС-34 развертка, выноска «Доп. стержень»</t>
        </is>
      </c>
      <c r="R17" s="77" t="inlineStr">
        <is>
          <t>по проекту</t>
        </is>
      </c>
      <c r="S17" s="21" t="inlineStr"/>
      <c r="T17" s="21" t="inlineStr">
        <is>
          <t>Колонны, диафрагмы</t>
        </is>
      </c>
      <c r="U17" s="49" t="n">
        <v>0</v>
      </c>
      <c r="V17" s="72" t="inlineStr">
        <is>
          <t>Дм-1</t>
        </is>
      </c>
      <c r="W17" s="49" t="n">
        <v>1</v>
      </c>
    </row>
    <row r="18">
      <c r="A18" s="72" t="n">
        <v>12</v>
      </c>
      <c r="B18" s="21" t="inlineStr">
        <is>
          <t>1 этаж (отм. -0.050…+3.950)</t>
        </is>
      </c>
      <c r="C18" s="21" t="inlineStr">
        <is>
          <t>Диафрагмы</t>
        </is>
      </c>
      <c r="D18" s="21" t="inlineStr">
        <is>
          <t>А/4</t>
        </is>
      </c>
      <c r="E18" s="21" t="inlineStr">
        <is>
          <t>Дм-1</t>
        </is>
      </c>
      <c r="F18" s="72" t="inlineStr">
        <is>
          <t>доп.</t>
        </is>
      </c>
      <c r="G18" s="21" t="inlineStr">
        <is>
          <t>Доп. стержни: ребро у отм. -0.050, 4Ø10 L=1200</t>
        </is>
      </c>
      <c r="H18" s="51" t="n">
        <v>10</v>
      </c>
      <c r="I18" s="72" t="inlineStr">
        <is>
          <t>А500С</t>
        </is>
      </c>
      <c r="J18" s="72" t="n">
        <v>200</v>
      </c>
      <c r="K18" s="75" t="n">
        <v>1</v>
      </c>
      <c r="L18" s="51" t="n">
        <v>4</v>
      </c>
      <c r="M18" s="69" t="n">
        <v>1.2</v>
      </c>
      <c r="N18" s="70">
        <f>K18*L18*M18</f>
        <v/>
      </c>
      <c r="O18" s="37">
        <f>IFERROR(INDEX(Исходные!$B$19:$B$31,MATCH(H18,Исходные!$A$19:$A$31,0)),0)</f>
        <v/>
      </c>
      <c r="P18" s="76">
        <f>N18*O18</f>
        <v/>
      </c>
      <c r="Q18" s="21" t="inlineStr">
        <is>
          <t>АС-34 развертка, выноска «Доп. стержень»</t>
        </is>
      </c>
      <c r="R18" s="77" t="inlineStr">
        <is>
          <t>по проекту</t>
        </is>
      </c>
      <c r="S18" s="21" t="inlineStr"/>
      <c r="T18" s="21" t="inlineStr">
        <is>
          <t>Колонны, диафрагмы</t>
        </is>
      </c>
      <c r="U18" s="49" t="n">
        <v>0</v>
      </c>
      <c r="V18" s="72" t="inlineStr">
        <is>
          <t>Дм-1</t>
        </is>
      </c>
      <c r="W18" s="49" t="n">
        <v>1</v>
      </c>
    </row>
    <row r="19">
      <c r="A19" s="72" t="n">
        <v>13</v>
      </c>
      <c r="B19" s="21" t="inlineStr">
        <is>
          <t>1 этаж (отм. -0.050…+3.950)</t>
        </is>
      </c>
      <c r="C19" s="21" t="inlineStr">
        <is>
          <t>Диафрагмы</t>
        </is>
      </c>
      <c r="D19" s="21" t="inlineStr">
        <is>
          <t>А/4</t>
        </is>
      </c>
      <c r="E19" s="21" t="inlineStr">
        <is>
          <t>Дм-1</t>
        </is>
      </c>
      <c r="F19" s="72" t="inlineStr">
        <is>
          <t>14</t>
        </is>
      </c>
      <c r="G19" s="21" t="inlineStr">
        <is>
          <t>П-образный стержень на торцах стенки: 3 шт/ряд × 18 рядов</t>
        </is>
      </c>
      <c r="H19" s="51" t="n">
        <v>10</v>
      </c>
      <c r="I19" s="72" t="inlineStr">
        <is>
          <t>А240</t>
        </is>
      </c>
      <c r="J19" s="72" t="inlineStr">
        <is>
          <t>200</t>
        </is>
      </c>
      <c r="K19" s="75" t="n">
        <v>1</v>
      </c>
      <c r="L19" s="51" t="n">
        <v>54</v>
      </c>
      <c r="M19" s="69" t="n">
        <v>1.33</v>
      </c>
      <c r="N19" s="70">
        <f>K19*L19*M19</f>
        <v/>
      </c>
      <c r="O19" s="37">
        <f>IFERROR(INDEX(Исходные!$B$19:$B$31,MATCH(H19,Исходные!$A$19:$A$31,0)),0)</f>
        <v/>
      </c>
      <c r="P19" s="76">
        <f>N19*O19</f>
        <v/>
      </c>
      <c r="Q19" s="21" t="inlineStr">
        <is>
          <t>сечение 1-1; АС-42 ведомость деталей поз.14 L=1330</t>
        </is>
      </c>
      <c r="R19" s="77" t="inlineStr">
        <is>
          <t>по проекту</t>
        </is>
      </c>
      <c r="S19" s="21" t="inlineStr"/>
      <c r="T19" s="21" t="inlineStr">
        <is>
          <t>Колонны, диафрагмы</t>
        </is>
      </c>
      <c r="U19" s="49" t="n">
        <v>0</v>
      </c>
      <c r="V19" s="72" t="inlineStr">
        <is>
          <t>Дм-1</t>
        </is>
      </c>
      <c r="W19" s="49" t="n">
        <v>1</v>
      </c>
    </row>
    <row r="20">
      <c r="A20" s="72" t="n">
        <v>14</v>
      </c>
      <c r="B20" s="21" t="inlineStr">
        <is>
          <t>1 этаж (отм. -0.050…+3.950)</t>
        </is>
      </c>
      <c r="C20" s="21" t="inlineStr">
        <is>
          <t>Диафрагмы</t>
        </is>
      </c>
      <c r="D20" s="21" t="inlineStr">
        <is>
          <t>А/4</t>
        </is>
      </c>
      <c r="E20" s="21" t="inlineStr">
        <is>
          <t>Дм-1</t>
        </is>
      </c>
      <c r="F20" s="72" t="inlineStr">
        <is>
          <t>12*</t>
        </is>
      </c>
      <c r="G20" s="21" t="inlineStr">
        <is>
          <t>Хомут торцевого элемента полки: 2 шт/ряд × 18</t>
        </is>
      </c>
      <c r="H20" s="51" t="n">
        <v>10</v>
      </c>
      <c r="I20" s="72" t="inlineStr">
        <is>
          <t>А240</t>
        </is>
      </c>
      <c r="J20" s="72" t="inlineStr">
        <is>
          <t>200</t>
        </is>
      </c>
      <c r="K20" s="75" t="n">
        <v>1</v>
      </c>
      <c r="L20" s="51" t="n">
        <v>36</v>
      </c>
      <c r="M20" s="69" t="n">
        <v>1.56</v>
      </c>
      <c r="N20" s="70">
        <f>K20*L20*M20</f>
        <v/>
      </c>
      <c r="O20" s="37">
        <f>IFERROR(INDEX(Исходные!$B$19:$B$31,MATCH(H20,Исходные!$A$19:$A$31,0)),0)</f>
        <v/>
      </c>
      <c r="P20" s="76">
        <f>N20*O20</f>
        <v/>
      </c>
      <c r="Q20" s="21" t="inlineStr">
        <is>
          <t>сечение 1-1 «хом.Ø10 ш.200»; АС-42 ведомость деталей поз.12 L=1560</t>
        </is>
      </c>
      <c r="R20" s="77" t="inlineStr">
        <is>
          <t>по проекту</t>
        </is>
      </c>
      <c r="S20" s="21" t="inlineStr"/>
      <c r="T20" s="21" t="inlineStr">
        <is>
          <t>Колонны, диафрагмы</t>
        </is>
      </c>
      <c r="U20" s="49" t="n">
        <v>0</v>
      </c>
      <c r="V20" s="72" t="inlineStr">
        <is>
          <t>Дм-1</t>
        </is>
      </c>
      <c r="W20" s="49" t="n">
        <v>1</v>
      </c>
    </row>
    <row r="21">
      <c r="A21" s="72" t="n">
        <v>15</v>
      </c>
      <c r="B21" s="21" t="inlineStr">
        <is>
          <t>1 этаж (отм. -0.050…+3.950)</t>
        </is>
      </c>
      <c r="C21" s="21" t="inlineStr">
        <is>
          <t>Диафрагмы</t>
        </is>
      </c>
      <c r="D21" s="21" t="inlineStr">
        <is>
          <t>А/4</t>
        </is>
      </c>
      <c r="E21" s="21" t="inlineStr">
        <is>
          <t>Дм-1</t>
        </is>
      </c>
      <c r="F21" s="72" t="inlineStr">
        <is>
          <t>15*</t>
        </is>
      </c>
      <c r="G21" s="21" t="inlineStr">
        <is>
          <t>Хомут торцевого элемента ребра: 1 шт/ряд × 18</t>
        </is>
      </c>
      <c r="H21" s="51" t="n">
        <v>10</v>
      </c>
      <c r="I21" s="72" t="inlineStr">
        <is>
          <t>А240</t>
        </is>
      </c>
      <c r="J21" s="72" t="inlineStr">
        <is>
          <t>200</t>
        </is>
      </c>
      <c r="K21" s="75" t="n">
        <v>1</v>
      </c>
      <c r="L21" s="51" t="n">
        <v>18</v>
      </c>
      <c r="M21" s="69" t="n">
        <v>1.76</v>
      </c>
      <c r="N21" s="70">
        <f>K21*L21*M21</f>
        <v/>
      </c>
      <c r="O21" s="37">
        <f>IFERROR(INDEX(Исходные!$B$19:$B$31,MATCH(H21,Исходные!$A$19:$A$31,0)),0)</f>
        <v/>
      </c>
      <c r="P21" s="76">
        <f>N21*O21</f>
        <v/>
      </c>
      <c r="Q21" s="21" t="inlineStr">
        <is>
          <t>сечение 1-1; АС-42 ведомость деталей поз.15,(15*) L=1760</t>
        </is>
      </c>
      <c r="R21" s="77" t="inlineStr">
        <is>
          <t>по проекту</t>
        </is>
      </c>
      <c r="S21" s="21" t="inlineStr"/>
      <c r="T21" s="21" t="inlineStr">
        <is>
          <t>Колонны, диафрагмы</t>
        </is>
      </c>
      <c r="U21" s="49" t="n">
        <v>0</v>
      </c>
      <c r="V21" s="72" t="inlineStr">
        <is>
          <t>Дм-1</t>
        </is>
      </c>
      <c r="W21" s="49" t="n">
        <v>1</v>
      </c>
    </row>
    <row r="22">
      <c r="A22" s="72" t="n">
        <v>16</v>
      </c>
      <c r="B22" s="21" t="inlineStr">
        <is>
          <t>1 этаж (отм. -0.050…+3.950)</t>
        </is>
      </c>
      <c r="C22" s="21" t="inlineStr">
        <is>
          <t>Диафрагмы</t>
        </is>
      </c>
      <c r="D22" s="21" t="inlineStr">
        <is>
          <t>А/4</t>
        </is>
      </c>
      <c r="E22" s="21" t="inlineStr">
        <is>
          <t>Дм-1</t>
        </is>
      </c>
      <c r="F22" s="72" t="inlineStr">
        <is>
          <t>10</t>
        </is>
      </c>
      <c r="G22" s="21" t="inlineStr">
        <is>
          <t>Хомут колонны наружный (шаг 100 у опор ×12, 200 в середине) — 30 шт</t>
        </is>
      </c>
      <c r="H22" s="51" t="n">
        <v>8</v>
      </c>
      <c r="I22" s="72" t="inlineStr">
        <is>
          <t>А240</t>
        </is>
      </c>
      <c r="J22" s="72" t="inlineStr">
        <is>
          <t>200</t>
        </is>
      </c>
      <c r="K22" s="75" t="n">
        <v>1</v>
      </c>
      <c r="L22" s="51" t="n">
        <v>30</v>
      </c>
      <c r="M22" s="69" t="n">
        <v>2.44</v>
      </c>
      <c r="N22" s="70">
        <f>K22*L22*M22</f>
        <v/>
      </c>
      <c r="O22" s="37">
        <f>IFERROR(INDEX(Исходные!$B$19:$B$31,MATCH(H22,Исходные!$A$19:$A$31,0)),0)</f>
        <v/>
      </c>
      <c r="P22" s="76">
        <f>N22*O22</f>
        <v/>
      </c>
      <c r="Q22" s="21" t="inlineStr">
        <is>
          <t>АС-32 схема хомутов колонн; АС-42 ведомость деталей поз.10 L=2440</t>
        </is>
      </c>
      <c r="R22" s="77" t="inlineStr">
        <is>
          <t>по проекту</t>
        </is>
      </c>
      <c r="S22" s="21" t="inlineStr"/>
      <c r="T22" s="21" t="inlineStr">
        <is>
          <t>Колонны, диафрагмы</t>
        </is>
      </c>
      <c r="U22" s="49" t="n">
        <v>0</v>
      </c>
      <c r="V22" s="72" t="inlineStr">
        <is>
          <t>Дм-1</t>
        </is>
      </c>
      <c r="W22" s="49" t="n">
        <v>1</v>
      </c>
    </row>
    <row r="23">
      <c r="A23" s="72" t="n">
        <v>17</v>
      </c>
      <c r="B23" s="21" t="inlineStr">
        <is>
          <t>1 этаж (отм. -0.050…+3.950)</t>
        </is>
      </c>
      <c r="C23" s="21" t="inlineStr">
        <is>
          <t>Диафрагмы</t>
        </is>
      </c>
      <c r="D23" s="21" t="inlineStr">
        <is>
          <t>А/4</t>
        </is>
      </c>
      <c r="E23" s="21" t="inlineStr">
        <is>
          <t>Дм-1</t>
        </is>
      </c>
      <c r="F23" s="72" t="inlineStr">
        <is>
          <t>11</t>
        </is>
      </c>
      <c r="G23" s="21" t="inlineStr">
        <is>
          <t>Хомут колонны внутренний: 2 шт/ряд × 18</t>
        </is>
      </c>
      <c r="H23" s="51" t="n">
        <v>8</v>
      </c>
      <c r="I23" s="72" t="inlineStr">
        <is>
          <t>А240</t>
        </is>
      </c>
      <c r="J23" s="72" t="inlineStr">
        <is>
          <t>200</t>
        </is>
      </c>
      <c r="K23" s="75" t="n">
        <v>1</v>
      </c>
      <c r="L23" s="51" t="n">
        <v>36</v>
      </c>
      <c r="M23" s="69" t="n">
        <v>1.96</v>
      </c>
      <c r="N23" s="70">
        <f>K23*L23*M23</f>
        <v/>
      </c>
      <c r="O23" s="37">
        <f>IFERROR(INDEX(Исходные!$B$19:$B$31,MATCH(H23,Исходные!$A$19:$A$31,0)),0)</f>
        <v/>
      </c>
      <c r="P23" s="76">
        <f>N23*O23</f>
        <v/>
      </c>
      <c r="Q23" s="21" t="inlineStr">
        <is>
          <t>сечение 1-1 «ш.200»; АС-42 ведомость деталей поз.11 L=1960</t>
        </is>
      </c>
      <c r="R23" s="77" t="inlineStr">
        <is>
          <t>по проекту</t>
        </is>
      </c>
      <c r="S23" s="21" t="inlineStr"/>
      <c r="T23" s="21" t="inlineStr">
        <is>
          <t>Колонны, диафрагмы</t>
        </is>
      </c>
      <c r="U23" s="49" t="n">
        <v>0</v>
      </c>
      <c r="V23" s="72" t="inlineStr">
        <is>
          <t>Дм-1</t>
        </is>
      </c>
      <c r="W23" s="49" t="n">
        <v>1</v>
      </c>
    </row>
    <row r="24">
      <c r="A24" s="72" t="n">
        <v>18</v>
      </c>
      <c r="B24" s="21" t="inlineStr">
        <is>
          <t>1 этаж (отм. -0.050…+3.950)</t>
        </is>
      </c>
      <c r="C24" s="21" t="inlineStr">
        <is>
          <t>Диафрагмы</t>
        </is>
      </c>
      <c r="D24" s="21" t="inlineStr">
        <is>
          <t>А/4</t>
        </is>
      </c>
      <c r="E24" s="21" t="inlineStr">
        <is>
          <t>Дм-1</t>
        </is>
      </c>
      <c r="F24" s="72" t="inlineStr">
        <is>
          <t>13</t>
        </is>
      </c>
      <c r="G24" s="21" t="inlineStr">
        <is>
          <t>Шпилька ш.400 в шахм. порядке: 10 мест × 9 рядов</t>
        </is>
      </c>
      <c r="H24" s="51" t="n">
        <v>8</v>
      </c>
      <c r="I24" s="72" t="inlineStr">
        <is>
          <t>А240</t>
        </is>
      </c>
      <c r="J24" s="72" t="inlineStr">
        <is>
          <t>200</t>
        </is>
      </c>
      <c r="K24" s="75" t="n">
        <v>1</v>
      </c>
      <c r="L24" s="51" t="n">
        <v>90</v>
      </c>
      <c r="M24" s="69" t="n">
        <v>0.53</v>
      </c>
      <c r="N24" s="70">
        <f>K24*L24*M24</f>
        <v/>
      </c>
      <c r="O24" s="37">
        <f>IFERROR(INDEX(Исходные!$B$19:$B$31,MATCH(H24,Исходные!$A$19:$A$31,0)),0)</f>
        <v/>
      </c>
      <c r="P24" s="76">
        <f>N24*O24</f>
        <v/>
      </c>
      <c r="Q24" s="21" t="inlineStr">
        <is>
          <t>сечение 1-1, прим.6; АС-42 ведомость деталей поз.13 L=530</t>
        </is>
      </c>
      <c r="R24" s="77" t="inlineStr">
        <is>
          <t>по проекту</t>
        </is>
      </c>
      <c r="S24" s="21" t="inlineStr"/>
      <c r="T24" s="21" t="inlineStr">
        <is>
          <t>Колонны, диафрагмы</t>
        </is>
      </c>
      <c r="U24" s="49" t="n">
        <v>0</v>
      </c>
      <c r="V24" s="72" t="inlineStr">
        <is>
          <t>Дм-1</t>
        </is>
      </c>
      <c r="W24" s="49" t="n">
        <v>1</v>
      </c>
    </row>
    <row r="25">
      <c r="A25" s="72" t="n">
        <v>19</v>
      </c>
      <c r="B25" s="21" t="inlineStr">
        <is>
          <t>1 этаж (отм. -0.050…+3.950)</t>
        </is>
      </c>
      <c r="C25" s="21" t="inlineStr">
        <is>
          <t>Диафрагмы</t>
        </is>
      </c>
      <c r="D25" s="21" t="inlineStr">
        <is>
          <t>А/2</t>
        </is>
      </c>
      <c r="E25" s="21" t="inlineStr">
        <is>
          <t>Дм-2</t>
        </is>
      </c>
      <c r="F25" s="72" t="inlineStr">
        <is>
          <t>1</t>
        </is>
      </c>
      <c r="G25" s="21" t="inlineStr">
        <is>
          <t>Вертикальные: колонна, угловые</t>
        </is>
      </c>
      <c r="H25" s="51" t="n">
        <v>32</v>
      </c>
      <c r="I25" s="72" t="inlineStr">
        <is>
          <t>А500С</t>
        </is>
      </c>
      <c r="J25" s="72" t="inlineStr">
        <is>
          <t>—</t>
        </is>
      </c>
      <c r="K25" s="75" t="n">
        <v>1</v>
      </c>
      <c r="L25" s="51" t="n">
        <v>4</v>
      </c>
      <c r="M25" s="69" t="n">
        <v>4</v>
      </c>
      <c r="N25" s="70">
        <f>K25*L25*M25</f>
        <v/>
      </c>
      <c r="O25" s="37">
        <f>IFERROR(INDEX(Исходные!$B$19:$B$31,MATCH(H25,Исходные!$A$19:$A$31,0)),0)</f>
        <v/>
      </c>
      <c r="P25" s="76">
        <f>N25*O25</f>
        <v/>
      </c>
      <c r="Q25" s="21" t="inlineStr">
        <is>
          <t>АС-36 сеч.1-1 «Подвал, 1 этаж»; прим.1,3</t>
        </is>
      </c>
      <c r="R25" s="77" t="inlineStr">
        <is>
          <t>по проекту</t>
        </is>
      </c>
      <c r="S25" s="21" t="inlineStr">
        <is>
          <t>стык ванной сваркой (Ø≥20), длина = высота этажа. поз.1 4Ø32</t>
        </is>
      </c>
      <c r="T25" s="21" t="inlineStr">
        <is>
          <t>Колонны, диафрагмы</t>
        </is>
      </c>
      <c r="U25" s="49" t="n">
        <v>0</v>
      </c>
      <c r="V25" s="72" t="inlineStr">
        <is>
          <t>Дм-2</t>
        </is>
      </c>
      <c r="W25" s="49" t="n">
        <v>1</v>
      </c>
    </row>
    <row r="26">
      <c r="A26" s="72" t="n">
        <v>20</v>
      </c>
      <c r="B26" s="21" t="inlineStr">
        <is>
          <t>1 этаж (отм. -0.050…+3.950)</t>
        </is>
      </c>
      <c r="C26" s="21" t="inlineStr">
        <is>
          <t>Диафрагмы</t>
        </is>
      </c>
      <c r="D26" s="21" t="inlineStr">
        <is>
          <t>А/2</t>
        </is>
      </c>
      <c r="E26" s="21" t="inlineStr">
        <is>
          <t>Дм-2</t>
        </is>
      </c>
      <c r="F26" s="72" t="inlineStr">
        <is>
          <t>3</t>
        </is>
      </c>
      <c r="G26" s="21" t="inlineStr">
        <is>
          <t>Вертикальные: колонна (1 этаж — поз.3 2Ø25 + 2 симметр.)</t>
        </is>
      </c>
      <c r="H26" s="51" t="n">
        <v>25</v>
      </c>
      <c r="I26" s="72" t="inlineStr">
        <is>
          <t>А500С</t>
        </is>
      </c>
      <c r="J26" s="72" t="inlineStr">
        <is>
          <t>—</t>
        </is>
      </c>
      <c r="K26" s="75" t="n">
        <v>1</v>
      </c>
      <c r="L26" s="51" t="n">
        <v>4</v>
      </c>
      <c r="M26" s="69" t="n">
        <v>4</v>
      </c>
      <c r="N26" s="70">
        <f>K26*L26*M26</f>
        <v/>
      </c>
      <c r="O26" s="37">
        <f>IFERROR(INDEX(Исходные!$B$19:$B$31,MATCH(H26,Исходные!$A$19:$A$31,0)),0)</f>
        <v/>
      </c>
      <c r="P26" s="76">
        <f>N26*O26</f>
        <v/>
      </c>
      <c r="Q26" s="21" t="inlineStr">
        <is>
          <t>АС-36 сеч.1-1 «Подвал, 1 этаж»; прим.1,3</t>
        </is>
      </c>
      <c r="R26" s="77" t="inlineStr">
        <is>
          <t>по проекту</t>
        </is>
      </c>
      <c r="S26" s="21" t="inlineStr">
        <is>
          <t>стык ванной сваркой (Ø≥20), длина = высота этажа. «2,(3) 2Ø28 (2Ø25)»; в скобках — 1 этаж</t>
        </is>
      </c>
      <c r="T26" s="21" t="inlineStr">
        <is>
          <t>Колонны, диафрагмы</t>
        </is>
      </c>
      <c r="U26" s="49" t="n">
        <v>0</v>
      </c>
      <c r="V26" s="72" t="inlineStr">
        <is>
          <t>Дм-2</t>
        </is>
      </c>
      <c r="W26" s="49" t="n">
        <v>1</v>
      </c>
    </row>
    <row r="27">
      <c r="A27" s="72" t="n">
        <v>21</v>
      </c>
      <c r="B27" s="21" t="inlineStr">
        <is>
          <t>1 этаж (отм. -0.050…+3.950)</t>
        </is>
      </c>
      <c r="C27" s="21" t="inlineStr">
        <is>
          <t>Диафрагмы</t>
        </is>
      </c>
      <c r="D27" s="21" t="inlineStr">
        <is>
          <t>А/2</t>
        </is>
      </c>
      <c r="E27" s="21" t="inlineStr">
        <is>
          <t>Дм-2</t>
        </is>
      </c>
      <c r="F27" s="72" t="inlineStr">
        <is>
          <t>5</t>
        </is>
      </c>
      <c r="G27" s="21" t="inlineStr">
        <is>
          <t>Вертикальные: колонна (2Ø20 + 2 симметр.)</t>
        </is>
      </c>
      <c r="H27" s="51" t="n">
        <v>20</v>
      </c>
      <c r="I27" s="72" t="inlineStr">
        <is>
          <t>А500С</t>
        </is>
      </c>
      <c r="J27" s="72" t="inlineStr">
        <is>
          <t>—</t>
        </is>
      </c>
      <c r="K27" s="75" t="n">
        <v>1</v>
      </c>
      <c r="L27" s="51" t="n">
        <v>4</v>
      </c>
      <c r="M27" s="69" t="n">
        <v>4</v>
      </c>
      <c r="N27" s="70">
        <f>K27*L27*M27</f>
        <v/>
      </c>
      <c r="O27" s="37">
        <f>IFERROR(INDEX(Исходные!$B$19:$B$31,MATCH(H27,Исходные!$A$19:$A$31,0)),0)</f>
        <v/>
      </c>
      <c r="P27" s="76">
        <f>N27*O27</f>
        <v/>
      </c>
      <c r="Q27" s="21" t="inlineStr">
        <is>
          <t>АС-36 сеч.1-1 «Подвал, 1 этаж»; прим.1,3</t>
        </is>
      </c>
      <c r="R27" s="77" t="inlineStr">
        <is>
          <t>по проекту</t>
        </is>
      </c>
      <c r="S27" s="21" t="inlineStr">
        <is>
          <t>стык ванной сваркой (Ø≥20), длина = высота этажа. поз.5 2Ø20</t>
        </is>
      </c>
      <c r="T27" s="21" t="inlineStr">
        <is>
          <t>Колонны, диафрагмы</t>
        </is>
      </c>
      <c r="U27" s="49" t="n">
        <v>0</v>
      </c>
      <c r="V27" s="72" t="inlineStr">
        <is>
          <t>Дм-2</t>
        </is>
      </c>
      <c r="W27" s="49" t="n">
        <v>1</v>
      </c>
    </row>
    <row r="28">
      <c r="A28" s="72" t="n">
        <v>22</v>
      </c>
      <c r="B28" s="21" t="inlineStr">
        <is>
          <t>1 этаж (отм. -0.050…+3.950)</t>
        </is>
      </c>
      <c r="C28" s="21" t="inlineStr">
        <is>
          <t>Диафрагмы</t>
        </is>
      </c>
      <c r="D28" s="21" t="inlineStr">
        <is>
          <t>А/2</t>
        </is>
      </c>
      <c r="E28" s="21" t="inlineStr">
        <is>
          <t>Дм-2</t>
        </is>
      </c>
      <c r="F28" s="72" t="inlineStr">
        <is>
          <t>2</t>
        </is>
      </c>
      <c r="G28" s="21" t="inlineStr">
        <is>
          <t>Вертикальные: полка, торцевой эл-т</t>
        </is>
      </c>
      <c r="H28" s="51" t="n">
        <v>28</v>
      </c>
      <c r="I28" s="72" t="inlineStr">
        <is>
          <t>А500С</t>
        </is>
      </c>
      <c r="J28" s="72" t="inlineStr">
        <is>
          <t>—</t>
        </is>
      </c>
      <c r="K28" s="75" t="n">
        <v>1</v>
      </c>
      <c r="L28" s="51" t="n">
        <v>11</v>
      </c>
      <c r="M28" s="69" t="n">
        <v>4</v>
      </c>
      <c r="N28" s="70">
        <f>K28*L28*M28</f>
        <v/>
      </c>
      <c r="O28" s="37">
        <f>IFERROR(INDEX(Исходные!$B$19:$B$31,MATCH(H28,Исходные!$A$19:$A$31,0)),0)</f>
        <v/>
      </c>
      <c r="P28" s="76">
        <f>N28*O28</f>
        <v/>
      </c>
      <c r="Q28" s="21" t="inlineStr">
        <is>
          <t>АС-36 сеч.1-1 «Подвал, 1 этаж»; прим.1,3</t>
        </is>
      </c>
      <c r="R28" s="77" t="inlineStr">
        <is>
          <t>по проекту</t>
        </is>
      </c>
      <c r="S28" s="21" t="inlineStr">
        <is>
          <t>стык ванной сваркой (Ø≥20), длина = высота этажа. выноска «6Ø28» + 5 симметр.</t>
        </is>
      </c>
      <c r="T28" s="21" t="inlineStr">
        <is>
          <t>Колонны, диафрагмы</t>
        </is>
      </c>
      <c r="U28" s="49" t="n">
        <v>0</v>
      </c>
      <c r="V28" s="72" t="inlineStr">
        <is>
          <t>Дм-2</t>
        </is>
      </c>
      <c r="W28" s="49" t="n">
        <v>1</v>
      </c>
    </row>
    <row r="29">
      <c r="A29" s="72" t="n">
        <v>23</v>
      </c>
      <c r="B29" s="21" t="inlineStr">
        <is>
          <t>1 этаж (отм. -0.050…+3.950)</t>
        </is>
      </c>
      <c r="C29" s="21" t="inlineStr">
        <is>
          <t>Диафрагмы</t>
        </is>
      </c>
      <c r="D29" s="21" t="inlineStr">
        <is>
          <t>А/2</t>
        </is>
      </c>
      <c r="E29" s="21" t="inlineStr">
        <is>
          <t>Дм-2</t>
        </is>
      </c>
      <c r="F29" s="72" t="inlineStr">
        <is>
          <t>3</t>
        </is>
      </c>
      <c r="G29" s="21" t="inlineStr">
        <is>
          <t>Вертикальные: полка, стенка</t>
        </is>
      </c>
      <c r="H29" s="51" t="n">
        <v>25</v>
      </c>
      <c r="I29" s="72" t="inlineStr">
        <is>
          <t>А500С</t>
        </is>
      </c>
      <c r="J29" s="72" t="inlineStr">
        <is>
          <t>—</t>
        </is>
      </c>
      <c r="K29" s="75" t="n">
        <v>1</v>
      </c>
      <c r="L29" s="51" t="n">
        <v>4</v>
      </c>
      <c r="M29" s="69" t="n">
        <v>4</v>
      </c>
      <c r="N29" s="70">
        <f>K29*L29*M29</f>
        <v/>
      </c>
      <c r="O29" s="37">
        <f>IFERROR(INDEX(Исходные!$B$19:$B$31,MATCH(H29,Исходные!$A$19:$A$31,0)),0)</f>
        <v/>
      </c>
      <c r="P29" s="76">
        <f>N29*O29</f>
        <v/>
      </c>
      <c r="Q29" s="21" t="inlineStr">
        <is>
          <t>АС-36 сеч.1-1 «Подвал, 1 этаж»; прим.1,3</t>
        </is>
      </c>
      <c r="R29" s="77" t="inlineStr">
        <is>
          <t>по проекту</t>
        </is>
      </c>
      <c r="S29" s="21" t="inlineStr">
        <is>
          <t>стык ванной сваркой (Ø≥20), длина = высота этажа. «2Ø25» + 2 симметр.</t>
        </is>
      </c>
      <c r="T29" s="21" t="inlineStr">
        <is>
          <t>Колонны, диафрагмы</t>
        </is>
      </c>
      <c r="U29" s="49" t="n">
        <v>0</v>
      </c>
      <c r="V29" s="72" t="inlineStr">
        <is>
          <t>Дм-2</t>
        </is>
      </c>
      <c r="W29" s="49" t="n">
        <v>1</v>
      </c>
    </row>
    <row r="30">
      <c r="A30" s="72" t="n">
        <v>24</v>
      </c>
      <c r="B30" s="21" t="inlineStr">
        <is>
          <t>1 этаж (отм. -0.050…+3.950)</t>
        </is>
      </c>
      <c r="C30" s="21" t="inlineStr">
        <is>
          <t>Диафрагмы</t>
        </is>
      </c>
      <c r="D30" s="21" t="inlineStr">
        <is>
          <t>А/2</t>
        </is>
      </c>
      <c r="E30" s="21" t="inlineStr">
        <is>
          <t>Дм-2</t>
        </is>
      </c>
      <c r="F30" s="72" t="inlineStr">
        <is>
          <t>2</t>
        </is>
      </c>
      <c r="G30" s="21" t="inlineStr">
        <is>
          <t>Вертикальные: ребро, торцевой эл-т</t>
        </is>
      </c>
      <c r="H30" s="51" t="n">
        <v>28</v>
      </c>
      <c r="I30" s="72" t="inlineStr">
        <is>
          <t>А500С</t>
        </is>
      </c>
      <c r="J30" s="72" t="inlineStr">
        <is>
          <t>—</t>
        </is>
      </c>
      <c r="K30" s="75" t="n">
        <v>1</v>
      </c>
      <c r="L30" s="51" t="n">
        <v>11</v>
      </c>
      <c r="M30" s="69" t="n">
        <v>4</v>
      </c>
      <c r="N30" s="70">
        <f>K30*L30*M30</f>
        <v/>
      </c>
      <c r="O30" s="37">
        <f>IFERROR(INDEX(Исходные!$B$19:$B$31,MATCH(H30,Исходные!$A$19:$A$31,0)),0)</f>
        <v/>
      </c>
      <c r="P30" s="76">
        <f>N30*O30</f>
        <v/>
      </c>
      <c r="Q30" s="21" t="inlineStr">
        <is>
          <t>АС-36 сеч.1-1 «Подвал, 1 этаж»; прим.1,3</t>
        </is>
      </c>
      <c r="R30" s="77" t="inlineStr">
        <is>
          <t>по проекту</t>
        </is>
      </c>
      <c r="S30" s="21" t="inlineStr">
        <is>
          <t>стык ванной сваркой (Ø≥20), длина = высота этажа. выноска «6Ø28» + 5 симметр.</t>
        </is>
      </c>
      <c r="T30" s="21" t="inlineStr">
        <is>
          <t>Колонны, диафрагмы</t>
        </is>
      </c>
      <c r="U30" s="49" t="n">
        <v>0</v>
      </c>
      <c r="V30" s="72" t="inlineStr">
        <is>
          <t>Дм-2</t>
        </is>
      </c>
      <c r="W30" s="49" t="n">
        <v>1</v>
      </c>
    </row>
    <row r="31">
      <c r="A31" s="72" t="n">
        <v>25</v>
      </c>
      <c r="B31" s="21" t="inlineStr">
        <is>
          <t>1 этаж (отм. -0.050…+3.950)</t>
        </is>
      </c>
      <c r="C31" s="21" t="inlineStr">
        <is>
          <t>Диафрагмы</t>
        </is>
      </c>
      <c r="D31" s="21" t="inlineStr">
        <is>
          <t>А/2</t>
        </is>
      </c>
      <c r="E31" s="21" t="inlineStr">
        <is>
          <t>Дм-2</t>
        </is>
      </c>
      <c r="F31" s="72" t="inlineStr">
        <is>
          <t>4</t>
        </is>
      </c>
      <c r="G31" s="21" t="inlineStr">
        <is>
          <t>Вертикальные: ребро, стенка</t>
        </is>
      </c>
      <c r="H31" s="51" t="n">
        <v>22</v>
      </c>
      <c r="I31" s="72" t="inlineStr">
        <is>
          <t>А500С</t>
        </is>
      </c>
      <c r="J31" s="72" t="inlineStr">
        <is>
          <t>—</t>
        </is>
      </c>
      <c r="K31" s="75" t="n">
        <v>1</v>
      </c>
      <c r="L31" s="51" t="n">
        <v>16</v>
      </c>
      <c r="M31" s="69" t="n">
        <v>4</v>
      </c>
      <c r="N31" s="70">
        <f>K31*L31*M31</f>
        <v/>
      </c>
      <c r="O31" s="37">
        <f>IFERROR(INDEX(Исходные!$B$19:$B$31,MATCH(H31,Исходные!$A$19:$A$31,0)),0)</f>
        <v/>
      </c>
      <c r="P31" s="76">
        <f>N31*O31</f>
        <v/>
      </c>
      <c r="Q31" s="21" t="inlineStr">
        <is>
          <t>АС-36 сеч.1-1 «Подвал, 1 этаж»; прим.1,3</t>
        </is>
      </c>
      <c r="R31" s="77" t="inlineStr">
        <is>
          <t>по проекту</t>
        </is>
      </c>
      <c r="S31" s="21" t="inlineStr">
        <is>
          <t>стык ванной сваркой (Ø≥20), длина = высота этажа. две выноски «4Ø22» + 8 симметр.</t>
        </is>
      </c>
      <c r="T31" s="21" t="inlineStr">
        <is>
          <t>Колонны, диафрагмы</t>
        </is>
      </c>
      <c r="U31" s="49" t="n">
        <v>0</v>
      </c>
      <c r="V31" s="72" t="inlineStr">
        <is>
          <t>Дм-2</t>
        </is>
      </c>
      <c r="W31" s="49" t="n">
        <v>1</v>
      </c>
    </row>
    <row r="32">
      <c r="A32" s="72" t="n">
        <v>26</v>
      </c>
      <c r="B32" s="21" t="inlineStr">
        <is>
          <t>1 этаж (отм. -0.050…+3.950)</t>
        </is>
      </c>
      <c r="C32" s="21" t="inlineStr">
        <is>
          <t>Диафрагмы</t>
        </is>
      </c>
      <c r="D32" s="21" t="inlineStr">
        <is>
          <t>А/2</t>
        </is>
      </c>
      <c r="E32" s="21" t="inlineStr">
        <is>
          <t>Дм-2</t>
        </is>
      </c>
      <c r="F32" s="72" t="inlineStr">
        <is>
          <t>гор.</t>
        </is>
      </c>
      <c r="G32" s="21" t="inlineStr">
        <is>
          <t>Горизонтальные «Осн. стержни»: полка вдоль оси А, L=1300-2×25</t>
        </is>
      </c>
      <c r="H32" s="51" t="n">
        <v>16</v>
      </c>
      <c r="I32" s="72" t="inlineStr">
        <is>
          <t>А500С</t>
        </is>
      </c>
      <c r="J32" s="72" t="n">
        <v>200</v>
      </c>
      <c r="K32" s="75" t="n">
        <v>1</v>
      </c>
      <c r="L32" s="51" t="n">
        <v>36</v>
      </c>
      <c r="M32" s="69" t="n">
        <v>1.25</v>
      </c>
      <c r="N32" s="70">
        <f>K32*L32*M32</f>
        <v/>
      </c>
      <c r="O32" s="37">
        <f>IFERROR(INDEX(Исходные!$B$19:$B$31,MATCH(H32,Исходные!$A$19:$A$31,0)),0)</f>
        <v/>
      </c>
      <c r="P32" s="76">
        <f>N32*O32</f>
        <v/>
      </c>
      <c r="Q32" s="21" t="inlineStr">
        <is>
          <t>АС-36 развертка, шаг 200x16+100 (18 рядов × 2 грани)</t>
        </is>
      </c>
      <c r="R32" s="78" t="inlineStr">
        <is>
          <t>по геометрии (уточнить)</t>
        </is>
      </c>
      <c r="S32" s="21" t="inlineStr">
        <is>
          <t>L=1250 как у доп. стержней полки</t>
        </is>
      </c>
      <c r="T32" s="21" t="inlineStr">
        <is>
          <t>Колонны, диафрагмы</t>
        </is>
      </c>
      <c r="U32" s="49" t="n">
        <v>1</v>
      </c>
      <c r="V32" s="72" t="inlineStr">
        <is>
          <t>Дм-2</t>
        </is>
      </c>
      <c r="W32" s="49" t="n">
        <v>1</v>
      </c>
    </row>
    <row r="33">
      <c r="A33" s="72" t="n">
        <v>27</v>
      </c>
      <c r="B33" s="21" t="inlineStr">
        <is>
          <t>1 этаж (отм. -0.050…+3.950)</t>
        </is>
      </c>
      <c r="C33" s="21" t="inlineStr">
        <is>
          <t>Диафрагмы</t>
        </is>
      </c>
      <c r="D33" s="21" t="inlineStr">
        <is>
          <t>А/2</t>
        </is>
      </c>
      <c r="E33" s="21" t="inlineStr">
        <is>
          <t>Дм-2</t>
        </is>
      </c>
      <c r="F33" s="72" t="inlineStr">
        <is>
          <t>гор.</t>
        </is>
      </c>
      <c r="G33" s="21" t="inlineStr">
        <is>
          <t>Горизонтальные «Осн. стержни»: ребро вдоль оси 2, L=2300-2×25</t>
        </is>
      </c>
      <c r="H33" s="51" t="n">
        <v>16</v>
      </c>
      <c r="I33" s="72" t="inlineStr">
        <is>
          <t>А500С</t>
        </is>
      </c>
      <c r="J33" s="72" t="n">
        <v>200</v>
      </c>
      <c r="K33" s="75" t="n">
        <v>1</v>
      </c>
      <c r="L33" s="51" t="n">
        <v>36</v>
      </c>
      <c r="M33" s="69" t="n">
        <v>2.25</v>
      </c>
      <c r="N33" s="70">
        <f>K33*L33*M33</f>
        <v/>
      </c>
      <c r="O33" s="37">
        <f>IFERROR(INDEX(Исходные!$B$19:$B$31,MATCH(H33,Исходные!$A$19:$A$31,0)),0)</f>
        <v/>
      </c>
      <c r="P33" s="76">
        <f>N33*O33</f>
        <v/>
      </c>
      <c r="Q33" s="21" t="inlineStr">
        <is>
          <t>АС-36 развертка, шаг 200x16+100 (18 рядов × 2 грани)</t>
        </is>
      </c>
      <c r="R33" s="78" t="inlineStr">
        <is>
          <t>по геометрии (уточнить)</t>
        </is>
      </c>
      <c r="S33" s="21" t="inlineStr"/>
      <c r="T33" s="21" t="inlineStr">
        <is>
          <t>Колонны, диафрагмы</t>
        </is>
      </c>
      <c r="U33" s="49" t="n">
        <v>1</v>
      </c>
      <c r="V33" s="72" t="inlineStr">
        <is>
          <t>Дм-2</t>
        </is>
      </c>
      <c r="W33" s="49" t="n">
        <v>1</v>
      </c>
    </row>
    <row r="34">
      <c r="A34" s="72" t="n">
        <v>28</v>
      </c>
      <c r="B34" s="21" t="inlineStr">
        <is>
          <t>1 этаж (отм. -0.050…+3.950)</t>
        </is>
      </c>
      <c r="C34" s="21" t="inlineStr">
        <is>
          <t>Диафрагмы</t>
        </is>
      </c>
      <c r="D34" s="21" t="inlineStr">
        <is>
          <t>А/2</t>
        </is>
      </c>
      <c r="E34" s="21" t="inlineStr">
        <is>
          <t>Дм-2</t>
        </is>
      </c>
      <c r="F34" s="72" t="inlineStr">
        <is>
          <t>доп.</t>
        </is>
      </c>
      <c r="G34" s="21" t="inlineStr">
        <is>
          <t>Доп. стержни: ребро у отм. -0.050, 10Ø20 L=1200</t>
        </is>
      </c>
      <c r="H34" s="51" t="n">
        <v>20</v>
      </c>
      <c r="I34" s="72" t="inlineStr">
        <is>
          <t>А500С</t>
        </is>
      </c>
      <c r="J34" s="72" t="n">
        <v>200</v>
      </c>
      <c r="K34" s="75" t="n">
        <v>1</v>
      </c>
      <c r="L34" s="51" t="n">
        <v>10</v>
      </c>
      <c r="M34" s="69" t="n">
        <v>1.2</v>
      </c>
      <c r="N34" s="70">
        <f>K34*L34*M34</f>
        <v/>
      </c>
      <c r="O34" s="37">
        <f>IFERROR(INDEX(Исходные!$B$19:$B$31,MATCH(H34,Исходные!$A$19:$A$31,0)),0)</f>
        <v/>
      </c>
      <c r="P34" s="76">
        <f>N34*O34</f>
        <v/>
      </c>
      <c r="Q34" s="21" t="inlineStr">
        <is>
          <t>АС-36 развертка, выноска «Доп. стержень»</t>
        </is>
      </c>
      <c r="R34" s="77" t="inlineStr">
        <is>
          <t>по проекту</t>
        </is>
      </c>
      <c r="S34" s="21" t="inlineStr"/>
      <c r="T34" s="21" t="inlineStr">
        <is>
          <t>Колонны, диафрагмы</t>
        </is>
      </c>
      <c r="U34" s="49" t="n">
        <v>0</v>
      </c>
      <c r="V34" s="72" t="inlineStr">
        <is>
          <t>Дм-2</t>
        </is>
      </c>
      <c r="W34" s="49" t="n">
        <v>1</v>
      </c>
    </row>
    <row r="35">
      <c r="A35" s="72" t="n">
        <v>29</v>
      </c>
      <c r="B35" s="21" t="inlineStr">
        <is>
          <t>1 этаж (отм. -0.050…+3.950)</t>
        </is>
      </c>
      <c r="C35" s="21" t="inlineStr">
        <is>
          <t>Диафрагмы</t>
        </is>
      </c>
      <c r="D35" s="21" t="inlineStr">
        <is>
          <t>А/2</t>
        </is>
      </c>
      <c r="E35" s="21" t="inlineStr">
        <is>
          <t>Дм-2</t>
        </is>
      </c>
      <c r="F35" s="72" t="inlineStr">
        <is>
          <t>14</t>
        </is>
      </c>
      <c r="G35" s="21" t="inlineStr">
        <is>
          <t>П-образный стержень на торцах стенки: 2 шт/ряд × 18 рядов</t>
        </is>
      </c>
      <c r="H35" s="51" t="n">
        <v>10</v>
      </c>
      <c r="I35" s="72" t="inlineStr">
        <is>
          <t>А240</t>
        </is>
      </c>
      <c r="J35" s="72" t="inlineStr">
        <is>
          <t>200</t>
        </is>
      </c>
      <c r="K35" s="75" t="n">
        <v>1</v>
      </c>
      <c r="L35" s="51" t="n">
        <v>36</v>
      </c>
      <c r="M35" s="69" t="n">
        <v>1.33</v>
      </c>
      <c r="N35" s="70">
        <f>K35*L35*M35</f>
        <v/>
      </c>
      <c r="O35" s="37">
        <f>IFERROR(INDEX(Исходные!$B$19:$B$31,MATCH(H35,Исходные!$A$19:$A$31,0)),0)</f>
        <v/>
      </c>
      <c r="P35" s="76">
        <f>N35*O35</f>
        <v/>
      </c>
      <c r="Q35" s="21" t="inlineStr">
        <is>
          <t>сечение 1-1; АС-42 ведомость деталей поз.14 L=1330</t>
        </is>
      </c>
      <c r="R35" s="77" t="inlineStr">
        <is>
          <t>по проекту</t>
        </is>
      </c>
      <c r="S35" s="21" t="inlineStr"/>
      <c r="T35" s="21" t="inlineStr">
        <is>
          <t>Колонны, диафрагмы</t>
        </is>
      </c>
      <c r="U35" s="49" t="n">
        <v>0</v>
      </c>
      <c r="V35" s="72" t="inlineStr">
        <is>
          <t>Дм-2</t>
        </is>
      </c>
      <c r="W35" s="49" t="n">
        <v>1</v>
      </c>
    </row>
    <row r="36">
      <c r="A36" s="72" t="n">
        <v>30</v>
      </c>
      <c r="B36" s="21" t="inlineStr">
        <is>
          <t>1 этаж (отм. -0.050…+3.950)</t>
        </is>
      </c>
      <c r="C36" s="21" t="inlineStr">
        <is>
          <t>Диафрагмы</t>
        </is>
      </c>
      <c r="D36" s="21" t="inlineStr">
        <is>
          <t>А/2</t>
        </is>
      </c>
      <c r="E36" s="21" t="inlineStr">
        <is>
          <t>Дм-2</t>
        </is>
      </c>
      <c r="F36" s="72" t="inlineStr">
        <is>
          <t>12*</t>
        </is>
      </c>
      <c r="G36" s="21" t="inlineStr">
        <is>
          <t>Хомут торцевого элемента полки: 1 шт/ряд × 18</t>
        </is>
      </c>
      <c r="H36" s="51" t="n">
        <v>10</v>
      </c>
      <c r="I36" s="72" t="inlineStr">
        <is>
          <t>А240</t>
        </is>
      </c>
      <c r="J36" s="72" t="inlineStr">
        <is>
          <t>200</t>
        </is>
      </c>
      <c r="K36" s="75" t="n">
        <v>1</v>
      </c>
      <c r="L36" s="51" t="n">
        <v>18</v>
      </c>
      <c r="M36" s="69" t="n">
        <v>1.56</v>
      </c>
      <c r="N36" s="70">
        <f>K36*L36*M36</f>
        <v/>
      </c>
      <c r="O36" s="37">
        <f>IFERROR(INDEX(Исходные!$B$19:$B$31,MATCH(H36,Исходные!$A$19:$A$31,0)),0)</f>
        <v/>
      </c>
      <c r="P36" s="76">
        <f>N36*O36</f>
        <v/>
      </c>
      <c r="Q36" s="21" t="inlineStr">
        <is>
          <t>сечение 1-1 «хом.Ø10 ш.200»; АС-42 ведомость деталей поз.12 L=1560</t>
        </is>
      </c>
      <c r="R36" s="77" t="inlineStr">
        <is>
          <t>по проекту</t>
        </is>
      </c>
      <c r="S36" s="21" t="inlineStr"/>
      <c r="T36" s="21" t="inlineStr">
        <is>
          <t>Колонны, диафрагмы</t>
        </is>
      </c>
      <c r="U36" s="49" t="n">
        <v>0</v>
      </c>
      <c r="V36" s="72" t="inlineStr">
        <is>
          <t>Дм-2</t>
        </is>
      </c>
      <c r="W36" s="49" t="n">
        <v>1</v>
      </c>
    </row>
    <row r="37">
      <c r="A37" s="72" t="n">
        <v>31</v>
      </c>
      <c r="B37" s="21" t="inlineStr">
        <is>
          <t>1 этаж (отм. -0.050…+3.950)</t>
        </is>
      </c>
      <c r="C37" s="21" t="inlineStr">
        <is>
          <t>Диафрагмы</t>
        </is>
      </c>
      <c r="D37" s="21" t="inlineStr">
        <is>
          <t>А/2</t>
        </is>
      </c>
      <c r="E37" s="21" t="inlineStr">
        <is>
          <t>Дм-2</t>
        </is>
      </c>
      <c r="F37" s="72" t="inlineStr">
        <is>
          <t>15*</t>
        </is>
      </c>
      <c r="G37" s="21" t="inlineStr">
        <is>
          <t>Хомут торцевого элемента ребра: 1 шт/ряд × 18</t>
        </is>
      </c>
      <c r="H37" s="51" t="n">
        <v>10</v>
      </c>
      <c r="I37" s="72" t="inlineStr">
        <is>
          <t>А240</t>
        </is>
      </c>
      <c r="J37" s="72" t="inlineStr">
        <is>
          <t>200</t>
        </is>
      </c>
      <c r="K37" s="75" t="n">
        <v>1</v>
      </c>
      <c r="L37" s="51" t="n">
        <v>18</v>
      </c>
      <c r="M37" s="69" t="n">
        <v>1.76</v>
      </c>
      <c r="N37" s="70">
        <f>K37*L37*M37</f>
        <v/>
      </c>
      <c r="O37" s="37">
        <f>IFERROR(INDEX(Исходные!$B$19:$B$31,MATCH(H37,Исходные!$A$19:$A$31,0)),0)</f>
        <v/>
      </c>
      <c r="P37" s="76">
        <f>N37*O37</f>
        <v/>
      </c>
      <c r="Q37" s="21" t="inlineStr">
        <is>
          <t>сечение 1-1; АС-42 ведомость деталей поз.15,(15*) L=1760</t>
        </is>
      </c>
      <c r="R37" s="77" t="inlineStr">
        <is>
          <t>по проекту</t>
        </is>
      </c>
      <c r="S37" s="21" t="inlineStr"/>
      <c r="T37" s="21" t="inlineStr">
        <is>
          <t>Колонны, диафрагмы</t>
        </is>
      </c>
      <c r="U37" s="49" t="n">
        <v>0</v>
      </c>
      <c r="V37" s="72" t="inlineStr">
        <is>
          <t>Дм-2</t>
        </is>
      </c>
      <c r="W37" s="49" t="n">
        <v>1</v>
      </c>
    </row>
    <row r="38">
      <c r="A38" s="72" t="n">
        <v>32</v>
      </c>
      <c r="B38" s="21" t="inlineStr">
        <is>
          <t>1 этаж (отм. -0.050…+3.950)</t>
        </is>
      </c>
      <c r="C38" s="21" t="inlineStr">
        <is>
          <t>Диафрагмы</t>
        </is>
      </c>
      <c r="D38" s="21" t="inlineStr">
        <is>
          <t>А/2</t>
        </is>
      </c>
      <c r="E38" s="21" t="inlineStr">
        <is>
          <t>Дм-2</t>
        </is>
      </c>
      <c r="F38" s="72" t="inlineStr">
        <is>
          <t>10</t>
        </is>
      </c>
      <c r="G38" s="21" t="inlineStr">
        <is>
          <t>Хомут колонны наружный (шаг 100 у опор ×12, 200 в середине) — 30 шт</t>
        </is>
      </c>
      <c r="H38" s="51" t="n">
        <v>8</v>
      </c>
      <c r="I38" s="72" t="inlineStr">
        <is>
          <t>А240</t>
        </is>
      </c>
      <c r="J38" s="72" t="inlineStr">
        <is>
          <t>200</t>
        </is>
      </c>
      <c r="K38" s="75" t="n">
        <v>1</v>
      </c>
      <c r="L38" s="51" t="n">
        <v>30</v>
      </c>
      <c r="M38" s="69" t="n">
        <v>2.44</v>
      </c>
      <c r="N38" s="70">
        <f>K38*L38*M38</f>
        <v/>
      </c>
      <c r="O38" s="37">
        <f>IFERROR(INDEX(Исходные!$B$19:$B$31,MATCH(H38,Исходные!$A$19:$A$31,0)),0)</f>
        <v/>
      </c>
      <c r="P38" s="76">
        <f>N38*O38</f>
        <v/>
      </c>
      <c r="Q38" s="21" t="inlineStr">
        <is>
          <t>АС-32 схема хомутов колонн; АС-42 ведомость деталей поз.10 L=2440</t>
        </is>
      </c>
      <c r="R38" s="77" t="inlineStr">
        <is>
          <t>по проекту</t>
        </is>
      </c>
      <c r="S38" s="21" t="inlineStr"/>
      <c r="T38" s="21" t="inlineStr">
        <is>
          <t>Колонны, диафрагмы</t>
        </is>
      </c>
      <c r="U38" s="49" t="n">
        <v>0</v>
      </c>
      <c r="V38" s="72" t="inlineStr">
        <is>
          <t>Дм-2</t>
        </is>
      </c>
      <c r="W38" s="49" t="n">
        <v>1</v>
      </c>
    </row>
    <row r="39">
      <c r="A39" s="72" t="n">
        <v>33</v>
      </c>
      <c r="B39" s="21" t="inlineStr">
        <is>
          <t>1 этаж (отм. -0.050…+3.950)</t>
        </is>
      </c>
      <c r="C39" s="21" t="inlineStr">
        <is>
          <t>Диафрагмы</t>
        </is>
      </c>
      <c r="D39" s="21" t="inlineStr">
        <is>
          <t>А/2</t>
        </is>
      </c>
      <c r="E39" s="21" t="inlineStr">
        <is>
          <t>Дм-2</t>
        </is>
      </c>
      <c r="F39" s="72" t="inlineStr">
        <is>
          <t>11</t>
        </is>
      </c>
      <c r="G39" s="21" t="inlineStr">
        <is>
          <t>Хомут колонны внутренний: 2 шт/ряд × 18</t>
        </is>
      </c>
      <c r="H39" s="51" t="n">
        <v>8</v>
      </c>
      <c r="I39" s="72" t="inlineStr">
        <is>
          <t>А240</t>
        </is>
      </c>
      <c r="J39" s="72" t="inlineStr">
        <is>
          <t>200</t>
        </is>
      </c>
      <c r="K39" s="75" t="n">
        <v>1</v>
      </c>
      <c r="L39" s="51" t="n">
        <v>36</v>
      </c>
      <c r="M39" s="69" t="n">
        <v>1.96</v>
      </c>
      <c r="N39" s="70">
        <f>K39*L39*M39</f>
        <v/>
      </c>
      <c r="O39" s="37">
        <f>IFERROR(INDEX(Исходные!$B$19:$B$31,MATCH(H39,Исходные!$A$19:$A$31,0)),0)</f>
        <v/>
      </c>
      <c r="P39" s="76">
        <f>N39*O39</f>
        <v/>
      </c>
      <c r="Q39" s="21" t="inlineStr">
        <is>
          <t>сечение 1-1 «ш.200»; АС-42 ведомость деталей поз.11 L=1960</t>
        </is>
      </c>
      <c r="R39" s="77" t="inlineStr">
        <is>
          <t>по проекту</t>
        </is>
      </c>
      <c r="S39" s="21" t="inlineStr"/>
      <c r="T39" s="21" t="inlineStr">
        <is>
          <t>Колонны, диафрагмы</t>
        </is>
      </c>
      <c r="U39" s="49" t="n">
        <v>0</v>
      </c>
      <c r="V39" s="72" t="inlineStr">
        <is>
          <t>Дм-2</t>
        </is>
      </c>
      <c r="W39" s="49" t="n">
        <v>1</v>
      </c>
    </row>
    <row r="40">
      <c r="A40" s="72" t="n">
        <v>34</v>
      </c>
      <c r="B40" s="21" t="inlineStr">
        <is>
          <t>1 этаж (отм. -0.050…+3.950)</t>
        </is>
      </c>
      <c r="C40" s="21" t="inlineStr">
        <is>
          <t>Диафрагмы</t>
        </is>
      </c>
      <c r="D40" s="21" t="inlineStr">
        <is>
          <t>А/2</t>
        </is>
      </c>
      <c r="E40" s="21" t="inlineStr">
        <is>
          <t>Дм-2</t>
        </is>
      </c>
      <c r="F40" s="72" t="inlineStr">
        <is>
          <t>13</t>
        </is>
      </c>
      <c r="G40" s="21" t="inlineStr">
        <is>
          <t>Шпилька ш.400 в шахм. порядке: 7 мест × 9 рядов</t>
        </is>
      </c>
      <c r="H40" s="51" t="n">
        <v>8</v>
      </c>
      <c r="I40" s="72" t="inlineStr">
        <is>
          <t>А240</t>
        </is>
      </c>
      <c r="J40" s="72" t="inlineStr">
        <is>
          <t>200</t>
        </is>
      </c>
      <c r="K40" s="75" t="n">
        <v>1</v>
      </c>
      <c r="L40" s="51" t="n">
        <v>63</v>
      </c>
      <c r="M40" s="69" t="n">
        <v>0.53</v>
      </c>
      <c r="N40" s="70">
        <f>K40*L40*M40</f>
        <v/>
      </c>
      <c r="O40" s="37">
        <f>IFERROR(INDEX(Исходные!$B$19:$B$31,MATCH(H40,Исходные!$A$19:$A$31,0)),0)</f>
        <v/>
      </c>
      <c r="P40" s="76">
        <f>N40*O40</f>
        <v/>
      </c>
      <c r="Q40" s="21" t="inlineStr">
        <is>
          <t>сечение 1-1, прим.6; АС-42 ведомость деталей поз.13 L=530</t>
        </is>
      </c>
      <c r="R40" s="77" t="inlineStr">
        <is>
          <t>по проекту</t>
        </is>
      </c>
      <c r="S40" s="21" t="inlineStr"/>
      <c r="T40" s="21" t="inlineStr">
        <is>
          <t>Колонны, диафрагмы</t>
        </is>
      </c>
      <c r="U40" s="49" t="n">
        <v>0</v>
      </c>
      <c r="V40" s="72" t="inlineStr">
        <is>
          <t>Дм-2</t>
        </is>
      </c>
      <c r="W40" s="49" t="n">
        <v>1</v>
      </c>
    </row>
    <row r="41">
      <c r="A41" s="72" t="n">
        <v>35</v>
      </c>
      <c r="B41" s="21" t="inlineStr">
        <is>
          <t>1 этаж (отм. -0.050…+3.950)</t>
        </is>
      </c>
      <c r="C41" s="21" t="inlineStr">
        <is>
          <t>Диафрагмы</t>
        </is>
      </c>
      <c r="D41" s="21" t="inlineStr">
        <is>
          <t>Г/2</t>
        </is>
      </c>
      <c r="E41" s="21" t="inlineStr">
        <is>
          <t>Дм-3</t>
        </is>
      </c>
      <c r="F41" s="72" t="inlineStr">
        <is>
          <t>1</t>
        </is>
      </c>
      <c r="G41" s="21" t="inlineStr">
        <is>
          <t>Вертикальные: колонна, угловые</t>
        </is>
      </c>
      <c r="H41" s="51" t="n">
        <v>32</v>
      </c>
      <c r="I41" s="72" t="inlineStr">
        <is>
          <t>А500С</t>
        </is>
      </c>
      <c r="J41" s="72" t="inlineStr">
        <is>
          <t>—</t>
        </is>
      </c>
      <c r="K41" s="75" t="n">
        <v>1</v>
      </c>
      <c r="L41" s="51" t="n">
        <v>4</v>
      </c>
      <c r="M41" s="69" t="n">
        <v>4</v>
      </c>
      <c r="N41" s="70">
        <f>K41*L41*M41</f>
        <v/>
      </c>
      <c r="O41" s="37">
        <f>IFERROR(INDEX(Исходные!$B$19:$B$31,MATCH(H41,Исходные!$A$19:$A$31,0)),0)</f>
        <v/>
      </c>
      <c r="P41" s="76">
        <f>N41*O41</f>
        <v/>
      </c>
      <c r="Q41" s="21" t="inlineStr">
        <is>
          <t>АС-38 сеч.1-1 «Подвал, 1 этаж»; прим.1,3</t>
        </is>
      </c>
      <c r="R41" s="77" t="inlineStr">
        <is>
          <t>по проекту</t>
        </is>
      </c>
      <c r="S41" s="21" t="inlineStr">
        <is>
          <t>стык ванной сваркой (Ø≥20), длина = высота этажа. поз.1</t>
        </is>
      </c>
      <c r="T41" s="21" t="inlineStr">
        <is>
          <t>Колонны, диафрагмы</t>
        </is>
      </c>
      <c r="U41" s="49" t="n">
        <v>0</v>
      </c>
      <c r="V41" s="72" t="inlineStr">
        <is>
          <t>Дм-3</t>
        </is>
      </c>
      <c r="W41" s="49" t="n">
        <v>1</v>
      </c>
    </row>
    <row r="42">
      <c r="A42" s="72" t="n">
        <v>36</v>
      </c>
      <c r="B42" s="21" t="inlineStr">
        <is>
          <t>1 этаж (отм. -0.050…+3.950)</t>
        </is>
      </c>
      <c r="C42" s="21" t="inlineStr">
        <is>
          <t>Диафрагмы</t>
        </is>
      </c>
      <c r="D42" s="21" t="inlineStr">
        <is>
          <t>Г/2</t>
        </is>
      </c>
      <c r="E42" s="21" t="inlineStr">
        <is>
          <t>Дм-3</t>
        </is>
      </c>
      <c r="F42" s="72" t="inlineStr">
        <is>
          <t>5</t>
        </is>
      </c>
      <c r="G42" s="21" t="inlineStr">
        <is>
          <t>Вертикальные: колонна, промежуточные</t>
        </is>
      </c>
      <c r="H42" s="51" t="n">
        <v>20</v>
      </c>
      <c r="I42" s="72" t="inlineStr">
        <is>
          <t>А500С</t>
        </is>
      </c>
      <c r="J42" s="72" t="inlineStr">
        <is>
          <t>—</t>
        </is>
      </c>
      <c r="K42" s="75" t="n">
        <v>1</v>
      </c>
      <c r="L42" s="51" t="n">
        <v>8</v>
      </c>
      <c r="M42" s="69" t="n">
        <v>4</v>
      </c>
      <c r="N42" s="70">
        <f>K42*L42*M42</f>
        <v/>
      </c>
      <c r="O42" s="37">
        <f>IFERROR(INDEX(Исходные!$B$19:$B$31,MATCH(H42,Исходные!$A$19:$A$31,0)),0)</f>
        <v/>
      </c>
      <c r="P42" s="76">
        <f>N42*O42</f>
        <v/>
      </c>
      <c r="Q42" s="21" t="inlineStr">
        <is>
          <t>АС-38 сеч.1-1 «Подвал, 1 этаж»; прим.1,3</t>
        </is>
      </c>
      <c r="R42" s="77" t="inlineStr">
        <is>
          <t>по проекту</t>
        </is>
      </c>
      <c r="S42" s="21" t="inlineStr">
        <is>
          <t>стык ванной сваркой (Ø≥20), длина = высота этажа. поз.5 8Ø20</t>
        </is>
      </c>
      <c r="T42" s="21" t="inlineStr">
        <is>
          <t>Колонны, диафрагмы</t>
        </is>
      </c>
      <c r="U42" s="49" t="n">
        <v>0</v>
      </c>
      <c r="V42" s="72" t="inlineStr">
        <is>
          <t>Дм-3</t>
        </is>
      </c>
      <c r="W42" s="49" t="n">
        <v>1</v>
      </c>
    </row>
    <row r="43">
      <c r="A43" s="72" t="n">
        <v>37</v>
      </c>
      <c r="B43" s="21" t="inlineStr">
        <is>
          <t>1 этаж (отм. -0.050…+3.950)</t>
        </is>
      </c>
      <c r="C43" s="21" t="inlineStr">
        <is>
          <t>Диафрагмы</t>
        </is>
      </c>
      <c r="D43" s="21" t="inlineStr">
        <is>
          <t>Г/2</t>
        </is>
      </c>
      <c r="E43" s="21" t="inlineStr">
        <is>
          <t>Дм-3</t>
        </is>
      </c>
      <c r="F43" s="72" t="inlineStr">
        <is>
          <t>2</t>
        </is>
      </c>
      <c r="G43" s="21" t="inlineStr">
        <is>
          <t>Вертикальные: полка (2 торцевых эл-та × 11)</t>
        </is>
      </c>
      <c r="H43" s="51" t="n">
        <v>28</v>
      </c>
      <c r="I43" s="72" t="inlineStr">
        <is>
          <t>А500С</t>
        </is>
      </c>
      <c r="J43" s="72" t="inlineStr">
        <is>
          <t>—</t>
        </is>
      </c>
      <c r="K43" s="75" t="n">
        <v>1</v>
      </c>
      <c r="L43" s="51" t="n">
        <v>22</v>
      </c>
      <c r="M43" s="69" t="n">
        <v>4</v>
      </c>
      <c r="N43" s="70">
        <f>K43*L43*M43</f>
        <v/>
      </c>
      <c r="O43" s="37">
        <f>IFERROR(INDEX(Исходные!$B$19:$B$31,MATCH(H43,Исходные!$A$19:$A$31,0)),0)</f>
        <v/>
      </c>
      <c r="P43" s="76">
        <f>N43*O43</f>
        <v/>
      </c>
      <c r="Q43" s="21" t="inlineStr">
        <is>
          <t>АС-38 сеч.1-1 «Подвал, 1 этаж»; прим.1,3</t>
        </is>
      </c>
      <c r="R43" s="77" t="inlineStr">
        <is>
          <t>по проекту</t>
        </is>
      </c>
      <c r="S43" s="21" t="inlineStr">
        <is>
          <t>стык ванной сваркой (Ø≥20), длина = высота этажа. «6Ø28» + 5 симметр. в каждом</t>
        </is>
      </c>
      <c r="T43" s="21" t="inlineStr">
        <is>
          <t>Колонны, диафрагмы</t>
        </is>
      </c>
      <c r="U43" s="49" t="n">
        <v>0</v>
      </c>
      <c r="V43" s="72" t="inlineStr">
        <is>
          <t>Дм-3</t>
        </is>
      </c>
      <c r="W43" s="49" t="n">
        <v>1</v>
      </c>
    </row>
    <row r="44">
      <c r="A44" s="72" t="n">
        <v>38</v>
      </c>
      <c r="B44" s="21" t="inlineStr">
        <is>
          <t>1 этаж (отм. -0.050…+3.950)</t>
        </is>
      </c>
      <c r="C44" s="21" t="inlineStr">
        <is>
          <t>Диафрагмы</t>
        </is>
      </c>
      <c r="D44" s="21" t="inlineStr">
        <is>
          <t>Г/2</t>
        </is>
      </c>
      <c r="E44" s="21" t="inlineStr">
        <is>
          <t>Дм-3</t>
        </is>
      </c>
      <c r="F44" s="72" t="inlineStr">
        <is>
          <t>4</t>
        </is>
      </c>
      <c r="G44" s="21" t="inlineStr">
        <is>
          <t>Вертикальные: полка, стенка (2 × 4)</t>
        </is>
      </c>
      <c r="H44" s="51" t="n">
        <v>22</v>
      </c>
      <c r="I44" s="72" t="inlineStr">
        <is>
          <t>А500С</t>
        </is>
      </c>
      <c r="J44" s="72" t="inlineStr">
        <is>
          <t>—</t>
        </is>
      </c>
      <c r="K44" s="75" t="n">
        <v>1</v>
      </c>
      <c r="L44" s="51" t="n">
        <v>8</v>
      </c>
      <c r="M44" s="69" t="n">
        <v>4</v>
      </c>
      <c r="N44" s="70">
        <f>K44*L44*M44</f>
        <v/>
      </c>
      <c r="O44" s="37">
        <f>IFERROR(INDEX(Исходные!$B$19:$B$31,MATCH(H44,Исходные!$A$19:$A$31,0)),0)</f>
        <v/>
      </c>
      <c r="P44" s="76">
        <f>N44*O44</f>
        <v/>
      </c>
      <c r="Q44" s="21" t="inlineStr">
        <is>
          <t>АС-38 сеч.1-1 «Подвал, 1 этаж»; прим.1,3</t>
        </is>
      </c>
      <c r="R44" s="77" t="inlineStr">
        <is>
          <t>по проекту</t>
        </is>
      </c>
      <c r="S44" s="21" t="inlineStr">
        <is>
          <t>стык ванной сваркой (Ø≥20), длина = высота этажа. «2Ø22» + 2 симметр.</t>
        </is>
      </c>
      <c r="T44" s="21" t="inlineStr">
        <is>
          <t>Колонны, диафрагмы</t>
        </is>
      </c>
      <c r="U44" s="49" t="n">
        <v>0</v>
      </c>
      <c r="V44" s="72" t="inlineStr">
        <is>
          <t>Дм-3</t>
        </is>
      </c>
      <c r="W44" s="49" t="n">
        <v>1</v>
      </c>
    </row>
    <row r="45">
      <c r="A45" s="72" t="n">
        <v>39</v>
      </c>
      <c r="B45" s="21" t="inlineStr">
        <is>
          <t>1 этаж (отм. -0.050…+3.950)</t>
        </is>
      </c>
      <c r="C45" s="21" t="inlineStr">
        <is>
          <t>Диафрагмы</t>
        </is>
      </c>
      <c r="D45" s="21" t="inlineStr">
        <is>
          <t>Г/2</t>
        </is>
      </c>
      <c r="E45" s="21" t="inlineStr">
        <is>
          <t>Дм-3</t>
        </is>
      </c>
      <c r="F45" s="72" t="inlineStr">
        <is>
          <t>4</t>
        </is>
      </c>
      <c r="G45" s="21" t="inlineStr">
        <is>
          <t>Вертикальные: ребро, стенка</t>
        </is>
      </c>
      <c r="H45" s="51" t="n">
        <v>22</v>
      </c>
      <c r="I45" s="72" t="inlineStr">
        <is>
          <t>А500С</t>
        </is>
      </c>
      <c r="J45" s="72" t="inlineStr">
        <is>
          <t>—</t>
        </is>
      </c>
      <c r="K45" s="75" t="n">
        <v>1</v>
      </c>
      <c r="L45" s="51" t="n">
        <v>6</v>
      </c>
      <c r="M45" s="69" t="n">
        <v>4</v>
      </c>
      <c r="N45" s="70">
        <f>K45*L45*M45</f>
        <v/>
      </c>
      <c r="O45" s="37">
        <f>IFERROR(INDEX(Исходные!$B$19:$B$31,MATCH(H45,Исходные!$A$19:$A$31,0)),0)</f>
        <v/>
      </c>
      <c r="P45" s="76">
        <f>N45*O45</f>
        <v/>
      </c>
      <c r="Q45" s="21" t="inlineStr">
        <is>
          <t>АС-38 сеч.1-1 «Подвал, 1 этаж»; прим.1,3</t>
        </is>
      </c>
      <c r="R45" s="77" t="inlineStr">
        <is>
          <t>по проекту</t>
        </is>
      </c>
      <c r="S45" s="21" t="inlineStr">
        <is>
          <t>стык ванной сваркой (Ø≥20), длина = высота этажа. «3Ø22» + 3 симметр.</t>
        </is>
      </c>
      <c r="T45" s="21" t="inlineStr">
        <is>
          <t>Колонны, диафрагмы</t>
        </is>
      </c>
      <c r="U45" s="49" t="n">
        <v>0</v>
      </c>
      <c r="V45" s="72" t="inlineStr">
        <is>
          <t>Дм-3</t>
        </is>
      </c>
      <c r="W45" s="49" t="n">
        <v>1</v>
      </c>
    </row>
    <row r="46">
      <c r="A46" s="72" t="n">
        <v>40</v>
      </c>
      <c r="B46" s="21" t="inlineStr">
        <is>
          <t>1 этаж (отм. -0.050…+3.950)</t>
        </is>
      </c>
      <c r="C46" s="21" t="inlineStr">
        <is>
          <t>Диафрагмы</t>
        </is>
      </c>
      <c r="D46" s="21" t="inlineStr">
        <is>
          <t>Г/2</t>
        </is>
      </c>
      <c r="E46" s="21" t="inlineStr">
        <is>
          <t>Дм-3</t>
        </is>
      </c>
      <c r="F46" s="72" t="inlineStr">
        <is>
          <t>3</t>
        </is>
      </c>
      <c r="G46" s="21" t="inlineStr">
        <is>
          <t>Вертикальные: ребро, торцевой эл-т</t>
        </is>
      </c>
      <c r="H46" s="51" t="n">
        <v>25</v>
      </c>
      <c r="I46" s="72" t="inlineStr">
        <is>
          <t>А500С</t>
        </is>
      </c>
      <c r="J46" s="72" t="inlineStr">
        <is>
          <t>—</t>
        </is>
      </c>
      <c r="K46" s="75" t="n">
        <v>1</v>
      </c>
      <c r="L46" s="51" t="n">
        <v>10</v>
      </c>
      <c r="M46" s="69" t="n">
        <v>4</v>
      </c>
      <c r="N46" s="70">
        <f>K46*L46*M46</f>
        <v/>
      </c>
      <c r="O46" s="37">
        <f>IFERROR(INDEX(Исходные!$B$19:$B$31,MATCH(H46,Исходные!$A$19:$A$31,0)),0)</f>
        <v/>
      </c>
      <c r="P46" s="76">
        <f>N46*O46</f>
        <v/>
      </c>
      <c r="Q46" s="21" t="inlineStr">
        <is>
          <t>АС-38 сеч.1-1 «Подвал, 1 этаж»; прим.1,3</t>
        </is>
      </c>
      <c r="R46" s="77" t="inlineStr">
        <is>
          <t>по проекту</t>
        </is>
      </c>
      <c r="S46" s="21" t="inlineStr">
        <is>
          <t>стык ванной сваркой (Ø≥20), длина = высота этажа. «5Ø25» + 5 симметр.</t>
        </is>
      </c>
      <c r="T46" s="21" t="inlineStr">
        <is>
          <t>Колонны, диафрагмы</t>
        </is>
      </c>
      <c r="U46" s="49" t="n">
        <v>0</v>
      </c>
      <c r="V46" s="72" t="inlineStr">
        <is>
          <t>Дм-3</t>
        </is>
      </c>
      <c r="W46" s="49" t="n">
        <v>1</v>
      </c>
    </row>
    <row r="47">
      <c r="A47" s="72" t="n">
        <v>41</v>
      </c>
      <c r="B47" s="21" t="inlineStr">
        <is>
          <t>1 этаж (отм. -0.050…+3.950)</t>
        </is>
      </c>
      <c r="C47" s="21" t="inlineStr">
        <is>
          <t>Диафрагмы</t>
        </is>
      </c>
      <c r="D47" s="21" t="inlineStr">
        <is>
          <t>Г/2</t>
        </is>
      </c>
      <c r="E47" s="21" t="inlineStr">
        <is>
          <t>Дм-3</t>
        </is>
      </c>
      <c r="F47" s="72" t="inlineStr">
        <is>
          <t>6</t>
        </is>
      </c>
      <c r="G47" s="21" t="inlineStr">
        <is>
          <t>Вертикальные: ребро, торец</t>
        </is>
      </c>
      <c r="H47" s="51" t="n">
        <v>18</v>
      </c>
      <c r="I47" s="72" t="inlineStr">
        <is>
          <t>А500С</t>
        </is>
      </c>
      <c r="J47" s="72" t="inlineStr">
        <is>
          <t>—</t>
        </is>
      </c>
      <c r="K47" s="75" t="n">
        <v>1</v>
      </c>
      <c r="L47" s="51" t="n">
        <v>1</v>
      </c>
      <c r="M47" s="69" t="n">
        <v>4.144</v>
      </c>
      <c r="N47" s="70">
        <f>K47*L47*M47</f>
        <v/>
      </c>
      <c r="O47" s="37">
        <f>IFERROR(INDEX(Исходные!$B$19:$B$31,MATCH(H47,Исходные!$A$19:$A$31,0)),0)</f>
        <v/>
      </c>
      <c r="P47" s="76">
        <f>N47*O47</f>
        <v/>
      </c>
      <c r="Q47" s="21" t="inlineStr">
        <is>
          <t>АС-38 сеч.1-1 «Подвал, 1 этаж»; прим.1,3</t>
        </is>
      </c>
      <c r="R47" s="77" t="inlineStr">
        <is>
          <t>по проекту</t>
        </is>
      </c>
      <c r="S47" s="21" t="inlineStr">
        <is>
          <t>нахлёст 8d со сваркой (Ø≤18), учтён в длине. «1Ø18»</t>
        </is>
      </c>
      <c r="T47" s="21" t="inlineStr">
        <is>
          <t>Колонны, диафрагмы</t>
        </is>
      </c>
      <c r="U47" s="49" t="n">
        <v>0</v>
      </c>
      <c r="V47" s="72" t="inlineStr">
        <is>
          <t>Дм-3</t>
        </is>
      </c>
      <c r="W47" s="49" t="n">
        <v>1</v>
      </c>
    </row>
    <row r="48">
      <c r="A48" s="72" t="n">
        <v>42</v>
      </c>
      <c r="B48" s="21" t="inlineStr">
        <is>
          <t>1 этаж (отм. -0.050…+3.950)</t>
        </is>
      </c>
      <c r="C48" s="21" t="inlineStr">
        <is>
          <t>Диафрагмы</t>
        </is>
      </c>
      <c r="D48" s="21" t="inlineStr">
        <is>
          <t>Г/2</t>
        </is>
      </c>
      <c r="E48" s="21" t="inlineStr">
        <is>
          <t>Дм-3</t>
        </is>
      </c>
      <c r="F48" s="72" t="inlineStr">
        <is>
          <t>гор.</t>
        </is>
      </c>
      <c r="G48" s="21" t="inlineStr">
        <is>
          <t>Горизонтальные «Осн. стержни»: полка вдоль оси Г, L=2000-2×25</t>
        </is>
      </c>
      <c r="H48" s="51" t="n">
        <v>16</v>
      </c>
      <c r="I48" s="72" t="inlineStr">
        <is>
          <t>А500С</t>
        </is>
      </c>
      <c r="J48" s="72" t="n">
        <v>200</v>
      </c>
      <c r="K48" s="75" t="n">
        <v>1</v>
      </c>
      <c r="L48" s="51" t="n">
        <v>36</v>
      </c>
      <c r="M48" s="69" t="n">
        <v>1.95</v>
      </c>
      <c r="N48" s="70">
        <f>K48*L48*M48</f>
        <v/>
      </c>
      <c r="O48" s="37">
        <f>IFERROR(INDEX(Исходные!$B$19:$B$31,MATCH(H48,Исходные!$A$19:$A$31,0)),0)</f>
        <v/>
      </c>
      <c r="P48" s="76">
        <f>N48*O48</f>
        <v/>
      </c>
      <c r="Q48" s="21" t="inlineStr">
        <is>
          <t>АС-38 развертка, шаг 200x16+100 (18 рядов × 2 грани)</t>
        </is>
      </c>
      <c r="R48" s="78" t="inlineStr">
        <is>
          <t>по геометрии (уточнить)</t>
        </is>
      </c>
      <c r="S48" s="21" t="inlineStr"/>
      <c r="T48" s="21" t="inlineStr">
        <is>
          <t>Колонны, диафрагмы</t>
        </is>
      </c>
      <c r="U48" s="49" t="n">
        <v>1</v>
      </c>
      <c r="V48" s="72" t="inlineStr">
        <is>
          <t>Дм-3</t>
        </is>
      </c>
      <c r="W48" s="49" t="n">
        <v>1</v>
      </c>
    </row>
    <row r="49">
      <c r="A49" s="72" t="n">
        <v>43</v>
      </c>
      <c r="B49" s="21" t="inlineStr">
        <is>
          <t>1 этаж (отм. -0.050…+3.950)</t>
        </is>
      </c>
      <c r="C49" s="21" t="inlineStr">
        <is>
          <t>Диафрагмы</t>
        </is>
      </c>
      <c r="D49" s="21" t="inlineStr">
        <is>
          <t>Г/2</t>
        </is>
      </c>
      <c r="E49" s="21" t="inlineStr">
        <is>
          <t>Дм-3</t>
        </is>
      </c>
      <c r="F49" s="72" t="inlineStr">
        <is>
          <t>гор.</t>
        </is>
      </c>
      <c r="G49" s="21" t="inlineStr">
        <is>
          <t>Горизонтальные «Осн. стержни»: ребро вдоль оси 2, L=1500-2×25</t>
        </is>
      </c>
      <c r="H49" s="51" t="n">
        <v>14</v>
      </c>
      <c r="I49" s="72" t="inlineStr">
        <is>
          <t>А500С</t>
        </is>
      </c>
      <c r="J49" s="72" t="n">
        <v>200</v>
      </c>
      <c r="K49" s="75" t="n">
        <v>1</v>
      </c>
      <c r="L49" s="51" t="n">
        <v>36</v>
      </c>
      <c r="M49" s="69" t="n">
        <v>1.45</v>
      </c>
      <c r="N49" s="70">
        <f>K49*L49*M49</f>
        <v/>
      </c>
      <c r="O49" s="37">
        <f>IFERROR(INDEX(Исходные!$B$19:$B$31,MATCH(H49,Исходные!$A$19:$A$31,0)),0)</f>
        <v/>
      </c>
      <c r="P49" s="76">
        <f>N49*O49</f>
        <v/>
      </c>
      <c r="Q49" s="21" t="inlineStr">
        <is>
          <t>АС-38 развертка, шаг 200x16+100 (18 рядов × 2 грани)</t>
        </is>
      </c>
      <c r="R49" s="78" t="inlineStr">
        <is>
          <t>по геометрии (уточнить)</t>
        </is>
      </c>
      <c r="S49" s="21" t="inlineStr">
        <is>
          <t>L=1450 как у доп. стержней</t>
        </is>
      </c>
      <c r="T49" s="21" t="inlineStr">
        <is>
          <t>Колонны, диафрагмы</t>
        </is>
      </c>
      <c r="U49" s="49" t="n">
        <v>1</v>
      </c>
      <c r="V49" s="72" t="inlineStr">
        <is>
          <t>Дм-3</t>
        </is>
      </c>
      <c r="W49" s="49" t="n">
        <v>1</v>
      </c>
    </row>
    <row r="50">
      <c r="A50" s="72" t="n">
        <v>44</v>
      </c>
      <c r="B50" s="21" t="inlineStr">
        <is>
          <t>1 этаж (отм. -0.050…+3.950)</t>
        </is>
      </c>
      <c r="C50" s="21" t="inlineStr">
        <is>
          <t>Диафрагмы</t>
        </is>
      </c>
      <c r="D50" s="21" t="inlineStr">
        <is>
          <t>Г/2</t>
        </is>
      </c>
      <c r="E50" s="21" t="inlineStr">
        <is>
          <t>Дм-3</t>
        </is>
      </c>
      <c r="F50" s="72" t="inlineStr">
        <is>
          <t>доп.</t>
        </is>
      </c>
      <c r="G50" s="21" t="inlineStr">
        <is>
          <t>Доп. стержни: полка у отм. -0.050, 10Ø22 L=1300</t>
        </is>
      </c>
      <c r="H50" s="51" t="n">
        <v>22</v>
      </c>
      <c r="I50" s="72" t="inlineStr">
        <is>
          <t>А500С</t>
        </is>
      </c>
      <c r="J50" s="72" t="n">
        <v>200</v>
      </c>
      <c r="K50" s="75" t="n">
        <v>1</v>
      </c>
      <c r="L50" s="51" t="n">
        <v>10</v>
      </c>
      <c r="M50" s="69" t="n">
        <v>1.3</v>
      </c>
      <c r="N50" s="70">
        <f>K50*L50*M50</f>
        <v/>
      </c>
      <c r="O50" s="37">
        <f>IFERROR(INDEX(Исходные!$B$19:$B$31,MATCH(H50,Исходные!$A$19:$A$31,0)),0)</f>
        <v/>
      </c>
      <c r="P50" s="76">
        <f>N50*O50</f>
        <v/>
      </c>
      <c r="Q50" s="21" t="inlineStr">
        <is>
          <t>АС-38 развертка, выноска «Доп. стержень»</t>
        </is>
      </c>
      <c r="R50" s="77" t="inlineStr">
        <is>
          <t>по проекту</t>
        </is>
      </c>
      <c r="S50" s="21" t="inlineStr"/>
      <c r="T50" s="21" t="inlineStr">
        <is>
          <t>Колонны, диафрагмы</t>
        </is>
      </c>
      <c r="U50" s="49" t="n">
        <v>0</v>
      </c>
      <c r="V50" s="72" t="inlineStr">
        <is>
          <t>Дм-3</t>
        </is>
      </c>
      <c r="W50" s="49" t="n">
        <v>1</v>
      </c>
    </row>
    <row r="51">
      <c r="A51" s="72" t="n">
        <v>45</v>
      </c>
      <c r="B51" s="21" t="inlineStr">
        <is>
          <t>1 этаж (отм. -0.050…+3.950)</t>
        </is>
      </c>
      <c r="C51" s="21" t="inlineStr">
        <is>
          <t>Диафрагмы</t>
        </is>
      </c>
      <c r="D51" s="21" t="inlineStr">
        <is>
          <t>Г/2</t>
        </is>
      </c>
      <c r="E51" s="21" t="inlineStr">
        <is>
          <t>Дм-3</t>
        </is>
      </c>
      <c r="F51" s="72" t="inlineStr">
        <is>
          <t>доп.</t>
        </is>
      </c>
      <c r="G51" s="21" t="inlineStr">
        <is>
          <t>Доп. стержни: ребро у отм. -0.050, 10Ø18 L=1450</t>
        </is>
      </c>
      <c r="H51" s="51" t="n">
        <v>18</v>
      </c>
      <c r="I51" s="72" t="inlineStr">
        <is>
          <t>А500С</t>
        </is>
      </c>
      <c r="J51" s="72" t="n">
        <v>200</v>
      </c>
      <c r="K51" s="75" t="n">
        <v>1</v>
      </c>
      <c r="L51" s="51" t="n">
        <v>10</v>
      </c>
      <c r="M51" s="69" t="n">
        <v>1.45</v>
      </c>
      <c r="N51" s="70">
        <f>K51*L51*M51</f>
        <v/>
      </c>
      <c r="O51" s="37">
        <f>IFERROR(INDEX(Исходные!$B$19:$B$31,MATCH(H51,Исходные!$A$19:$A$31,0)),0)</f>
        <v/>
      </c>
      <c r="P51" s="76">
        <f>N51*O51</f>
        <v/>
      </c>
      <c r="Q51" s="21" t="inlineStr">
        <is>
          <t>АС-38 развертка, выноска «Доп. стержень»</t>
        </is>
      </c>
      <c r="R51" s="77" t="inlineStr">
        <is>
          <t>по проекту</t>
        </is>
      </c>
      <c r="S51" s="21" t="inlineStr"/>
      <c r="T51" s="21" t="inlineStr">
        <is>
          <t>Колонны, диафрагмы</t>
        </is>
      </c>
      <c r="U51" s="49" t="n">
        <v>0</v>
      </c>
      <c r="V51" s="72" t="inlineStr">
        <is>
          <t>Дм-3</t>
        </is>
      </c>
      <c r="W51" s="49" t="n">
        <v>1</v>
      </c>
    </row>
    <row r="52">
      <c r="A52" s="72" t="n">
        <v>46</v>
      </c>
      <c r="B52" s="21" t="inlineStr">
        <is>
          <t>1 этаж (отм. -0.050…+3.950)</t>
        </is>
      </c>
      <c r="C52" s="21" t="inlineStr">
        <is>
          <t>Диафрагмы</t>
        </is>
      </c>
      <c r="D52" s="21" t="inlineStr">
        <is>
          <t>Г/2</t>
        </is>
      </c>
      <c r="E52" s="21" t="inlineStr">
        <is>
          <t>Дм-3</t>
        </is>
      </c>
      <c r="F52" s="72" t="inlineStr">
        <is>
          <t>доп.</t>
        </is>
      </c>
      <c r="G52" s="21" t="inlineStr">
        <is>
          <t>Доп. стержни: вертикальные у отм. +3.950 «по 4Ø16 L=1600» × 2 места</t>
        </is>
      </c>
      <c r="H52" s="51" t="n">
        <v>16</v>
      </c>
      <c r="I52" s="72" t="inlineStr">
        <is>
          <t>А500С</t>
        </is>
      </c>
      <c r="J52" s="72" t="n">
        <v>200</v>
      </c>
      <c r="K52" s="75" t="n">
        <v>1</v>
      </c>
      <c r="L52" s="51" t="n">
        <v>8</v>
      </c>
      <c r="M52" s="69" t="n">
        <v>1.6</v>
      </c>
      <c r="N52" s="70">
        <f>K52*L52*M52</f>
        <v/>
      </c>
      <c r="O52" s="37">
        <f>IFERROR(INDEX(Исходные!$B$19:$B$31,MATCH(H52,Исходные!$A$19:$A$31,0)),0)</f>
        <v/>
      </c>
      <c r="P52" s="76">
        <f>N52*O52</f>
        <v/>
      </c>
      <c r="Q52" s="21" t="inlineStr">
        <is>
          <t>АС-38 развертка, выноска «Доп. стержень»</t>
        </is>
      </c>
      <c r="R52" s="77" t="inlineStr">
        <is>
          <t>по проекту</t>
        </is>
      </c>
      <c r="S52" s="21" t="inlineStr"/>
      <c r="T52" s="21" t="inlineStr">
        <is>
          <t>Колонны, диафрагмы</t>
        </is>
      </c>
      <c r="U52" s="49" t="n">
        <v>0</v>
      </c>
      <c r="V52" s="72" t="inlineStr">
        <is>
          <t>Дм-3</t>
        </is>
      </c>
      <c r="W52" s="49" t="n">
        <v>1</v>
      </c>
    </row>
    <row r="53">
      <c r="A53" s="72" t="n">
        <v>47</v>
      </c>
      <c r="B53" s="21" t="inlineStr">
        <is>
          <t>1 этаж (отм. -0.050…+3.950)</t>
        </is>
      </c>
      <c r="C53" s="21" t="inlineStr">
        <is>
          <t>Диафрагмы</t>
        </is>
      </c>
      <c r="D53" s="21" t="inlineStr">
        <is>
          <t>Г/2</t>
        </is>
      </c>
      <c r="E53" s="21" t="inlineStr">
        <is>
          <t>Дм-3</t>
        </is>
      </c>
      <c r="F53" s="72" t="inlineStr">
        <is>
          <t>14</t>
        </is>
      </c>
      <c r="G53" s="21" t="inlineStr">
        <is>
          <t>П-образный стержень на торцах стенки: 3 шт/ряд × 18 рядов</t>
        </is>
      </c>
      <c r="H53" s="51" t="n">
        <v>10</v>
      </c>
      <c r="I53" s="72" t="inlineStr">
        <is>
          <t>А240</t>
        </is>
      </c>
      <c r="J53" s="72" t="inlineStr">
        <is>
          <t>200</t>
        </is>
      </c>
      <c r="K53" s="75" t="n">
        <v>1</v>
      </c>
      <c r="L53" s="51" t="n">
        <v>54</v>
      </c>
      <c r="M53" s="69" t="n">
        <v>1.33</v>
      </c>
      <c r="N53" s="70">
        <f>K53*L53*M53</f>
        <v/>
      </c>
      <c r="O53" s="37">
        <f>IFERROR(INDEX(Исходные!$B$19:$B$31,MATCH(H53,Исходные!$A$19:$A$31,0)),0)</f>
        <v/>
      </c>
      <c r="P53" s="76">
        <f>N53*O53</f>
        <v/>
      </c>
      <c r="Q53" s="21" t="inlineStr">
        <is>
          <t>сечение 1-1; АС-42 ведомость деталей поз.14 L=1330</t>
        </is>
      </c>
      <c r="R53" s="77" t="inlineStr">
        <is>
          <t>по проекту</t>
        </is>
      </c>
      <c r="S53" s="21" t="inlineStr"/>
      <c r="T53" s="21" t="inlineStr">
        <is>
          <t>Колонны, диафрагмы</t>
        </is>
      </c>
      <c r="U53" s="49" t="n">
        <v>0</v>
      </c>
      <c r="V53" s="72" t="inlineStr">
        <is>
          <t>Дм-3</t>
        </is>
      </c>
      <c r="W53" s="49" t="n">
        <v>1</v>
      </c>
    </row>
    <row r="54">
      <c r="A54" s="72" t="n">
        <v>48</v>
      </c>
      <c r="B54" s="21" t="inlineStr">
        <is>
          <t>1 этаж (отм. -0.050…+3.950)</t>
        </is>
      </c>
      <c r="C54" s="21" t="inlineStr">
        <is>
          <t>Диафрагмы</t>
        </is>
      </c>
      <c r="D54" s="21" t="inlineStr">
        <is>
          <t>Г/2</t>
        </is>
      </c>
      <c r="E54" s="21" t="inlineStr">
        <is>
          <t>Дм-3</t>
        </is>
      </c>
      <c r="F54" s="72" t="inlineStr">
        <is>
          <t>12*</t>
        </is>
      </c>
      <c r="G54" s="21" t="inlineStr">
        <is>
          <t>Хомут торцевого элемента полки: 2 шт/ряд × 18</t>
        </is>
      </c>
      <c r="H54" s="51" t="n">
        <v>10</v>
      </c>
      <c r="I54" s="72" t="inlineStr">
        <is>
          <t>А240</t>
        </is>
      </c>
      <c r="J54" s="72" t="inlineStr">
        <is>
          <t>200</t>
        </is>
      </c>
      <c r="K54" s="75" t="n">
        <v>1</v>
      </c>
      <c r="L54" s="51" t="n">
        <v>36</v>
      </c>
      <c r="M54" s="69" t="n">
        <v>1.56</v>
      </c>
      <c r="N54" s="70">
        <f>K54*L54*M54</f>
        <v/>
      </c>
      <c r="O54" s="37">
        <f>IFERROR(INDEX(Исходные!$B$19:$B$31,MATCH(H54,Исходные!$A$19:$A$31,0)),0)</f>
        <v/>
      </c>
      <c r="P54" s="76">
        <f>N54*O54</f>
        <v/>
      </c>
      <c r="Q54" s="21" t="inlineStr">
        <is>
          <t>сечение 1-1 «хом.Ø10 ш.200»; АС-42 ведомость деталей поз.12 L=1560</t>
        </is>
      </c>
      <c r="R54" s="77" t="inlineStr">
        <is>
          <t>по проекту</t>
        </is>
      </c>
      <c r="S54" s="21" t="inlineStr"/>
      <c r="T54" s="21" t="inlineStr">
        <is>
          <t>Колонны, диафрагмы</t>
        </is>
      </c>
      <c r="U54" s="49" t="n">
        <v>0</v>
      </c>
      <c r="V54" s="72" t="inlineStr">
        <is>
          <t>Дм-3</t>
        </is>
      </c>
      <c r="W54" s="49" t="n">
        <v>1</v>
      </c>
    </row>
    <row r="55">
      <c r="A55" s="72" t="n">
        <v>49</v>
      </c>
      <c r="B55" s="21" t="inlineStr">
        <is>
          <t>1 этаж (отм. -0.050…+3.950)</t>
        </is>
      </c>
      <c r="C55" s="21" t="inlineStr">
        <is>
          <t>Диафрагмы</t>
        </is>
      </c>
      <c r="D55" s="21" t="inlineStr">
        <is>
          <t>Г/2</t>
        </is>
      </c>
      <c r="E55" s="21" t="inlineStr">
        <is>
          <t>Дм-3</t>
        </is>
      </c>
      <c r="F55" s="72" t="inlineStr">
        <is>
          <t>15</t>
        </is>
      </c>
      <c r="G55" s="21" t="inlineStr">
        <is>
          <t>Хомут торцевого элемента ребра: 1 шт/ряд × 18</t>
        </is>
      </c>
      <c r="H55" s="51" t="n">
        <v>8</v>
      </c>
      <c r="I55" s="72" t="inlineStr">
        <is>
          <t>А240</t>
        </is>
      </c>
      <c r="J55" s="72" t="inlineStr">
        <is>
          <t>200</t>
        </is>
      </c>
      <c r="K55" s="75" t="n">
        <v>1</v>
      </c>
      <c r="L55" s="51" t="n">
        <v>18</v>
      </c>
      <c r="M55" s="69" t="n">
        <v>1.76</v>
      </c>
      <c r="N55" s="70">
        <f>K55*L55*M55</f>
        <v/>
      </c>
      <c r="O55" s="37">
        <f>IFERROR(INDEX(Исходные!$B$19:$B$31,MATCH(H55,Исходные!$A$19:$A$31,0)),0)</f>
        <v/>
      </c>
      <c r="P55" s="76">
        <f>N55*O55</f>
        <v/>
      </c>
      <c r="Q55" s="21" t="inlineStr">
        <is>
          <t>сечение 1-1; АС-42 ведомость деталей поз.15,(15*) L=1760</t>
        </is>
      </c>
      <c r="R55" s="77" t="inlineStr">
        <is>
          <t>по проекту</t>
        </is>
      </c>
      <c r="S55" s="21" t="inlineStr"/>
      <c r="T55" s="21" t="inlineStr">
        <is>
          <t>Колонны, диафрагмы</t>
        </is>
      </c>
      <c r="U55" s="49" t="n">
        <v>0</v>
      </c>
      <c r="V55" s="72" t="inlineStr">
        <is>
          <t>Дм-3</t>
        </is>
      </c>
      <c r="W55" s="49" t="n">
        <v>1</v>
      </c>
    </row>
    <row r="56">
      <c r="A56" s="72" t="n">
        <v>50</v>
      </c>
      <c r="B56" s="21" t="inlineStr">
        <is>
          <t>1 этаж (отм. -0.050…+3.950)</t>
        </is>
      </c>
      <c r="C56" s="21" t="inlineStr">
        <is>
          <t>Диафрагмы</t>
        </is>
      </c>
      <c r="D56" s="21" t="inlineStr">
        <is>
          <t>Г/2</t>
        </is>
      </c>
      <c r="E56" s="21" t="inlineStr">
        <is>
          <t>Дм-3</t>
        </is>
      </c>
      <c r="F56" s="72" t="inlineStr">
        <is>
          <t>10</t>
        </is>
      </c>
      <c r="G56" s="21" t="inlineStr">
        <is>
          <t>Хомут колонны наружный (шаг 100 у опор ×12, 200 в середине) — 30 шт</t>
        </is>
      </c>
      <c r="H56" s="51" t="n">
        <v>8</v>
      </c>
      <c r="I56" s="72" t="inlineStr">
        <is>
          <t>А240</t>
        </is>
      </c>
      <c r="J56" s="72" t="inlineStr">
        <is>
          <t>200</t>
        </is>
      </c>
      <c r="K56" s="75" t="n">
        <v>1</v>
      </c>
      <c r="L56" s="51" t="n">
        <v>30</v>
      </c>
      <c r="M56" s="69" t="n">
        <v>2.44</v>
      </c>
      <c r="N56" s="70">
        <f>K56*L56*M56</f>
        <v/>
      </c>
      <c r="O56" s="37">
        <f>IFERROR(INDEX(Исходные!$B$19:$B$31,MATCH(H56,Исходные!$A$19:$A$31,0)),0)</f>
        <v/>
      </c>
      <c r="P56" s="76">
        <f>N56*O56</f>
        <v/>
      </c>
      <c r="Q56" s="21" t="inlineStr">
        <is>
          <t>АС-32 схема хомутов колонн; АС-42 ведомость деталей поз.10 L=2440</t>
        </is>
      </c>
      <c r="R56" s="77" t="inlineStr">
        <is>
          <t>по проекту</t>
        </is>
      </c>
      <c r="S56" s="21" t="inlineStr"/>
      <c r="T56" s="21" t="inlineStr">
        <is>
          <t>Колонны, диафрагмы</t>
        </is>
      </c>
      <c r="U56" s="49" t="n">
        <v>0</v>
      </c>
      <c r="V56" s="72" t="inlineStr">
        <is>
          <t>Дм-3</t>
        </is>
      </c>
      <c r="W56" s="49" t="n">
        <v>1</v>
      </c>
    </row>
    <row r="57">
      <c r="A57" s="72" t="n">
        <v>51</v>
      </c>
      <c r="B57" s="21" t="inlineStr">
        <is>
          <t>1 этаж (отм. -0.050…+3.950)</t>
        </is>
      </c>
      <c r="C57" s="21" t="inlineStr">
        <is>
          <t>Диафрагмы</t>
        </is>
      </c>
      <c r="D57" s="21" t="inlineStr">
        <is>
          <t>Г/2</t>
        </is>
      </c>
      <c r="E57" s="21" t="inlineStr">
        <is>
          <t>Дм-3</t>
        </is>
      </c>
      <c r="F57" s="72" t="inlineStr">
        <is>
          <t>11</t>
        </is>
      </c>
      <c r="G57" s="21" t="inlineStr">
        <is>
          <t>Хомут колонны внутренний: 2 шт/ряд × 18</t>
        </is>
      </c>
      <c r="H57" s="51" t="n">
        <v>8</v>
      </c>
      <c r="I57" s="72" t="inlineStr">
        <is>
          <t>А240</t>
        </is>
      </c>
      <c r="J57" s="72" t="inlineStr">
        <is>
          <t>200</t>
        </is>
      </c>
      <c r="K57" s="75" t="n">
        <v>1</v>
      </c>
      <c r="L57" s="51" t="n">
        <v>36</v>
      </c>
      <c r="M57" s="69" t="n">
        <v>1.96</v>
      </c>
      <c r="N57" s="70">
        <f>K57*L57*M57</f>
        <v/>
      </c>
      <c r="O57" s="37">
        <f>IFERROR(INDEX(Исходные!$B$19:$B$31,MATCH(H57,Исходные!$A$19:$A$31,0)),0)</f>
        <v/>
      </c>
      <c r="P57" s="76">
        <f>N57*O57</f>
        <v/>
      </c>
      <c r="Q57" s="21" t="inlineStr">
        <is>
          <t>сечение 1-1 «ш.200»; АС-42 ведомость деталей поз.11 L=1960</t>
        </is>
      </c>
      <c r="R57" s="77" t="inlineStr">
        <is>
          <t>по проекту</t>
        </is>
      </c>
      <c r="S57" s="21" t="inlineStr"/>
      <c r="T57" s="21" t="inlineStr">
        <is>
          <t>Колонны, диафрагмы</t>
        </is>
      </c>
      <c r="U57" s="49" t="n">
        <v>0</v>
      </c>
      <c r="V57" s="72" t="inlineStr">
        <is>
          <t>Дм-3</t>
        </is>
      </c>
      <c r="W57" s="49" t="n">
        <v>1</v>
      </c>
    </row>
    <row r="58">
      <c r="A58" s="72" t="n">
        <v>52</v>
      </c>
      <c r="B58" s="21" t="inlineStr">
        <is>
          <t>1 этаж (отм. -0.050…+3.950)</t>
        </is>
      </c>
      <c r="C58" s="21" t="inlineStr">
        <is>
          <t>Диафрагмы</t>
        </is>
      </c>
      <c r="D58" s="21" t="inlineStr">
        <is>
          <t>Г/2</t>
        </is>
      </c>
      <c r="E58" s="21" t="inlineStr">
        <is>
          <t>Дм-3</t>
        </is>
      </c>
      <c r="F58" s="72" t="inlineStr">
        <is>
          <t>13</t>
        </is>
      </c>
      <c r="G58" s="21" t="inlineStr">
        <is>
          <t>Шпилька ш.400 в шахм. порядке: 9 мест × 9 рядов</t>
        </is>
      </c>
      <c r="H58" s="51" t="n">
        <v>8</v>
      </c>
      <c r="I58" s="72" t="inlineStr">
        <is>
          <t>А240</t>
        </is>
      </c>
      <c r="J58" s="72" t="inlineStr">
        <is>
          <t>200</t>
        </is>
      </c>
      <c r="K58" s="75" t="n">
        <v>1</v>
      </c>
      <c r="L58" s="51" t="n">
        <v>81</v>
      </c>
      <c r="M58" s="69" t="n">
        <v>0.53</v>
      </c>
      <c r="N58" s="70">
        <f>K58*L58*M58</f>
        <v/>
      </c>
      <c r="O58" s="37">
        <f>IFERROR(INDEX(Исходные!$B$19:$B$31,MATCH(H58,Исходные!$A$19:$A$31,0)),0)</f>
        <v/>
      </c>
      <c r="P58" s="76">
        <f>N58*O58</f>
        <v/>
      </c>
      <c r="Q58" s="21" t="inlineStr">
        <is>
          <t>сечение 1-1, прим.6; АС-42 ведомость деталей поз.13 L=530</t>
        </is>
      </c>
      <c r="R58" s="77" t="inlineStr">
        <is>
          <t>по проекту</t>
        </is>
      </c>
      <c r="S58" s="21" t="inlineStr"/>
      <c r="T58" s="21" t="inlineStr">
        <is>
          <t>Колонны, диафрагмы</t>
        </is>
      </c>
      <c r="U58" s="49" t="n">
        <v>0</v>
      </c>
      <c r="V58" s="72" t="inlineStr">
        <is>
          <t>Дм-3</t>
        </is>
      </c>
      <c r="W58" s="49" t="n">
        <v>1</v>
      </c>
    </row>
    <row r="59">
      <c r="A59" s="72" t="n">
        <v>53</v>
      </c>
      <c r="B59" s="21" t="inlineStr">
        <is>
          <t>1 этаж (отм. -0.050…+3.950)</t>
        </is>
      </c>
      <c r="C59" s="21" t="inlineStr">
        <is>
          <t>Диафрагмы</t>
        </is>
      </c>
      <c r="D59" s="21" t="inlineStr">
        <is>
          <t>Г/3</t>
        </is>
      </c>
      <c r="E59" s="21" t="inlineStr">
        <is>
          <t>Дм-4</t>
        </is>
      </c>
      <c r="F59" s="72" t="inlineStr">
        <is>
          <t>1</t>
        </is>
      </c>
      <c r="G59" s="21" t="inlineStr">
        <is>
          <t>Вертикальные: колонна, угловые</t>
        </is>
      </c>
      <c r="H59" s="51" t="n">
        <v>32</v>
      </c>
      <c r="I59" s="72" t="inlineStr">
        <is>
          <t>А500С</t>
        </is>
      </c>
      <c r="J59" s="72" t="inlineStr">
        <is>
          <t>—</t>
        </is>
      </c>
      <c r="K59" s="75" t="n">
        <v>1</v>
      </c>
      <c r="L59" s="51" t="n">
        <v>4</v>
      </c>
      <c r="M59" s="69" t="n">
        <v>4</v>
      </c>
      <c r="N59" s="70">
        <f>K59*L59*M59</f>
        <v/>
      </c>
      <c r="O59" s="37">
        <f>IFERROR(INDEX(Исходные!$B$19:$B$31,MATCH(H59,Исходные!$A$19:$A$31,0)),0)</f>
        <v/>
      </c>
      <c r="P59" s="76">
        <f>N59*O59</f>
        <v/>
      </c>
      <c r="Q59" s="21" t="inlineStr">
        <is>
          <t>АС-40 сеч.1-1 «Подвал, 1 этаж»; прим.1,3</t>
        </is>
      </c>
      <c r="R59" s="77" t="inlineStr">
        <is>
          <t>по проекту</t>
        </is>
      </c>
      <c r="S59" s="21" t="inlineStr">
        <is>
          <t>стык ванной сваркой (Ø≥20), длина = высота этажа. поз.1</t>
        </is>
      </c>
      <c r="T59" s="21" t="inlineStr">
        <is>
          <t>Колонны, диафрагмы</t>
        </is>
      </c>
      <c r="U59" s="49" t="n">
        <v>0</v>
      </c>
      <c r="V59" s="72" t="inlineStr">
        <is>
          <t>Дм-4</t>
        </is>
      </c>
      <c r="W59" s="49" t="n">
        <v>1</v>
      </c>
    </row>
    <row r="60">
      <c r="A60" s="72" t="n">
        <v>54</v>
      </c>
      <c r="B60" s="21" t="inlineStr">
        <is>
          <t>1 этаж (отм. -0.050…+3.950)</t>
        </is>
      </c>
      <c r="C60" s="21" t="inlineStr">
        <is>
          <t>Диафрагмы</t>
        </is>
      </c>
      <c r="D60" s="21" t="inlineStr">
        <is>
          <t>Г/3</t>
        </is>
      </c>
      <c r="E60" s="21" t="inlineStr">
        <is>
          <t>Дм-4</t>
        </is>
      </c>
      <c r="F60" s="72" t="inlineStr">
        <is>
          <t>2</t>
        </is>
      </c>
      <c r="G60" s="21" t="inlineStr">
        <is>
          <t>Вертикальные: колонна (2Ø28 + 2 симметр.)</t>
        </is>
      </c>
      <c r="H60" s="51" t="n">
        <v>28</v>
      </c>
      <c r="I60" s="72" t="inlineStr">
        <is>
          <t>А500С</t>
        </is>
      </c>
      <c r="J60" s="72" t="inlineStr">
        <is>
          <t>—</t>
        </is>
      </c>
      <c r="K60" s="75" t="n">
        <v>1</v>
      </c>
      <c r="L60" s="51" t="n">
        <v>4</v>
      </c>
      <c r="M60" s="69" t="n">
        <v>4</v>
      </c>
      <c r="N60" s="70">
        <f>K60*L60*M60</f>
        <v/>
      </c>
      <c r="O60" s="37">
        <f>IFERROR(INDEX(Исходные!$B$19:$B$31,MATCH(H60,Исходные!$A$19:$A$31,0)),0)</f>
        <v/>
      </c>
      <c r="P60" s="76">
        <f>N60*O60</f>
        <v/>
      </c>
      <c r="Q60" s="21" t="inlineStr">
        <is>
          <t>АС-40 сеч.1-1 «Подвал, 1 этаж»; прим.1,3</t>
        </is>
      </c>
      <c r="R60" s="77" t="inlineStr">
        <is>
          <t>по проекту</t>
        </is>
      </c>
      <c r="S60" s="21" t="inlineStr">
        <is>
          <t>стык ванной сваркой (Ø≥20), длина = высота этажа. поз.2 2Ø28</t>
        </is>
      </c>
      <c r="T60" s="21" t="inlineStr">
        <is>
          <t>Колонны, диафрагмы</t>
        </is>
      </c>
      <c r="U60" s="49" t="n">
        <v>0</v>
      </c>
      <c r="V60" s="72" t="inlineStr">
        <is>
          <t>Дм-4</t>
        </is>
      </c>
      <c r="W60" s="49" t="n">
        <v>1</v>
      </c>
    </row>
    <row r="61">
      <c r="A61" s="72" t="n">
        <v>55</v>
      </c>
      <c r="B61" s="21" t="inlineStr">
        <is>
          <t>1 этаж (отм. -0.050…+3.950)</t>
        </is>
      </c>
      <c r="C61" s="21" t="inlineStr">
        <is>
          <t>Диафрагмы</t>
        </is>
      </c>
      <c r="D61" s="21" t="inlineStr">
        <is>
          <t>Г/3</t>
        </is>
      </c>
      <c r="E61" s="21" t="inlineStr">
        <is>
          <t>Дм-4</t>
        </is>
      </c>
      <c r="F61" s="72" t="inlineStr">
        <is>
          <t>5</t>
        </is>
      </c>
      <c r="G61" s="21" t="inlineStr">
        <is>
          <t>Вертикальные: колонна (2Ø20 + 2 симметр.)</t>
        </is>
      </c>
      <c r="H61" s="51" t="n">
        <v>20</v>
      </c>
      <c r="I61" s="72" t="inlineStr">
        <is>
          <t>А500С</t>
        </is>
      </c>
      <c r="J61" s="72" t="inlineStr">
        <is>
          <t>—</t>
        </is>
      </c>
      <c r="K61" s="75" t="n">
        <v>1</v>
      </c>
      <c r="L61" s="51" t="n">
        <v>4</v>
      </c>
      <c r="M61" s="69" t="n">
        <v>4</v>
      </c>
      <c r="N61" s="70">
        <f>K61*L61*M61</f>
        <v/>
      </c>
      <c r="O61" s="37">
        <f>IFERROR(INDEX(Исходные!$B$19:$B$31,MATCH(H61,Исходные!$A$19:$A$31,0)),0)</f>
        <v/>
      </c>
      <c r="P61" s="76">
        <f>N61*O61</f>
        <v/>
      </c>
      <c r="Q61" s="21" t="inlineStr">
        <is>
          <t>АС-40 сеч.1-1 «Подвал, 1 этаж»; прим.1,3</t>
        </is>
      </c>
      <c r="R61" s="77" t="inlineStr">
        <is>
          <t>по проекту</t>
        </is>
      </c>
      <c r="S61" s="21" t="inlineStr">
        <is>
          <t>стык ванной сваркой (Ø≥20), длина = высота этажа. поз.5 2Ø20</t>
        </is>
      </c>
      <c r="T61" s="21" t="inlineStr">
        <is>
          <t>Колонны, диафрагмы</t>
        </is>
      </c>
      <c r="U61" s="49" t="n">
        <v>0</v>
      </c>
      <c r="V61" s="72" t="inlineStr">
        <is>
          <t>Дм-4</t>
        </is>
      </c>
      <c r="W61" s="49" t="n">
        <v>1</v>
      </c>
    </row>
    <row r="62">
      <c r="A62" s="72" t="n">
        <v>56</v>
      </c>
      <c r="B62" s="21" t="inlineStr">
        <is>
          <t>1 этаж (отм. -0.050…+3.950)</t>
        </is>
      </c>
      <c r="C62" s="21" t="inlineStr">
        <is>
          <t>Диафрагмы</t>
        </is>
      </c>
      <c r="D62" s="21" t="inlineStr">
        <is>
          <t>Г/3</t>
        </is>
      </c>
      <c r="E62" s="21" t="inlineStr">
        <is>
          <t>Дм-4</t>
        </is>
      </c>
      <c r="F62" s="72" t="inlineStr">
        <is>
          <t>5</t>
        </is>
      </c>
      <c r="G62" s="21" t="inlineStr">
        <is>
          <t>Вертикальные: стенка</t>
        </is>
      </c>
      <c r="H62" s="51" t="n">
        <v>20</v>
      </c>
      <c r="I62" s="72" t="inlineStr">
        <is>
          <t>А500С</t>
        </is>
      </c>
      <c r="J62" s="72" t="inlineStr">
        <is>
          <t>—</t>
        </is>
      </c>
      <c r="K62" s="75" t="n">
        <v>1</v>
      </c>
      <c r="L62" s="51" t="n">
        <v>6</v>
      </c>
      <c r="M62" s="69" t="n">
        <v>4</v>
      </c>
      <c r="N62" s="70">
        <f>K62*L62*M62</f>
        <v/>
      </c>
      <c r="O62" s="37">
        <f>IFERROR(INDEX(Исходные!$B$19:$B$31,MATCH(H62,Исходные!$A$19:$A$31,0)),0)</f>
        <v/>
      </c>
      <c r="P62" s="76">
        <f>N62*O62</f>
        <v/>
      </c>
      <c r="Q62" s="21" t="inlineStr">
        <is>
          <t>АС-40 сеч.1-1 «Подвал, 1 этаж»; прим.1,3</t>
        </is>
      </c>
      <c r="R62" s="77" t="inlineStr">
        <is>
          <t>по проекту</t>
        </is>
      </c>
      <c r="S62" s="21" t="inlineStr">
        <is>
          <t>стык ванной сваркой (Ø≥20), длина = высота этажа. «3Ø20» + 3 симметр.</t>
        </is>
      </c>
      <c r="T62" s="21" t="inlineStr">
        <is>
          <t>Колонны, диафрагмы</t>
        </is>
      </c>
      <c r="U62" s="49" t="n">
        <v>0</v>
      </c>
      <c r="V62" s="72" t="inlineStr">
        <is>
          <t>Дм-4</t>
        </is>
      </c>
      <c r="W62" s="49" t="n">
        <v>1</v>
      </c>
    </row>
    <row r="63">
      <c r="A63" s="72" t="n">
        <v>57</v>
      </c>
      <c r="B63" s="21" t="inlineStr">
        <is>
          <t>1 этаж (отм. -0.050…+3.950)</t>
        </is>
      </c>
      <c r="C63" s="21" t="inlineStr">
        <is>
          <t>Диафрагмы</t>
        </is>
      </c>
      <c r="D63" s="21" t="inlineStr">
        <is>
          <t>Г/3</t>
        </is>
      </c>
      <c r="E63" s="21" t="inlineStr">
        <is>
          <t>Дм-4</t>
        </is>
      </c>
      <c r="F63" s="72" t="inlineStr">
        <is>
          <t>2</t>
        </is>
      </c>
      <c r="G63" s="21" t="inlineStr">
        <is>
          <t>Вертикальные: торцевой эл-т</t>
        </is>
      </c>
      <c r="H63" s="51" t="n">
        <v>28</v>
      </c>
      <c r="I63" s="72" t="inlineStr">
        <is>
          <t>А500С</t>
        </is>
      </c>
      <c r="J63" s="72" t="inlineStr">
        <is>
          <t>—</t>
        </is>
      </c>
      <c r="K63" s="75" t="n">
        <v>1</v>
      </c>
      <c r="L63" s="51" t="n">
        <v>10</v>
      </c>
      <c r="M63" s="69" t="n">
        <v>4</v>
      </c>
      <c r="N63" s="70">
        <f>K63*L63*M63</f>
        <v/>
      </c>
      <c r="O63" s="37">
        <f>IFERROR(INDEX(Исходные!$B$19:$B$31,MATCH(H63,Исходные!$A$19:$A$31,0)),0)</f>
        <v/>
      </c>
      <c r="P63" s="76">
        <f>N63*O63</f>
        <v/>
      </c>
      <c r="Q63" s="21" t="inlineStr">
        <is>
          <t>АС-40 сеч.1-1 «Подвал, 1 этаж»; прим.1,3</t>
        </is>
      </c>
      <c r="R63" s="77" t="inlineStr">
        <is>
          <t>по проекту</t>
        </is>
      </c>
      <c r="S63" s="21" t="inlineStr">
        <is>
          <t>стык ванной сваркой (Ø≥20), длина = высота этажа. «5Ø28» + 5 симметр.</t>
        </is>
      </c>
      <c r="T63" s="21" t="inlineStr">
        <is>
          <t>Колонны, диафрагмы</t>
        </is>
      </c>
      <c r="U63" s="49" t="n">
        <v>0</v>
      </c>
      <c r="V63" s="72" t="inlineStr">
        <is>
          <t>Дм-4</t>
        </is>
      </c>
      <c r="W63" s="49" t="n">
        <v>1</v>
      </c>
    </row>
    <row r="64">
      <c r="A64" s="72" t="n">
        <v>58</v>
      </c>
      <c r="B64" s="21" t="inlineStr">
        <is>
          <t>1 этаж (отм. -0.050…+3.950)</t>
        </is>
      </c>
      <c r="C64" s="21" t="inlineStr">
        <is>
          <t>Диафрагмы</t>
        </is>
      </c>
      <c r="D64" s="21" t="inlineStr">
        <is>
          <t>Г/3</t>
        </is>
      </c>
      <c r="E64" s="21" t="inlineStr">
        <is>
          <t>Дм-4</t>
        </is>
      </c>
      <c r="F64" s="72" t="inlineStr">
        <is>
          <t>гор.</t>
        </is>
      </c>
      <c r="G64" s="21" t="inlineStr">
        <is>
          <t>Горизонтальные «Осн. стержни»: вдоль оси Г, L=1500-2×25</t>
        </is>
      </c>
      <c r="H64" s="51" t="n">
        <v>16</v>
      </c>
      <c r="I64" s="72" t="inlineStr">
        <is>
          <t>А500С</t>
        </is>
      </c>
      <c r="J64" s="72" t="n">
        <v>200</v>
      </c>
      <c r="K64" s="75" t="n">
        <v>1</v>
      </c>
      <c r="L64" s="51" t="n">
        <v>36</v>
      </c>
      <c r="M64" s="69" t="n">
        <v>1.45</v>
      </c>
      <c r="N64" s="70">
        <f>K64*L64*M64</f>
        <v/>
      </c>
      <c r="O64" s="37">
        <f>IFERROR(INDEX(Исходные!$B$19:$B$31,MATCH(H64,Исходные!$A$19:$A$31,0)),0)</f>
        <v/>
      </c>
      <c r="P64" s="76">
        <f>N64*O64</f>
        <v/>
      </c>
      <c r="Q64" s="21" t="inlineStr">
        <is>
          <t>АС-40 развертка, шаг 200x16+100 (18 рядов × 2 грани)</t>
        </is>
      </c>
      <c r="R64" s="78" t="inlineStr">
        <is>
          <t>по геометрии (уточнить)</t>
        </is>
      </c>
      <c r="S64" s="21" t="inlineStr"/>
      <c r="T64" s="21" t="inlineStr">
        <is>
          <t>Колонны, диафрагмы</t>
        </is>
      </c>
      <c r="U64" s="49" t="n">
        <v>1</v>
      </c>
      <c r="V64" s="72" t="inlineStr">
        <is>
          <t>Дм-4</t>
        </is>
      </c>
      <c r="W64" s="49" t="n">
        <v>1</v>
      </c>
    </row>
    <row r="65">
      <c r="A65" s="72" t="n">
        <v>59</v>
      </c>
      <c r="B65" s="21" t="inlineStr">
        <is>
          <t>1 этаж (отм. -0.050…+3.950)</t>
        </is>
      </c>
      <c r="C65" s="21" t="inlineStr">
        <is>
          <t>Диафрагмы</t>
        </is>
      </c>
      <c r="D65" s="21" t="inlineStr">
        <is>
          <t>Г/3</t>
        </is>
      </c>
      <c r="E65" s="21" t="inlineStr">
        <is>
          <t>Дм-4</t>
        </is>
      </c>
      <c r="F65" s="72" t="inlineStr">
        <is>
          <t>доп.</t>
        </is>
      </c>
      <c r="G65" s="21" t="inlineStr">
        <is>
          <t>Доп. стержни: у отм. -0.050, 10Ø18 L=1450</t>
        </is>
      </c>
      <c r="H65" s="51" t="n">
        <v>18</v>
      </c>
      <c r="I65" s="72" t="inlineStr">
        <is>
          <t>А500С</t>
        </is>
      </c>
      <c r="J65" s="72" t="n">
        <v>200</v>
      </c>
      <c r="K65" s="75" t="n">
        <v>1</v>
      </c>
      <c r="L65" s="51" t="n">
        <v>10</v>
      </c>
      <c r="M65" s="69" t="n">
        <v>1.45</v>
      </c>
      <c r="N65" s="70">
        <f>K65*L65*M65</f>
        <v/>
      </c>
      <c r="O65" s="37">
        <f>IFERROR(INDEX(Исходные!$B$19:$B$31,MATCH(H65,Исходные!$A$19:$A$31,0)),0)</f>
        <v/>
      </c>
      <c r="P65" s="76">
        <f>N65*O65</f>
        <v/>
      </c>
      <c r="Q65" s="21" t="inlineStr">
        <is>
          <t>АС-40 развертка, выноска «Доп. стержень»</t>
        </is>
      </c>
      <c r="R65" s="77" t="inlineStr">
        <is>
          <t>по проекту</t>
        </is>
      </c>
      <c r="S65" s="21" t="inlineStr"/>
      <c r="T65" s="21" t="inlineStr">
        <is>
          <t>Колонны, диафрагмы</t>
        </is>
      </c>
      <c r="U65" s="49" t="n">
        <v>0</v>
      </c>
      <c r="V65" s="72" t="inlineStr">
        <is>
          <t>Дм-4</t>
        </is>
      </c>
      <c r="W65" s="49" t="n">
        <v>1</v>
      </c>
    </row>
    <row r="66">
      <c r="A66" s="72" t="n">
        <v>60</v>
      </c>
      <c r="B66" s="21" t="inlineStr">
        <is>
          <t>1 этаж (отм. -0.050…+3.950)</t>
        </is>
      </c>
      <c r="C66" s="21" t="inlineStr">
        <is>
          <t>Диафрагмы</t>
        </is>
      </c>
      <c r="D66" s="21" t="inlineStr">
        <is>
          <t>Г/3</t>
        </is>
      </c>
      <c r="E66" s="21" t="inlineStr">
        <is>
          <t>Дм-4</t>
        </is>
      </c>
      <c r="F66" s="72" t="inlineStr">
        <is>
          <t>14</t>
        </is>
      </c>
      <c r="G66" s="21" t="inlineStr">
        <is>
          <t>П-образный стержень на торцах стенки: 1 шт/ряд × 18 рядов</t>
        </is>
      </c>
      <c r="H66" s="51" t="n">
        <v>10</v>
      </c>
      <c r="I66" s="72" t="inlineStr">
        <is>
          <t>А240</t>
        </is>
      </c>
      <c r="J66" s="72" t="inlineStr">
        <is>
          <t>200</t>
        </is>
      </c>
      <c r="K66" s="75" t="n">
        <v>1</v>
      </c>
      <c r="L66" s="51" t="n">
        <v>18</v>
      </c>
      <c r="M66" s="69" t="n">
        <v>1.33</v>
      </c>
      <c r="N66" s="70">
        <f>K66*L66*M66</f>
        <v/>
      </c>
      <c r="O66" s="37">
        <f>IFERROR(INDEX(Исходные!$B$19:$B$31,MATCH(H66,Исходные!$A$19:$A$31,0)),0)</f>
        <v/>
      </c>
      <c r="P66" s="76">
        <f>N66*O66</f>
        <v/>
      </c>
      <c r="Q66" s="21" t="inlineStr">
        <is>
          <t>сечение 1-1; АС-42 ведомость деталей поз.14 L=1330</t>
        </is>
      </c>
      <c r="R66" s="77" t="inlineStr">
        <is>
          <t>по проекту</t>
        </is>
      </c>
      <c r="S66" s="21" t="inlineStr"/>
      <c r="T66" s="21" t="inlineStr">
        <is>
          <t>Колонны, диафрагмы</t>
        </is>
      </c>
      <c r="U66" s="49" t="n">
        <v>0</v>
      </c>
      <c r="V66" s="72" t="inlineStr">
        <is>
          <t>Дм-4</t>
        </is>
      </c>
      <c r="W66" s="49" t="n">
        <v>1</v>
      </c>
    </row>
    <row r="67">
      <c r="A67" s="72" t="n">
        <v>61</v>
      </c>
      <c r="B67" s="21" t="inlineStr">
        <is>
          <t>1 этаж (отм. -0.050…+3.950)</t>
        </is>
      </c>
      <c r="C67" s="21" t="inlineStr">
        <is>
          <t>Диафрагмы</t>
        </is>
      </c>
      <c r="D67" s="21" t="inlineStr">
        <is>
          <t>Г/3</t>
        </is>
      </c>
      <c r="E67" s="21" t="inlineStr">
        <is>
          <t>Дм-4</t>
        </is>
      </c>
      <c r="F67" s="72" t="inlineStr">
        <is>
          <t>15*</t>
        </is>
      </c>
      <c r="G67" s="21" t="inlineStr">
        <is>
          <t>Хомут торцевого элемента ребра: 1 шт/ряд × 18</t>
        </is>
      </c>
      <c r="H67" s="51" t="n">
        <v>10</v>
      </c>
      <c r="I67" s="72" t="inlineStr">
        <is>
          <t>А240</t>
        </is>
      </c>
      <c r="J67" s="72" t="inlineStr">
        <is>
          <t>200</t>
        </is>
      </c>
      <c r="K67" s="75" t="n">
        <v>1</v>
      </c>
      <c r="L67" s="51" t="n">
        <v>18</v>
      </c>
      <c r="M67" s="69" t="n">
        <v>1.76</v>
      </c>
      <c r="N67" s="70">
        <f>K67*L67*M67</f>
        <v/>
      </c>
      <c r="O67" s="37">
        <f>IFERROR(INDEX(Исходные!$B$19:$B$31,MATCH(H67,Исходные!$A$19:$A$31,0)),0)</f>
        <v/>
      </c>
      <c r="P67" s="76">
        <f>N67*O67</f>
        <v/>
      </c>
      <c r="Q67" s="21" t="inlineStr">
        <is>
          <t>сечение 1-1; АС-42 ведомость деталей поз.15,(15*) L=1760</t>
        </is>
      </c>
      <c r="R67" s="77" t="inlineStr">
        <is>
          <t>по проекту</t>
        </is>
      </c>
      <c r="S67" s="21" t="inlineStr"/>
      <c r="T67" s="21" t="inlineStr">
        <is>
          <t>Колонны, диафрагмы</t>
        </is>
      </c>
      <c r="U67" s="49" t="n">
        <v>0</v>
      </c>
      <c r="V67" s="72" t="inlineStr">
        <is>
          <t>Дм-4</t>
        </is>
      </c>
      <c r="W67" s="49" t="n">
        <v>1</v>
      </c>
    </row>
    <row r="68">
      <c r="A68" s="72" t="n">
        <v>62</v>
      </c>
      <c r="B68" s="21" t="inlineStr">
        <is>
          <t>1 этаж (отм. -0.050…+3.950)</t>
        </is>
      </c>
      <c r="C68" s="21" t="inlineStr">
        <is>
          <t>Диафрагмы</t>
        </is>
      </c>
      <c r="D68" s="21" t="inlineStr">
        <is>
          <t>Г/3</t>
        </is>
      </c>
      <c r="E68" s="21" t="inlineStr">
        <is>
          <t>Дм-4</t>
        </is>
      </c>
      <c r="F68" s="72" t="inlineStr">
        <is>
          <t>10</t>
        </is>
      </c>
      <c r="G68" s="21" t="inlineStr">
        <is>
          <t>Хомут колонны наружный (шаг 100 у опор ×12, 200 в середине) — 30 шт</t>
        </is>
      </c>
      <c r="H68" s="51" t="n">
        <v>8</v>
      </c>
      <c r="I68" s="72" t="inlineStr">
        <is>
          <t>А240</t>
        </is>
      </c>
      <c r="J68" s="72" t="inlineStr">
        <is>
          <t>200</t>
        </is>
      </c>
      <c r="K68" s="75" t="n">
        <v>1</v>
      </c>
      <c r="L68" s="51" t="n">
        <v>30</v>
      </c>
      <c r="M68" s="69" t="n">
        <v>2.44</v>
      </c>
      <c r="N68" s="70">
        <f>K68*L68*M68</f>
        <v/>
      </c>
      <c r="O68" s="37">
        <f>IFERROR(INDEX(Исходные!$B$19:$B$31,MATCH(H68,Исходные!$A$19:$A$31,0)),0)</f>
        <v/>
      </c>
      <c r="P68" s="76">
        <f>N68*O68</f>
        <v/>
      </c>
      <c r="Q68" s="21" t="inlineStr">
        <is>
          <t>АС-32 схема хомутов колонн; АС-42 ведомость деталей поз.10 L=2440</t>
        </is>
      </c>
      <c r="R68" s="77" t="inlineStr">
        <is>
          <t>по проекту</t>
        </is>
      </c>
      <c r="S68" s="21" t="inlineStr"/>
      <c r="T68" s="21" t="inlineStr">
        <is>
          <t>Колонны, диафрагмы</t>
        </is>
      </c>
      <c r="U68" s="49" t="n">
        <v>0</v>
      </c>
      <c r="V68" s="72" t="inlineStr">
        <is>
          <t>Дм-4</t>
        </is>
      </c>
      <c r="W68" s="49" t="n">
        <v>1</v>
      </c>
    </row>
    <row r="69">
      <c r="A69" s="72" t="n">
        <v>63</v>
      </c>
      <c r="B69" s="21" t="inlineStr">
        <is>
          <t>1 этаж (отм. -0.050…+3.950)</t>
        </is>
      </c>
      <c r="C69" s="21" t="inlineStr">
        <is>
          <t>Диафрагмы</t>
        </is>
      </c>
      <c r="D69" s="21" t="inlineStr">
        <is>
          <t>Г/3</t>
        </is>
      </c>
      <c r="E69" s="21" t="inlineStr">
        <is>
          <t>Дм-4</t>
        </is>
      </c>
      <c r="F69" s="72" t="inlineStr">
        <is>
          <t>11</t>
        </is>
      </c>
      <c r="G69" s="21" t="inlineStr">
        <is>
          <t>Хомут колонны внутренний: 2 шт/ряд × 18</t>
        </is>
      </c>
      <c r="H69" s="51" t="n">
        <v>8</v>
      </c>
      <c r="I69" s="72" t="inlineStr">
        <is>
          <t>А240</t>
        </is>
      </c>
      <c r="J69" s="72" t="inlineStr">
        <is>
          <t>200</t>
        </is>
      </c>
      <c r="K69" s="75" t="n">
        <v>1</v>
      </c>
      <c r="L69" s="51" t="n">
        <v>36</v>
      </c>
      <c r="M69" s="69" t="n">
        <v>1.96</v>
      </c>
      <c r="N69" s="70">
        <f>K69*L69*M69</f>
        <v/>
      </c>
      <c r="O69" s="37">
        <f>IFERROR(INDEX(Исходные!$B$19:$B$31,MATCH(H69,Исходные!$A$19:$A$31,0)),0)</f>
        <v/>
      </c>
      <c r="P69" s="76">
        <f>N69*O69</f>
        <v/>
      </c>
      <c r="Q69" s="21" t="inlineStr">
        <is>
          <t>сечение 1-1 «ш.200»; АС-42 ведомость деталей поз.11 L=1960</t>
        </is>
      </c>
      <c r="R69" s="77" t="inlineStr">
        <is>
          <t>по проекту</t>
        </is>
      </c>
      <c r="S69" s="21" t="inlineStr"/>
      <c r="T69" s="21" t="inlineStr">
        <is>
          <t>Колонны, диафрагмы</t>
        </is>
      </c>
      <c r="U69" s="49" t="n">
        <v>0</v>
      </c>
      <c r="V69" s="72" t="inlineStr">
        <is>
          <t>Дм-4</t>
        </is>
      </c>
      <c r="W69" s="49" t="n">
        <v>1</v>
      </c>
    </row>
    <row r="70">
      <c r="A70" s="72" t="n">
        <v>64</v>
      </c>
      <c r="B70" s="21" t="inlineStr">
        <is>
          <t>1 этаж (отм. -0.050…+3.950)</t>
        </is>
      </c>
      <c r="C70" s="21" t="inlineStr">
        <is>
          <t>Диафрагмы</t>
        </is>
      </c>
      <c r="D70" s="21" t="inlineStr">
        <is>
          <t>Г/3</t>
        </is>
      </c>
      <c r="E70" s="21" t="inlineStr">
        <is>
          <t>Дм-4</t>
        </is>
      </c>
      <c r="F70" s="72" t="inlineStr">
        <is>
          <t>13</t>
        </is>
      </c>
      <c r="G70" s="21" t="inlineStr">
        <is>
          <t>Шпилька ш.400 в шахм. порядке: 4 мест × 9 рядов</t>
        </is>
      </c>
      <c r="H70" s="51" t="n">
        <v>8</v>
      </c>
      <c r="I70" s="72" t="inlineStr">
        <is>
          <t>А240</t>
        </is>
      </c>
      <c r="J70" s="72" t="inlineStr">
        <is>
          <t>200</t>
        </is>
      </c>
      <c r="K70" s="75" t="n">
        <v>1</v>
      </c>
      <c r="L70" s="51" t="n">
        <v>36</v>
      </c>
      <c r="M70" s="69" t="n">
        <v>0.53</v>
      </c>
      <c r="N70" s="70">
        <f>K70*L70*M70</f>
        <v/>
      </c>
      <c r="O70" s="37">
        <f>IFERROR(INDEX(Исходные!$B$19:$B$31,MATCH(H70,Исходные!$A$19:$A$31,0)),0)</f>
        <v/>
      </c>
      <c r="P70" s="76">
        <f>N70*O70</f>
        <v/>
      </c>
      <c r="Q70" s="21" t="inlineStr">
        <is>
          <t>сечение 1-1, прим.6; АС-42 ведомость деталей поз.13 L=530</t>
        </is>
      </c>
      <c r="R70" s="77" t="inlineStr">
        <is>
          <t>по проекту</t>
        </is>
      </c>
      <c r="S70" s="21" t="inlineStr"/>
      <c r="T70" s="21" t="inlineStr">
        <is>
          <t>Колонны, диафрагмы</t>
        </is>
      </c>
      <c r="U70" s="49" t="n">
        <v>0</v>
      </c>
      <c r="V70" s="72" t="inlineStr">
        <is>
          <t>Дм-4</t>
        </is>
      </c>
      <c r="W70" s="49" t="n">
        <v>1</v>
      </c>
    </row>
    <row r="71">
      <c r="A71" s="72" t="n">
        <v>65</v>
      </c>
      <c r="B71" s="21" t="inlineStr">
        <is>
          <t>1 этаж (отм. -0.050…+3.950)</t>
        </is>
      </c>
      <c r="C71" s="21" t="inlineStr">
        <is>
          <t>Диафрагмы</t>
        </is>
      </c>
      <c r="D71" s="21" t="inlineStr">
        <is>
          <t>Г/4</t>
        </is>
      </c>
      <c r="E71" s="21" t="inlineStr">
        <is>
          <t>Дм-5</t>
        </is>
      </c>
      <c r="F71" s="72" t="inlineStr">
        <is>
          <t>1</t>
        </is>
      </c>
      <c r="G71" s="21" t="inlineStr">
        <is>
          <t>Вертикальные: колонна, угловые</t>
        </is>
      </c>
      <c r="H71" s="51" t="n">
        <v>32</v>
      </c>
      <c r="I71" s="72" t="inlineStr">
        <is>
          <t>А500С</t>
        </is>
      </c>
      <c r="J71" s="72" t="inlineStr">
        <is>
          <t>—</t>
        </is>
      </c>
      <c r="K71" s="75" t="n">
        <v>1</v>
      </c>
      <c r="L71" s="51" t="n">
        <v>4</v>
      </c>
      <c r="M71" s="69" t="n">
        <v>4</v>
      </c>
      <c r="N71" s="70">
        <f>K71*L71*M71</f>
        <v/>
      </c>
      <c r="O71" s="37">
        <f>IFERROR(INDEX(Исходные!$B$19:$B$31,MATCH(H71,Исходные!$A$19:$A$31,0)),0)</f>
        <v/>
      </c>
      <c r="P71" s="76">
        <f>N71*O71</f>
        <v/>
      </c>
      <c r="Q71" s="21" t="inlineStr">
        <is>
          <t>АС-41 сеч.1-1 «Подвал, 1 этаж»; прим.1,3</t>
        </is>
      </c>
      <c r="R71" s="77" t="inlineStr">
        <is>
          <t>по проекту</t>
        </is>
      </c>
      <c r="S71" s="21" t="inlineStr">
        <is>
          <t>стык ванной сваркой (Ø≥20), длина = высота этажа. поз.1</t>
        </is>
      </c>
      <c r="T71" s="21" t="inlineStr">
        <is>
          <t>Колонны, диафрагмы</t>
        </is>
      </c>
      <c r="U71" s="49" t="n">
        <v>0</v>
      </c>
      <c r="V71" s="72" t="inlineStr">
        <is>
          <t>Дм-5</t>
        </is>
      </c>
      <c r="W71" s="49" t="n">
        <v>1</v>
      </c>
    </row>
    <row r="72">
      <c r="A72" s="72" t="n">
        <v>66</v>
      </c>
      <c r="B72" s="21" t="inlineStr">
        <is>
          <t>1 этаж (отм. -0.050…+3.950)</t>
        </is>
      </c>
      <c r="C72" s="21" t="inlineStr">
        <is>
          <t>Диафрагмы</t>
        </is>
      </c>
      <c r="D72" s="21" t="inlineStr">
        <is>
          <t>Г/4</t>
        </is>
      </c>
      <c r="E72" s="21" t="inlineStr">
        <is>
          <t>Дм-5</t>
        </is>
      </c>
      <c r="F72" s="72" t="inlineStr">
        <is>
          <t>2</t>
        </is>
      </c>
      <c r="G72" s="21" t="inlineStr">
        <is>
          <t>Вертикальные: колонна (2Ø28 + 2 симметр.)</t>
        </is>
      </c>
      <c r="H72" s="51" t="n">
        <v>28</v>
      </c>
      <c r="I72" s="72" t="inlineStr">
        <is>
          <t>А500С</t>
        </is>
      </c>
      <c r="J72" s="72" t="inlineStr">
        <is>
          <t>—</t>
        </is>
      </c>
      <c r="K72" s="75" t="n">
        <v>1</v>
      </c>
      <c r="L72" s="51" t="n">
        <v>4</v>
      </c>
      <c r="M72" s="69" t="n">
        <v>4</v>
      </c>
      <c r="N72" s="70">
        <f>K72*L72*M72</f>
        <v/>
      </c>
      <c r="O72" s="37">
        <f>IFERROR(INDEX(Исходные!$B$19:$B$31,MATCH(H72,Исходные!$A$19:$A$31,0)),0)</f>
        <v/>
      </c>
      <c r="P72" s="76">
        <f>N72*O72</f>
        <v/>
      </c>
      <c r="Q72" s="21" t="inlineStr">
        <is>
          <t>АС-41 сеч.1-1 «Подвал, 1 этаж»; прим.1,3</t>
        </is>
      </c>
      <c r="R72" s="77" t="inlineStr">
        <is>
          <t>по проекту</t>
        </is>
      </c>
      <c r="S72" s="21" t="inlineStr">
        <is>
          <t>стык ванной сваркой (Ø≥20), длина = высота этажа. поз.2</t>
        </is>
      </c>
      <c r="T72" s="21" t="inlineStr">
        <is>
          <t>Колонны, диафрагмы</t>
        </is>
      </c>
      <c r="U72" s="49" t="n">
        <v>0</v>
      </c>
      <c r="V72" s="72" t="inlineStr">
        <is>
          <t>Дм-5</t>
        </is>
      </c>
      <c r="W72" s="49" t="n">
        <v>1</v>
      </c>
    </row>
    <row r="73">
      <c r="A73" s="72" t="n">
        <v>67</v>
      </c>
      <c r="B73" s="21" t="inlineStr">
        <is>
          <t>1 этаж (отм. -0.050…+3.950)</t>
        </is>
      </c>
      <c r="C73" s="21" t="inlineStr">
        <is>
          <t>Диафрагмы</t>
        </is>
      </c>
      <c r="D73" s="21" t="inlineStr">
        <is>
          <t>Г/4</t>
        </is>
      </c>
      <c r="E73" s="21" t="inlineStr">
        <is>
          <t>Дм-5</t>
        </is>
      </c>
      <c r="F73" s="72" t="inlineStr">
        <is>
          <t>5</t>
        </is>
      </c>
      <c r="G73" s="21" t="inlineStr">
        <is>
          <t>Вертикальные: колонна (2Ø20 + 2 симметр.)</t>
        </is>
      </c>
      <c r="H73" s="51" t="n">
        <v>20</v>
      </c>
      <c r="I73" s="72" t="inlineStr">
        <is>
          <t>А500С</t>
        </is>
      </c>
      <c r="J73" s="72" t="inlineStr">
        <is>
          <t>—</t>
        </is>
      </c>
      <c r="K73" s="75" t="n">
        <v>1</v>
      </c>
      <c r="L73" s="51" t="n">
        <v>4</v>
      </c>
      <c r="M73" s="69" t="n">
        <v>4</v>
      </c>
      <c r="N73" s="70">
        <f>K73*L73*M73</f>
        <v/>
      </c>
      <c r="O73" s="37">
        <f>IFERROR(INDEX(Исходные!$B$19:$B$31,MATCH(H73,Исходные!$A$19:$A$31,0)),0)</f>
        <v/>
      </c>
      <c r="P73" s="76">
        <f>N73*O73</f>
        <v/>
      </c>
      <c r="Q73" s="21" t="inlineStr">
        <is>
          <t>АС-41 сеч.1-1 «Подвал, 1 этаж»; прим.1,3</t>
        </is>
      </c>
      <c r="R73" s="77" t="inlineStr">
        <is>
          <t>по проекту</t>
        </is>
      </c>
      <c r="S73" s="21" t="inlineStr">
        <is>
          <t>стык ванной сваркой (Ø≥20), длина = высота этажа. поз.5</t>
        </is>
      </c>
      <c r="T73" s="21" t="inlineStr">
        <is>
          <t>Колонны, диафрагмы</t>
        </is>
      </c>
      <c r="U73" s="49" t="n">
        <v>0</v>
      </c>
      <c r="V73" s="72" t="inlineStr">
        <is>
          <t>Дм-5</t>
        </is>
      </c>
      <c r="W73" s="49" t="n">
        <v>1</v>
      </c>
    </row>
    <row r="74">
      <c r="A74" s="72" t="n">
        <v>68</v>
      </c>
      <c r="B74" s="21" t="inlineStr">
        <is>
          <t>1 этаж (отм. -0.050…+3.950)</t>
        </is>
      </c>
      <c r="C74" s="21" t="inlineStr">
        <is>
          <t>Диафрагмы</t>
        </is>
      </c>
      <c r="D74" s="21" t="inlineStr">
        <is>
          <t>Г/4</t>
        </is>
      </c>
      <c r="E74" s="21" t="inlineStr">
        <is>
          <t>Дм-5</t>
        </is>
      </c>
      <c r="F74" s="72" t="inlineStr">
        <is>
          <t>2</t>
        </is>
      </c>
      <c r="G74" s="21" t="inlineStr">
        <is>
          <t>Вертикальные: полка, торцевой эл-т</t>
        </is>
      </c>
      <c r="H74" s="51" t="n">
        <v>28</v>
      </c>
      <c r="I74" s="72" t="inlineStr">
        <is>
          <t>А500С</t>
        </is>
      </c>
      <c r="J74" s="72" t="inlineStr">
        <is>
          <t>—</t>
        </is>
      </c>
      <c r="K74" s="75" t="n">
        <v>1</v>
      </c>
      <c r="L74" s="51" t="n">
        <v>10</v>
      </c>
      <c r="M74" s="69" t="n">
        <v>4</v>
      </c>
      <c r="N74" s="70">
        <f>K74*L74*M74</f>
        <v/>
      </c>
      <c r="O74" s="37">
        <f>IFERROR(INDEX(Исходные!$B$19:$B$31,MATCH(H74,Исходные!$A$19:$A$31,0)),0)</f>
        <v/>
      </c>
      <c r="P74" s="76">
        <f>N74*O74</f>
        <v/>
      </c>
      <c r="Q74" s="21" t="inlineStr">
        <is>
          <t>АС-41 сеч.1-1 «Подвал, 1 этаж»; прим.1,3</t>
        </is>
      </c>
      <c r="R74" s="77" t="inlineStr">
        <is>
          <t>по проекту</t>
        </is>
      </c>
      <c r="S74" s="21" t="inlineStr">
        <is>
          <t>стык ванной сваркой (Ø≥20), длина = высота этажа. «5Ø28» + 5 симметр.</t>
        </is>
      </c>
      <c r="T74" s="21" t="inlineStr">
        <is>
          <t>Колонны, диафрагмы</t>
        </is>
      </c>
      <c r="U74" s="49" t="n">
        <v>0</v>
      </c>
      <c r="V74" s="72" t="inlineStr">
        <is>
          <t>Дм-5</t>
        </is>
      </c>
      <c r="W74" s="49" t="n">
        <v>1</v>
      </c>
    </row>
    <row r="75">
      <c r="A75" s="72" t="n">
        <v>69</v>
      </c>
      <c r="B75" s="21" t="inlineStr">
        <is>
          <t>1 этаж (отм. -0.050…+3.950)</t>
        </is>
      </c>
      <c r="C75" s="21" t="inlineStr">
        <is>
          <t>Диафрагмы</t>
        </is>
      </c>
      <c r="D75" s="21" t="inlineStr">
        <is>
          <t>Г/4</t>
        </is>
      </c>
      <c r="E75" s="21" t="inlineStr">
        <is>
          <t>Дм-5</t>
        </is>
      </c>
      <c r="F75" s="72" t="inlineStr">
        <is>
          <t>5</t>
        </is>
      </c>
      <c r="G75" s="21" t="inlineStr">
        <is>
          <t>Вертикальные: полка, стенка</t>
        </is>
      </c>
      <c r="H75" s="51" t="n">
        <v>20</v>
      </c>
      <c r="I75" s="72" t="inlineStr">
        <is>
          <t>А500С</t>
        </is>
      </c>
      <c r="J75" s="72" t="inlineStr">
        <is>
          <t>—</t>
        </is>
      </c>
      <c r="K75" s="75" t="n">
        <v>1</v>
      </c>
      <c r="L75" s="51" t="n">
        <v>4</v>
      </c>
      <c r="M75" s="69" t="n">
        <v>4</v>
      </c>
      <c r="N75" s="70">
        <f>K75*L75*M75</f>
        <v/>
      </c>
      <c r="O75" s="37">
        <f>IFERROR(INDEX(Исходные!$B$19:$B$31,MATCH(H75,Исходные!$A$19:$A$31,0)),0)</f>
        <v/>
      </c>
      <c r="P75" s="76">
        <f>N75*O75</f>
        <v/>
      </c>
      <c r="Q75" s="21" t="inlineStr">
        <is>
          <t>АС-41 сеч.1-1 «Подвал, 1 этаж»; прим.1,3</t>
        </is>
      </c>
      <c r="R75" s="77" t="inlineStr">
        <is>
          <t>по проекту</t>
        </is>
      </c>
      <c r="S75" s="21" t="inlineStr">
        <is>
          <t>стык ванной сваркой (Ø≥20), длина = высота этажа. «2Ø20» + 2 симметр.</t>
        </is>
      </c>
      <c r="T75" s="21" t="inlineStr">
        <is>
          <t>Колонны, диафрагмы</t>
        </is>
      </c>
      <c r="U75" s="49" t="n">
        <v>0</v>
      </c>
      <c r="V75" s="72" t="inlineStr">
        <is>
          <t>Дм-5</t>
        </is>
      </c>
      <c r="W75" s="49" t="n">
        <v>1</v>
      </c>
    </row>
    <row r="76">
      <c r="A76" s="72" t="n">
        <v>70</v>
      </c>
      <c r="B76" s="21" t="inlineStr">
        <is>
          <t>1 этаж (отм. -0.050…+3.950)</t>
        </is>
      </c>
      <c r="C76" s="21" t="inlineStr">
        <is>
          <t>Диафрагмы</t>
        </is>
      </c>
      <c r="D76" s="21" t="inlineStr">
        <is>
          <t>Г/4</t>
        </is>
      </c>
      <c r="E76" s="21" t="inlineStr">
        <is>
          <t>Дм-5</t>
        </is>
      </c>
      <c r="F76" s="72" t="inlineStr">
        <is>
          <t>4</t>
        </is>
      </c>
      <c r="G76" s="21" t="inlineStr">
        <is>
          <t>Вертикальные: ребро, стенка</t>
        </is>
      </c>
      <c r="H76" s="51" t="n">
        <v>22</v>
      </c>
      <c r="I76" s="72" t="inlineStr">
        <is>
          <t>А500С</t>
        </is>
      </c>
      <c r="J76" s="72" t="inlineStr">
        <is>
          <t>—</t>
        </is>
      </c>
      <c r="K76" s="75" t="n">
        <v>1</v>
      </c>
      <c r="L76" s="51" t="n">
        <v>6</v>
      </c>
      <c r="M76" s="69" t="n">
        <v>4</v>
      </c>
      <c r="N76" s="70">
        <f>K76*L76*M76</f>
        <v/>
      </c>
      <c r="O76" s="37">
        <f>IFERROR(INDEX(Исходные!$B$19:$B$31,MATCH(H76,Исходные!$A$19:$A$31,0)),0)</f>
        <v/>
      </c>
      <c r="P76" s="76">
        <f>N76*O76</f>
        <v/>
      </c>
      <c r="Q76" s="21" t="inlineStr">
        <is>
          <t>АС-41 сеч.1-1 «Подвал, 1 этаж»; прим.1,3</t>
        </is>
      </c>
      <c r="R76" s="77" t="inlineStr">
        <is>
          <t>по проекту</t>
        </is>
      </c>
      <c r="S76" s="21" t="inlineStr">
        <is>
          <t>стык ванной сваркой (Ø≥20), длина = высота этажа. «3Ø22» + 3 симметр.</t>
        </is>
      </c>
      <c r="T76" s="21" t="inlineStr">
        <is>
          <t>Колонны, диафрагмы</t>
        </is>
      </c>
      <c r="U76" s="49" t="n">
        <v>0</v>
      </c>
      <c r="V76" s="72" t="inlineStr">
        <is>
          <t>Дм-5</t>
        </is>
      </c>
      <c r="W76" s="49" t="n">
        <v>1</v>
      </c>
    </row>
    <row r="77">
      <c r="A77" s="72" t="n">
        <v>71</v>
      </c>
      <c r="B77" s="21" t="inlineStr">
        <is>
          <t>1 этаж (отм. -0.050…+3.950)</t>
        </is>
      </c>
      <c r="C77" s="21" t="inlineStr">
        <is>
          <t>Диафрагмы</t>
        </is>
      </c>
      <c r="D77" s="21" t="inlineStr">
        <is>
          <t>Г/4</t>
        </is>
      </c>
      <c r="E77" s="21" t="inlineStr">
        <is>
          <t>Дм-5</t>
        </is>
      </c>
      <c r="F77" s="72" t="inlineStr">
        <is>
          <t>3</t>
        </is>
      </c>
      <c r="G77" s="21" t="inlineStr">
        <is>
          <t>Вертикальные: ребро, торцевой эл-т</t>
        </is>
      </c>
      <c r="H77" s="51" t="n">
        <v>25</v>
      </c>
      <c r="I77" s="72" t="inlineStr">
        <is>
          <t>А500С</t>
        </is>
      </c>
      <c r="J77" s="72" t="inlineStr">
        <is>
          <t>—</t>
        </is>
      </c>
      <c r="K77" s="75" t="n">
        <v>1</v>
      </c>
      <c r="L77" s="51" t="n">
        <v>10</v>
      </c>
      <c r="M77" s="69" t="n">
        <v>4</v>
      </c>
      <c r="N77" s="70">
        <f>K77*L77*M77</f>
        <v/>
      </c>
      <c r="O77" s="37">
        <f>IFERROR(INDEX(Исходные!$B$19:$B$31,MATCH(H77,Исходные!$A$19:$A$31,0)),0)</f>
        <v/>
      </c>
      <c r="P77" s="76">
        <f>N77*O77</f>
        <v/>
      </c>
      <c r="Q77" s="21" t="inlineStr">
        <is>
          <t>АС-41 сеч.1-1 «Подвал, 1 этаж»; прим.1,3</t>
        </is>
      </c>
      <c r="R77" s="77" t="inlineStr">
        <is>
          <t>по проекту</t>
        </is>
      </c>
      <c r="S77" s="21" t="inlineStr">
        <is>
          <t>стык ванной сваркой (Ø≥20), длина = высота этажа. «5Ø25» + 5 симметр.</t>
        </is>
      </c>
      <c r="T77" s="21" t="inlineStr">
        <is>
          <t>Колонны, диафрагмы</t>
        </is>
      </c>
      <c r="U77" s="49" t="n">
        <v>0</v>
      </c>
      <c r="V77" s="72" t="inlineStr">
        <is>
          <t>Дм-5</t>
        </is>
      </c>
      <c r="W77" s="49" t="n">
        <v>1</v>
      </c>
    </row>
    <row r="78">
      <c r="A78" s="72" t="n">
        <v>72</v>
      </c>
      <c r="B78" s="21" t="inlineStr">
        <is>
          <t>1 этаж (отм. -0.050…+3.950)</t>
        </is>
      </c>
      <c r="C78" s="21" t="inlineStr">
        <is>
          <t>Диафрагмы</t>
        </is>
      </c>
      <c r="D78" s="21" t="inlineStr">
        <is>
          <t>Г/4</t>
        </is>
      </c>
      <c r="E78" s="21" t="inlineStr">
        <is>
          <t>Дм-5</t>
        </is>
      </c>
      <c r="F78" s="72" t="inlineStr">
        <is>
          <t>гор.</t>
        </is>
      </c>
      <c r="G78" s="21" t="inlineStr">
        <is>
          <t>Горизонтальные «Осн. стержни»: полка вдоль оси Г, L=1300-2×25</t>
        </is>
      </c>
      <c r="H78" s="51" t="n">
        <v>16</v>
      </c>
      <c r="I78" s="72" t="inlineStr">
        <is>
          <t>А500С</t>
        </is>
      </c>
      <c r="J78" s="72" t="n">
        <v>200</v>
      </c>
      <c r="K78" s="75" t="n">
        <v>1</v>
      </c>
      <c r="L78" s="51" t="n">
        <v>36</v>
      </c>
      <c r="M78" s="69" t="n">
        <v>1.25</v>
      </c>
      <c r="N78" s="70">
        <f>K78*L78*M78</f>
        <v/>
      </c>
      <c r="O78" s="37">
        <f>IFERROR(INDEX(Исходные!$B$19:$B$31,MATCH(H78,Исходные!$A$19:$A$31,0)),0)</f>
        <v/>
      </c>
      <c r="P78" s="76">
        <f>N78*O78</f>
        <v/>
      </c>
      <c r="Q78" s="21" t="inlineStr">
        <is>
          <t>АС-41 развертка, шаг 200x16+100 (18 рядов × 2 грани)</t>
        </is>
      </c>
      <c r="R78" s="78" t="inlineStr">
        <is>
          <t>по геометрии (уточнить)</t>
        </is>
      </c>
      <c r="S78" s="21" t="inlineStr">
        <is>
          <t>L=1250 как у доп. стержней</t>
        </is>
      </c>
      <c r="T78" s="21" t="inlineStr">
        <is>
          <t>Колонны, диафрагмы</t>
        </is>
      </c>
      <c r="U78" s="49" t="n">
        <v>1</v>
      </c>
      <c r="V78" s="72" t="inlineStr">
        <is>
          <t>Дм-5</t>
        </is>
      </c>
      <c r="W78" s="49" t="n">
        <v>1</v>
      </c>
    </row>
    <row r="79">
      <c r="A79" s="72" t="n">
        <v>73</v>
      </c>
      <c r="B79" s="21" t="inlineStr">
        <is>
          <t>1 этаж (отм. -0.050…+3.950)</t>
        </is>
      </c>
      <c r="C79" s="21" t="inlineStr">
        <is>
          <t>Диафрагмы</t>
        </is>
      </c>
      <c r="D79" s="21" t="inlineStr">
        <is>
          <t>Г/4</t>
        </is>
      </c>
      <c r="E79" s="21" t="inlineStr">
        <is>
          <t>Дм-5</t>
        </is>
      </c>
      <c r="F79" s="72" t="inlineStr">
        <is>
          <t>гор.</t>
        </is>
      </c>
      <c r="G79" s="21" t="inlineStr">
        <is>
          <t>Горизонтальные «Осн. стержни»: ребро вдоль оси 4, L=1500-2×25</t>
        </is>
      </c>
      <c r="H79" s="51" t="n">
        <v>16</v>
      </c>
      <c r="I79" s="72" t="inlineStr">
        <is>
          <t>А500С</t>
        </is>
      </c>
      <c r="J79" s="72" t="n">
        <v>200</v>
      </c>
      <c r="K79" s="75" t="n">
        <v>1</v>
      </c>
      <c r="L79" s="51" t="n">
        <v>36</v>
      </c>
      <c r="M79" s="69" t="n">
        <v>1.45</v>
      </c>
      <c r="N79" s="70">
        <f>K79*L79*M79</f>
        <v/>
      </c>
      <c r="O79" s="37">
        <f>IFERROR(INDEX(Исходные!$B$19:$B$31,MATCH(H79,Исходные!$A$19:$A$31,0)),0)</f>
        <v/>
      </c>
      <c r="P79" s="76">
        <f>N79*O79</f>
        <v/>
      </c>
      <c r="Q79" s="21" t="inlineStr">
        <is>
          <t>АС-41 развертка, шаг 200x16+100 (18 рядов × 2 грани)</t>
        </is>
      </c>
      <c r="R79" s="78" t="inlineStr">
        <is>
          <t>по геометрии (уточнить)</t>
        </is>
      </c>
      <c r="S79" s="21" t="inlineStr"/>
      <c r="T79" s="21" t="inlineStr">
        <is>
          <t>Колонны, диафрагмы</t>
        </is>
      </c>
      <c r="U79" s="49" t="n">
        <v>1</v>
      </c>
      <c r="V79" s="72" t="inlineStr">
        <is>
          <t>Дм-5</t>
        </is>
      </c>
      <c r="W79" s="49" t="n">
        <v>1</v>
      </c>
    </row>
    <row r="80">
      <c r="A80" s="72" t="n">
        <v>74</v>
      </c>
      <c r="B80" s="21" t="inlineStr">
        <is>
          <t>1 этаж (отм. -0.050…+3.950)</t>
        </is>
      </c>
      <c r="C80" s="21" t="inlineStr">
        <is>
          <t>Диафрагмы</t>
        </is>
      </c>
      <c r="D80" s="21" t="inlineStr">
        <is>
          <t>Г/4</t>
        </is>
      </c>
      <c r="E80" s="21" t="inlineStr">
        <is>
          <t>Дм-5</t>
        </is>
      </c>
      <c r="F80" s="72" t="inlineStr">
        <is>
          <t>доп.</t>
        </is>
      </c>
      <c r="G80" s="21" t="inlineStr">
        <is>
          <t>Доп. стержни: полка у отм. -0.050, 6Ø10 L=1250</t>
        </is>
      </c>
      <c r="H80" s="51" t="n">
        <v>10</v>
      </c>
      <c r="I80" s="72" t="inlineStr">
        <is>
          <t>А500С</t>
        </is>
      </c>
      <c r="J80" s="72" t="n">
        <v>200</v>
      </c>
      <c r="K80" s="75" t="n">
        <v>1</v>
      </c>
      <c r="L80" s="51" t="n">
        <v>6</v>
      </c>
      <c r="M80" s="69" t="n">
        <v>1.25</v>
      </c>
      <c r="N80" s="70">
        <f>K80*L80*M80</f>
        <v/>
      </c>
      <c r="O80" s="37">
        <f>IFERROR(INDEX(Исходные!$B$19:$B$31,MATCH(H80,Исходные!$A$19:$A$31,0)),0)</f>
        <v/>
      </c>
      <c r="P80" s="76">
        <f>N80*O80</f>
        <v/>
      </c>
      <c r="Q80" s="21" t="inlineStr">
        <is>
          <t>АС-41 развертка, выноска «Доп. стержень»</t>
        </is>
      </c>
      <c r="R80" s="77" t="inlineStr">
        <is>
          <t>по проекту</t>
        </is>
      </c>
      <c r="S80" s="21" t="inlineStr"/>
      <c r="T80" s="21" t="inlineStr">
        <is>
          <t>Колонны, диафрагмы</t>
        </is>
      </c>
      <c r="U80" s="49" t="n">
        <v>0</v>
      </c>
      <c r="V80" s="72" t="inlineStr">
        <is>
          <t>Дм-5</t>
        </is>
      </c>
      <c r="W80" s="49" t="n">
        <v>1</v>
      </c>
    </row>
    <row r="81">
      <c r="A81" s="72" t="n">
        <v>75</v>
      </c>
      <c r="B81" s="21" t="inlineStr">
        <is>
          <t>1 этаж (отм. -0.050…+3.950)</t>
        </is>
      </c>
      <c r="C81" s="21" t="inlineStr">
        <is>
          <t>Диафрагмы</t>
        </is>
      </c>
      <c r="D81" s="21" t="inlineStr">
        <is>
          <t>Г/4</t>
        </is>
      </c>
      <c r="E81" s="21" t="inlineStr">
        <is>
          <t>Дм-5</t>
        </is>
      </c>
      <c r="F81" s="72" t="inlineStr">
        <is>
          <t>доп.</t>
        </is>
      </c>
      <c r="G81" s="21" t="inlineStr">
        <is>
          <t>Доп. стержни: ребро у отм. -0.050, 6Ø14 L=1450</t>
        </is>
      </c>
      <c r="H81" s="51" t="n">
        <v>14</v>
      </c>
      <c r="I81" s="72" t="inlineStr">
        <is>
          <t>А500С</t>
        </is>
      </c>
      <c r="J81" s="72" t="n">
        <v>200</v>
      </c>
      <c r="K81" s="75" t="n">
        <v>1</v>
      </c>
      <c r="L81" s="51" t="n">
        <v>6</v>
      </c>
      <c r="M81" s="69" t="n">
        <v>1.45</v>
      </c>
      <c r="N81" s="70">
        <f>K81*L81*M81</f>
        <v/>
      </c>
      <c r="O81" s="37">
        <f>IFERROR(INDEX(Исходные!$B$19:$B$31,MATCH(H81,Исходные!$A$19:$A$31,0)),0)</f>
        <v/>
      </c>
      <c r="P81" s="76">
        <f>N81*O81</f>
        <v/>
      </c>
      <c r="Q81" s="21" t="inlineStr">
        <is>
          <t>АС-41 развертка, выноска «Доп. стержень»</t>
        </is>
      </c>
      <c r="R81" s="77" t="inlineStr">
        <is>
          <t>по проекту</t>
        </is>
      </c>
      <c r="S81" s="21" t="inlineStr"/>
      <c r="T81" s="21" t="inlineStr">
        <is>
          <t>Колонны, диафрагмы</t>
        </is>
      </c>
      <c r="U81" s="49" t="n">
        <v>0</v>
      </c>
      <c r="V81" s="72" t="inlineStr">
        <is>
          <t>Дм-5</t>
        </is>
      </c>
      <c r="W81" s="49" t="n">
        <v>1</v>
      </c>
    </row>
    <row r="82">
      <c r="A82" s="72" t="n">
        <v>76</v>
      </c>
      <c r="B82" s="21" t="inlineStr">
        <is>
          <t>1 этаж (отм. -0.050…+3.950)</t>
        </is>
      </c>
      <c r="C82" s="21" t="inlineStr">
        <is>
          <t>Диафрагмы</t>
        </is>
      </c>
      <c r="D82" s="21" t="inlineStr">
        <is>
          <t>Г/4</t>
        </is>
      </c>
      <c r="E82" s="21" t="inlineStr">
        <is>
          <t>Дм-5</t>
        </is>
      </c>
      <c r="F82" s="72" t="inlineStr">
        <is>
          <t>14</t>
        </is>
      </c>
      <c r="G82" s="21" t="inlineStr">
        <is>
          <t>П-образный стержень на торцах стенки: 2 шт/ряд × 18 рядов</t>
        </is>
      </c>
      <c r="H82" s="51" t="n">
        <v>10</v>
      </c>
      <c r="I82" s="72" t="inlineStr">
        <is>
          <t>А240</t>
        </is>
      </c>
      <c r="J82" s="72" t="inlineStr">
        <is>
          <t>200</t>
        </is>
      </c>
      <c r="K82" s="75" t="n">
        <v>1</v>
      </c>
      <c r="L82" s="51" t="n">
        <v>36</v>
      </c>
      <c r="M82" s="69" t="n">
        <v>1.33</v>
      </c>
      <c r="N82" s="70">
        <f>K82*L82*M82</f>
        <v/>
      </c>
      <c r="O82" s="37">
        <f>IFERROR(INDEX(Исходные!$B$19:$B$31,MATCH(H82,Исходные!$A$19:$A$31,0)),0)</f>
        <v/>
      </c>
      <c r="P82" s="76">
        <f>N82*O82</f>
        <v/>
      </c>
      <c r="Q82" s="21" t="inlineStr">
        <is>
          <t>сечение 1-1; АС-42 ведомость деталей поз.14 L=1330</t>
        </is>
      </c>
      <c r="R82" s="77" t="inlineStr">
        <is>
          <t>по проекту</t>
        </is>
      </c>
      <c r="S82" s="21" t="inlineStr"/>
      <c r="T82" s="21" t="inlineStr">
        <is>
          <t>Колонны, диафрагмы</t>
        </is>
      </c>
      <c r="U82" s="49" t="n">
        <v>0</v>
      </c>
      <c r="V82" s="72" t="inlineStr">
        <is>
          <t>Дм-5</t>
        </is>
      </c>
      <c r="W82" s="49" t="n">
        <v>1</v>
      </c>
    </row>
    <row r="83">
      <c r="A83" s="72" t="n">
        <v>77</v>
      </c>
      <c r="B83" s="21" t="inlineStr">
        <is>
          <t>1 этаж (отм. -0.050…+3.950)</t>
        </is>
      </c>
      <c r="C83" s="21" t="inlineStr">
        <is>
          <t>Диафрагмы</t>
        </is>
      </c>
      <c r="D83" s="21" t="inlineStr">
        <is>
          <t>Г/4</t>
        </is>
      </c>
      <c r="E83" s="21" t="inlineStr">
        <is>
          <t>Дм-5</t>
        </is>
      </c>
      <c r="F83" s="72" t="inlineStr">
        <is>
          <t>12*</t>
        </is>
      </c>
      <c r="G83" s="21" t="inlineStr">
        <is>
          <t>Хомут торцевого элемента полки: 1 шт/ряд × 18</t>
        </is>
      </c>
      <c r="H83" s="51" t="n">
        <v>10</v>
      </c>
      <c r="I83" s="72" t="inlineStr">
        <is>
          <t>А240</t>
        </is>
      </c>
      <c r="J83" s="72" t="inlineStr">
        <is>
          <t>200</t>
        </is>
      </c>
      <c r="K83" s="75" t="n">
        <v>1</v>
      </c>
      <c r="L83" s="51" t="n">
        <v>18</v>
      </c>
      <c r="M83" s="69" t="n">
        <v>1.56</v>
      </c>
      <c r="N83" s="70">
        <f>K83*L83*M83</f>
        <v/>
      </c>
      <c r="O83" s="37">
        <f>IFERROR(INDEX(Исходные!$B$19:$B$31,MATCH(H83,Исходные!$A$19:$A$31,0)),0)</f>
        <v/>
      </c>
      <c r="P83" s="76">
        <f>N83*O83</f>
        <v/>
      </c>
      <c r="Q83" s="21" t="inlineStr">
        <is>
          <t>сечение 1-1 «хом.Ø10 ш.200»; АС-42 ведомость деталей поз.12 L=1560</t>
        </is>
      </c>
      <c r="R83" s="77" t="inlineStr">
        <is>
          <t>по проекту</t>
        </is>
      </c>
      <c r="S83" s="21" t="inlineStr"/>
      <c r="T83" s="21" t="inlineStr">
        <is>
          <t>Колонны, диафрагмы</t>
        </is>
      </c>
      <c r="U83" s="49" t="n">
        <v>0</v>
      </c>
      <c r="V83" s="72" t="inlineStr">
        <is>
          <t>Дм-5</t>
        </is>
      </c>
      <c r="W83" s="49" t="n">
        <v>1</v>
      </c>
    </row>
    <row r="84">
      <c r="A84" s="72" t="n">
        <v>78</v>
      </c>
      <c r="B84" s="21" t="inlineStr">
        <is>
          <t>1 этаж (отм. -0.050…+3.950)</t>
        </is>
      </c>
      <c r="C84" s="21" t="inlineStr">
        <is>
          <t>Диафрагмы</t>
        </is>
      </c>
      <c r="D84" s="21" t="inlineStr">
        <is>
          <t>Г/4</t>
        </is>
      </c>
      <c r="E84" s="21" t="inlineStr">
        <is>
          <t>Дм-5</t>
        </is>
      </c>
      <c r="F84" s="72" t="inlineStr">
        <is>
          <t>15</t>
        </is>
      </c>
      <c r="G84" s="21" t="inlineStr">
        <is>
          <t>Хомут торцевого элемента ребра: 1 шт/ряд × 18</t>
        </is>
      </c>
      <c r="H84" s="51" t="n">
        <v>8</v>
      </c>
      <c r="I84" s="72" t="inlineStr">
        <is>
          <t>А240</t>
        </is>
      </c>
      <c r="J84" s="72" t="inlineStr">
        <is>
          <t>200</t>
        </is>
      </c>
      <c r="K84" s="75" t="n">
        <v>1</v>
      </c>
      <c r="L84" s="51" t="n">
        <v>18</v>
      </c>
      <c r="M84" s="69" t="n">
        <v>1.76</v>
      </c>
      <c r="N84" s="70">
        <f>K84*L84*M84</f>
        <v/>
      </c>
      <c r="O84" s="37">
        <f>IFERROR(INDEX(Исходные!$B$19:$B$31,MATCH(H84,Исходные!$A$19:$A$31,0)),0)</f>
        <v/>
      </c>
      <c r="P84" s="76">
        <f>N84*O84</f>
        <v/>
      </c>
      <c r="Q84" s="21" t="inlineStr">
        <is>
          <t>сечение 1-1; АС-42 ведомость деталей поз.15,(15*) L=1760</t>
        </is>
      </c>
      <c r="R84" s="77" t="inlineStr">
        <is>
          <t>по проекту</t>
        </is>
      </c>
      <c r="S84" s="21" t="inlineStr"/>
      <c r="T84" s="21" t="inlineStr">
        <is>
          <t>Колонны, диафрагмы</t>
        </is>
      </c>
      <c r="U84" s="49" t="n">
        <v>0</v>
      </c>
      <c r="V84" s="72" t="inlineStr">
        <is>
          <t>Дм-5</t>
        </is>
      </c>
      <c r="W84" s="49" t="n">
        <v>1</v>
      </c>
    </row>
    <row r="85">
      <c r="A85" s="72" t="n">
        <v>79</v>
      </c>
      <c r="B85" s="21" t="inlineStr">
        <is>
          <t>1 этаж (отм. -0.050…+3.950)</t>
        </is>
      </c>
      <c r="C85" s="21" t="inlineStr">
        <is>
          <t>Диафрагмы</t>
        </is>
      </c>
      <c r="D85" s="21" t="inlineStr">
        <is>
          <t>Г/4</t>
        </is>
      </c>
      <c r="E85" s="21" t="inlineStr">
        <is>
          <t>Дм-5</t>
        </is>
      </c>
      <c r="F85" s="72" t="inlineStr">
        <is>
          <t>10</t>
        </is>
      </c>
      <c r="G85" s="21" t="inlineStr">
        <is>
          <t>Хомут колонны наружный (шаг 100 у опор ×12, 200 в середине) — 30 шт</t>
        </is>
      </c>
      <c r="H85" s="51" t="n">
        <v>8</v>
      </c>
      <c r="I85" s="72" t="inlineStr">
        <is>
          <t>А240</t>
        </is>
      </c>
      <c r="J85" s="72" t="inlineStr">
        <is>
          <t>200</t>
        </is>
      </c>
      <c r="K85" s="75" t="n">
        <v>1</v>
      </c>
      <c r="L85" s="51" t="n">
        <v>30</v>
      </c>
      <c r="M85" s="69" t="n">
        <v>2.44</v>
      </c>
      <c r="N85" s="70">
        <f>K85*L85*M85</f>
        <v/>
      </c>
      <c r="O85" s="37">
        <f>IFERROR(INDEX(Исходные!$B$19:$B$31,MATCH(H85,Исходные!$A$19:$A$31,0)),0)</f>
        <v/>
      </c>
      <c r="P85" s="76">
        <f>N85*O85</f>
        <v/>
      </c>
      <c r="Q85" s="21" t="inlineStr">
        <is>
          <t>АС-32 схема хомутов колонн; АС-42 ведомость деталей поз.10 L=2440</t>
        </is>
      </c>
      <c r="R85" s="77" t="inlineStr">
        <is>
          <t>по проекту</t>
        </is>
      </c>
      <c r="S85" s="21" t="inlineStr"/>
      <c r="T85" s="21" t="inlineStr">
        <is>
          <t>Колонны, диафрагмы</t>
        </is>
      </c>
      <c r="U85" s="49" t="n">
        <v>0</v>
      </c>
      <c r="V85" s="72" t="inlineStr">
        <is>
          <t>Дм-5</t>
        </is>
      </c>
      <c r="W85" s="49" t="n">
        <v>1</v>
      </c>
    </row>
    <row r="86">
      <c r="A86" s="72" t="n">
        <v>80</v>
      </c>
      <c r="B86" s="21" t="inlineStr">
        <is>
          <t>1 этаж (отм. -0.050…+3.950)</t>
        </is>
      </c>
      <c r="C86" s="21" t="inlineStr">
        <is>
          <t>Диафрагмы</t>
        </is>
      </c>
      <c r="D86" s="21" t="inlineStr">
        <is>
          <t>Г/4</t>
        </is>
      </c>
      <c r="E86" s="21" t="inlineStr">
        <is>
          <t>Дм-5</t>
        </is>
      </c>
      <c r="F86" s="72" t="inlineStr">
        <is>
          <t>11</t>
        </is>
      </c>
      <c r="G86" s="21" t="inlineStr">
        <is>
          <t>Хомут колонны внутренний: 2 шт/ряд × 18</t>
        </is>
      </c>
      <c r="H86" s="51" t="n">
        <v>8</v>
      </c>
      <c r="I86" s="72" t="inlineStr">
        <is>
          <t>А240</t>
        </is>
      </c>
      <c r="J86" s="72" t="inlineStr">
        <is>
          <t>200</t>
        </is>
      </c>
      <c r="K86" s="75" t="n">
        <v>1</v>
      </c>
      <c r="L86" s="51" t="n">
        <v>36</v>
      </c>
      <c r="M86" s="69" t="n">
        <v>1.96</v>
      </c>
      <c r="N86" s="70">
        <f>K86*L86*M86</f>
        <v/>
      </c>
      <c r="O86" s="37">
        <f>IFERROR(INDEX(Исходные!$B$19:$B$31,MATCH(H86,Исходные!$A$19:$A$31,0)),0)</f>
        <v/>
      </c>
      <c r="P86" s="76">
        <f>N86*O86</f>
        <v/>
      </c>
      <c r="Q86" s="21" t="inlineStr">
        <is>
          <t>сечение 1-1 «ш.200»; АС-42 ведомость деталей поз.11 L=1960</t>
        </is>
      </c>
      <c r="R86" s="77" t="inlineStr">
        <is>
          <t>по проекту</t>
        </is>
      </c>
      <c r="S86" s="21" t="inlineStr"/>
      <c r="T86" s="21" t="inlineStr">
        <is>
          <t>Колонны, диафрагмы</t>
        </is>
      </c>
      <c r="U86" s="49" t="n">
        <v>0</v>
      </c>
      <c r="V86" s="72" t="inlineStr">
        <is>
          <t>Дм-5</t>
        </is>
      </c>
      <c r="W86" s="49" t="n">
        <v>1</v>
      </c>
    </row>
    <row r="87">
      <c r="A87" s="72" t="n">
        <v>81</v>
      </c>
      <c r="B87" s="21" t="inlineStr">
        <is>
          <t>1 этаж (отм. -0.050…+3.950)</t>
        </is>
      </c>
      <c r="C87" s="21" t="inlineStr">
        <is>
          <t>Диафрагмы</t>
        </is>
      </c>
      <c r="D87" s="21" t="inlineStr">
        <is>
          <t>Г/4</t>
        </is>
      </c>
      <c r="E87" s="21" t="inlineStr">
        <is>
          <t>Дм-5</t>
        </is>
      </c>
      <c r="F87" s="72" t="inlineStr">
        <is>
          <t>13</t>
        </is>
      </c>
      <c r="G87" s="21" t="inlineStr">
        <is>
          <t>Шпилька ш.400 в шахм. порядке: 6 мест × 9 рядов</t>
        </is>
      </c>
      <c r="H87" s="51" t="n">
        <v>8</v>
      </c>
      <c r="I87" s="72" t="inlineStr">
        <is>
          <t>А240</t>
        </is>
      </c>
      <c r="J87" s="72" t="inlineStr">
        <is>
          <t>200</t>
        </is>
      </c>
      <c r="K87" s="75" t="n">
        <v>1</v>
      </c>
      <c r="L87" s="51" t="n">
        <v>54</v>
      </c>
      <c r="M87" s="69" t="n">
        <v>0.53</v>
      </c>
      <c r="N87" s="70">
        <f>K87*L87*M87</f>
        <v/>
      </c>
      <c r="O87" s="37">
        <f>IFERROR(INDEX(Исходные!$B$19:$B$31,MATCH(H87,Исходные!$A$19:$A$31,0)),0)</f>
        <v/>
      </c>
      <c r="P87" s="76">
        <f>N87*O87</f>
        <v/>
      </c>
      <c r="Q87" s="21" t="inlineStr">
        <is>
          <t>сечение 1-1, прим.6; АС-42 ведомость деталей поз.13 L=530</t>
        </is>
      </c>
      <c r="R87" s="77" t="inlineStr">
        <is>
          <t>по проекту</t>
        </is>
      </c>
      <c r="S87" s="21" t="inlineStr"/>
      <c r="T87" s="21" t="inlineStr">
        <is>
          <t>Колонны, диафрагмы</t>
        </is>
      </c>
      <c r="U87" s="49" t="n">
        <v>0</v>
      </c>
      <c r="V87" s="72" t="inlineStr">
        <is>
          <t>Дм-5</t>
        </is>
      </c>
      <c r="W87" s="49" t="n">
        <v>1</v>
      </c>
    </row>
    <row r="88">
      <c r="A88" s="74" t="inlineStr">
        <is>
          <t>1.2. КОЛОННЫ 600×600 вне диафрагм (15 шт) — сеч.1-1 (4Ø32+8Ø20), H=4,0 м</t>
        </is>
      </c>
      <c r="B88" s="33" t="n"/>
      <c r="C88" s="33" t="n"/>
      <c r="D88" s="33" t="n"/>
      <c r="E88" s="33" t="n"/>
      <c r="F88" s="33" t="n"/>
      <c r="G88" s="33" t="n"/>
      <c r="H88" s="33" t="n"/>
      <c r="I88" s="33" t="n"/>
      <c r="J88" s="33" t="n"/>
      <c r="K88" s="33" t="n"/>
      <c r="L88" s="33" t="n"/>
      <c r="M88" s="33" t="n"/>
      <c r="N88" s="33" t="n"/>
      <c r="O88" s="33" t="n"/>
      <c r="P88" s="33" t="n"/>
      <c r="Q88" s="33" t="n"/>
      <c r="R88" s="33" t="n"/>
      <c r="S88" s="33" t="n"/>
      <c r="T88" s="33" t="n"/>
      <c r="U88" s="33" t="n"/>
      <c r="V88" s="33" t="n"/>
      <c r="W88" s="34" t="n"/>
    </row>
    <row r="89">
      <c r="A89" s="72" t="n">
        <v>82</v>
      </c>
      <c r="B89" s="21" t="inlineStr">
        <is>
          <t>1 этаж (отм. -0.050…+3.950)</t>
        </is>
      </c>
      <c r="C89" s="21" t="inlineStr">
        <is>
          <t>Колонны</t>
        </is>
      </c>
      <c r="D89" s="21" t="inlineStr">
        <is>
          <t>ось А: А/1, А/3, А/5</t>
        </is>
      </c>
      <c r="E89" s="21" t="inlineStr">
        <is>
          <t>К-А</t>
        </is>
      </c>
      <c r="F89" s="72" t="inlineStr">
        <is>
          <t>1</t>
        </is>
      </c>
      <c r="G89" s="21" t="inlineStr">
        <is>
          <t>Вертикальные: угловые 4Ø32 (сеч.1-1)</t>
        </is>
      </c>
      <c r="H89" s="51" t="n">
        <v>32</v>
      </c>
      <c r="I89" s="72" t="inlineStr">
        <is>
          <t>А500С</t>
        </is>
      </c>
      <c r="J89" s="72" t="inlineStr">
        <is>
          <t>—</t>
        </is>
      </c>
      <c r="K89" s="75" t="n">
        <v>3</v>
      </c>
      <c r="L89" s="51" t="n">
        <v>4</v>
      </c>
      <c r="M89" s="69" t="n">
        <v>4</v>
      </c>
      <c r="N89" s="70">
        <f>K89*L89*M89</f>
        <v/>
      </c>
      <c r="O89" s="37">
        <f>IFERROR(INDEX(Исходные!$B$19:$B$31,MATCH(H89,Исходные!$A$19:$A$31,0)),0)</f>
        <v/>
      </c>
      <c r="P89" s="76">
        <f>N89*O89</f>
        <v/>
      </c>
      <c r="Q89" s="21" t="inlineStr">
        <is>
          <t>АС-28 сеч.1-1 поз.1; сечение по рамам АС-20…23 (1-1 у отм. -3.900…-0.050, принято и для 1 этажа)</t>
        </is>
      </c>
      <c r="R89" s="78" t="inlineStr">
        <is>
          <t>принято (уточнить)</t>
        </is>
      </c>
      <c r="S89" s="21" t="inlineStr">
        <is>
          <t>Длина = высота этажа 4,0 м (стык ванной сваркой, разбежка 800/500 — АС-32, АС-19 прим.1).</t>
        </is>
      </c>
      <c r="T89" s="21" t="inlineStr">
        <is>
          <t>Колонны, диафрагмы</t>
        </is>
      </c>
      <c r="U89" s="49" t="n">
        <v>1</v>
      </c>
      <c r="V89" s="72" t="inlineStr">
        <is>
          <t>К-А</t>
        </is>
      </c>
      <c r="W89" s="49" t="n">
        <v>1</v>
      </c>
    </row>
    <row r="90">
      <c r="A90" s="72" t="n">
        <v>83</v>
      </c>
      <c r="B90" s="21" t="inlineStr">
        <is>
          <t>1 этаж (отм. -0.050…+3.950)</t>
        </is>
      </c>
      <c r="C90" s="21" t="inlineStr">
        <is>
          <t>Колонны</t>
        </is>
      </c>
      <c r="D90" s="21" t="inlineStr">
        <is>
          <t>ось А: А/1, А/3, А/5</t>
        </is>
      </c>
      <c r="E90" s="21" t="inlineStr">
        <is>
          <t>К-А</t>
        </is>
      </c>
      <c r="F90" s="72" t="inlineStr">
        <is>
          <t>5</t>
        </is>
      </c>
      <c r="G90" s="21" t="inlineStr">
        <is>
          <t>Вертикальные: промежуточные 8Ø20 (сеч.1-1)</t>
        </is>
      </c>
      <c r="H90" s="51" t="n">
        <v>20</v>
      </c>
      <c r="I90" s="72" t="inlineStr">
        <is>
          <t>А500С</t>
        </is>
      </c>
      <c r="J90" s="72" t="inlineStr">
        <is>
          <t>—</t>
        </is>
      </c>
      <c r="K90" s="75" t="n">
        <v>3</v>
      </c>
      <c r="L90" s="51" t="n">
        <v>8</v>
      </c>
      <c r="M90" s="69" t="n">
        <v>4</v>
      </c>
      <c r="N90" s="70">
        <f>K90*L90*M90</f>
        <v/>
      </c>
      <c r="O90" s="37">
        <f>IFERROR(INDEX(Исходные!$B$19:$B$31,MATCH(H90,Исходные!$A$19:$A$31,0)),0)</f>
        <v/>
      </c>
      <c r="P90" s="76">
        <f>N90*O90</f>
        <v/>
      </c>
      <c r="Q90" s="21" t="inlineStr">
        <is>
          <t>АС-28 сеч.1-1 поз.5</t>
        </is>
      </c>
      <c r="R90" s="78" t="inlineStr">
        <is>
          <t>принято (уточнить)</t>
        </is>
      </c>
      <c r="S90" s="21" t="inlineStr">
        <is>
          <t>Длина = высота этажа 4,0 м, стык ванной сваркой.</t>
        </is>
      </c>
      <c r="T90" s="21" t="inlineStr">
        <is>
          <t>Колонны, диафрагмы</t>
        </is>
      </c>
      <c r="U90" s="49" t="n">
        <v>1</v>
      </c>
      <c r="V90" s="72" t="inlineStr">
        <is>
          <t>К-А</t>
        </is>
      </c>
      <c r="W90" s="49" t="n">
        <v>1</v>
      </c>
    </row>
    <row r="91">
      <c r="A91" s="72" t="n">
        <v>84</v>
      </c>
      <c r="B91" s="21" t="inlineStr">
        <is>
          <t>1 этаж (отм. -0.050…+3.950)</t>
        </is>
      </c>
      <c r="C91" s="21" t="inlineStr">
        <is>
          <t>Колонны</t>
        </is>
      </c>
      <c r="D91" s="21" t="inlineStr">
        <is>
          <t>ось А: А/1, А/3, А/5</t>
        </is>
      </c>
      <c r="E91" s="21" t="inlineStr">
        <is>
          <t>К-А</t>
        </is>
      </c>
      <c r="F91" s="72" t="inlineStr">
        <is>
          <t>10</t>
        </is>
      </c>
      <c r="G91" s="21" t="inlineStr">
        <is>
          <t>Хомут наружный Ø8 L=2440: 13 (100×12 низ) + 4 (ш.200) + 13 (100×12 верх) = 30 шт</t>
        </is>
      </c>
      <c r="H91" s="51" t="n">
        <v>8</v>
      </c>
      <c r="I91" s="72" t="inlineStr">
        <is>
          <t>А240</t>
        </is>
      </c>
      <c r="J91" s="72" t="inlineStr">
        <is>
          <t>100/200</t>
        </is>
      </c>
      <c r="K91" s="75" t="n">
        <v>3</v>
      </c>
      <c r="L91" s="51" t="n">
        <v>30</v>
      </c>
      <c r="M91" s="69" t="n">
        <v>2.44</v>
      </c>
      <c r="N91" s="70">
        <f>K91*L91*M91</f>
        <v/>
      </c>
      <c r="O91" s="37">
        <f>IFERROR(INDEX(Исходные!$B$19:$B$31,MATCH(H91,Исходные!$A$19:$A$31,0)),0)</f>
        <v/>
      </c>
      <c r="P91" s="76">
        <f>N91*O91</f>
        <v/>
      </c>
      <c r="Q91" s="21" t="inlineStr">
        <is>
          <t>АС-32 схема хомутов колонн (1 этаж: 50+100×12+200×n+100×12+50+600); АС-28 поз.10 L=2440</t>
        </is>
      </c>
      <c r="R91" s="77" t="inlineStr">
        <is>
          <t>по проекту</t>
        </is>
      </c>
      <c r="S91" s="21" t="inlineStr"/>
      <c r="T91" s="21" t="inlineStr">
        <is>
          <t>Колонны, диафрагмы</t>
        </is>
      </c>
      <c r="U91" s="49" t="n">
        <v>0</v>
      </c>
      <c r="V91" s="72" t="inlineStr">
        <is>
          <t>К-А</t>
        </is>
      </c>
      <c r="W91" s="49" t="n">
        <v>1</v>
      </c>
    </row>
    <row r="92">
      <c r="A92" s="72" t="n">
        <v>85</v>
      </c>
      <c r="B92" s="21" t="inlineStr">
        <is>
          <t>1 этаж (отм. -0.050…+3.950)</t>
        </is>
      </c>
      <c r="C92" s="21" t="inlineStr">
        <is>
          <t>Колонны</t>
        </is>
      </c>
      <c r="D92" s="21" t="inlineStr">
        <is>
          <t>ось А: А/1, А/3, А/5</t>
        </is>
      </c>
      <c r="E92" s="21" t="inlineStr">
        <is>
          <t>К-А</t>
        </is>
      </c>
      <c r="F92" s="72" t="inlineStr">
        <is>
          <t>11</t>
        </is>
      </c>
      <c r="G92" s="21" t="inlineStr">
        <is>
          <t>Хомут внутренний Ø8 L=1960 ш.200: 2 шт × 18 рядов</t>
        </is>
      </c>
      <c r="H92" s="51" t="n">
        <v>8</v>
      </c>
      <c r="I92" s="72" t="inlineStr">
        <is>
          <t>А240</t>
        </is>
      </c>
      <c r="J92" s="72" t="n">
        <v>200</v>
      </c>
      <c r="K92" s="75" t="n">
        <v>3</v>
      </c>
      <c r="L92" s="51" t="n">
        <v>36</v>
      </c>
      <c r="M92" s="69" t="n">
        <v>1.96</v>
      </c>
      <c r="N92" s="70">
        <f>K92*L92*M92</f>
        <v/>
      </c>
      <c r="O92" s="37">
        <f>IFERROR(INDEX(Исходные!$B$19:$B$31,MATCH(H92,Исходные!$A$19:$A$31,0)),0)</f>
        <v/>
      </c>
      <c r="P92" s="76">
        <f>N92*O92</f>
        <v/>
      </c>
      <c r="Q92" s="21" t="inlineStr">
        <is>
          <t>АС-28 сеч.1-1 «11 хом.Ø8 ш.200», поз.11 L=1960</t>
        </is>
      </c>
      <c r="R92" s="77" t="inlineStr">
        <is>
          <t>по проекту</t>
        </is>
      </c>
      <c r="S92" s="21" t="inlineStr"/>
      <c r="T92" s="21" t="inlineStr">
        <is>
          <t>Колонны, диафрагмы</t>
        </is>
      </c>
      <c r="U92" s="49" t="n">
        <v>0</v>
      </c>
      <c r="V92" s="72" t="inlineStr">
        <is>
          <t>К-А</t>
        </is>
      </c>
      <c r="W92" s="49" t="n">
        <v>1</v>
      </c>
    </row>
    <row r="93">
      <c r="A93" s="72" t="n">
        <v>86</v>
      </c>
      <c r="B93" s="21" t="inlineStr">
        <is>
          <t>1 этаж (отм. -0.050…+3.950)</t>
        </is>
      </c>
      <c r="C93" s="21" t="inlineStr">
        <is>
          <t>Колонны</t>
        </is>
      </c>
      <c r="D93" s="21" t="inlineStr">
        <is>
          <t>ось Б: Б/1, Б/2, Б/3, Б/4, Б/5</t>
        </is>
      </c>
      <c r="E93" s="21" t="inlineStr">
        <is>
          <t>К-Б</t>
        </is>
      </c>
      <c r="F93" s="72" t="inlineStr">
        <is>
          <t>1</t>
        </is>
      </c>
      <c r="G93" s="21" t="inlineStr">
        <is>
          <t>Вертикальные: угловые 4Ø32 (сеч.1-1)</t>
        </is>
      </c>
      <c r="H93" s="51" t="n">
        <v>32</v>
      </c>
      <c r="I93" s="72" t="inlineStr">
        <is>
          <t>А500С</t>
        </is>
      </c>
      <c r="J93" s="72" t="inlineStr">
        <is>
          <t>—</t>
        </is>
      </c>
      <c r="K93" s="75" t="n">
        <v>5</v>
      </c>
      <c r="L93" s="51" t="n">
        <v>4</v>
      </c>
      <c r="M93" s="69" t="n">
        <v>4</v>
      </c>
      <c r="N93" s="70">
        <f>K93*L93*M93</f>
        <v/>
      </c>
      <c r="O93" s="37">
        <f>IFERROR(INDEX(Исходные!$B$19:$B$31,MATCH(H93,Исходные!$A$19:$A$31,0)),0)</f>
        <v/>
      </c>
      <c r="P93" s="76">
        <f>N93*O93</f>
        <v/>
      </c>
      <c r="Q93" s="21" t="inlineStr">
        <is>
          <t>АС-28 сеч.1-1 поз.1; сечение по рамам АС-20…23 (1-1 у отм. -3.900…-0.050, принято и для 1 этажа)</t>
        </is>
      </c>
      <c r="R93" s="78" t="inlineStr">
        <is>
          <t>принято (уточнить)</t>
        </is>
      </c>
      <c r="S93" s="21" t="inlineStr">
        <is>
          <t>Длина = высота этажа 4,0 м (стык ванной сваркой, разбежка 800/500 — АС-32, АС-19 прим.1).</t>
        </is>
      </c>
      <c r="T93" s="21" t="inlineStr">
        <is>
          <t>Колонны, диафрагмы</t>
        </is>
      </c>
      <c r="U93" s="49" t="n">
        <v>1</v>
      </c>
      <c r="V93" s="72" t="inlineStr">
        <is>
          <t>К-Б</t>
        </is>
      </c>
      <c r="W93" s="49" t="n">
        <v>1</v>
      </c>
    </row>
    <row r="94">
      <c r="A94" s="72" t="n">
        <v>87</v>
      </c>
      <c r="B94" s="21" t="inlineStr">
        <is>
          <t>1 этаж (отм. -0.050…+3.950)</t>
        </is>
      </c>
      <c r="C94" s="21" t="inlineStr">
        <is>
          <t>Колонны</t>
        </is>
      </c>
      <c r="D94" s="21" t="inlineStr">
        <is>
          <t>ось Б: Б/1, Б/2, Б/3, Б/4, Б/5</t>
        </is>
      </c>
      <c r="E94" s="21" t="inlineStr">
        <is>
          <t>К-Б</t>
        </is>
      </c>
      <c r="F94" s="72" t="inlineStr">
        <is>
          <t>5</t>
        </is>
      </c>
      <c r="G94" s="21" t="inlineStr">
        <is>
          <t>Вертикальные: промежуточные 8Ø20 (сеч.1-1)</t>
        </is>
      </c>
      <c r="H94" s="51" t="n">
        <v>20</v>
      </c>
      <c r="I94" s="72" t="inlineStr">
        <is>
          <t>А500С</t>
        </is>
      </c>
      <c r="J94" s="72" t="inlineStr">
        <is>
          <t>—</t>
        </is>
      </c>
      <c r="K94" s="75" t="n">
        <v>5</v>
      </c>
      <c r="L94" s="51" t="n">
        <v>8</v>
      </c>
      <c r="M94" s="69" t="n">
        <v>4</v>
      </c>
      <c r="N94" s="70">
        <f>K94*L94*M94</f>
        <v/>
      </c>
      <c r="O94" s="37">
        <f>IFERROR(INDEX(Исходные!$B$19:$B$31,MATCH(H94,Исходные!$A$19:$A$31,0)),0)</f>
        <v/>
      </c>
      <c r="P94" s="76">
        <f>N94*O94</f>
        <v/>
      </c>
      <c r="Q94" s="21" t="inlineStr">
        <is>
          <t>АС-28 сеч.1-1 поз.5</t>
        </is>
      </c>
      <c r="R94" s="78" t="inlineStr">
        <is>
          <t>принято (уточнить)</t>
        </is>
      </c>
      <c r="S94" s="21" t="inlineStr">
        <is>
          <t>Длина = высота этажа 4,0 м, стык ванной сваркой.</t>
        </is>
      </c>
      <c r="T94" s="21" t="inlineStr">
        <is>
          <t>Колонны, диафрагмы</t>
        </is>
      </c>
      <c r="U94" s="49" t="n">
        <v>1</v>
      </c>
      <c r="V94" s="72" t="inlineStr">
        <is>
          <t>К-Б</t>
        </is>
      </c>
      <c r="W94" s="49" t="n">
        <v>1</v>
      </c>
    </row>
    <row r="95">
      <c r="A95" s="72" t="n">
        <v>88</v>
      </c>
      <c r="B95" s="21" t="inlineStr">
        <is>
          <t>1 этаж (отм. -0.050…+3.950)</t>
        </is>
      </c>
      <c r="C95" s="21" t="inlineStr">
        <is>
          <t>Колонны</t>
        </is>
      </c>
      <c r="D95" s="21" t="inlineStr">
        <is>
          <t>ось Б: Б/1, Б/2, Б/3, Б/4, Б/5</t>
        </is>
      </c>
      <c r="E95" s="21" t="inlineStr">
        <is>
          <t>К-Б</t>
        </is>
      </c>
      <c r="F95" s="72" t="inlineStr">
        <is>
          <t>10</t>
        </is>
      </c>
      <c r="G95" s="21" t="inlineStr">
        <is>
          <t>Хомут наружный Ø8 L=2440: 13 (100×12 низ) + 4 (ш.200) + 13 (100×12 верх) = 30 шт</t>
        </is>
      </c>
      <c r="H95" s="51" t="n">
        <v>8</v>
      </c>
      <c r="I95" s="72" t="inlineStr">
        <is>
          <t>А240</t>
        </is>
      </c>
      <c r="J95" s="72" t="inlineStr">
        <is>
          <t>100/200</t>
        </is>
      </c>
      <c r="K95" s="75" t="n">
        <v>5</v>
      </c>
      <c r="L95" s="51" t="n">
        <v>30</v>
      </c>
      <c r="M95" s="69" t="n">
        <v>2.44</v>
      </c>
      <c r="N95" s="70">
        <f>K95*L95*M95</f>
        <v/>
      </c>
      <c r="O95" s="37">
        <f>IFERROR(INDEX(Исходные!$B$19:$B$31,MATCH(H95,Исходные!$A$19:$A$31,0)),0)</f>
        <v/>
      </c>
      <c r="P95" s="76">
        <f>N95*O95</f>
        <v/>
      </c>
      <c r="Q95" s="21" t="inlineStr">
        <is>
          <t>АС-32 схема хомутов колонн (1 этаж: 50+100×12+200×n+100×12+50+600); АС-28 поз.10 L=2440</t>
        </is>
      </c>
      <c r="R95" s="77" t="inlineStr">
        <is>
          <t>по проекту</t>
        </is>
      </c>
      <c r="S95" s="21" t="inlineStr"/>
      <c r="T95" s="21" t="inlineStr">
        <is>
          <t>Колонны, диафрагмы</t>
        </is>
      </c>
      <c r="U95" s="49" t="n">
        <v>0</v>
      </c>
      <c r="V95" s="72" t="inlineStr">
        <is>
          <t>К-Б</t>
        </is>
      </c>
      <c r="W95" s="49" t="n">
        <v>1</v>
      </c>
    </row>
    <row r="96">
      <c r="A96" s="72" t="n">
        <v>89</v>
      </c>
      <c r="B96" s="21" t="inlineStr">
        <is>
          <t>1 этаж (отм. -0.050…+3.950)</t>
        </is>
      </c>
      <c r="C96" s="21" t="inlineStr">
        <is>
          <t>Колонны</t>
        </is>
      </c>
      <c r="D96" s="21" t="inlineStr">
        <is>
          <t>ось Б: Б/1, Б/2, Б/3, Б/4, Б/5</t>
        </is>
      </c>
      <c r="E96" s="21" t="inlineStr">
        <is>
          <t>К-Б</t>
        </is>
      </c>
      <c r="F96" s="72" t="inlineStr">
        <is>
          <t>11</t>
        </is>
      </c>
      <c r="G96" s="21" t="inlineStr">
        <is>
          <t>Хомут внутренний Ø8 L=1960 ш.200: 2 шт × 18 рядов</t>
        </is>
      </c>
      <c r="H96" s="51" t="n">
        <v>8</v>
      </c>
      <c r="I96" s="72" t="inlineStr">
        <is>
          <t>А240</t>
        </is>
      </c>
      <c r="J96" s="72" t="n">
        <v>200</v>
      </c>
      <c r="K96" s="75" t="n">
        <v>5</v>
      </c>
      <c r="L96" s="51" t="n">
        <v>36</v>
      </c>
      <c r="M96" s="69" t="n">
        <v>1.96</v>
      </c>
      <c r="N96" s="70">
        <f>K96*L96*M96</f>
        <v/>
      </c>
      <c r="O96" s="37">
        <f>IFERROR(INDEX(Исходные!$B$19:$B$31,MATCH(H96,Исходные!$A$19:$A$31,0)),0)</f>
        <v/>
      </c>
      <c r="P96" s="76">
        <f>N96*O96</f>
        <v/>
      </c>
      <c r="Q96" s="21" t="inlineStr">
        <is>
          <t>АС-28 сеч.1-1 «11 хом.Ø8 ш.200», поз.11 L=1960</t>
        </is>
      </c>
      <c r="R96" s="77" t="inlineStr">
        <is>
          <t>по проекту</t>
        </is>
      </c>
      <c r="S96" s="21" t="inlineStr"/>
      <c r="T96" s="21" t="inlineStr">
        <is>
          <t>Колонны, диафрагмы</t>
        </is>
      </c>
      <c r="U96" s="49" t="n">
        <v>0</v>
      </c>
      <c r="V96" s="72" t="inlineStr">
        <is>
          <t>К-Б</t>
        </is>
      </c>
      <c r="W96" s="49" t="n">
        <v>1</v>
      </c>
    </row>
    <row r="97">
      <c r="A97" s="72" t="n">
        <v>90</v>
      </c>
      <c r="B97" s="21" t="inlineStr">
        <is>
          <t>1 этаж (отм. -0.050…+3.950)</t>
        </is>
      </c>
      <c r="C97" s="21" t="inlineStr">
        <is>
          <t>Колонны</t>
        </is>
      </c>
      <c r="D97" s="21" t="inlineStr">
        <is>
          <t>ось В: В/1, В/2, В/3, В/4, В/5</t>
        </is>
      </c>
      <c r="E97" s="21" t="inlineStr">
        <is>
          <t>К-В</t>
        </is>
      </c>
      <c r="F97" s="72" t="inlineStr">
        <is>
          <t>1</t>
        </is>
      </c>
      <c r="G97" s="21" t="inlineStr">
        <is>
          <t>Вертикальные: угловые 4Ø32 (сеч.1-1)</t>
        </is>
      </c>
      <c r="H97" s="51" t="n">
        <v>32</v>
      </c>
      <c r="I97" s="72" t="inlineStr">
        <is>
          <t>А500С</t>
        </is>
      </c>
      <c r="J97" s="72" t="inlineStr">
        <is>
          <t>—</t>
        </is>
      </c>
      <c r="K97" s="75" t="n">
        <v>5</v>
      </c>
      <c r="L97" s="51" t="n">
        <v>4</v>
      </c>
      <c r="M97" s="69" t="n">
        <v>4</v>
      </c>
      <c r="N97" s="70">
        <f>K97*L97*M97</f>
        <v/>
      </c>
      <c r="O97" s="37">
        <f>IFERROR(INDEX(Исходные!$B$19:$B$31,MATCH(H97,Исходные!$A$19:$A$31,0)),0)</f>
        <v/>
      </c>
      <c r="P97" s="76">
        <f>N97*O97</f>
        <v/>
      </c>
      <c r="Q97" s="21" t="inlineStr">
        <is>
          <t>АС-28 сеч.1-1 поз.1; сечение по рамам АС-20…23 (1-1 у отм. -3.900…-0.050, принято и для 1 этажа)</t>
        </is>
      </c>
      <c r="R97" s="78" t="inlineStr">
        <is>
          <t>принято (уточнить)</t>
        </is>
      </c>
      <c r="S97" s="21" t="inlineStr">
        <is>
          <t>Длина = высота этажа 4,0 м (стык ванной сваркой, разбежка 800/500 — АС-32, АС-19 прим.1).</t>
        </is>
      </c>
      <c r="T97" s="21" t="inlineStr">
        <is>
          <t>Колонны, диафрагмы</t>
        </is>
      </c>
      <c r="U97" s="49" t="n">
        <v>1</v>
      </c>
      <c r="V97" s="72" t="inlineStr">
        <is>
          <t>К-В</t>
        </is>
      </c>
      <c r="W97" s="49" t="n">
        <v>1</v>
      </c>
    </row>
    <row r="98">
      <c r="A98" s="72" t="n">
        <v>91</v>
      </c>
      <c r="B98" s="21" t="inlineStr">
        <is>
          <t>1 этаж (отм. -0.050…+3.950)</t>
        </is>
      </c>
      <c r="C98" s="21" t="inlineStr">
        <is>
          <t>Колонны</t>
        </is>
      </c>
      <c r="D98" s="21" t="inlineStr">
        <is>
          <t>ось В: В/1, В/2, В/3, В/4, В/5</t>
        </is>
      </c>
      <c r="E98" s="21" t="inlineStr">
        <is>
          <t>К-В</t>
        </is>
      </c>
      <c r="F98" s="72" t="inlineStr">
        <is>
          <t>5</t>
        </is>
      </c>
      <c r="G98" s="21" t="inlineStr">
        <is>
          <t>Вертикальные: промежуточные 8Ø20 (сеч.1-1)</t>
        </is>
      </c>
      <c r="H98" s="51" t="n">
        <v>20</v>
      </c>
      <c r="I98" s="72" t="inlineStr">
        <is>
          <t>А500С</t>
        </is>
      </c>
      <c r="J98" s="72" t="inlineStr">
        <is>
          <t>—</t>
        </is>
      </c>
      <c r="K98" s="75" t="n">
        <v>5</v>
      </c>
      <c r="L98" s="51" t="n">
        <v>8</v>
      </c>
      <c r="M98" s="69" t="n">
        <v>4</v>
      </c>
      <c r="N98" s="70">
        <f>K98*L98*M98</f>
        <v/>
      </c>
      <c r="O98" s="37">
        <f>IFERROR(INDEX(Исходные!$B$19:$B$31,MATCH(H98,Исходные!$A$19:$A$31,0)),0)</f>
        <v/>
      </c>
      <c r="P98" s="76">
        <f>N98*O98</f>
        <v/>
      </c>
      <c r="Q98" s="21" t="inlineStr">
        <is>
          <t>АС-28 сеч.1-1 поз.5</t>
        </is>
      </c>
      <c r="R98" s="78" t="inlineStr">
        <is>
          <t>принято (уточнить)</t>
        </is>
      </c>
      <c r="S98" s="21" t="inlineStr">
        <is>
          <t>Длина = высота этажа 4,0 м, стык ванной сваркой.</t>
        </is>
      </c>
      <c r="T98" s="21" t="inlineStr">
        <is>
          <t>Колонны, диафрагмы</t>
        </is>
      </c>
      <c r="U98" s="49" t="n">
        <v>1</v>
      </c>
      <c r="V98" s="72" t="inlineStr">
        <is>
          <t>К-В</t>
        </is>
      </c>
      <c r="W98" s="49" t="n">
        <v>1</v>
      </c>
    </row>
    <row r="99">
      <c r="A99" s="72" t="n">
        <v>92</v>
      </c>
      <c r="B99" s="21" t="inlineStr">
        <is>
          <t>1 этаж (отм. -0.050…+3.950)</t>
        </is>
      </c>
      <c r="C99" s="21" t="inlineStr">
        <is>
          <t>Колонны</t>
        </is>
      </c>
      <c r="D99" s="21" t="inlineStr">
        <is>
          <t>ось В: В/1, В/2, В/3, В/4, В/5</t>
        </is>
      </c>
      <c r="E99" s="21" t="inlineStr">
        <is>
          <t>К-В</t>
        </is>
      </c>
      <c r="F99" s="72" t="inlineStr">
        <is>
          <t>10</t>
        </is>
      </c>
      <c r="G99" s="21" t="inlineStr">
        <is>
          <t>Хомут наружный Ø8 L=2440: 13 (100×12 низ) + 4 (ш.200) + 13 (100×12 верх) = 30 шт</t>
        </is>
      </c>
      <c r="H99" s="51" t="n">
        <v>8</v>
      </c>
      <c r="I99" s="72" t="inlineStr">
        <is>
          <t>А240</t>
        </is>
      </c>
      <c r="J99" s="72" t="inlineStr">
        <is>
          <t>100/200</t>
        </is>
      </c>
      <c r="K99" s="75" t="n">
        <v>5</v>
      </c>
      <c r="L99" s="51" t="n">
        <v>30</v>
      </c>
      <c r="M99" s="69" t="n">
        <v>2.44</v>
      </c>
      <c r="N99" s="70">
        <f>K99*L99*M99</f>
        <v/>
      </c>
      <c r="O99" s="37">
        <f>IFERROR(INDEX(Исходные!$B$19:$B$31,MATCH(H99,Исходные!$A$19:$A$31,0)),0)</f>
        <v/>
      </c>
      <c r="P99" s="76">
        <f>N99*O99</f>
        <v/>
      </c>
      <c r="Q99" s="21" t="inlineStr">
        <is>
          <t>АС-32 схема хомутов колонн (1 этаж: 50+100×12+200×n+100×12+50+600); АС-28 поз.10 L=2440</t>
        </is>
      </c>
      <c r="R99" s="77" t="inlineStr">
        <is>
          <t>по проекту</t>
        </is>
      </c>
      <c r="S99" s="21" t="inlineStr"/>
      <c r="T99" s="21" t="inlineStr">
        <is>
          <t>Колонны, диафрагмы</t>
        </is>
      </c>
      <c r="U99" s="49" t="n">
        <v>0</v>
      </c>
      <c r="V99" s="72" t="inlineStr">
        <is>
          <t>К-В</t>
        </is>
      </c>
      <c r="W99" s="49" t="n">
        <v>1</v>
      </c>
    </row>
    <row r="100">
      <c r="A100" s="72" t="n">
        <v>93</v>
      </c>
      <c r="B100" s="21" t="inlineStr">
        <is>
          <t>1 этаж (отм. -0.050…+3.950)</t>
        </is>
      </c>
      <c r="C100" s="21" t="inlineStr">
        <is>
          <t>Колонны</t>
        </is>
      </c>
      <c r="D100" s="21" t="inlineStr">
        <is>
          <t>ось В: В/1, В/2, В/3, В/4, В/5</t>
        </is>
      </c>
      <c r="E100" s="21" t="inlineStr">
        <is>
          <t>К-В</t>
        </is>
      </c>
      <c r="F100" s="72" t="inlineStr">
        <is>
          <t>11</t>
        </is>
      </c>
      <c r="G100" s="21" t="inlineStr">
        <is>
          <t>Хомут внутренний Ø8 L=1960 ш.200: 2 шт × 18 рядов</t>
        </is>
      </c>
      <c r="H100" s="51" t="n">
        <v>8</v>
      </c>
      <c r="I100" s="72" t="inlineStr">
        <is>
          <t>А240</t>
        </is>
      </c>
      <c r="J100" s="72" t="n">
        <v>200</v>
      </c>
      <c r="K100" s="75" t="n">
        <v>5</v>
      </c>
      <c r="L100" s="51" t="n">
        <v>36</v>
      </c>
      <c r="M100" s="69" t="n">
        <v>1.96</v>
      </c>
      <c r="N100" s="70">
        <f>K100*L100*M100</f>
        <v/>
      </c>
      <c r="O100" s="37">
        <f>IFERROR(INDEX(Исходные!$B$19:$B$31,MATCH(H100,Исходные!$A$19:$A$31,0)),0)</f>
        <v/>
      </c>
      <c r="P100" s="76">
        <f>N100*O100</f>
        <v/>
      </c>
      <c r="Q100" s="21" t="inlineStr">
        <is>
          <t>АС-28 сеч.1-1 «11 хом.Ø8 ш.200», поз.11 L=1960</t>
        </is>
      </c>
      <c r="R100" s="77" t="inlineStr">
        <is>
          <t>по проекту</t>
        </is>
      </c>
      <c r="S100" s="21" t="inlineStr"/>
      <c r="T100" s="21" t="inlineStr">
        <is>
          <t>Колонны, диафрагмы</t>
        </is>
      </c>
      <c r="U100" s="49" t="n">
        <v>0</v>
      </c>
      <c r="V100" s="72" t="inlineStr">
        <is>
          <t>К-В</t>
        </is>
      </c>
      <c r="W100" s="49" t="n">
        <v>1</v>
      </c>
    </row>
    <row r="101">
      <c r="A101" s="72" t="n">
        <v>94</v>
      </c>
      <c r="B101" s="21" t="inlineStr">
        <is>
          <t>1 этаж (отм. -0.050…+3.950)</t>
        </is>
      </c>
      <c r="C101" s="21" t="inlineStr">
        <is>
          <t>Колонны</t>
        </is>
      </c>
      <c r="D101" s="21" t="inlineStr">
        <is>
          <t>ось Г: Г/1, Г/5</t>
        </is>
      </c>
      <c r="E101" s="21" t="inlineStr">
        <is>
          <t>К-Г</t>
        </is>
      </c>
      <c r="F101" s="72" t="inlineStr">
        <is>
          <t>1</t>
        </is>
      </c>
      <c r="G101" s="21" t="inlineStr">
        <is>
          <t>Вертикальные: угловые 4Ø32 (сеч.1-1)</t>
        </is>
      </c>
      <c r="H101" s="51" t="n">
        <v>32</v>
      </c>
      <c r="I101" s="72" t="inlineStr">
        <is>
          <t>А500С</t>
        </is>
      </c>
      <c r="J101" s="72" t="inlineStr">
        <is>
          <t>—</t>
        </is>
      </c>
      <c r="K101" s="75" t="n">
        <v>2</v>
      </c>
      <c r="L101" s="51" t="n">
        <v>4</v>
      </c>
      <c r="M101" s="69" t="n">
        <v>4</v>
      </c>
      <c r="N101" s="70">
        <f>K101*L101*M101</f>
        <v/>
      </c>
      <c r="O101" s="37">
        <f>IFERROR(INDEX(Исходные!$B$19:$B$31,MATCH(H101,Исходные!$A$19:$A$31,0)),0)</f>
        <v/>
      </c>
      <c r="P101" s="76">
        <f>N101*O101</f>
        <v/>
      </c>
      <c r="Q101" s="21" t="inlineStr">
        <is>
          <t>АС-28 сеч.1-1 поз.1; сечение по рамам АС-20…23 (1-1 у отм. -3.900…-0.050, принято и для 1 этажа)</t>
        </is>
      </c>
      <c r="R101" s="78" t="inlineStr">
        <is>
          <t>принято (уточнить)</t>
        </is>
      </c>
      <c r="S101" s="21" t="inlineStr">
        <is>
          <t>Длина = высота этажа 4,0 м (стык ванной сваркой, разбежка 800/500 — АС-32, АС-19 прим.1).</t>
        </is>
      </c>
      <c r="T101" s="21" t="inlineStr">
        <is>
          <t>Колонны, диафрагмы</t>
        </is>
      </c>
      <c r="U101" s="49" t="n">
        <v>1</v>
      </c>
      <c r="V101" s="72" t="inlineStr">
        <is>
          <t>К-Г</t>
        </is>
      </c>
      <c r="W101" s="49" t="n">
        <v>1</v>
      </c>
    </row>
    <row r="102">
      <c r="A102" s="72" t="n">
        <v>95</v>
      </c>
      <c r="B102" s="21" t="inlineStr">
        <is>
          <t>1 этаж (отм. -0.050…+3.950)</t>
        </is>
      </c>
      <c r="C102" s="21" t="inlineStr">
        <is>
          <t>Колонны</t>
        </is>
      </c>
      <c r="D102" s="21" t="inlineStr">
        <is>
          <t>ось Г: Г/1, Г/5</t>
        </is>
      </c>
      <c r="E102" s="21" t="inlineStr">
        <is>
          <t>К-Г</t>
        </is>
      </c>
      <c r="F102" s="72" t="inlineStr">
        <is>
          <t>5</t>
        </is>
      </c>
      <c r="G102" s="21" t="inlineStr">
        <is>
          <t>Вертикальные: промежуточные 8Ø20 (сеч.1-1)</t>
        </is>
      </c>
      <c r="H102" s="51" t="n">
        <v>20</v>
      </c>
      <c r="I102" s="72" t="inlineStr">
        <is>
          <t>А500С</t>
        </is>
      </c>
      <c r="J102" s="72" t="inlineStr">
        <is>
          <t>—</t>
        </is>
      </c>
      <c r="K102" s="75" t="n">
        <v>2</v>
      </c>
      <c r="L102" s="51" t="n">
        <v>8</v>
      </c>
      <c r="M102" s="69" t="n">
        <v>4</v>
      </c>
      <c r="N102" s="70">
        <f>K102*L102*M102</f>
        <v/>
      </c>
      <c r="O102" s="37">
        <f>IFERROR(INDEX(Исходные!$B$19:$B$31,MATCH(H102,Исходные!$A$19:$A$31,0)),0)</f>
        <v/>
      </c>
      <c r="P102" s="76">
        <f>N102*O102</f>
        <v/>
      </c>
      <c r="Q102" s="21" t="inlineStr">
        <is>
          <t>АС-28 сеч.1-1 поз.5</t>
        </is>
      </c>
      <c r="R102" s="78" t="inlineStr">
        <is>
          <t>принято (уточнить)</t>
        </is>
      </c>
      <c r="S102" s="21" t="inlineStr">
        <is>
          <t>Длина = высота этажа 4,0 м, стык ванной сваркой.</t>
        </is>
      </c>
      <c r="T102" s="21" t="inlineStr">
        <is>
          <t>Колонны, диафрагмы</t>
        </is>
      </c>
      <c r="U102" s="49" t="n">
        <v>1</v>
      </c>
      <c r="V102" s="72" t="inlineStr">
        <is>
          <t>К-Г</t>
        </is>
      </c>
      <c r="W102" s="49" t="n">
        <v>1</v>
      </c>
    </row>
    <row r="103">
      <c r="A103" s="72" t="n">
        <v>96</v>
      </c>
      <c r="B103" s="21" t="inlineStr">
        <is>
          <t>1 этаж (отм. -0.050…+3.950)</t>
        </is>
      </c>
      <c r="C103" s="21" t="inlineStr">
        <is>
          <t>Колонны</t>
        </is>
      </c>
      <c r="D103" s="21" t="inlineStr">
        <is>
          <t>ось Г: Г/1, Г/5</t>
        </is>
      </c>
      <c r="E103" s="21" t="inlineStr">
        <is>
          <t>К-Г</t>
        </is>
      </c>
      <c r="F103" s="72" t="inlineStr">
        <is>
          <t>10</t>
        </is>
      </c>
      <c r="G103" s="21" t="inlineStr">
        <is>
          <t>Хомут наружный Ø8 L=2440: 13 (100×12 низ) + 4 (ш.200) + 13 (100×12 верх) = 30 шт</t>
        </is>
      </c>
      <c r="H103" s="51" t="n">
        <v>8</v>
      </c>
      <c r="I103" s="72" t="inlineStr">
        <is>
          <t>А240</t>
        </is>
      </c>
      <c r="J103" s="72" t="inlineStr">
        <is>
          <t>100/200</t>
        </is>
      </c>
      <c r="K103" s="75" t="n">
        <v>2</v>
      </c>
      <c r="L103" s="51" t="n">
        <v>30</v>
      </c>
      <c r="M103" s="69" t="n">
        <v>2.44</v>
      </c>
      <c r="N103" s="70">
        <f>K103*L103*M103</f>
        <v/>
      </c>
      <c r="O103" s="37">
        <f>IFERROR(INDEX(Исходные!$B$19:$B$31,MATCH(H103,Исходные!$A$19:$A$31,0)),0)</f>
        <v/>
      </c>
      <c r="P103" s="76">
        <f>N103*O103</f>
        <v/>
      </c>
      <c r="Q103" s="21" t="inlineStr">
        <is>
          <t>АС-32 схема хомутов колонн (1 этаж: 50+100×12+200×n+100×12+50+600); АС-28 поз.10 L=2440</t>
        </is>
      </c>
      <c r="R103" s="77" t="inlineStr">
        <is>
          <t>по проекту</t>
        </is>
      </c>
      <c r="S103" s="21" t="inlineStr"/>
      <c r="T103" s="21" t="inlineStr">
        <is>
          <t>Колонны, диафрагмы</t>
        </is>
      </c>
      <c r="U103" s="49" t="n">
        <v>0</v>
      </c>
      <c r="V103" s="72" t="inlineStr">
        <is>
          <t>К-Г</t>
        </is>
      </c>
      <c r="W103" s="49" t="n">
        <v>1</v>
      </c>
    </row>
    <row r="104">
      <c r="A104" s="72" t="n">
        <v>97</v>
      </c>
      <c r="B104" s="21" t="inlineStr">
        <is>
          <t>1 этаж (отм. -0.050…+3.950)</t>
        </is>
      </c>
      <c r="C104" s="21" t="inlineStr">
        <is>
          <t>Колонны</t>
        </is>
      </c>
      <c r="D104" s="21" t="inlineStr">
        <is>
          <t>ось Г: Г/1, Г/5</t>
        </is>
      </c>
      <c r="E104" s="21" t="inlineStr">
        <is>
          <t>К-Г</t>
        </is>
      </c>
      <c r="F104" s="72" t="inlineStr">
        <is>
          <t>11</t>
        </is>
      </c>
      <c r="G104" s="21" t="inlineStr">
        <is>
          <t>Хомут внутренний Ø8 L=1960 ш.200: 2 шт × 18 рядов</t>
        </is>
      </c>
      <c r="H104" s="51" t="n">
        <v>8</v>
      </c>
      <c r="I104" s="72" t="inlineStr">
        <is>
          <t>А240</t>
        </is>
      </c>
      <c r="J104" s="72" t="n">
        <v>200</v>
      </c>
      <c r="K104" s="75" t="n">
        <v>2</v>
      </c>
      <c r="L104" s="51" t="n">
        <v>36</v>
      </c>
      <c r="M104" s="69" t="n">
        <v>1.96</v>
      </c>
      <c r="N104" s="70">
        <f>K104*L104*M104</f>
        <v/>
      </c>
      <c r="O104" s="37">
        <f>IFERROR(INDEX(Исходные!$B$19:$B$31,MATCH(H104,Исходные!$A$19:$A$31,0)),0)</f>
        <v/>
      </c>
      <c r="P104" s="76">
        <f>N104*O104</f>
        <v/>
      </c>
      <c r="Q104" s="21" t="inlineStr">
        <is>
          <t>АС-28 сеч.1-1 «11 хом.Ø8 ш.200», поз.11 L=1960</t>
        </is>
      </c>
      <c r="R104" s="77" t="inlineStr">
        <is>
          <t>по проекту</t>
        </is>
      </c>
      <c r="S104" s="21" t="inlineStr"/>
      <c r="T104" s="21" t="inlineStr">
        <is>
          <t>Колонны, диафрагмы</t>
        </is>
      </c>
      <c r="U104" s="49" t="n">
        <v>0</v>
      </c>
      <c r="V104" s="72" t="inlineStr">
        <is>
          <t>К-Г</t>
        </is>
      </c>
      <c r="W104" s="49" t="n">
        <v>1</v>
      </c>
    </row>
    <row r="105">
      <c r="A105" s="74" t="inlineStr">
        <is>
          <t>1.3. РИГЕЛИ РАМ (450×600, сеч.4-4/5-5), 9 рам — отм. +3.950</t>
        </is>
      </c>
      <c r="B105" s="33" t="n"/>
      <c r="C105" s="33" t="n"/>
      <c r="D105" s="33" t="n"/>
      <c r="E105" s="33" t="n"/>
      <c r="F105" s="33" t="n"/>
      <c r="G105" s="33" t="n"/>
      <c r="H105" s="33" t="n"/>
      <c r="I105" s="33" t="n"/>
      <c r="J105" s="33" t="n"/>
      <c r="K105" s="33" t="n"/>
      <c r="L105" s="33" t="n"/>
      <c r="M105" s="33" t="n"/>
      <c r="N105" s="33" t="n"/>
      <c r="O105" s="33" t="n"/>
      <c r="P105" s="33" t="n"/>
      <c r="Q105" s="33" t="n"/>
      <c r="R105" s="33" t="n"/>
      <c r="S105" s="33" t="n"/>
      <c r="T105" s="33" t="n"/>
      <c r="U105" s="33" t="n"/>
      <c r="V105" s="33" t="n"/>
      <c r="W105" s="34" t="n"/>
    </row>
    <row r="106">
      <c r="A106" s="72" t="n">
        <v>98</v>
      </c>
      <c r="B106" s="21" t="inlineStr">
        <is>
          <t>1 этаж (отм. -0.050…+3.950)</t>
        </is>
      </c>
      <c r="C106" s="21" t="inlineStr">
        <is>
          <t>Ригели</t>
        </is>
      </c>
      <c r="D106" s="21" t="inlineStr">
        <is>
          <t>ось А (отм. +3.950)</t>
        </is>
      </c>
      <c r="E106" s="21" t="inlineStr">
        <is>
          <t>Р-А</t>
        </is>
      </c>
      <c r="F106" s="72" t="inlineStr">
        <is>
          <t>2</t>
        </is>
      </c>
      <c r="G106" s="21" t="inlineStr">
        <is>
          <t>Продольные угловые 4Ø28 (сеч.4-4/5-5), сквозные, концы с Аш</t>
        </is>
      </c>
      <c r="H106" s="51" t="n">
        <v>28</v>
      </c>
      <c r="I106" s="72" t="inlineStr">
        <is>
          <t>А500С</t>
        </is>
      </c>
      <c r="J106" s="72" t="inlineStr">
        <is>
          <t>—</t>
        </is>
      </c>
      <c r="K106" s="75" t="n">
        <v>1</v>
      </c>
      <c r="L106" s="51" t="n">
        <v>4</v>
      </c>
      <c r="M106" s="69" t="n">
        <v>25.5</v>
      </c>
      <c r="N106" s="70">
        <f>K106*L106*M106</f>
        <v/>
      </c>
      <c r="O106" s="37">
        <f>IFERROR(INDEX(Исходные!$B$19:$B$31,MATCH(H106,Исходные!$A$19:$A$31,0)),0)</f>
        <v/>
      </c>
      <c r="P106" s="76">
        <f>N106*O106</f>
        <v/>
      </c>
      <c r="Q106" s="21" t="inlineStr">
        <is>
          <t>АС-20 рама + АС-28 сеч.4-4/5-5 поз.2; длина = 25000+2×250 (до 50 мм от наружной грани крайней колонны)</t>
        </is>
      </c>
      <c r="R106" s="77" t="inlineStr">
        <is>
          <t>по геометрии чертежа</t>
        </is>
      </c>
      <c r="S106" s="21" t="inlineStr">
        <is>
          <t>Стыки ванной сваркой без нахлёста: 2 на стержень (всего 8).</t>
        </is>
      </c>
      <c r="T106" s="21" t="inlineStr">
        <is>
          <t>Ригели, балки, плита, С-1</t>
        </is>
      </c>
      <c r="U106" s="49" t="n">
        <v>0</v>
      </c>
      <c r="V106" s="72" t="inlineStr">
        <is>
          <t>Р-А</t>
        </is>
      </c>
      <c r="W106" s="49" t="n">
        <v>1</v>
      </c>
    </row>
    <row r="107">
      <c r="A107" s="72" t="n">
        <v>99</v>
      </c>
      <c r="B107" s="21" t="inlineStr">
        <is>
          <t>1 этаж (отм. -0.050…+3.950)</t>
        </is>
      </c>
      <c r="C107" s="21" t="inlineStr">
        <is>
          <t>Ригели</t>
        </is>
      </c>
      <c r="D107" s="21" t="inlineStr">
        <is>
          <t>ось А (отм. +3.950)</t>
        </is>
      </c>
      <c r="E107" s="21" t="inlineStr">
        <is>
          <t>Р-А</t>
        </is>
      </c>
      <c r="F107" s="72" t="inlineStr">
        <is>
          <t>6</t>
        </is>
      </c>
      <c r="G107" s="21" t="inlineStr">
        <is>
          <t>Продольные средние верх/низ 2Ø18 (сеч.4-4/5-5)</t>
        </is>
      </c>
      <c r="H107" s="51" t="n">
        <v>18</v>
      </c>
      <c r="I107" s="72" t="inlineStr">
        <is>
          <t>А500С</t>
        </is>
      </c>
      <c r="J107" s="72" t="inlineStr">
        <is>
          <t>—</t>
        </is>
      </c>
      <c r="K107" s="75" t="n">
        <v>1</v>
      </c>
      <c r="L107" s="51" t="n">
        <v>2</v>
      </c>
      <c r="M107" s="69" t="n">
        <v>25.5</v>
      </c>
      <c r="N107" s="70">
        <f>K107*L107*M107</f>
        <v/>
      </c>
      <c r="O107" s="37">
        <f>IFERROR(INDEX(Исходные!$B$19:$B$31,MATCH(H107,Исходные!$A$19:$A$31,0)),0)</f>
        <v/>
      </c>
      <c r="P107" s="76">
        <f>N107*O107</f>
        <v/>
      </c>
      <c r="Q107" s="21" t="inlineStr">
        <is>
          <t>АС-28 сеч.4-4/5-5 поз.6</t>
        </is>
      </c>
      <c r="R107" s="77" t="inlineStr">
        <is>
          <t>по геометрии чертежа</t>
        </is>
      </c>
      <c r="S107" s="21" t="inlineStr"/>
      <c r="T107" s="21" t="inlineStr">
        <is>
          <t>Ригели, балки, плита, С-1</t>
        </is>
      </c>
      <c r="U107" s="49" t="n">
        <v>0</v>
      </c>
      <c r="V107" s="72" t="inlineStr">
        <is>
          <t>Р-А</t>
        </is>
      </c>
      <c r="W107" s="49" t="n">
        <v>1</v>
      </c>
    </row>
    <row r="108">
      <c r="A108" s="72" t="n">
        <v>100</v>
      </c>
      <c r="B108" s="21" t="inlineStr">
        <is>
          <t>1 этаж (отм. -0.050…+3.950)</t>
        </is>
      </c>
      <c r="C108" s="21" t="inlineStr">
        <is>
          <t>Ригели</t>
        </is>
      </c>
      <c r="D108" s="21" t="inlineStr">
        <is>
          <t>ось А (отм. +3.950)</t>
        </is>
      </c>
      <c r="E108" s="21" t="inlineStr">
        <is>
          <t>Р-А</t>
        </is>
      </c>
      <c r="F108" s="72" t="inlineStr">
        <is>
          <t>6-нахл</t>
        </is>
      </c>
      <c r="G108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08" s="51" t="n">
        <v>18</v>
      </c>
      <c r="I108" s="72" t="inlineStr">
        <is>
          <t>А500С</t>
        </is>
      </c>
      <c r="J108" s="72" t="inlineStr">
        <is>
          <t>—</t>
        </is>
      </c>
      <c r="K108" s="75" t="n">
        <v>2</v>
      </c>
      <c r="L108" s="51" t="n">
        <v>2</v>
      </c>
      <c r="M108" s="69" t="n">
        <v>0.144</v>
      </c>
      <c r="N108" s="70">
        <f>K108*L108*M108</f>
        <v/>
      </c>
      <c r="O108" s="37">
        <f>IFERROR(INDEX(Исходные!$B$19:$B$31,MATCH(H108,Исходные!$A$19:$A$31,0)),0)</f>
        <v/>
      </c>
      <c r="P108" s="76">
        <f>N108*O108</f>
        <v/>
      </c>
      <c r="Q108" s="21" t="inlineStr">
        <is>
          <t>АС-19 прим.1: Ø18 и менее — внахлёстку электродуговой сваркой, Lшва=8d = 144 мм</t>
        </is>
      </c>
      <c r="R108" s="77" t="inlineStr">
        <is>
          <t>по проекту (стыковка прутков 11,7 м)</t>
        </is>
      </c>
      <c r="S108" s="21" t="inlineStr">
        <is>
          <t>Чистая длина 25.500 м; кусков 3; стыков 2; Lнахл=2×0.144=0.288 м на стержень</t>
        </is>
      </c>
      <c r="T108" s="21" t="inlineStr">
        <is>
          <t>Ригели, балки, плита, С-1</t>
        </is>
      </c>
      <c r="U108" s="49" t="n">
        <v>0</v>
      </c>
      <c r="V108" s="72" t="inlineStr">
        <is>
          <t>Р-А</t>
        </is>
      </c>
      <c r="W108" s="49" t="n">
        <v>1</v>
      </c>
    </row>
    <row r="109">
      <c r="A109" s="72" t="n">
        <v>101</v>
      </c>
      <c r="B109" s="21" t="inlineStr">
        <is>
          <t>1 этаж (отм. -0.050…+3.950)</t>
        </is>
      </c>
      <c r="C109" s="21" t="inlineStr">
        <is>
          <t>Ригели</t>
        </is>
      </c>
      <c r="D109" s="21" t="inlineStr">
        <is>
          <t>ось А (отм. +3.950)</t>
        </is>
      </c>
      <c r="E109" s="21" t="inlineStr">
        <is>
          <t>Р-А</t>
        </is>
      </c>
      <c r="F109" s="72" t="inlineStr">
        <is>
          <t>7</t>
        </is>
      </c>
      <c r="G109" s="21" t="inlineStr">
        <is>
          <t>Боковые стержни 2Ø16 (сеч.4-4/5-5)</t>
        </is>
      </c>
      <c r="H109" s="51" t="n">
        <v>16</v>
      </c>
      <c r="I109" s="72" t="inlineStr">
        <is>
          <t>А500С</t>
        </is>
      </c>
      <c r="J109" s="72" t="inlineStr">
        <is>
          <t>—</t>
        </is>
      </c>
      <c r="K109" s="75" t="n">
        <v>1</v>
      </c>
      <c r="L109" s="51" t="n">
        <v>2</v>
      </c>
      <c r="M109" s="69" t="n">
        <v>25.5</v>
      </c>
      <c r="N109" s="70">
        <f>K109*L109*M109</f>
        <v/>
      </c>
      <c r="O109" s="37">
        <f>IFERROR(INDEX(Исходные!$B$19:$B$31,MATCH(H109,Исходные!$A$19:$A$31,0)),0)</f>
        <v/>
      </c>
      <c r="P109" s="76">
        <f>N109*O109</f>
        <v/>
      </c>
      <c r="Q109" s="21" t="inlineStr">
        <is>
          <t>АС-28 сеч.4-4/5-5 «Боковые стержни 2Ø16»</t>
        </is>
      </c>
      <c r="R109" s="77" t="inlineStr">
        <is>
          <t>по геометрии чертежа</t>
        </is>
      </c>
      <c r="S109" s="21" t="inlineStr"/>
      <c r="T109" s="21" t="inlineStr">
        <is>
          <t>Ригели, балки, плита, С-1</t>
        </is>
      </c>
      <c r="U109" s="49" t="n">
        <v>0</v>
      </c>
      <c r="V109" s="72" t="inlineStr">
        <is>
          <t>Р-А</t>
        </is>
      </c>
      <c r="W109" s="49" t="n">
        <v>1</v>
      </c>
    </row>
    <row r="110">
      <c r="A110" s="72" t="n">
        <v>102</v>
      </c>
      <c r="B110" s="21" t="inlineStr">
        <is>
          <t>1 этаж (отм. -0.050…+3.950)</t>
        </is>
      </c>
      <c r="C110" s="21" t="inlineStr">
        <is>
          <t>Ригели</t>
        </is>
      </c>
      <c r="D110" s="21" t="inlineStr">
        <is>
          <t>ось А (отм. +3.950)</t>
        </is>
      </c>
      <c r="E110" s="21" t="inlineStr">
        <is>
          <t>Р-А</t>
        </is>
      </c>
      <c r="F110" s="72" t="inlineStr">
        <is>
          <t>7-нахл</t>
        </is>
      </c>
      <c r="G110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10" s="51" t="n">
        <v>16</v>
      </c>
      <c r="I110" s="72" t="inlineStr">
        <is>
          <t>А500С</t>
        </is>
      </c>
      <c r="J110" s="72" t="inlineStr">
        <is>
          <t>—</t>
        </is>
      </c>
      <c r="K110" s="75" t="n">
        <v>2</v>
      </c>
      <c r="L110" s="51" t="n">
        <v>2</v>
      </c>
      <c r="M110" s="69" t="n">
        <v>0.128</v>
      </c>
      <c r="N110" s="70">
        <f>K110*L110*M110</f>
        <v/>
      </c>
      <c r="O110" s="37">
        <f>IFERROR(INDEX(Исходные!$B$19:$B$31,MATCH(H110,Исходные!$A$19:$A$31,0)),0)</f>
        <v/>
      </c>
      <c r="P110" s="76">
        <f>N110*O110</f>
        <v/>
      </c>
      <c r="Q110" s="21" t="inlineStr">
        <is>
          <t>АС-19 прим.1: Ø18 и менее — внахлёстку электродуговой сваркой, Lшва=8d = 128 мм</t>
        </is>
      </c>
      <c r="R110" s="77" t="inlineStr">
        <is>
          <t>по проекту (стыковка прутков 11,7 м)</t>
        </is>
      </c>
      <c r="S110" s="21" t="inlineStr">
        <is>
          <t>Чистая длина 25.500 м; кусков 3; стыков 2; Lнахл=2×0.128=0.256 м на стержень</t>
        </is>
      </c>
      <c r="T110" s="21" t="inlineStr">
        <is>
          <t>Ригели, балки, плита, С-1</t>
        </is>
      </c>
      <c r="U110" s="49" t="n">
        <v>0</v>
      </c>
      <c r="V110" s="72" t="inlineStr">
        <is>
          <t>Р-А</t>
        </is>
      </c>
      <c r="W110" s="49" t="n">
        <v>1</v>
      </c>
    </row>
    <row r="111">
      <c r="A111" s="72" t="n">
        <v>103</v>
      </c>
      <c r="B111" s="21" t="inlineStr">
        <is>
          <t>1 этаж (отм. -0.050…+3.950)</t>
        </is>
      </c>
      <c r="C111" s="21" t="inlineStr">
        <is>
          <t>Ригели</t>
        </is>
      </c>
      <c r="D111" s="21" t="inlineStr">
        <is>
          <t>ось А (отм. +3.950)</t>
        </is>
      </c>
      <c r="E111" s="21" t="inlineStr">
        <is>
          <t>Р-А</t>
        </is>
      </c>
      <c r="F111" s="72" t="inlineStr">
        <is>
          <t>ОС</t>
        </is>
      </c>
      <c r="G111" s="21" t="inlineStr">
        <is>
          <t>ОС верх: 2Ø28, участок 0…1800 мм + 250 до торца</t>
        </is>
      </c>
      <c r="H111" s="51" t="n">
        <v>28</v>
      </c>
      <c r="I111" s="72" t="inlineStr">
        <is>
          <t>А500С</t>
        </is>
      </c>
      <c r="J111" s="72" t="inlineStr">
        <is>
          <t>—</t>
        </is>
      </c>
      <c r="K111" s="75" t="n">
        <v>1</v>
      </c>
      <c r="L111" s="51" t="n">
        <v>2</v>
      </c>
      <c r="M111" s="69" t="n">
        <v>2.05</v>
      </c>
      <c r="N111" s="70">
        <f>K111*L111*M111</f>
        <v/>
      </c>
      <c r="O111" s="37">
        <f>IFERROR(INDEX(Исходные!$B$19:$B$31,MATCH(H111,Исходные!$A$19:$A$31,0)),0)</f>
        <v/>
      </c>
      <c r="P111" s="76">
        <f>N111*O111</f>
        <v/>
      </c>
      <c r="Q111" s="21" t="inlineStr">
        <is>
          <t>АС-20: выноска «ОС 2Ø28 А500С»; длина по привязкам отдельных стержней</t>
        </is>
      </c>
      <c r="R111" s="77" t="inlineStr">
        <is>
          <t>по геометрии чертежа</t>
        </is>
      </c>
      <c r="S111" s="21" t="inlineStr">
        <is>
          <t>Координаты от оси 1: 0…1800 мм; конец заведён до торца крайней колонны (+250)</t>
        </is>
      </c>
      <c r="T111" s="21" t="inlineStr">
        <is>
          <t>Ригели, балки, плита, С-1</t>
        </is>
      </c>
      <c r="U111" s="49" t="n">
        <v>0</v>
      </c>
      <c r="V111" s="72" t="inlineStr">
        <is>
          <t>Р-А</t>
        </is>
      </c>
      <c r="W111" s="49" t="n">
        <v>1</v>
      </c>
    </row>
    <row r="112">
      <c r="A112" s="72" t="n">
        <v>104</v>
      </c>
      <c r="B112" s="21" t="inlineStr">
        <is>
          <t>1 этаж (отм. -0.050…+3.950)</t>
        </is>
      </c>
      <c r="C112" s="21" t="inlineStr">
        <is>
          <t>Ригели</t>
        </is>
      </c>
      <c r="D112" s="21" t="inlineStr">
        <is>
          <t>ось А (отм. +3.950)</t>
        </is>
      </c>
      <c r="E112" s="21" t="inlineStr">
        <is>
          <t>Р-А</t>
        </is>
      </c>
      <c r="F112" s="72" t="inlineStr">
        <is>
          <t>ОС</t>
        </is>
      </c>
      <c r="G112" s="21" t="inlineStr">
        <is>
          <t>ОС верх: 2Ø25, участок 4700…9200 мм</t>
        </is>
      </c>
      <c r="H112" s="51" t="n">
        <v>25</v>
      </c>
      <c r="I112" s="72" t="inlineStr">
        <is>
          <t>А500С</t>
        </is>
      </c>
      <c r="J112" s="72" t="inlineStr">
        <is>
          <t>—</t>
        </is>
      </c>
      <c r="K112" s="75" t="n">
        <v>1</v>
      </c>
      <c r="L112" s="51" t="n">
        <v>2</v>
      </c>
      <c r="M112" s="69" t="n">
        <v>4.5</v>
      </c>
      <c r="N112" s="70">
        <f>K112*L112*M112</f>
        <v/>
      </c>
      <c r="O112" s="37">
        <f>IFERROR(INDEX(Исходные!$B$19:$B$31,MATCH(H112,Исходные!$A$19:$A$31,0)),0)</f>
        <v/>
      </c>
      <c r="P112" s="76">
        <f>N112*O112</f>
        <v/>
      </c>
      <c r="Q112" s="21" t="inlineStr">
        <is>
          <t>АС-20: выноска «ОС 2Ø25 А500С»; длина по привязкам отдельных стержней</t>
        </is>
      </c>
      <c r="R112" s="77" t="inlineStr">
        <is>
          <t>по геометрии чертежа</t>
        </is>
      </c>
      <c r="S112" s="21" t="inlineStr">
        <is>
          <t>Координаты от оси 1: 4700…9200 мм</t>
        </is>
      </c>
      <c r="T112" s="21" t="inlineStr">
        <is>
          <t>Ригели, балки, плита, С-1</t>
        </is>
      </c>
      <c r="U112" s="49" t="n">
        <v>0</v>
      </c>
      <c r="V112" s="72" t="inlineStr">
        <is>
          <t>Р-А</t>
        </is>
      </c>
      <c r="W112" s="49" t="n">
        <v>1</v>
      </c>
    </row>
    <row r="113">
      <c r="A113" s="72" t="n">
        <v>105</v>
      </c>
      <c r="B113" s="21" t="inlineStr">
        <is>
          <t>1 этаж (отм. -0.050…+3.950)</t>
        </is>
      </c>
      <c r="C113" s="21" t="inlineStr">
        <is>
          <t>Ригели</t>
        </is>
      </c>
      <c r="D113" s="21" t="inlineStr">
        <is>
          <t>ось А (отм. +3.950)</t>
        </is>
      </c>
      <c r="E113" s="21" t="inlineStr">
        <is>
          <t>Р-А</t>
        </is>
      </c>
      <c r="F113" s="72" t="inlineStr">
        <is>
          <t>ОС</t>
        </is>
      </c>
      <c r="G113" s="21" t="inlineStr">
        <is>
          <t>ОС верх ств.: 2Ø22, участок 4700…9200 мм</t>
        </is>
      </c>
      <c r="H113" s="51" t="n">
        <v>22</v>
      </c>
      <c r="I113" s="72" t="inlineStr">
        <is>
          <t>А500С</t>
        </is>
      </c>
      <c r="J113" s="72" t="inlineStr">
        <is>
          <t>—</t>
        </is>
      </c>
      <c r="K113" s="75" t="n">
        <v>1</v>
      </c>
      <c r="L113" s="51" t="n">
        <v>2</v>
      </c>
      <c r="M113" s="69" t="n">
        <v>4.5</v>
      </c>
      <c r="N113" s="70">
        <f>K113*L113*M113</f>
        <v/>
      </c>
      <c r="O113" s="37">
        <f>IFERROR(INDEX(Исходные!$B$19:$B$31,MATCH(H113,Исходные!$A$19:$A$31,0)),0)</f>
        <v/>
      </c>
      <c r="P113" s="76">
        <f>N113*O113</f>
        <v/>
      </c>
      <c r="Q113" s="21" t="inlineStr">
        <is>
          <t>АС-20: выноска «ОС 2Ø22 А500С»; длина по привязкам отдельных стержней</t>
        </is>
      </c>
      <c r="R113" s="77" t="inlineStr">
        <is>
          <t>по геометрии чертежа</t>
        </is>
      </c>
      <c r="S113" s="21" t="inlineStr">
        <is>
          <t>Координаты от оси 1: 4700…9200 мм</t>
        </is>
      </c>
      <c r="T113" s="21" t="inlineStr">
        <is>
          <t>Ригели, балки, плита, С-1</t>
        </is>
      </c>
      <c r="U113" s="49" t="n">
        <v>0</v>
      </c>
      <c r="V113" s="72" t="inlineStr">
        <is>
          <t>Р-А</t>
        </is>
      </c>
      <c r="W113" s="49" t="n">
        <v>1</v>
      </c>
    </row>
    <row r="114">
      <c r="A114" s="72" t="n">
        <v>106</v>
      </c>
      <c r="B114" s="21" t="inlineStr">
        <is>
          <t>1 этаж (отм. -0.050…+3.950)</t>
        </is>
      </c>
      <c r="C114" s="21" t="inlineStr">
        <is>
          <t>Ригели</t>
        </is>
      </c>
      <c r="D114" s="21" t="inlineStr">
        <is>
          <t>ось А (отм. +3.950)</t>
        </is>
      </c>
      <c r="E114" s="21" t="inlineStr">
        <is>
          <t>Р-А</t>
        </is>
      </c>
      <c r="F114" s="72" t="inlineStr">
        <is>
          <t>ОС</t>
        </is>
      </c>
      <c r="G114" s="21" t="inlineStr">
        <is>
          <t>ОС верх: 2Ø32, участок 11800…15100 мм</t>
        </is>
      </c>
      <c r="H114" s="51" t="n">
        <v>32</v>
      </c>
      <c r="I114" s="72" t="inlineStr">
        <is>
          <t>А500С</t>
        </is>
      </c>
      <c r="J114" s="72" t="inlineStr">
        <is>
          <t>—</t>
        </is>
      </c>
      <c r="K114" s="75" t="n">
        <v>1</v>
      </c>
      <c r="L114" s="51" t="n">
        <v>2</v>
      </c>
      <c r="M114" s="69" t="n">
        <v>3.3</v>
      </c>
      <c r="N114" s="70">
        <f>K114*L114*M114</f>
        <v/>
      </c>
      <c r="O114" s="37">
        <f>IFERROR(INDEX(Исходные!$B$19:$B$31,MATCH(H114,Исходные!$A$19:$A$31,0)),0)</f>
        <v/>
      </c>
      <c r="P114" s="76">
        <f>N114*O114</f>
        <v/>
      </c>
      <c r="Q114" s="21" t="inlineStr">
        <is>
          <t>АС-20: выноска «ОС 2Ø32 А500С»; длина по привязкам отдельных стержней</t>
        </is>
      </c>
      <c r="R114" s="77" t="inlineStr">
        <is>
          <t>по геометрии чертежа</t>
        </is>
      </c>
      <c r="S114" s="21" t="inlineStr">
        <is>
          <t>Координаты от оси 1: 11800…15100 мм</t>
        </is>
      </c>
      <c r="T114" s="21" t="inlineStr">
        <is>
          <t>Ригели, балки, плита, С-1</t>
        </is>
      </c>
      <c r="U114" s="49" t="n">
        <v>0</v>
      </c>
      <c r="V114" s="72" t="inlineStr">
        <is>
          <t>Р-А</t>
        </is>
      </c>
      <c r="W114" s="49" t="n">
        <v>1</v>
      </c>
    </row>
    <row r="115">
      <c r="A115" s="72" t="n">
        <v>107</v>
      </c>
      <c r="B115" s="21" t="inlineStr">
        <is>
          <t>1 этаж (отм. -0.050…+3.950)</t>
        </is>
      </c>
      <c r="C115" s="21" t="inlineStr">
        <is>
          <t>Ригели</t>
        </is>
      </c>
      <c r="D115" s="21" t="inlineStr">
        <is>
          <t>ось А (отм. +3.950)</t>
        </is>
      </c>
      <c r="E115" s="21" t="inlineStr">
        <is>
          <t>Р-А</t>
        </is>
      </c>
      <c r="F115" s="72" t="inlineStr">
        <is>
          <t>ОС</t>
        </is>
      </c>
      <c r="G115" s="21" t="inlineStr">
        <is>
          <t>ОС верх: 2Ø25, участок 17400…25000 мм + 250 до торца</t>
        </is>
      </c>
      <c r="H115" s="51" t="n">
        <v>25</v>
      </c>
      <c r="I115" s="72" t="inlineStr">
        <is>
          <t>А500С</t>
        </is>
      </c>
      <c r="J115" s="72" t="inlineStr">
        <is>
          <t>—</t>
        </is>
      </c>
      <c r="K115" s="75" t="n">
        <v>1</v>
      </c>
      <c r="L115" s="51" t="n">
        <v>2</v>
      </c>
      <c r="M115" s="69" t="n">
        <v>7.85</v>
      </c>
      <c r="N115" s="70">
        <f>K115*L115*M115</f>
        <v/>
      </c>
      <c r="O115" s="37">
        <f>IFERROR(INDEX(Исходные!$B$19:$B$31,MATCH(H115,Исходные!$A$19:$A$31,0)),0)</f>
        <v/>
      </c>
      <c r="P115" s="76">
        <f>N115*O115</f>
        <v/>
      </c>
      <c r="Q115" s="21" t="inlineStr">
        <is>
          <t>АС-20: выноска «ОС 2Ø25 А500С»; длина по привязкам отдельных стержней</t>
        </is>
      </c>
      <c r="R115" s="77" t="inlineStr">
        <is>
          <t>по геометрии чертежа</t>
        </is>
      </c>
      <c r="S115" s="21" t="inlineStr">
        <is>
          <t>Координаты от оси 1: 17400…25000 мм; конец заведён до торца крайней колонны (+250)</t>
        </is>
      </c>
      <c r="T115" s="21" t="inlineStr">
        <is>
          <t>Ригели, балки, плита, С-1</t>
        </is>
      </c>
      <c r="U115" s="49" t="n">
        <v>0</v>
      </c>
      <c r="V115" s="72" t="inlineStr">
        <is>
          <t>Р-А</t>
        </is>
      </c>
      <c r="W115" s="49" t="n">
        <v>1</v>
      </c>
    </row>
    <row r="116">
      <c r="A116" s="72" t="n">
        <v>108</v>
      </c>
      <c r="B116" s="21" t="inlineStr">
        <is>
          <t>1 этаж (отм. -0.050…+3.950)</t>
        </is>
      </c>
      <c r="C116" s="21" t="inlineStr">
        <is>
          <t>Ригели</t>
        </is>
      </c>
      <c r="D116" s="21" t="inlineStr">
        <is>
          <t>ось А (отм. +3.950)</t>
        </is>
      </c>
      <c r="E116" s="21" t="inlineStr">
        <is>
          <t>Р-А</t>
        </is>
      </c>
      <c r="F116" s="72" t="inlineStr">
        <is>
          <t>ОС</t>
        </is>
      </c>
      <c r="G116" s="21" t="inlineStr">
        <is>
          <t>ОС верх ств.: 2Ø25, участок 17400…25000 мм + 250 до торца</t>
        </is>
      </c>
      <c r="H116" s="51" t="n">
        <v>25</v>
      </c>
      <c r="I116" s="72" t="inlineStr">
        <is>
          <t>А500С</t>
        </is>
      </c>
      <c r="J116" s="72" t="inlineStr">
        <is>
          <t>—</t>
        </is>
      </c>
      <c r="K116" s="75" t="n">
        <v>1</v>
      </c>
      <c r="L116" s="51" t="n">
        <v>2</v>
      </c>
      <c r="M116" s="69" t="n">
        <v>7.85</v>
      </c>
      <c r="N116" s="70">
        <f>K116*L116*M116</f>
        <v/>
      </c>
      <c r="O116" s="37">
        <f>IFERROR(INDEX(Исходные!$B$19:$B$31,MATCH(H116,Исходные!$A$19:$A$31,0)),0)</f>
        <v/>
      </c>
      <c r="P116" s="76">
        <f>N116*O116</f>
        <v/>
      </c>
      <c r="Q116" s="21" t="inlineStr">
        <is>
          <t>АС-20: выноска «ОС 2Ø25 А500С»; длина по привязкам отдельных стержней</t>
        </is>
      </c>
      <c r="R116" s="77" t="inlineStr">
        <is>
          <t>по геометрии чертежа</t>
        </is>
      </c>
      <c r="S116" s="21" t="inlineStr">
        <is>
          <t>Координаты от оси 1: 17400…25000 мм; конец заведён до торца крайней колонны (+250)</t>
        </is>
      </c>
      <c r="T116" s="21" t="inlineStr">
        <is>
          <t>Ригели, балки, плита, С-1</t>
        </is>
      </c>
      <c r="U116" s="49" t="n">
        <v>0</v>
      </c>
      <c r="V116" s="72" t="inlineStr">
        <is>
          <t>Р-А</t>
        </is>
      </c>
      <c r="W116" s="49" t="n">
        <v>1</v>
      </c>
    </row>
    <row r="117">
      <c r="A117" s="72" t="n">
        <v>109</v>
      </c>
      <c r="B117" s="21" t="inlineStr">
        <is>
          <t>1 этаж (отм. -0.050…+3.950)</t>
        </is>
      </c>
      <c r="C117" s="21" t="inlineStr">
        <is>
          <t>Ригели</t>
        </is>
      </c>
      <c r="D117" s="21" t="inlineStr">
        <is>
          <t>ось А (отм. +3.950)</t>
        </is>
      </c>
      <c r="E117" s="21" t="inlineStr">
        <is>
          <t>Р-А</t>
        </is>
      </c>
      <c r="F117" s="72" t="inlineStr">
        <is>
          <t>ОС</t>
        </is>
      </c>
      <c r="G117" s="21" t="inlineStr">
        <is>
          <t>ОС низ: 2Ø16, участок 0…9200 мм + 250 до торца</t>
        </is>
      </c>
      <c r="H117" s="51" t="n">
        <v>16</v>
      </c>
      <c r="I117" s="72" t="inlineStr">
        <is>
          <t>А500С</t>
        </is>
      </c>
      <c r="J117" s="72" t="inlineStr">
        <is>
          <t>—</t>
        </is>
      </c>
      <c r="K117" s="75" t="n">
        <v>1</v>
      </c>
      <c r="L117" s="51" t="n">
        <v>2</v>
      </c>
      <c r="M117" s="69" t="n">
        <v>9.449999999999999</v>
      </c>
      <c r="N117" s="70">
        <f>K117*L117*M117</f>
        <v/>
      </c>
      <c r="O117" s="37">
        <f>IFERROR(INDEX(Исходные!$B$19:$B$31,MATCH(H117,Исходные!$A$19:$A$31,0)),0)</f>
        <v/>
      </c>
      <c r="P117" s="76">
        <f>N117*O117</f>
        <v/>
      </c>
      <c r="Q117" s="21" t="inlineStr">
        <is>
          <t>АС-20: выноска «ОС 2Ø16 А500С»; длина по привязкам отдельных стержней</t>
        </is>
      </c>
      <c r="R117" s="77" t="inlineStr">
        <is>
          <t>по геометрии чертежа</t>
        </is>
      </c>
      <c r="S117" s="21" t="inlineStr">
        <is>
          <t>Координаты от оси 1: 0…9200 мм; конец заведён до торца крайней колонны (+250)</t>
        </is>
      </c>
      <c r="T117" s="21" t="inlineStr">
        <is>
          <t>Ригели, балки, плита, С-1</t>
        </is>
      </c>
      <c r="U117" s="49" t="n">
        <v>0</v>
      </c>
      <c r="V117" s="72" t="inlineStr">
        <is>
          <t>Р-А</t>
        </is>
      </c>
      <c r="W117" s="49" t="n">
        <v>1</v>
      </c>
    </row>
    <row r="118">
      <c r="A118" s="72" t="n">
        <v>110</v>
      </c>
      <c r="B118" s="21" t="inlineStr">
        <is>
          <t>1 этаж (отм. -0.050…+3.950)</t>
        </is>
      </c>
      <c r="C118" s="21" t="inlineStr">
        <is>
          <t>Ригели</t>
        </is>
      </c>
      <c r="D118" s="21" t="inlineStr">
        <is>
          <t>ось А (отм. +3.950)</t>
        </is>
      </c>
      <c r="E118" s="21" t="inlineStr">
        <is>
          <t>Р-А</t>
        </is>
      </c>
      <c r="F118" s="72" t="inlineStr">
        <is>
          <t>ОС</t>
        </is>
      </c>
      <c r="G118" s="21" t="inlineStr">
        <is>
          <t>ОС низ: 2Ø16, участок 11800…15100 мм</t>
        </is>
      </c>
      <c r="H118" s="51" t="n">
        <v>16</v>
      </c>
      <c r="I118" s="72" t="inlineStr">
        <is>
          <t>А500С</t>
        </is>
      </c>
      <c r="J118" s="72" t="inlineStr">
        <is>
          <t>—</t>
        </is>
      </c>
      <c r="K118" s="75" t="n">
        <v>1</v>
      </c>
      <c r="L118" s="51" t="n">
        <v>2</v>
      </c>
      <c r="M118" s="69" t="n">
        <v>3.3</v>
      </c>
      <c r="N118" s="70">
        <f>K118*L118*M118</f>
        <v/>
      </c>
      <c r="O118" s="37">
        <f>IFERROR(INDEX(Исходные!$B$19:$B$31,MATCH(H118,Исходные!$A$19:$A$31,0)),0)</f>
        <v/>
      </c>
      <c r="P118" s="76">
        <f>N118*O118</f>
        <v/>
      </c>
      <c r="Q118" s="21" t="inlineStr">
        <is>
          <t>АС-20: выноска «ОС 2Ø16 А500С»; длина по привязкам отдельных стержней</t>
        </is>
      </c>
      <c r="R118" s="77" t="inlineStr">
        <is>
          <t>по геометрии чертежа</t>
        </is>
      </c>
      <c r="S118" s="21" t="inlineStr">
        <is>
          <t>Координаты от оси 1: 11800…15100 мм</t>
        </is>
      </c>
      <c r="T118" s="21" t="inlineStr">
        <is>
          <t>Ригели, балки, плита, С-1</t>
        </is>
      </c>
      <c r="U118" s="49" t="n">
        <v>0</v>
      </c>
      <c r="V118" s="72" t="inlineStr">
        <is>
          <t>Р-А</t>
        </is>
      </c>
      <c r="W118" s="49" t="n">
        <v>1</v>
      </c>
    </row>
    <row r="119">
      <c r="A119" s="72" t="n">
        <v>111</v>
      </c>
      <c r="B119" s="21" t="inlineStr">
        <is>
          <t>1 этаж (отм. -0.050…+3.950)</t>
        </is>
      </c>
      <c r="C119" s="21" t="inlineStr">
        <is>
          <t>Ригели</t>
        </is>
      </c>
      <c r="D119" s="21" t="inlineStr">
        <is>
          <t>ось А (отм. +3.950)</t>
        </is>
      </c>
      <c r="E119" s="21" t="inlineStr">
        <is>
          <t>Р-А</t>
        </is>
      </c>
      <c r="F119" s="72" t="inlineStr">
        <is>
          <t>ОС</t>
        </is>
      </c>
      <c r="G119" s="21" t="inlineStr">
        <is>
          <t>ОС низ: 2Ø28, участок 17400…25000 мм + 250 до торца</t>
        </is>
      </c>
      <c r="H119" s="51" t="n">
        <v>28</v>
      </c>
      <c r="I119" s="72" t="inlineStr">
        <is>
          <t>А500С</t>
        </is>
      </c>
      <c r="J119" s="72" t="inlineStr">
        <is>
          <t>—</t>
        </is>
      </c>
      <c r="K119" s="75" t="n">
        <v>1</v>
      </c>
      <c r="L119" s="51" t="n">
        <v>2</v>
      </c>
      <c r="M119" s="69" t="n">
        <v>7.85</v>
      </c>
      <c r="N119" s="70">
        <f>K119*L119*M119</f>
        <v/>
      </c>
      <c r="O119" s="37">
        <f>IFERROR(INDEX(Исходные!$B$19:$B$31,MATCH(H119,Исходные!$A$19:$A$31,0)),0)</f>
        <v/>
      </c>
      <c r="P119" s="76">
        <f>N119*O119</f>
        <v/>
      </c>
      <c r="Q119" s="21" t="inlineStr">
        <is>
          <t>АС-20: выноска «ОС 2Ø28 А500С»; длина по привязкам отдельных стержней</t>
        </is>
      </c>
      <c r="R119" s="77" t="inlineStr">
        <is>
          <t>по геометрии чертежа</t>
        </is>
      </c>
      <c r="S119" s="21" t="inlineStr">
        <is>
          <t>Координаты от оси 1: 17400…25000 мм; конец заведён до торца крайней колонны (+250)</t>
        </is>
      </c>
      <c r="T119" s="21" t="inlineStr">
        <is>
          <t>Ригели, балки, плита, С-1</t>
        </is>
      </c>
      <c r="U119" s="49" t="n">
        <v>0</v>
      </c>
      <c r="V119" s="72" t="inlineStr">
        <is>
          <t>Р-А</t>
        </is>
      </c>
      <c r="W119" s="49" t="n">
        <v>1</v>
      </c>
    </row>
    <row r="120">
      <c r="A120" s="72" t="n">
        <v>112</v>
      </c>
      <c r="B120" s="21" t="inlineStr">
        <is>
          <t>1 этаж (отм. -0.050…+3.950)</t>
        </is>
      </c>
      <c r="C120" s="21" t="inlineStr">
        <is>
          <t>Ригели</t>
        </is>
      </c>
      <c r="D120" s="21" t="inlineStr">
        <is>
          <t>ось А (отм. +3.950)</t>
        </is>
      </c>
      <c r="E120" s="21" t="inlineStr">
        <is>
          <t>Р-А</t>
        </is>
      </c>
      <c r="F120" s="72" t="inlineStr">
        <is>
          <t>12</t>
        </is>
      </c>
      <c r="G120" s="21" t="inlineStr">
        <is>
          <t>Хомут Ø8 L=2060 ш.100 у опор (100×12), ш.150 в пролёте, 80×4 у балок плиты — вне заштрихованных участков</t>
        </is>
      </c>
      <c r="H120" s="51" t="n">
        <v>8</v>
      </c>
      <c r="I120" s="72" t="inlineStr">
        <is>
          <t>А240</t>
        </is>
      </c>
      <c r="J120" s="72" t="inlineStr">
        <is>
          <t>100/150</t>
        </is>
      </c>
      <c r="K120" s="75" t="n">
        <v>1</v>
      </c>
      <c r="L120" s="51" t="n">
        <v>134</v>
      </c>
      <c r="M120" s="69" t="n">
        <v>2.06</v>
      </c>
      <c r="N120" s="70">
        <f>K120*L120*M120</f>
        <v/>
      </c>
      <c r="O120" s="37">
        <f>IFERROR(INDEX(Исходные!$B$19:$B$31,MATCH(H120,Исходные!$A$19:$A$31,0)),0)</f>
        <v/>
      </c>
      <c r="P120" s="76">
        <f>N120*O120</f>
        <v/>
      </c>
      <c r="Q120" s="21" t="inlineStr">
        <is>
          <t>АС-28 сеч.4-4/5-5 поз.12; АС-29 «Расстановка хомутов в ригелях»</t>
        </is>
      </c>
      <c r="R120" s="77" t="inlineStr">
        <is>
          <t>по проекту</t>
        </is>
      </c>
      <c r="S120" s="21" t="inlineStr">
        <is>
          <t>Пролёты в свету [(300, 6200), (7500, 13200), (13800, 19000), (21000, 24700)], сумма 20500 мм</t>
        </is>
      </c>
      <c r="T120" s="21" t="inlineStr">
        <is>
          <t>Ригели, балки, плита, С-1</t>
        </is>
      </c>
      <c r="U120" s="49" t="n">
        <v>0</v>
      </c>
      <c r="V120" s="72" t="inlineStr">
        <is>
          <t>Р-А</t>
        </is>
      </c>
      <c r="W120" s="49" t="n">
        <v>1</v>
      </c>
    </row>
    <row r="121">
      <c r="A121" s="72" t="n">
        <v>113</v>
      </c>
      <c r="B121" s="21" t="inlineStr">
        <is>
          <t>1 этаж (отм. -0.050…+3.950)</t>
        </is>
      </c>
      <c r="C121" s="21" t="inlineStr">
        <is>
          <t>Ригели</t>
        </is>
      </c>
      <c r="D121" s="21" t="inlineStr">
        <is>
          <t>ось А (отм. +3.950)</t>
        </is>
      </c>
      <c r="E121" s="21" t="inlineStr">
        <is>
          <t>Р-А</t>
        </is>
      </c>
      <c r="F121" s="72" t="inlineStr">
        <is>
          <t>13</t>
        </is>
      </c>
      <c r="G121" s="21" t="inlineStr">
        <is>
          <t>Хомут наружный Ø10 L=2060 ш.100 — заштрихованные участки рамы</t>
        </is>
      </c>
      <c r="H121" s="51" t="n">
        <v>10</v>
      </c>
      <c r="I121" s="72" t="inlineStr">
        <is>
          <t>А240</t>
        </is>
      </c>
      <c r="J121" s="72" t="n">
        <v>100</v>
      </c>
      <c r="K121" s="75" t="n">
        <v>1</v>
      </c>
      <c r="L121" s="51" t="n">
        <v>35</v>
      </c>
      <c r="M121" s="69" t="n">
        <v>2.06</v>
      </c>
      <c r="N121" s="70">
        <f>K121*L121*M121</f>
        <v/>
      </c>
      <c r="O121" s="37">
        <f>IFERROR(INDEX(Исходные!$B$19:$B$31,MATCH(H121,Исходные!$A$19:$A$31,0)),0)</f>
        <v/>
      </c>
      <c r="P121" s="76">
        <f>N121*O121</f>
        <v/>
      </c>
      <c r="Q121" s="21" t="inlineStr">
        <is>
          <t>АС-20 штриховка «100×15»; АС-28 Фрагмент №1, поз.13</t>
        </is>
      </c>
      <c r="R121" s="77" t="inlineStr">
        <is>
          <t>по проекту</t>
        </is>
      </c>
      <c r="S121" s="21" t="inlineStr">
        <is>
          <t>Участки (мм): одинарные [(7500, 8700), (17500, 18900)], двойные [(21000, 22200)]</t>
        </is>
      </c>
      <c r="T121" s="21" t="inlineStr">
        <is>
          <t>Ригели, балки, плита, С-1</t>
        </is>
      </c>
      <c r="U121" s="49" t="n">
        <v>0</v>
      </c>
      <c r="V121" s="72" t="inlineStr">
        <is>
          <t>Р-А</t>
        </is>
      </c>
      <c r="W121" s="49" t="n">
        <v>1</v>
      </c>
    </row>
    <row r="122">
      <c r="A122" s="72" t="n">
        <v>114</v>
      </c>
      <c r="B122" s="21" t="inlineStr">
        <is>
          <t>1 этаж (отм. -0.050…+3.950)</t>
        </is>
      </c>
      <c r="C122" s="21" t="inlineStr">
        <is>
          <t>Ригели</t>
        </is>
      </c>
      <c r="D122" s="21" t="inlineStr">
        <is>
          <t>ось А (отм. +3.950)</t>
        </is>
      </c>
      <c r="E122" s="21" t="inlineStr">
        <is>
          <t>Р-А</t>
        </is>
      </c>
      <c r="F122" s="72" t="inlineStr">
        <is>
          <t>15</t>
        </is>
      </c>
      <c r="G122" s="21" t="inlineStr">
        <is>
          <t>Хомут внутренний Ø10 L=1600 ш.100 — участки двойных хомутов</t>
        </is>
      </c>
      <c r="H122" s="51" t="n">
        <v>10</v>
      </c>
      <c r="I122" s="72" t="inlineStr">
        <is>
          <t>А240</t>
        </is>
      </c>
      <c r="J122" s="72" t="n">
        <v>100</v>
      </c>
      <c r="K122" s="75" t="n">
        <v>1</v>
      </c>
      <c r="L122" s="51" t="n">
        <v>8</v>
      </c>
      <c r="M122" s="69" t="n">
        <v>1.6</v>
      </c>
      <c r="N122" s="70">
        <f>K122*L122*M122</f>
        <v/>
      </c>
      <c r="O122" s="37">
        <f>IFERROR(INDEX(Исходные!$B$19:$B$31,MATCH(H122,Исходные!$A$19:$A$31,0)),0)</f>
        <v/>
      </c>
      <c r="P122" s="76">
        <f>N122*O122</f>
        <v/>
      </c>
      <c r="Q122" s="21" t="inlineStr">
        <is>
          <t>АС-20 двойная штриховка; АС-28 Фрагмент №1, поз.15</t>
        </is>
      </c>
      <c r="R122" s="77" t="inlineStr">
        <is>
          <t>по проекту</t>
        </is>
      </c>
      <c r="S122" s="21" t="inlineStr"/>
      <c r="T122" s="21" t="inlineStr">
        <is>
          <t>Ригели, балки, плита, С-1</t>
        </is>
      </c>
      <c r="U122" s="49" t="n">
        <v>0</v>
      </c>
      <c r="V122" s="72" t="inlineStr">
        <is>
          <t>Р-А</t>
        </is>
      </c>
      <c r="W122" s="49" t="n">
        <v>1</v>
      </c>
    </row>
    <row r="123">
      <c r="A123" s="72" t="n">
        <v>115</v>
      </c>
      <c r="B123" s="21" t="inlineStr">
        <is>
          <t>1 этаж (отм. -0.050…+3.950)</t>
        </is>
      </c>
      <c r="C123" s="21" t="inlineStr">
        <is>
          <t>Ригели</t>
        </is>
      </c>
      <c r="D123" s="21" t="inlineStr">
        <is>
          <t>ось А (отм. +3.950)</t>
        </is>
      </c>
      <c r="E123" s="21" t="inlineStr">
        <is>
          <t>Р-А</t>
        </is>
      </c>
      <c r="F123" s="72" t="inlineStr">
        <is>
          <t>17</t>
        </is>
      </c>
      <c r="G123" s="21" t="inlineStr">
        <is>
          <t>Шпилька вертикальная Ø8 L=750: ш.200 у опор, ш.150 в пролёте (нет в зонах двойных хомутов)</t>
        </is>
      </c>
      <c r="H123" s="51" t="n">
        <v>8</v>
      </c>
      <c r="I123" s="72" t="inlineStr">
        <is>
          <t>А240</t>
        </is>
      </c>
      <c r="J123" s="72" t="inlineStr">
        <is>
          <t>200/150</t>
        </is>
      </c>
      <c r="K123" s="75" t="n">
        <v>1</v>
      </c>
      <c r="L123" s="51" t="n">
        <v>105</v>
      </c>
      <c r="M123" s="69" t="n">
        <v>0.75</v>
      </c>
      <c r="N123" s="70">
        <f>K123*L123*M123</f>
        <v/>
      </c>
      <c r="O123" s="37">
        <f>IFERROR(INDEX(Исходные!$B$19:$B$31,MATCH(H123,Исходные!$A$19:$A$31,0)),0)</f>
        <v/>
      </c>
      <c r="P123" s="76">
        <f>N123*O123</f>
        <v/>
      </c>
      <c r="Q123" s="21" t="inlineStr">
        <is>
          <t>АС-28 сеч.4-4/5-5 поз.17</t>
        </is>
      </c>
      <c r="R123" s="77" t="inlineStr">
        <is>
          <t>по проекту</t>
        </is>
      </c>
      <c r="S123" s="21" t="inlineStr"/>
      <c r="T123" s="21" t="inlineStr">
        <is>
          <t>Ригели, балки, плита, С-1</t>
        </is>
      </c>
      <c r="U123" s="49" t="n">
        <v>0</v>
      </c>
      <c r="V123" s="72" t="inlineStr">
        <is>
          <t>Р-А</t>
        </is>
      </c>
      <c r="W123" s="49" t="n">
        <v>1</v>
      </c>
    </row>
    <row r="124">
      <c r="A124" s="72" t="n">
        <v>116</v>
      </c>
      <c r="B124" s="21" t="inlineStr">
        <is>
          <t>1 этаж (отм. -0.050…+3.950)</t>
        </is>
      </c>
      <c r="C124" s="21" t="inlineStr">
        <is>
          <t>Ригели</t>
        </is>
      </c>
      <c r="D124" s="21" t="inlineStr">
        <is>
          <t>ось А (отм. +3.950)</t>
        </is>
      </c>
      <c r="E124" s="21" t="inlineStr">
        <is>
          <t>Р-А</t>
        </is>
      </c>
      <c r="F124" s="72" t="inlineStr">
        <is>
          <t>16</t>
        </is>
      </c>
      <c r="G124" s="21" t="inlineStr">
        <is>
          <t>Шпилька горизонтальная Ø8 L=580 ш.300 (связь боковых 2Ø16)</t>
        </is>
      </c>
      <c r="H124" s="51" t="n">
        <v>8</v>
      </c>
      <c r="I124" s="72" t="inlineStr">
        <is>
          <t>А240</t>
        </is>
      </c>
      <c r="J124" s="72" t="n">
        <v>300</v>
      </c>
      <c r="K124" s="75" t="n">
        <v>1</v>
      </c>
      <c r="L124" s="51" t="n">
        <v>70</v>
      </c>
      <c r="M124" s="69" t="n">
        <v>0.58</v>
      </c>
      <c r="N124" s="70">
        <f>K124*L124*M124</f>
        <v/>
      </c>
      <c r="O124" s="37">
        <f>IFERROR(INDEX(Исходные!$B$19:$B$31,MATCH(H124,Исходные!$A$19:$A$31,0)),0)</f>
        <v/>
      </c>
      <c r="P124" s="76">
        <f>N124*O124</f>
        <v/>
      </c>
      <c r="Q124" s="21" t="inlineStr">
        <is>
          <t>АС-28 сеч.4-4/5-5 «шп.Ø8 А240 ш.300», поз.16 L=580</t>
        </is>
      </c>
      <c r="R124" s="78" t="inlineStr">
        <is>
          <t>принято (уточнить)</t>
        </is>
      </c>
      <c r="S124" s="21" t="inlineStr">
        <is>
          <t>Номер позиции на сечении не указан — принята поз.16 (L=580) по ведомости деталей.</t>
        </is>
      </c>
      <c r="T124" s="21" t="inlineStr">
        <is>
          <t>Ригели, балки, плита, С-1</t>
        </is>
      </c>
      <c r="U124" s="49" t="n">
        <v>1</v>
      </c>
      <c r="V124" s="72" t="inlineStr">
        <is>
          <t>Р-А</t>
        </is>
      </c>
      <c r="W124" s="49" t="n">
        <v>1</v>
      </c>
    </row>
    <row r="125">
      <c r="A125" s="72" t="n">
        <v>117</v>
      </c>
      <c r="B125" s="21" t="inlineStr">
        <is>
          <t>1 этаж (отм. -0.050…+3.950)</t>
        </is>
      </c>
      <c r="C125" s="21" t="inlineStr">
        <is>
          <t>Ригели</t>
        </is>
      </c>
      <c r="D125" s="21" t="inlineStr">
        <is>
          <t>ось Б (отм. +3.950)</t>
        </is>
      </c>
      <c r="E125" s="21" t="inlineStr">
        <is>
          <t>Р-Б</t>
        </is>
      </c>
      <c r="F125" s="72" t="inlineStr">
        <is>
          <t>2</t>
        </is>
      </c>
      <c r="G125" s="21" t="inlineStr">
        <is>
          <t>Продольные угловые 4Ø28 (сеч.4-4/5-5), сквозные, концы с Аш</t>
        </is>
      </c>
      <c r="H125" s="51" t="n">
        <v>28</v>
      </c>
      <c r="I125" s="72" t="inlineStr">
        <is>
          <t>А500С</t>
        </is>
      </c>
      <c r="J125" s="72" t="inlineStr">
        <is>
          <t>—</t>
        </is>
      </c>
      <c r="K125" s="75" t="n">
        <v>1</v>
      </c>
      <c r="L125" s="51" t="n">
        <v>4</v>
      </c>
      <c r="M125" s="69" t="n">
        <v>25.5</v>
      </c>
      <c r="N125" s="70">
        <f>K125*L125*M125</f>
        <v/>
      </c>
      <c r="O125" s="37">
        <f>IFERROR(INDEX(Исходные!$B$19:$B$31,MATCH(H125,Исходные!$A$19:$A$31,0)),0)</f>
        <v/>
      </c>
      <c r="P125" s="76">
        <f>N125*O125</f>
        <v/>
      </c>
      <c r="Q125" s="21" t="inlineStr">
        <is>
          <t>АС-21 рама + АС-28 сеч.4-4/5-5 поз.2; длина = 25000+2×250 (до 50 мм от наружной грани крайней колонны)</t>
        </is>
      </c>
      <c r="R125" s="77" t="inlineStr">
        <is>
          <t>по геометрии чертежа</t>
        </is>
      </c>
      <c r="S125" s="21" t="inlineStr">
        <is>
          <t>Стыки ванной сваркой без нахлёста: 2 на стержень (всего 8).</t>
        </is>
      </c>
      <c r="T125" s="21" t="inlineStr">
        <is>
          <t>Ригели, балки, плита, С-1</t>
        </is>
      </c>
      <c r="U125" s="49" t="n">
        <v>0</v>
      </c>
      <c r="V125" s="72" t="inlineStr">
        <is>
          <t>Р-Б</t>
        </is>
      </c>
      <c r="W125" s="49" t="n">
        <v>1</v>
      </c>
    </row>
    <row r="126">
      <c r="A126" s="72" t="n">
        <v>118</v>
      </c>
      <c r="B126" s="21" t="inlineStr">
        <is>
          <t>1 этаж (отм. -0.050…+3.950)</t>
        </is>
      </c>
      <c r="C126" s="21" t="inlineStr">
        <is>
          <t>Ригели</t>
        </is>
      </c>
      <c r="D126" s="21" t="inlineStr">
        <is>
          <t>ось Б (отм. +3.950)</t>
        </is>
      </c>
      <c r="E126" s="21" t="inlineStr">
        <is>
          <t>Р-Б</t>
        </is>
      </c>
      <c r="F126" s="72" t="inlineStr">
        <is>
          <t>6</t>
        </is>
      </c>
      <c r="G126" s="21" t="inlineStr">
        <is>
          <t>Продольные средние верх/низ 2Ø18 (сеч.4-4/5-5)</t>
        </is>
      </c>
      <c r="H126" s="51" t="n">
        <v>18</v>
      </c>
      <c r="I126" s="72" t="inlineStr">
        <is>
          <t>А500С</t>
        </is>
      </c>
      <c r="J126" s="72" t="inlineStr">
        <is>
          <t>—</t>
        </is>
      </c>
      <c r="K126" s="75" t="n">
        <v>1</v>
      </c>
      <c r="L126" s="51" t="n">
        <v>2</v>
      </c>
      <c r="M126" s="69" t="n">
        <v>25.5</v>
      </c>
      <c r="N126" s="70">
        <f>K126*L126*M126</f>
        <v/>
      </c>
      <c r="O126" s="37">
        <f>IFERROR(INDEX(Исходные!$B$19:$B$31,MATCH(H126,Исходные!$A$19:$A$31,0)),0)</f>
        <v/>
      </c>
      <c r="P126" s="76">
        <f>N126*O126</f>
        <v/>
      </c>
      <c r="Q126" s="21" t="inlineStr">
        <is>
          <t>АС-28 сеч.4-4/5-5 поз.6</t>
        </is>
      </c>
      <c r="R126" s="77" t="inlineStr">
        <is>
          <t>по геометрии чертежа</t>
        </is>
      </c>
      <c r="S126" s="21" t="inlineStr"/>
      <c r="T126" s="21" t="inlineStr">
        <is>
          <t>Ригели, балки, плита, С-1</t>
        </is>
      </c>
      <c r="U126" s="49" t="n">
        <v>0</v>
      </c>
      <c r="V126" s="72" t="inlineStr">
        <is>
          <t>Р-Б</t>
        </is>
      </c>
      <c r="W126" s="49" t="n">
        <v>1</v>
      </c>
    </row>
    <row r="127">
      <c r="A127" s="72" t="n">
        <v>119</v>
      </c>
      <c r="B127" s="21" t="inlineStr">
        <is>
          <t>1 этаж (отм. -0.050…+3.950)</t>
        </is>
      </c>
      <c r="C127" s="21" t="inlineStr">
        <is>
          <t>Ригели</t>
        </is>
      </c>
      <c r="D127" s="21" t="inlineStr">
        <is>
          <t>ось Б (отм. +3.950)</t>
        </is>
      </c>
      <c r="E127" s="21" t="inlineStr">
        <is>
          <t>Р-Б</t>
        </is>
      </c>
      <c r="F127" s="72" t="inlineStr">
        <is>
          <t>6-нахл</t>
        </is>
      </c>
      <c r="G127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27" s="51" t="n">
        <v>18</v>
      </c>
      <c r="I127" s="72" t="inlineStr">
        <is>
          <t>А500С</t>
        </is>
      </c>
      <c r="J127" s="72" t="inlineStr">
        <is>
          <t>—</t>
        </is>
      </c>
      <c r="K127" s="75" t="n">
        <v>2</v>
      </c>
      <c r="L127" s="51" t="n">
        <v>2</v>
      </c>
      <c r="M127" s="69" t="n">
        <v>0.144</v>
      </c>
      <c r="N127" s="70">
        <f>K127*L127*M127</f>
        <v/>
      </c>
      <c r="O127" s="37">
        <f>IFERROR(INDEX(Исходные!$B$19:$B$31,MATCH(H127,Исходные!$A$19:$A$31,0)),0)</f>
        <v/>
      </c>
      <c r="P127" s="76">
        <f>N127*O127</f>
        <v/>
      </c>
      <c r="Q127" s="21" t="inlineStr">
        <is>
          <t>АС-19 прим.1: Ø18 и менее — внахлёстку электродуговой сваркой, Lшва=8d = 144 мм</t>
        </is>
      </c>
      <c r="R127" s="77" t="inlineStr">
        <is>
          <t>по проекту (стыковка прутков 11,7 м)</t>
        </is>
      </c>
      <c r="S127" s="21" t="inlineStr">
        <is>
          <t>Чистая длина 25.500 м; кусков 3; стыков 2; Lнахл=2×0.144=0.288 м на стержень</t>
        </is>
      </c>
      <c r="T127" s="21" t="inlineStr">
        <is>
          <t>Ригели, балки, плита, С-1</t>
        </is>
      </c>
      <c r="U127" s="49" t="n">
        <v>0</v>
      </c>
      <c r="V127" s="72" t="inlineStr">
        <is>
          <t>Р-Б</t>
        </is>
      </c>
      <c r="W127" s="49" t="n">
        <v>1</v>
      </c>
    </row>
    <row r="128">
      <c r="A128" s="72" t="n">
        <v>120</v>
      </c>
      <c r="B128" s="21" t="inlineStr">
        <is>
          <t>1 этаж (отм. -0.050…+3.950)</t>
        </is>
      </c>
      <c r="C128" s="21" t="inlineStr">
        <is>
          <t>Ригели</t>
        </is>
      </c>
      <c r="D128" s="21" t="inlineStr">
        <is>
          <t>ось Б (отм. +3.950)</t>
        </is>
      </c>
      <c r="E128" s="21" t="inlineStr">
        <is>
          <t>Р-Б</t>
        </is>
      </c>
      <c r="F128" s="72" t="inlineStr">
        <is>
          <t>7</t>
        </is>
      </c>
      <c r="G128" s="21" t="inlineStr">
        <is>
          <t>Боковые стержни 2Ø16 (сеч.4-4/5-5)</t>
        </is>
      </c>
      <c r="H128" s="51" t="n">
        <v>16</v>
      </c>
      <c r="I128" s="72" t="inlineStr">
        <is>
          <t>А500С</t>
        </is>
      </c>
      <c r="J128" s="72" t="inlineStr">
        <is>
          <t>—</t>
        </is>
      </c>
      <c r="K128" s="75" t="n">
        <v>1</v>
      </c>
      <c r="L128" s="51" t="n">
        <v>2</v>
      </c>
      <c r="M128" s="69" t="n">
        <v>25.5</v>
      </c>
      <c r="N128" s="70">
        <f>K128*L128*M128</f>
        <v/>
      </c>
      <c r="O128" s="37">
        <f>IFERROR(INDEX(Исходные!$B$19:$B$31,MATCH(H128,Исходные!$A$19:$A$31,0)),0)</f>
        <v/>
      </c>
      <c r="P128" s="76">
        <f>N128*O128</f>
        <v/>
      </c>
      <c r="Q128" s="21" t="inlineStr">
        <is>
          <t>АС-28 сеч.4-4/5-5 «Боковые стержни 2Ø16»</t>
        </is>
      </c>
      <c r="R128" s="77" t="inlineStr">
        <is>
          <t>по геометрии чертежа</t>
        </is>
      </c>
      <c r="S128" s="21" t="inlineStr"/>
      <c r="T128" s="21" t="inlineStr">
        <is>
          <t>Ригели, балки, плита, С-1</t>
        </is>
      </c>
      <c r="U128" s="49" t="n">
        <v>0</v>
      </c>
      <c r="V128" s="72" t="inlineStr">
        <is>
          <t>Р-Б</t>
        </is>
      </c>
      <c r="W128" s="49" t="n">
        <v>1</v>
      </c>
    </row>
    <row r="129">
      <c r="A129" s="72" t="n">
        <v>121</v>
      </c>
      <c r="B129" s="21" t="inlineStr">
        <is>
          <t>1 этаж (отм. -0.050…+3.950)</t>
        </is>
      </c>
      <c r="C129" s="21" t="inlineStr">
        <is>
          <t>Ригели</t>
        </is>
      </c>
      <c r="D129" s="21" t="inlineStr">
        <is>
          <t>ось Б (отм. +3.950)</t>
        </is>
      </c>
      <c r="E129" s="21" t="inlineStr">
        <is>
          <t>Р-Б</t>
        </is>
      </c>
      <c r="F129" s="72" t="inlineStr">
        <is>
          <t>7-нахл</t>
        </is>
      </c>
      <c r="G129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29" s="51" t="n">
        <v>16</v>
      </c>
      <c r="I129" s="72" t="inlineStr">
        <is>
          <t>А500С</t>
        </is>
      </c>
      <c r="J129" s="72" t="inlineStr">
        <is>
          <t>—</t>
        </is>
      </c>
      <c r="K129" s="75" t="n">
        <v>2</v>
      </c>
      <c r="L129" s="51" t="n">
        <v>2</v>
      </c>
      <c r="M129" s="69" t="n">
        <v>0.128</v>
      </c>
      <c r="N129" s="70">
        <f>K129*L129*M129</f>
        <v/>
      </c>
      <c r="O129" s="37">
        <f>IFERROR(INDEX(Исходные!$B$19:$B$31,MATCH(H129,Исходные!$A$19:$A$31,0)),0)</f>
        <v/>
      </c>
      <c r="P129" s="76">
        <f>N129*O129</f>
        <v/>
      </c>
      <c r="Q129" s="21" t="inlineStr">
        <is>
          <t>АС-19 прим.1: Ø18 и менее — внахлёстку электродуговой сваркой, Lшва=8d = 128 мм</t>
        </is>
      </c>
      <c r="R129" s="77" t="inlineStr">
        <is>
          <t>по проекту (стыковка прутков 11,7 м)</t>
        </is>
      </c>
      <c r="S129" s="21" t="inlineStr">
        <is>
          <t>Чистая длина 25.500 м; кусков 3; стыков 2; Lнахл=2×0.128=0.256 м на стержень</t>
        </is>
      </c>
      <c r="T129" s="21" t="inlineStr">
        <is>
          <t>Ригели, балки, плита, С-1</t>
        </is>
      </c>
      <c r="U129" s="49" t="n">
        <v>0</v>
      </c>
      <c r="V129" s="72" t="inlineStr">
        <is>
          <t>Р-Б</t>
        </is>
      </c>
      <c r="W129" s="49" t="n">
        <v>1</v>
      </c>
    </row>
    <row r="130">
      <c r="A130" s="72" t="n">
        <v>122</v>
      </c>
      <c r="B130" s="21" t="inlineStr">
        <is>
          <t>1 этаж (отм. -0.050…+3.950)</t>
        </is>
      </c>
      <c r="C130" s="21" t="inlineStr">
        <is>
          <t>Ригели</t>
        </is>
      </c>
      <c r="D130" s="21" t="inlineStr">
        <is>
          <t>ось Б (отм. +3.950)</t>
        </is>
      </c>
      <c r="E130" s="21" t="inlineStr">
        <is>
          <t>Р-Б</t>
        </is>
      </c>
      <c r="F130" s="72" t="inlineStr">
        <is>
          <t>ОС</t>
        </is>
      </c>
      <c r="G130" s="21" t="inlineStr">
        <is>
          <t>ОС верх: 2Ø25, участок 0…1800 мм + 250 до торца</t>
        </is>
      </c>
      <c r="H130" s="51" t="n">
        <v>25</v>
      </c>
      <c r="I130" s="72" t="inlineStr">
        <is>
          <t>А500С</t>
        </is>
      </c>
      <c r="J130" s="72" t="inlineStr">
        <is>
          <t>—</t>
        </is>
      </c>
      <c r="K130" s="75" t="n">
        <v>1</v>
      </c>
      <c r="L130" s="51" t="n">
        <v>2</v>
      </c>
      <c r="M130" s="69" t="n">
        <v>2.05</v>
      </c>
      <c r="N130" s="70">
        <f>K130*L130*M130</f>
        <v/>
      </c>
      <c r="O130" s="37">
        <f>IFERROR(INDEX(Исходные!$B$19:$B$31,MATCH(H130,Исходные!$A$19:$A$31,0)),0)</f>
        <v/>
      </c>
      <c r="P130" s="76">
        <f>N130*O130</f>
        <v/>
      </c>
      <c r="Q130" s="21" t="inlineStr">
        <is>
          <t>АС-21: выноска «ОС 2Ø25 А500С»; длина по привязкам отдельных стержней</t>
        </is>
      </c>
      <c r="R130" s="77" t="inlineStr">
        <is>
          <t>по геометрии чертежа</t>
        </is>
      </c>
      <c r="S130" s="21" t="inlineStr">
        <is>
          <t>Координаты от оси 1: 0…1800 мм; конец заведён до торца крайней колонны (+250)</t>
        </is>
      </c>
      <c r="T130" s="21" t="inlineStr">
        <is>
          <t>Ригели, балки, плита, С-1</t>
        </is>
      </c>
      <c r="U130" s="49" t="n">
        <v>0</v>
      </c>
      <c r="V130" s="72" t="inlineStr">
        <is>
          <t>Р-Б</t>
        </is>
      </c>
      <c r="W130" s="49" t="n">
        <v>1</v>
      </c>
    </row>
    <row r="131">
      <c r="A131" s="72" t="n">
        <v>123</v>
      </c>
      <c r="B131" s="21" t="inlineStr">
        <is>
          <t>1 этаж (отм. -0.050…+3.950)</t>
        </is>
      </c>
      <c r="C131" s="21" t="inlineStr">
        <is>
          <t>Ригели</t>
        </is>
      </c>
      <c r="D131" s="21" t="inlineStr">
        <is>
          <t>ось Б (отм. +3.950)</t>
        </is>
      </c>
      <c r="E131" s="21" t="inlineStr">
        <is>
          <t>Р-Б</t>
        </is>
      </c>
      <c r="F131" s="72" t="inlineStr">
        <is>
          <t>ОС</t>
        </is>
      </c>
      <c r="G131" s="21" t="inlineStr">
        <is>
          <t>ОС верх: 2Ø32, участок 4700…8400 мм</t>
        </is>
      </c>
      <c r="H131" s="51" t="n">
        <v>32</v>
      </c>
      <c r="I131" s="72" t="inlineStr">
        <is>
          <t>А500С</t>
        </is>
      </c>
      <c r="J131" s="72" t="inlineStr">
        <is>
          <t>—</t>
        </is>
      </c>
      <c r="K131" s="75" t="n">
        <v>1</v>
      </c>
      <c r="L131" s="51" t="n">
        <v>2</v>
      </c>
      <c r="M131" s="69" t="n">
        <v>3.7</v>
      </c>
      <c r="N131" s="70">
        <f>K131*L131*M131</f>
        <v/>
      </c>
      <c r="O131" s="37">
        <f>IFERROR(INDEX(Исходные!$B$19:$B$31,MATCH(H131,Исходные!$A$19:$A$31,0)),0)</f>
        <v/>
      </c>
      <c r="P131" s="76">
        <f>N131*O131</f>
        <v/>
      </c>
      <c r="Q131" s="21" t="inlineStr">
        <is>
          <t>АС-21: выноска «ОС 2Ø32 А500С»; длина по привязкам отдельных стержней</t>
        </is>
      </c>
      <c r="R131" s="77" t="inlineStr">
        <is>
          <t>по геометрии чертежа</t>
        </is>
      </c>
      <c r="S131" s="21" t="inlineStr">
        <is>
          <t>Координаты от оси 1: 4700…8400 мм</t>
        </is>
      </c>
      <c r="T131" s="21" t="inlineStr">
        <is>
          <t>Ригели, балки, плита, С-1</t>
        </is>
      </c>
      <c r="U131" s="49" t="n">
        <v>0</v>
      </c>
      <c r="V131" s="72" t="inlineStr">
        <is>
          <t>Р-Б</t>
        </is>
      </c>
      <c r="W131" s="49" t="n">
        <v>1</v>
      </c>
    </row>
    <row r="132">
      <c r="A132" s="72" t="n">
        <v>124</v>
      </c>
      <c r="B132" s="21" t="inlineStr">
        <is>
          <t>1 этаж (отм. -0.050…+3.950)</t>
        </is>
      </c>
      <c r="C132" s="21" t="inlineStr">
        <is>
          <t>Ригели</t>
        </is>
      </c>
      <c r="D132" s="21" t="inlineStr">
        <is>
          <t>ось Б (отм. +3.950)</t>
        </is>
      </c>
      <c r="E132" s="21" t="inlineStr">
        <is>
          <t>Р-Б</t>
        </is>
      </c>
      <c r="F132" s="72" t="inlineStr">
        <is>
          <t>ОС</t>
        </is>
      </c>
      <c r="G132" s="21" t="inlineStr">
        <is>
          <t>ОС верх: 2Ø28, участок 11600…15300 мм</t>
        </is>
      </c>
      <c r="H132" s="51" t="n">
        <v>28</v>
      </c>
      <c r="I132" s="72" t="inlineStr">
        <is>
          <t>А500С</t>
        </is>
      </c>
      <c r="J132" s="72" t="inlineStr">
        <is>
          <t>—</t>
        </is>
      </c>
      <c r="K132" s="75" t="n">
        <v>1</v>
      </c>
      <c r="L132" s="51" t="n">
        <v>2</v>
      </c>
      <c r="M132" s="69" t="n">
        <v>3.7</v>
      </c>
      <c r="N132" s="70">
        <f>K132*L132*M132</f>
        <v/>
      </c>
      <c r="O132" s="37">
        <f>IFERROR(INDEX(Исходные!$B$19:$B$31,MATCH(H132,Исходные!$A$19:$A$31,0)),0)</f>
        <v/>
      </c>
      <c r="P132" s="76">
        <f>N132*O132</f>
        <v/>
      </c>
      <c r="Q132" s="21" t="inlineStr">
        <is>
          <t>АС-21: выноска «ОС 2Ø28 А500С»; длина по привязкам отдельных стержней</t>
        </is>
      </c>
      <c r="R132" s="77" t="inlineStr">
        <is>
          <t>по геометрии чертежа</t>
        </is>
      </c>
      <c r="S132" s="21" t="inlineStr">
        <is>
          <t>Координаты от оси 1: 11600…15300 мм</t>
        </is>
      </c>
      <c r="T132" s="21" t="inlineStr">
        <is>
          <t>Ригели, балки, плита, С-1</t>
        </is>
      </c>
      <c r="U132" s="49" t="n">
        <v>0</v>
      </c>
      <c r="V132" s="72" t="inlineStr">
        <is>
          <t>Р-Б</t>
        </is>
      </c>
      <c r="W132" s="49" t="n">
        <v>1</v>
      </c>
    </row>
    <row r="133">
      <c r="A133" s="72" t="n">
        <v>125</v>
      </c>
      <c r="B133" s="21" t="inlineStr">
        <is>
          <t>1 этаж (отм. -0.050…+3.950)</t>
        </is>
      </c>
      <c r="C133" s="21" t="inlineStr">
        <is>
          <t>Ригели</t>
        </is>
      </c>
      <c r="D133" s="21" t="inlineStr">
        <is>
          <t>ось Б (отм. +3.950)</t>
        </is>
      </c>
      <c r="E133" s="21" t="inlineStr">
        <is>
          <t>Р-Б</t>
        </is>
      </c>
      <c r="F133" s="72" t="inlineStr">
        <is>
          <t>ОС</t>
        </is>
      </c>
      <c r="G133" s="21" t="inlineStr">
        <is>
          <t>ОС верх: 2Ø28, участок 18200…21800 мм</t>
        </is>
      </c>
      <c r="H133" s="51" t="n">
        <v>28</v>
      </c>
      <c r="I133" s="72" t="inlineStr">
        <is>
          <t>А500С</t>
        </is>
      </c>
      <c r="J133" s="72" t="inlineStr">
        <is>
          <t>—</t>
        </is>
      </c>
      <c r="K133" s="75" t="n">
        <v>1</v>
      </c>
      <c r="L133" s="51" t="n">
        <v>2</v>
      </c>
      <c r="M133" s="69" t="n">
        <v>3.6</v>
      </c>
      <c r="N133" s="70">
        <f>K133*L133*M133</f>
        <v/>
      </c>
      <c r="O133" s="37">
        <f>IFERROR(INDEX(Исходные!$B$19:$B$31,MATCH(H133,Исходные!$A$19:$A$31,0)),0)</f>
        <v/>
      </c>
      <c r="P133" s="76">
        <f>N133*O133</f>
        <v/>
      </c>
      <c r="Q133" s="21" t="inlineStr">
        <is>
          <t>АС-21: выноска «ОС 2Ø28 А500С»; длина по привязкам отдельных стержней</t>
        </is>
      </c>
      <c r="R133" s="77" t="inlineStr">
        <is>
          <t>по геометрии чертежа</t>
        </is>
      </c>
      <c r="S133" s="21" t="inlineStr">
        <is>
          <t>Координаты от оси 1: 18200…21800 мм</t>
        </is>
      </c>
      <c r="T133" s="21" t="inlineStr">
        <is>
          <t>Ригели, балки, плита, С-1</t>
        </is>
      </c>
      <c r="U133" s="49" t="n">
        <v>0</v>
      </c>
      <c r="V133" s="72" t="inlineStr">
        <is>
          <t>Р-Б</t>
        </is>
      </c>
      <c r="W133" s="49" t="n">
        <v>1</v>
      </c>
    </row>
    <row r="134">
      <c r="A134" s="72" t="n">
        <v>126</v>
      </c>
      <c r="B134" s="21" t="inlineStr">
        <is>
          <t>1 этаж (отм. -0.050…+3.950)</t>
        </is>
      </c>
      <c r="C134" s="21" t="inlineStr">
        <is>
          <t>Ригели</t>
        </is>
      </c>
      <c r="D134" s="21" t="inlineStr">
        <is>
          <t>ось Б (отм. +3.950)</t>
        </is>
      </c>
      <c r="E134" s="21" t="inlineStr">
        <is>
          <t>Р-Б</t>
        </is>
      </c>
      <c r="F134" s="72" t="inlineStr">
        <is>
          <t>ОС</t>
        </is>
      </c>
      <c r="G134" s="21" t="inlineStr">
        <is>
          <t>ОС верх: 2Ø25, участок 23200…25000 мм + 250 до торца</t>
        </is>
      </c>
      <c r="H134" s="51" t="n">
        <v>25</v>
      </c>
      <c r="I134" s="72" t="inlineStr">
        <is>
          <t>А500С</t>
        </is>
      </c>
      <c r="J134" s="72" t="inlineStr">
        <is>
          <t>—</t>
        </is>
      </c>
      <c r="K134" s="75" t="n">
        <v>1</v>
      </c>
      <c r="L134" s="51" t="n">
        <v>2</v>
      </c>
      <c r="M134" s="69" t="n">
        <v>2.05</v>
      </c>
      <c r="N134" s="70">
        <f>K134*L134*M134</f>
        <v/>
      </c>
      <c r="O134" s="37">
        <f>IFERROR(INDEX(Исходные!$B$19:$B$31,MATCH(H134,Исходные!$A$19:$A$31,0)),0)</f>
        <v/>
      </c>
      <c r="P134" s="76">
        <f>N134*O134</f>
        <v/>
      </c>
      <c r="Q134" s="21" t="inlineStr">
        <is>
          <t>АС-21: выноска «ОС 2Ø25 А500С»; длина по привязкам отдельных стержней</t>
        </is>
      </c>
      <c r="R134" s="77" t="inlineStr">
        <is>
          <t>по геометрии чертежа</t>
        </is>
      </c>
      <c r="S134" s="21" t="inlineStr">
        <is>
          <t>Координаты от оси 1: 23200…25000 мм; конец заведён до торца крайней колонны (+250)</t>
        </is>
      </c>
      <c r="T134" s="21" t="inlineStr">
        <is>
          <t>Ригели, балки, плита, С-1</t>
        </is>
      </c>
      <c r="U134" s="49" t="n">
        <v>0</v>
      </c>
      <c r="V134" s="72" t="inlineStr">
        <is>
          <t>Р-Б</t>
        </is>
      </c>
      <c r="W134" s="49" t="n">
        <v>1</v>
      </c>
    </row>
    <row r="135">
      <c r="A135" s="72" t="n">
        <v>127</v>
      </c>
      <c r="B135" s="21" t="inlineStr">
        <is>
          <t>1 этаж (отм. -0.050…+3.950)</t>
        </is>
      </c>
      <c r="C135" s="21" t="inlineStr">
        <is>
          <t>Ригели</t>
        </is>
      </c>
      <c r="D135" s="21" t="inlineStr">
        <is>
          <t>ось Б (отм. +3.950)</t>
        </is>
      </c>
      <c r="E135" s="21" t="inlineStr">
        <is>
          <t>Р-Б</t>
        </is>
      </c>
      <c r="F135" s="72" t="inlineStr">
        <is>
          <t>ОС</t>
        </is>
      </c>
      <c r="G135" s="21" t="inlineStr">
        <is>
          <t>ОС низ: 2Ø16, участок 1800…4700 мм</t>
        </is>
      </c>
      <c r="H135" s="51" t="n">
        <v>16</v>
      </c>
      <c r="I135" s="72" t="inlineStr">
        <is>
          <t>А500С</t>
        </is>
      </c>
      <c r="J135" s="72" t="inlineStr">
        <is>
          <t>—</t>
        </is>
      </c>
      <c r="K135" s="75" t="n">
        <v>1</v>
      </c>
      <c r="L135" s="51" t="n">
        <v>2</v>
      </c>
      <c r="M135" s="69" t="n">
        <v>2.9</v>
      </c>
      <c r="N135" s="70">
        <f>K135*L135*M135</f>
        <v/>
      </c>
      <c r="O135" s="37">
        <f>IFERROR(INDEX(Исходные!$B$19:$B$31,MATCH(H135,Исходные!$A$19:$A$31,0)),0)</f>
        <v/>
      </c>
      <c r="P135" s="76">
        <f>N135*O135</f>
        <v/>
      </c>
      <c r="Q135" s="21" t="inlineStr">
        <is>
          <t>АС-21: выноска «ОС 2Ø16 А500С»; длина по привязкам отдельных стержней</t>
        </is>
      </c>
      <c r="R135" s="77" t="inlineStr">
        <is>
          <t>по геометрии чертежа</t>
        </is>
      </c>
      <c r="S135" s="21" t="inlineStr">
        <is>
          <t>Координаты от оси 1: 1800…4700 мм</t>
        </is>
      </c>
      <c r="T135" s="21" t="inlineStr">
        <is>
          <t>Ригели, балки, плита, С-1</t>
        </is>
      </c>
      <c r="U135" s="49" t="n">
        <v>0</v>
      </c>
      <c r="V135" s="72" t="inlineStr">
        <is>
          <t>Р-Б</t>
        </is>
      </c>
      <c r="W135" s="49" t="n">
        <v>1</v>
      </c>
    </row>
    <row r="136">
      <c r="A136" s="72" t="n">
        <v>128</v>
      </c>
      <c r="B136" s="21" t="inlineStr">
        <is>
          <t>1 этаж (отм. -0.050…+3.950)</t>
        </is>
      </c>
      <c r="C136" s="21" t="inlineStr">
        <is>
          <t>Ригели</t>
        </is>
      </c>
      <c r="D136" s="21" t="inlineStr">
        <is>
          <t>ось Б (отм. +3.950)</t>
        </is>
      </c>
      <c r="E136" s="21" t="inlineStr">
        <is>
          <t>Р-Б</t>
        </is>
      </c>
      <c r="F136" s="72" t="inlineStr">
        <is>
          <t>ОС</t>
        </is>
      </c>
      <c r="G136" s="21" t="inlineStr">
        <is>
          <t>ОС низ: 2Ø22, участок 8400…11600 мм</t>
        </is>
      </c>
      <c r="H136" s="51" t="n">
        <v>22</v>
      </c>
      <c r="I136" s="72" t="inlineStr">
        <is>
          <t>А500С</t>
        </is>
      </c>
      <c r="J136" s="72" t="inlineStr">
        <is>
          <t>—</t>
        </is>
      </c>
      <c r="K136" s="75" t="n">
        <v>1</v>
      </c>
      <c r="L136" s="51" t="n">
        <v>2</v>
      </c>
      <c r="M136" s="69" t="n">
        <v>3.2</v>
      </c>
      <c r="N136" s="70">
        <f>K136*L136*M136</f>
        <v/>
      </c>
      <c r="O136" s="37">
        <f>IFERROR(INDEX(Исходные!$B$19:$B$31,MATCH(H136,Исходные!$A$19:$A$31,0)),0)</f>
        <v/>
      </c>
      <c r="P136" s="76">
        <f>N136*O136</f>
        <v/>
      </c>
      <c r="Q136" s="21" t="inlineStr">
        <is>
          <t>АС-21: выноска «ОС 2Ø22 А500С»; длина по привязкам отдельных стержней</t>
        </is>
      </c>
      <c r="R136" s="77" t="inlineStr">
        <is>
          <t>по геометрии чертежа</t>
        </is>
      </c>
      <c r="S136" s="21" t="inlineStr">
        <is>
          <t>Координаты от оси 1: 8400…11600 мм</t>
        </is>
      </c>
      <c r="T136" s="21" t="inlineStr">
        <is>
          <t>Ригели, балки, плита, С-1</t>
        </is>
      </c>
      <c r="U136" s="49" t="n">
        <v>0</v>
      </c>
      <c r="V136" s="72" t="inlineStr">
        <is>
          <t>Р-Б</t>
        </is>
      </c>
      <c r="W136" s="49" t="n">
        <v>1</v>
      </c>
    </row>
    <row r="137">
      <c r="A137" s="72" t="n">
        <v>129</v>
      </c>
      <c r="B137" s="21" t="inlineStr">
        <is>
          <t>1 этаж (отм. -0.050…+3.950)</t>
        </is>
      </c>
      <c r="C137" s="21" t="inlineStr">
        <is>
          <t>Ригели</t>
        </is>
      </c>
      <c r="D137" s="21" t="inlineStr">
        <is>
          <t>ось Б (отм. +3.950)</t>
        </is>
      </c>
      <c r="E137" s="21" t="inlineStr">
        <is>
          <t>Р-Б</t>
        </is>
      </c>
      <c r="F137" s="72" t="inlineStr">
        <is>
          <t>ОС</t>
        </is>
      </c>
      <c r="G137" s="21" t="inlineStr">
        <is>
          <t>ОС низ: 2Ø16, участок 15300…18200 мм</t>
        </is>
      </c>
      <c r="H137" s="51" t="n">
        <v>16</v>
      </c>
      <c r="I137" s="72" t="inlineStr">
        <is>
          <t>А500С</t>
        </is>
      </c>
      <c r="J137" s="72" t="inlineStr">
        <is>
          <t>—</t>
        </is>
      </c>
      <c r="K137" s="75" t="n">
        <v>1</v>
      </c>
      <c r="L137" s="51" t="n">
        <v>2</v>
      </c>
      <c r="M137" s="69" t="n">
        <v>2.9</v>
      </c>
      <c r="N137" s="70">
        <f>K137*L137*M137</f>
        <v/>
      </c>
      <c r="O137" s="37">
        <f>IFERROR(INDEX(Исходные!$B$19:$B$31,MATCH(H137,Исходные!$A$19:$A$31,0)),0)</f>
        <v/>
      </c>
      <c r="P137" s="76">
        <f>N137*O137</f>
        <v/>
      </c>
      <c r="Q137" s="21" t="inlineStr">
        <is>
          <t>АС-21: выноска «ОС 2Ø16 А500С»; длина по привязкам отдельных стержней</t>
        </is>
      </c>
      <c r="R137" s="77" t="inlineStr">
        <is>
          <t>по геометрии чертежа</t>
        </is>
      </c>
      <c r="S137" s="21" t="inlineStr">
        <is>
          <t>Координаты от оси 1: 15300…18200 мм</t>
        </is>
      </c>
      <c r="T137" s="21" t="inlineStr">
        <is>
          <t>Ригели, балки, плита, С-1</t>
        </is>
      </c>
      <c r="U137" s="49" t="n">
        <v>0</v>
      </c>
      <c r="V137" s="72" t="inlineStr">
        <is>
          <t>Р-Б</t>
        </is>
      </c>
      <c r="W137" s="49" t="n">
        <v>1</v>
      </c>
    </row>
    <row r="138">
      <c r="A138" s="72" t="n">
        <v>130</v>
      </c>
      <c r="B138" s="21" t="inlineStr">
        <is>
          <t>1 этаж (отм. -0.050…+3.950)</t>
        </is>
      </c>
      <c r="C138" s="21" t="inlineStr">
        <is>
          <t>Ригели</t>
        </is>
      </c>
      <c r="D138" s="21" t="inlineStr">
        <is>
          <t>ось Б (отм. +3.950)</t>
        </is>
      </c>
      <c r="E138" s="21" t="inlineStr">
        <is>
          <t>Р-Б</t>
        </is>
      </c>
      <c r="F138" s="72" t="inlineStr">
        <is>
          <t>ОС</t>
        </is>
      </c>
      <c r="G138" s="21" t="inlineStr">
        <is>
          <t>ОС низ 2-й ряд: 2Ø14, участок 4700…8400 мм</t>
        </is>
      </c>
      <c r="H138" s="51" t="n">
        <v>14</v>
      </c>
      <c r="I138" s="72" t="inlineStr">
        <is>
          <t>А500С</t>
        </is>
      </c>
      <c r="J138" s="72" t="inlineStr">
        <is>
          <t>—</t>
        </is>
      </c>
      <c r="K138" s="75" t="n">
        <v>1</v>
      </c>
      <c r="L138" s="51" t="n">
        <v>2</v>
      </c>
      <c r="M138" s="69" t="n">
        <v>3.7</v>
      </c>
      <c r="N138" s="70">
        <f>K138*L138*M138</f>
        <v/>
      </c>
      <c r="O138" s="37">
        <f>IFERROR(INDEX(Исходные!$B$19:$B$31,MATCH(H138,Исходные!$A$19:$A$31,0)),0)</f>
        <v/>
      </c>
      <c r="P138" s="76">
        <f>N138*O138</f>
        <v/>
      </c>
      <c r="Q138" s="21" t="inlineStr">
        <is>
          <t>АС-21: выноска «ОС 2Ø14 А500С»; длина по привязкам отдельных стержней</t>
        </is>
      </c>
      <c r="R138" s="77" t="inlineStr">
        <is>
          <t>по геометрии чертежа</t>
        </is>
      </c>
      <c r="S138" s="21" t="inlineStr">
        <is>
          <t>Координаты от оси 1: 4700…8400 мм</t>
        </is>
      </c>
      <c r="T138" s="21" t="inlineStr">
        <is>
          <t>Ригели, балки, плита, С-1</t>
        </is>
      </c>
      <c r="U138" s="49" t="n">
        <v>0</v>
      </c>
      <c r="V138" s="72" t="inlineStr">
        <is>
          <t>Р-Б</t>
        </is>
      </c>
      <c r="W138" s="49" t="n">
        <v>1</v>
      </c>
    </row>
    <row r="139">
      <c r="A139" s="72" t="n">
        <v>131</v>
      </c>
      <c r="B139" s="21" t="inlineStr">
        <is>
          <t>1 этаж (отм. -0.050…+3.950)</t>
        </is>
      </c>
      <c r="C139" s="21" t="inlineStr">
        <is>
          <t>Ригели</t>
        </is>
      </c>
      <c r="D139" s="21" t="inlineStr">
        <is>
          <t>ось Б (отм. +3.950)</t>
        </is>
      </c>
      <c r="E139" s="21" t="inlineStr">
        <is>
          <t>Р-Б</t>
        </is>
      </c>
      <c r="F139" s="72" t="inlineStr">
        <is>
          <t>ОС</t>
        </is>
      </c>
      <c r="G139" s="21" t="inlineStr">
        <is>
          <t>ОС низ 2-й ряд: 2Ø14, участок 11600…15300 мм</t>
        </is>
      </c>
      <c r="H139" s="51" t="n">
        <v>14</v>
      </c>
      <c r="I139" s="72" t="inlineStr">
        <is>
          <t>А500С</t>
        </is>
      </c>
      <c r="J139" s="72" t="inlineStr">
        <is>
          <t>—</t>
        </is>
      </c>
      <c r="K139" s="75" t="n">
        <v>1</v>
      </c>
      <c r="L139" s="51" t="n">
        <v>2</v>
      </c>
      <c r="M139" s="69" t="n">
        <v>3.7</v>
      </c>
      <c r="N139" s="70">
        <f>K139*L139*M139</f>
        <v/>
      </c>
      <c r="O139" s="37">
        <f>IFERROR(INDEX(Исходные!$B$19:$B$31,MATCH(H139,Исходные!$A$19:$A$31,0)),0)</f>
        <v/>
      </c>
      <c r="P139" s="76">
        <f>N139*O139</f>
        <v/>
      </c>
      <c r="Q139" s="21" t="inlineStr">
        <is>
          <t>АС-21: выноска «ОС 2Ø14 А500С»; длина по привязкам отдельных стержней</t>
        </is>
      </c>
      <c r="R139" s="77" t="inlineStr">
        <is>
          <t>по геометрии чертежа</t>
        </is>
      </c>
      <c r="S139" s="21" t="inlineStr">
        <is>
          <t>Координаты от оси 1: 11600…15300 мм</t>
        </is>
      </c>
      <c r="T139" s="21" t="inlineStr">
        <is>
          <t>Ригели, балки, плита, С-1</t>
        </is>
      </c>
      <c r="U139" s="49" t="n">
        <v>0</v>
      </c>
      <c r="V139" s="72" t="inlineStr">
        <is>
          <t>Р-Б</t>
        </is>
      </c>
      <c r="W139" s="49" t="n">
        <v>1</v>
      </c>
    </row>
    <row r="140">
      <c r="A140" s="72" t="n">
        <v>132</v>
      </c>
      <c r="B140" s="21" t="inlineStr">
        <is>
          <t>1 этаж (отм. -0.050…+3.950)</t>
        </is>
      </c>
      <c r="C140" s="21" t="inlineStr">
        <is>
          <t>Ригели</t>
        </is>
      </c>
      <c r="D140" s="21" t="inlineStr">
        <is>
          <t>ось Б (отм. +3.950)</t>
        </is>
      </c>
      <c r="E140" s="21" t="inlineStr">
        <is>
          <t>Р-Б</t>
        </is>
      </c>
      <c r="F140" s="72" t="inlineStr">
        <is>
          <t>ОС</t>
        </is>
      </c>
      <c r="G140" s="21" t="inlineStr">
        <is>
          <t>Ос (бок) бок: 2Ø12, участок 4700…15300 мм</t>
        </is>
      </c>
      <c r="H140" s="51" t="n">
        <v>12</v>
      </c>
      <c r="I140" s="72" t="inlineStr">
        <is>
          <t>А500С</t>
        </is>
      </c>
      <c r="J140" s="72" t="inlineStr">
        <is>
          <t>—</t>
        </is>
      </c>
      <c r="K140" s="75" t="n">
        <v>1</v>
      </c>
      <c r="L140" s="51" t="n">
        <v>2</v>
      </c>
      <c r="M140" s="69" t="n">
        <v>10.6</v>
      </c>
      <c r="N140" s="70">
        <f>K140*L140*M140</f>
        <v/>
      </c>
      <c r="O140" s="37">
        <f>IFERROR(INDEX(Исходные!$B$19:$B$31,MATCH(H140,Исходные!$A$19:$A$31,0)),0)</f>
        <v/>
      </c>
      <c r="P140" s="76">
        <f>N140*O140</f>
        <v/>
      </c>
      <c r="Q140" s="21" t="inlineStr">
        <is>
          <t>АС-21: выноска «Ос (бок) 2Ø12 А500С» (бок); длина по привязкам отдельных стержней</t>
        </is>
      </c>
      <c r="R140" s="77" t="inlineStr">
        <is>
          <t>по геометрии чертежа</t>
        </is>
      </c>
      <c r="S140" s="21" t="inlineStr">
        <is>
          <t>Координаты от оси 1: 4700…15300 мм</t>
        </is>
      </c>
      <c r="T140" s="21" t="inlineStr">
        <is>
          <t>Ригели, балки, плита, С-1</t>
        </is>
      </c>
      <c r="U140" s="49" t="n">
        <v>0</v>
      </c>
      <c r="V140" s="72" t="inlineStr">
        <is>
          <t>Р-Б</t>
        </is>
      </c>
      <c r="W140" s="49" t="n">
        <v>1</v>
      </c>
    </row>
    <row r="141">
      <c r="A141" s="72" t="n">
        <v>133</v>
      </c>
      <c r="B141" s="21" t="inlineStr">
        <is>
          <t>1 этаж (отм. -0.050…+3.950)</t>
        </is>
      </c>
      <c r="C141" s="21" t="inlineStr">
        <is>
          <t>Ригели</t>
        </is>
      </c>
      <c r="D141" s="21" t="inlineStr">
        <is>
          <t>ось Б (отм. +3.950)</t>
        </is>
      </c>
      <c r="E141" s="21" t="inlineStr">
        <is>
          <t>Р-Б</t>
        </is>
      </c>
      <c r="F141" s="72" t="inlineStr">
        <is>
          <t>ОС</t>
        </is>
      </c>
      <c r="G141" s="21" t="inlineStr">
        <is>
          <t>Ос (бок) бок: 2Ø12, участок 18200…21800 мм</t>
        </is>
      </c>
      <c r="H141" s="51" t="n">
        <v>12</v>
      </c>
      <c r="I141" s="72" t="inlineStr">
        <is>
          <t>А500С</t>
        </is>
      </c>
      <c r="J141" s="72" t="inlineStr">
        <is>
          <t>—</t>
        </is>
      </c>
      <c r="K141" s="75" t="n">
        <v>1</v>
      </c>
      <c r="L141" s="51" t="n">
        <v>2</v>
      </c>
      <c r="M141" s="69" t="n">
        <v>3.6</v>
      </c>
      <c r="N141" s="70">
        <f>K141*L141*M141</f>
        <v/>
      </c>
      <c r="O141" s="37">
        <f>IFERROR(INDEX(Исходные!$B$19:$B$31,MATCH(H141,Исходные!$A$19:$A$31,0)),0)</f>
        <v/>
      </c>
      <c r="P141" s="76">
        <f>N141*O141</f>
        <v/>
      </c>
      <c r="Q141" s="21" t="inlineStr">
        <is>
          <t>АС-21: выноска «Ос (бок) 2Ø12 А500С» (бок); длина по привязкам отдельных стержней</t>
        </is>
      </c>
      <c r="R141" s="77" t="inlineStr">
        <is>
          <t>по геометрии чертежа</t>
        </is>
      </c>
      <c r="S141" s="21" t="inlineStr">
        <is>
          <t>Координаты от оси 1: 18200…21800 мм</t>
        </is>
      </c>
      <c r="T141" s="21" t="inlineStr">
        <is>
          <t>Ригели, балки, плита, С-1</t>
        </is>
      </c>
      <c r="U141" s="49" t="n">
        <v>0</v>
      </c>
      <c r="V141" s="72" t="inlineStr">
        <is>
          <t>Р-Б</t>
        </is>
      </c>
      <c r="W141" s="49" t="n">
        <v>1</v>
      </c>
    </row>
    <row r="142">
      <c r="A142" s="72" t="n">
        <v>134</v>
      </c>
      <c r="B142" s="21" t="inlineStr">
        <is>
          <t>1 этаж (отм. -0.050…+3.950)</t>
        </is>
      </c>
      <c r="C142" s="21" t="inlineStr">
        <is>
          <t>Ригели</t>
        </is>
      </c>
      <c r="D142" s="21" t="inlineStr">
        <is>
          <t>ось Б (отм. +3.950)</t>
        </is>
      </c>
      <c r="E142" s="21" t="inlineStr">
        <is>
          <t>Р-Б</t>
        </is>
      </c>
      <c r="F142" s="72" t="inlineStr">
        <is>
          <t>12</t>
        </is>
      </c>
      <c r="G142" s="21" t="inlineStr">
        <is>
          <t>Хомут Ø8 L=2060 ш.100 у опор (100×12), ш.150 в пролёте, 80×4 у балок плиты — вне заштрихованных участков</t>
        </is>
      </c>
      <c r="H142" s="51" t="n">
        <v>8</v>
      </c>
      <c r="I142" s="72" t="inlineStr">
        <is>
          <t>А240</t>
        </is>
      </c>
      <c r="J142" s="72" t="inlineStr">
        <is>
          <t>100/150</t>
        </is>
      </c>
      <c r="K142" s="75" t="n">
        <v>1</v>
      </c>
      <c r="L142" s="51" t="n">
        <v>99</v>
      </c>
      <c r="M142" s="69" t="n">
        <v>2.06</v>
      </c>
      <c r="N142" s="70">
        <f>K142*L142*M142</f>
        <v/>
      </c>
      <c r="O142" s="37">
        <f>IFERROR(INDEX(Исходные!$B$19:$B$31,MATCH(H142,Исходные!$A$19:$A$31,0)),0)</f>
        <v/>
      </c>
      <c r="P142" s="76">
        <f>N142*O142</f>
        <v/>
      </c>
      <c r="Q142" s="21" t="inlineStr">
        <is>
          <t>АС-28 сеч.4-4/5-5 поз.12; АС-29 «Расстановка хомутов в ригелях»</t>
        </is>
      </c>
      <c r="R142" s="77" t="inlineStr">
        <is>
          <t>по проекту</t>
        </is>
      </c>
      <c r="S142" s="21" t="inlineStr">
        <is>
          <t>Пролёты в свету [(300, 6200), (6800, 13200), (13800, 19700), (20300, 24700)], сумма 22600 мм</t>
        </is>
      </c>
      <c r="T142" s="21" t="inlineStr">
        <is>
          <t>Ригели, балки, плита, С-1</t>
        </is>
      </c>
      <c r="U142" s="49" t="n">
        <v>0</v>
      </c>
      <c r="V142" s="72" t="inlineStr">
        <is>
          <t>Р-Б</t>
        </is>
      </c>
      <c r="W142" s="49" t="n">
        <v>1</v>
      </c>
    </row>
    <row r="143">
      <c r="A143" s="72" t="n">
        <v>135</v>
      </c>
      <c r="B143" s="21" t="inlineStr">
        <is>
          <t>1 этаж (отм. -0.050…+3.950)</t>
        </is>
      </c>
      <c r="C143" s="21" t="inlineStr">
        <is>
          <t>Ригели</t>
        </is>
      </c>
      <c r="D143" s="21" t="inlineStr">
        <is>
          <t>ось Б (отм. +3.950)</t>
        </is>
      </c>
      <c r="E143" s="21" t="inlineStr">
        <is>
          <t>Р-Б</t>
        </is>
      </c>
      <c r="F143" s="72" t="inlineStr">
        <is>
          <t>13</t>
        </is>
      </c>
      <c r="G143" s="21" t="inlineStr">
        <is>
          <t>Хомут наружный Ø10 L=2060 ш.100 — заштрихованные участки рамы</t>
        </is>
      </c>
      <c r="H143" s="51" t="n">
        <v>10</v>
      </c>
      <c r="I143" s="72" t="inlineStr">
        <is>
          <t>А240</t>
        </is>
      </c>
      <c r="J143" s="72" t="n">
        <v>100</v>
      </c>
      <c r="K143" s="75" t="n">
        <v>1</v>
      </c>
      <c r="L143" s="51" t="n">
        <v>95</v>
      </c>
      <c r="M143" s="69" t="n">
        <v>2.06</v>
      </c>
      <c r="N143" s="70">
        <f>K143*L143*M143</f>
        <v/>
      </c>
      <c r="O143" s="37">
        <f>IFERROR(INDEX(Исходные!$B$19:$B$31,MATCH(H143,Исходные!$A$19:$A$31,0)),0)</f>
        <v/>
      </c>
      <c r="P143" s="76">
        <f>N143*O143</f>
        <v/>
      </c>
      <c r="Q143" s="21" t="inlineStr">
        <is>
          <t>АС-21 штриховка «100×15»; АС-28 Фрагмент №1, поз.13</t>
        </is>
      </c>
      <c r="R143" s="77" t="inlineStr">
        <is>
          <t>по проекту</t>
        </is>
      </c>
      <c r="S143" s="21" t="inlineStr">
        <is>
          <t>Участки (мм): одинарные [(0, 1500), (7700, 12300), (13500, 14700), (18200, 20000)], двойные [(6500, 7700), (12300, 13500)]</t>
        </is>
      </c>
      <c r="T143" s="21" t="inlineStr">
        <is>
          <t>Ригели, балки, плита, С-1</t>
        </is>
      </c>
      <c r="U143" s="49" t="n">
        <v>0</v>
      </c>
      <c r="V143" s="72" t="inlineStr">
        <is>
          <t>Р-Б</t>
        </is>
      </c>
      <c r="W143" s="49" t="n">
        <v>1</v>
      </c>
    </row>
    <row r="144">
      <c r="A144" s="72" t="n">
        <v>136</v>
      </c>
      <c r="B144" s="21" t="inlineStr">
        <is>
          <t>1 этаж (отм. -0.050…+3.950)</t>
        </is>
      </c>
      <c r="C144" s="21" t="inlineStr">
        <is>
          <t>Ригели</t>
        </is>
      </c>
      <c r="D144" s="21" t="inlineStr">
        <is>
          <t>ось Б (отм. +3.950)</t>
        </is>
      </c>
      <c r="E144" s="21" t="inlineStr">
        <is>
          <t>Р-Б</t>
        </is>
      </c>
      <c r="F144" s="72" t="inlineStr">
        <is>
          <t>15</t>
        </is>
      </c>
      <c r="G144" s="21" t="inlineStr">
        <is>
          <t>Хомут внутренний Ø10 L=1600 ш.100 — участки двойных хомутов</t>
        </is>
      </c>
      <c r="H144" s="51" t="n">
        <v>10</v>
      </c>
      <c r="I144" s="72" t="inlineStr">
        <is>
          <t>А240</t>
        </is>
      </c>
      <c r="J144" s="72" t="n">
        <v>100</v>
      </c>
      <c r="K144" s="75" t="n">
        <v>1</v>
      </c>
      <c r="L144" s="51" t="n">
        <v>19</v>
      </c>
      <c r="M144" s="69" t="n">
        <v>1.6</v>
      </c>
      <c r="N144" s="70">
        <f>K144*L144*M144</f>
        <v/>
      </c>
      <c r="O144" s="37">
        <f>IFERROR(INDEX(Исходные!$B$19:$B$31,MATCH(H144,Исходные!$A$19:$A$31,0)),0)</f>
        <v/>
      </c>
      <c r="P144" s="76">
        <f>N144*O144</f>
        <v/>
      </c>
      <c r="Q144" s="21" t="inlineStr">
        <is>
          <t>АС-21 двойная штриховка; АС-28 Фрагмент №1, поз.15</t>
        </is>
      </c>
      <c r="R144" s="77" t="inlineStr">
        <is>
          <t>по проекту</t>
        </is>
      </c>
      <c r="S144" s="21" t="inlineStr"/>
      <c r="T144" s="21" t="inlineStr">
        <is>
          <t>Ригели, балки, плита, С-1</t>
        </is>
      </c>
      <c r="U144" s="49" t="n">
        <v>0</v>
      </c>
      <c r="V144" s="72" t="inlineStr">
        <is>
          <t>Р-Б</t>
        </is>
      </c>
      <c r="W144" s="49" t="n">
        <v>1</v>
      </c>
    </row>
    <row r="145">
      <c r="A145" s="72" t="n">
        <v>137</v>
      </c>
      <c r="B145" s="21" t="inlineStr">
        <is>
          <t>1 этаж (отм. -0.050…+3.950)</t>
        </is>
      </c>
      <c r="C145" s="21" t="inlineStr">
        <is>
          <t>Ригели</t>
        </is>
      </c>
      <c r="D145" s="21" t="inlineStr">
        <is>
          <t>ось Б (отм. +3.950)</t>
        </is>
      </c>
      <c r="E145" s="21" t="inlineStr">
        <is>
          <t>Р-Б</t>
        </is>
      </c>
      <c r="F145" s="72" t="inlineStr">
        <is>
          <t>17</t>
        </is>
      </c>
      <c r="G145" s="21" t="inlineStr">
        <is>
          <t>Шпилька вертикальная Ø8 L=750: ш.200 у опор, ш.150 в пролёте (нет в зонах двойных хомутов)</t>
        </is>
      </c>
      <c r="H145" s="51" t="n">
        <v>8</v>
      </c>
      <c r="I145" s="72" t="inlineStr">
        <is>
          <t>А240</t>
        </is>
      </c>
      <c r="J145" s="72" t="inlineStr">
        <is>
          <t>200/150</t>
        </is>
      </c>
      <c r="K145" s="75" t="n">
        <v>1</v>
      </c>
      <c r="L145" s="51" t="n">
        <v>113</v>
      </c>
      <c r="M145" s="69" t="n">
        <v>0.75</v>
      </c>
      <c r="N145" s="70">
        <f>K145*L145*M145</f>
        <v/>
      </c>
      <c r="O145" s="37">
        <f>IFERROR(INDEX(Исходные!$B$19:$B$31,MATCH(H145,Исходные!$A$19:$A$31,0)),0)</f>
        <v/>
      </c>
      <c r="P145" s="76">
        <f>N145*O145</f>
        <v/>
      </c>
      <c r="Q145" s="21" t="inlineStr">
        <is>
          <t>АС-28 сеч.4-4/5-5 поз.17</t>
        </is>
      </c>
      <c r="R145" s="77" t="inlineStr">
        <is>
          <t>по проекту</t>
        </is>
      </c>
      <c r="S145" s="21" t="inlineStr"/>
      <c r="T145" s="21" t="inlineStr">
        <is>
          <t>Ригели, балки, плита, С-1</t>
        </is>
      </c>
      <c r="U145" s="49" t="n">
        <v>0</v>
      </c>
      <c r="V145" s="72" t="inlineStr">
        <is>
          <t>Р-Б</t>
        </is>
      </c>
      <c r="W145" s="49" t="n">
        <v>1</v>
      </c>
    </row>
    <row r="146">
      <c r="A146" s="72" t="n">
        <v>138</v>
      </c>
      <c r="B146" s="21" t="inlineStr">
        <is>
          <t>1 этаж (отм. -0.050…+3.950)</t>
        </is>
      </c>
      <c r="C146" s="21" t="inlineStr">
        <is>
          <t>Ригели</t>
        </is>
      </c>
      <c r="D146" s="21" t="inlineStr">
        <is>
          <t>ось Б (отм. +3.950)</t>
        </is>
      </c>
      <c r="E146" s="21" t="inlineStr">
        <is>
          <t>Р-Б</t>
        </is>
      </c>
      <c r="F146" s="72" t="inlineStr">
        <is>
          <t>16</t>
        </is>
      </c>
      <c r="G146" s="21" t="inlineStr">
        <is>
          <t>Шпилька горизонтальная Ø8 L=580 ш.300 (связь боковых 2Ø16)</t>
        </is>
      </c>
      <c r="H146" s="51" t="n">
        <v>8</v>
      </c>
      <c r="I146" s="72" t="inlineStr">
        <is>
          <t>А240</t>
        </is>
      </c>
      <c r="J146" s="72" t="n">
        <v>300</v>
      </c>
      <c r="K146" s="75" t="n">
        <v>1</v>
      </c>
      <c r="L146" s="51" t="n">
        <v>77</v>
      </c>
      <c r="M146" s="69" t="n">
        <v>0.58</v>
      </c>
      <c r="N146" s="70">
        <f>K146*L146*M146</f>
        <v/>
      </c>
      <c r="O146" s="37">
        <f>IFERROR(INDEX(Исходные!$B$19:$B$31,MATCH(H146,Исходные!$A$19:$A$31,0)),0)</f>
        <v/>
      </c>
      <c r="P146" s="76">
        <f>N146*O146</f>
        <v/>
      </c>
      <c r="Q146" s="21" t="inlineStr">
        <is>
          <t>АС-28 сеч.4-4/5-5 «шп.Ø8 А240 ш.300», поз.16 L=580</t>
        </is>
      </c>
      <c r="R146" s="78" t="inlineStr">
        <is>
          <t>принято (уточнить)</t>
        </is>
      </c>
      <c r="S146" s="21" t="inlineStr">
        <is>
          <t>Номер позиции на сечении не указан — принята поз.16 (L=580) по ведомости деталей.</t>
        </is>
      </c>
      <c r="T146" s="21" t="inlineStr">
        <is>
          <t>Ригели, балки, плита, С-1</t>
        </is>
      </c>
      <c r="U146" s="49" t="n">
        <v>1</v>
      </c>
      <c r="V146" s="72" t="inlineStr">
        <is>
          <t>Р-Б</t>
        </is>
      </c>
      <c r="W146" s="49" t="n">
        <v>1</v>
      </c>
    </row>
    <row r="147">
      <c r="A147" s="72" t="n">
        <v>139</v>
      </c>
      <c r="B147" s="21" t="inlineStr">
        <is>
          <t>1 этаж (отм. -0.050…+3.950)</t>
        </is>
      </c>
      <c r="C147" s="21" t="inlineStr">
        <is>
          <t>Ригели</t>
        </is>
      </c>
      <c r="D147" s="21" t="inlineStr">
        <is>
          <t>ось В (отм. +3.950)</t>
        </is>
      </c>
      <c r="E147" s="21" t="inlineStr">
        <is>
          <t>Р-В</t>
        </is>
      </c>
      <c r="F147" s="72" t="inlineStr">
        <is>
          <t>2</t>
        </is>
      </c>
      <c r="G147" s="21" t="inlineStr">
        <is>
          <t>Продольные угловые 4Ø28 (сеч.4-4/5-5), сквозные, концы с Аш</t>
        </is>
      </c>
      <c r="H147" s="51" t="n">
        <v>28</v>
      </c>
      <c r="I147" s="72" t="inlineStr">
        <is>
          <t>А500С</t>
        </is>
      </c>
      <c r="J147" s="72" t="inlineStr">
        <is>
          <t>—</t>
        </is>
      </c>
      <c r="K147" s="75" t="n">
        <v>1</v>
      </c>
      <c r="L147" s="51" t="n">
        <v>4</v>
      </c>
      <c r="M147" s="69" t="n">
        <v>25.5</v>
      </c>
      <c r="N147" s="70">
        <f>K147*L147*M147</f>
        <v/>
      </c>
      <c r="O147" s="37">
        <f>IFERROR(INDEX(Исходные!$B$19:$B$31,MATCH(H147,Исходные!$A$19:$A$31,0)),0)</f>
        <v/>
      </c>
      <c r="P147" s="76">
        <f>N147*O147</f>
        <v/>
      </c>
      <c r="Q147" s="21" t="inlineStr">
        <is>
          <t>АС-22 рама + АС-28 сеч.4-4/5-5 поз.2; длина = 25000+2×250 (до 50 мм от наружной грани крайней колонны)</t>
        </is>
      </c>
      <c r="R147" s="77" t="inlineStr">
        <is>
          <t>по геометрии чертежа</t>
        </is>
      </c>
      <c r="S147" s="21" t="inlineStr">
        <is>
          <t>Стыки ванной сваркой без нахлёста: 2 на стержень (всего 8).</t>
        </is>
      </c>
      <c r="T147" s="21" t="inlineStr">
        <is>
          <t>Ригели, балки, плита, С-1</t>
        </is>
      </c>
      <c r="U147" s="49" t="n">
        <v>0</v>
      </c>
      <c r="V147" s="72" t="inlineStr">
        <is>
          <t>Р-В</t>
        </is>
      </c>
      <c r="W147" s="49" t="n">
        <v>1</v>
      </c>
    </row>
    <row r="148">
      <c r="A148" s="72" t="n">
        <v>140</v>
      </c>
      <c r="B148" s="21" t="inlineStr">
        <is>
          <t>1 этаж (отм. -0.050…+3.950)</t>
        </is>
      </c>
      <c r="C148" s="21" t="inlineStr">
        <is>
          <t>Ригели</t>
        </is>
      </c>
      <c r="D148" s="21" t="inlineStr">
        <is>
          <t>ось В (отм. +3.950)</t>
        </is>
      </c>
      <c r="E148" s="21" t="inlineStr">
        <is>
          <t>Р-В</t>
        </is>
      </c>
      <c r="F148" s="72" t="inlineStr">
        <is>
          <t>6</t>
        </is>
      </c>
      <c r="G148" s="21" t="inlineStr">
        <is>
          <t>Продольные средние верх/низ 2Ø18 (сеч.4-4/5-5)</t>
        </is>
      </c>
      <c r="H148" s="51" t="n">
        <v>18</v>
      </c>
      <c r="I148" s="72" t="inlineStr">
        <is>
          <t>А500С</t>
        </is>
      </c>
      <c r="J148" s="72" t="inlineStr">
        <is>
          <t>—</t>
        </is>
      </c>
      <c r="K148" s="75" t="n">
        <v>1</v>
      </c>
      <c r="L148" s="51" t="n">
        <v>2</v>
      </c>
      <c r="M148" s="69" t="n">
        <v>25.5</v>
      </c>
      <c r="N148" s="70">
        <f>K148*L148*M148</f>
        <v/>
      </c>
      <c r="O148" s="37">
        <f>IFERROR(INDEX(Исходные!$B$19:$B$31,MATCH(H148,Исходные!$A$19:$A$31,0)),0)</f>
        <v/>
      </c>
      <c r="P148" s="76">
        <f>N148*O148</f>
        <v/>
      </c>
      <c r="Q148" s="21" t="inlineStr">
        <is>
          <t>АС-28 сеч.4-4/5-5 поз.6</t>
        </is>
      </c>
      <c r="R148" s="77" t="inlineStr">
        <is>
          <t>по геометрии чертежа</t>
        </is>
      </c>
      <c r="S148" s="21" t="inlineStr"/>
      <c r="T148" s="21" t="inlineStr">
        <is>
          <t>Ригели, балки, плита, С-1</t>
        </is>
      </c>
      <c r="U148" s="49" t="n">
        <v>0</v>
      </c>
      <c r="V148" s="72" t="inlineStr">
        <is>
          <t>Р-В</t>
        </is>
      </c>
      <c r="W148" s="49" t="n">
        <v>1</v>
      </c>
    </row>
    <row r="149">
      <c r="A149" s="72" t="n">
        <v>141</v>
      </c>
      <c r="B149" s="21" t="inlineStr">
        <is>
          <t>1 этаж (отм. -0.050…+3.950)</t>
        </is>
      </c>
      <c r="C149" s="21" t="inlineStr">
        <is>
          <t>Ригели</t>
        </is>
      </c>
      <c r="D149" s="21" t="inlineStr">
        <is>
          <t>ось В (отм. +3.950)</t>
        </is>
      </c>
      <c r="E149" s="21" t="inlineStr">
        <is>
          <t>Р-В</t>
        </is>
      </c>
      <c r="F149" s="72" t="inlineStr">
        <is>
          <t>6-нахл</t>
        </is>
      </c>
      <c r="G149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49" s="51" t="n">
        <v>18</v>
      </c>
      <c r="I149" s="72" t="inlineStr">
        <is>
          <t>А500С</t>
        </is>
      </c>
      <c r="J149" s="72" t="inlineStr">
        <is>
          <t>—</t>
        </is>
      </c>
      <c r="K149" s="75" t="n">
        <v>2</v>
      </c>
      <c r="L149" s="51" t="n">
        <v>2</v>
      </c>
      <c r="M149" s="69" t="n">
        <v>0.144</v>
      </c>
      <c r="N149" s="70">
        <f>K149*L149*M149</f>
        <v/>
      </c>
      <c r="O149" s="37">
        <f>IFERROR(INDEX(Исходные!$B$19:$B$31,MATCH(H149,Исходные!$A$19:$A$31,0)),0)</f>
        <v/>
      </c>
      <c r="P149" s="76">
        <f>N149*O149</f>
        <v/>
      </c>
      <c r="Q149" s="21" t="inlineStr">
        <is>
          <t>АС-19 прим.1: Ø18 и менее — внахлёстку электродуговой сваркой, Lшва=8d = 144 мм</t>
        </is>
      </c>
      <c r="R149" s="77" t="inlineStr">
        <is>
          <t>по проекту (стыковка прутков 11,7 м)</t>
        </is>
      </c>
      <c r="S149" s="21" t="inlineStr">
        <is>
          <t>Чистая длина 25.500 м; кусков 3; стыков 2; Lнахл=2×0.144=0.288 м на стержень</t>
        </is>
      </c>
      <c r="T149" s="21" t="inlineStr">
        <is>
          <t>Ригели, балки, плита, С-1</t>
        </is>
      </c>
      <c r="U149" s="49" t="n">
        <v>0</v>
      </c>
      <c r="V149" s="72" t="inlineStr">
        <is>
          <t>Р-В</t>
        </is>
      </c>
      <c r="W149" s="49" t="n">
        <v>1</v>
      </c>
    </row>
    <row r="150">
      <c r="A150" s="72" t="n">
        <v>142</v>
      </c>
      <c r="B150" s="21" t="inlineStr">
        <is>
          <t>1 этаж (отм. -0.050…+3.950)</t>
        </is>
      </c>
      <c r="C150" s="21" t="inlineStr">
        <is>
          <t>Ригели</t>
        </is>
      </c>
      <c r="D150" s="21" t="inlineStr">
        <is>
          <t>ось В (отм. +3.950)</t>
        </is>
      </c>
      <c r="E150" s="21" t="inlineStr">
        <is>
          <t>Р-В</t>
        </is>
      </c>
      <c r="F150" s="72" t="inlineStr">
        <is>
          <t>7</t>
        </is>
      </c>
      <c r="G150" s="21" t="inlineStr">
        <is>
          <t>Боковые стержни 2Ø16 (сеч.4-4/5-5)</t>
        </is>
      </c>
      <c r="H150" s="51" t="n">
        <v>16</v>
      </c>
      <c r="I150" s="72" t="inlineStr">
        <is>
          <t>А500С</t>
        </is>
      </c>
      <c r="J150" s="72" t="inlineStr">
        <is>
          <t>—</t>
        </is>
      </c>
      <c r="K150" s="75" t="n">
        <v>1</v>
      </c>
      <c r="L150" s="51" t="n">
        <v>2</v>
      </c>
      <c r="M150" s="69" t="n">
        <v>25.5</v>
      </c>
      <c r="N150" s="70">
        <f>K150*L150*M150</f>
        <v/>
      </c>
      <c r="O150" s="37">
        <f>IFERROR(INDEX(Исходные!$B$19:$B$31,MATCH(H150,Исходные!$A$19:$A$31,0)),0)</f>
        <v/>
      </c>
      <c r="P150" s="76">
        <f>N150*O150</f>
        <v/>
      </c>
      <c r="Q150" s="21" t="inlineStr">
        <is>
          <t>АС-28 сеч.4-4/5-5 «Боковые стержни 2Ø16»</t>
        </is>
      </c>
      <c r="R150" s="77" t="inlineStr">
        <is>
          <t>по геометрии чертежа</t>
        </is>
      </c>
      <c r="S150" s="21" t="inlineStr"/>
      <c r="T150" s="21" t="inlineStr">
        <is>
          <t>Ригели, балки, плита, С-1</t>
        </is>
      </c>
      <c r="U150" s="49" t="n">
        <v>0</v>
      </c>
      <c r="V150" s="72" t="inlineStr">
        <is>
          <t>Р-В</t>
        </is>
      </c>
      <c r="W150" s="49" t="n">
        <v>1</v>
      </c>
    </row>
    <row r="151">
      <c r="A151" s="72" t="n">
        <v>143</v>
      </c>
      <c r="B151" s="21" t="inlineStr">
        <is>
          <t>1 этаж (отм. -0.050…+3.950)</t>
        </is>
      </c>
      <c r="C151" s="21" t="inlineStr">
        <is>
          <t>Ригели</t>
        </is>
      </c>
      <c r="D151" s="21" t="inlineStr">
        <is>
          <t>ось В (отм. +3.950)</t>
        </is>
      </c>
      <c r="E151" s="21" t="inlineStr">
        <is>
          <t>Р-В</t>
        </is>
      </c>
      <c r="F151" s="72" t="inlineStr">
        <is>
          <t>7-нахл</t>
        </is>
      </c>
      <c r="G151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51" s="51" t="n">
        <v>16</v>
      </c>
      <c r="I151" s="72" t="inlineStr">
        <is>
          <t>А500С</t>
        </is>
      </c>
      <c r="J151" s="72" t="inlineStr">
        <is>
          <t>—</t>
        </is>
      </c>
      <c r="K151" s="75" t="n">
        <v>2</v>
      </c>
      <c r="L151" s="51" t="n">
        <v>2</v>
      </c>
      <c r="M151" s="69" t="n">
        <v>0.128</v>
      </c>
      <c r="N151" s="70">
        <f>K151*L151*M151</f>
        <v/>
      </c>
      <c r="O151" s="37">
        <f>IFERROR(INDEX(Исходные!$B$19:$B$31,MATCH(H151,Исходные!$A$19:$A$31,0)),0)</f>
        <v/>
      </c>
      <c r="P151" s="76">
        <f>N151*O151</f>
        <v/>
      </c>
      <c r="Q151" s="21" t="inlineStr">
        <is>
          <t>АС-19 прим.1: Ø18 и менее — внахлёстку электродуговой сваркой, Lшва=8d = 128 мм</t>
        </is>
      </c>
      <c r="R151" s="77" t="inlineStr">
        <is>
          <t>по проекту (стыковка прутков 11,7 м)</t>
        </is>
      </c>
      <c r="S151" s="21" t="inlineStr">
        <is>
          <t>Чистая длина 25.500 м; кусков 3; стыков 2; Lнахл=2×0.128=0.256 м на стержень</t>
        </is>
      </c>
      <c r="T151" s="21" t="inlineStr">
        <is>
          <t>Ригели, балки, плита, С-1</t>
        </is>
      </c>
      <c r="U151" s="49" t="n">
        <v>0</v>
      </c>
      <c r="V151" s="72" t="inlineStr">
        <is>
          <t>Р-В</t>
        </is>
      </c>
      <c r="W151" s="49" t="n">
        <v>1</v>
      </c>
    </row>
    <row r="152">
      <c r="A152" s="72" t="n">
        <v>144</v>
      </c>
      <c r="B152" s="21" t="inlineStr">
        <is>
          <t>1 этаж (отм. -0.050…+3.950)</t>
        </is>
      </c>
      <c r="C152" s="21" t="inlineStr">
        <is>
          <t>Ригели</t>
        </is>
      </c>
      <c r="D152" s="21" t="inlineStr">
        <is>
          <t>ось В (отм. +3.950)</t>
        </is>
      </c>
      <c r="E152" s="21" t="inlineStr">
        <is>
          <t>Р-В</t>
        </is>
      </c>
      <c r="F152" s="72" t="inlineStr">
        <is>
          <t>ОС</t>
        </is>
      </c>
      <c r="G152" s="21" t="inlineStr">
        <is>
          <t>ОС верх: 2Ø28, участок 0…1800 мм + 250 до торца</t>
        </is>
      </c>
      <c r="H152" s="51" t="n">
        <v>28</v>
      </c>
      <c r="I152" s="72" t="inlineStr">
        <is>
          <t>А500С</t>
        </is>
      </c>
      <c r="J152" s="72" t="inlineStr">
        <is>
          <t>—</t>
        </is>
      </c>
      <c r="K152" s="75" t="n">
        <v>1</v>
      </c>
      <c r="L152" s="51" t="n">
        <v>2</v>
      </c>
      <c r="M152" s="69" t="n">
        <v>2.05</v>
      </c>
      <c r="N152" s="70">
        <f>K152*L152*M152</f>
        <v/>
      </c>
      <c r="O152" s="37">
        <f>IFERROR(INDEX(Исходные!$B$19:$B$31,MATCH(H152,Исходные!$A$19:$A$31,0)),0)</f>
        <v/>
      </c>
      <c r="P152" s="76">
        <f>N152*O152</f>
        <v/>
      </c>
      <c r="Q152" s="21" t="inlineStr">
        <is>
          <t>АС-22: выноска «ОС 2Ø28 А500С»; длина по привязкам отдельных стержней</t>
        </is>
      </c>
      <c r="R152" s="77" t="inlineStr">
        <is>
          <t>по геометрии чертежа</t>
        </is>
      </c>
      <c r="S152" s="21" t="inlineStr">
        <is>
          <t>Координаты от оси 1: 0…1800 мм; конец заведён до торца крайней колонны (+250)</t>
        </is>
      </c>
      <c r="T152" s="21" t="inlineStr">
        <is>
          <t>Ригели, балки, плита, С-1</t>
        </is>
      </c>
      <c r="U152" s="49" t="n">
        <v>0</v>
      </c>
      <c r="V152" s="72" t="inlineStr">
        <is>
          <t>Р-В</t>
        </is>
      </c>
      <c r="W152" s="49" t="n">
        <v>1</v>
      </c>
    </row>
    <row r="153">
      <c r="A153" s="72" t="n">
        <v>145</v>
      </c>
      <c r="B153" s="21" t="inlineStr">
        <is>
          <t>1 этаж (отм. -0.050…+3.950)</t>
        </is>
      </c>
      <c r="C153" s="21" t="inlineStr">
        <is>
          <t>Ригели</t>
        </is>
      </c>
      <c r="D153" s="21" t="inlineStr">
        <is>
          <t>ось В (отм. +3.950)</t>
        </is>
      </c>
      <c r="E153" s="21" t="inlineStr">
        <is>
          <t>Р-В</t>
        </is>
      </c>
      <c r="F153" s="72" t="inlineStr">
        <is>
          <t>ОС</t>
        </is>
      </c>
      <c r="G153" s="21" t="inlineStr">
        <is>
          <t>ОС верх: 2Ø32, участок 4700…8400 мм</t>
        </is>
      </c>
      <c r="H153" s="51" t="n">
        <v>32</v>
      </c>
      <c r="I153" s="72" t="inlineStr">
        <is>
          <t>А500С</t>
        </is>
      </c>
      <c r="J153" s="72" t="inlineStr">
        <is>
          <t>—</t>
        </is>
      </c>
      <c r="K153" s="75" t="n">
        <v>1</v>
      </c>
      <c r="L153" s="51" t="n">
        <v>2</v>
      </c>
      <c r="M153" s="69" t="n">
        <v>3.7</v>
      </c>
      <c r="N153" s="70">
        <f>K153*L153*M153</f>
        <v/>
      </c>
      <c r="O153" s="37">
        <f>IFERROR(INDEX(Исходные!$B$19:$B$31,MATCH(H153,Исходные!$A$19:$A$31,0)),0)</f>
        <v/>
      </c>
      <c r="P153" s="76">
        <f>N153*O153</f>
        <v/>
      </c>
      <c r="Q153" s="21" t="inlineStr">
        <is>
          <t>АС-22: выноска «ОС 2Ø32 А500С»; длина по привязкам отдельных стержней</t>
        </is>
      </c>
      <c r="R153" s="77" t="inlineStr">
        <is>
          <t>по геометрии чертежа</t>
        </is>
      </c>
      <c r="S153" s="21" t="inlineStr">
        <is>
          <t>Координаты от оси 1: 4700…8400 мм</t>
        </is>
      </c>
      <c r="T153" s="21" t="inlineStr">
        <is>
          <t>Ригели, балки, плита, С-1</t>
        </is>
      </c>
      <c r="U153" s="49" t="n">
        <v>0</v>
      </c>
      <c r="V153" s="72" t="inlineStr">
        <is>
          <t>Р-В</t>
        </is>
      </c>
      <c r="W153" s="49" t="n">
        <v>1</v>
      </c>
    </row>
    <row r="154">
      <c r="A154" s="72" t="n">
        <v>146</v>
      </c>
      <c r="B154" s="21" t="inlineStr">
        <is>
          <t>1 этаж (отм. -0.050…+3.950)</t>
        </is>
      </c>
      <c r="C154" s="21" t="inlineStr">
        <is>
          <t>Ригели</t>
        </is>
      </c>
      <c r="D154" s="21" t="inlineStr">
        <is>
          <t>ось В (отм. +3.950)</t>
        </is>
      </c>
      <c r="E154" s="21" t="inlineStr">
        <is>
          <t>Р-В</t>
        </is>
      </c>
      <c r="F154" s="72" t="inlineStr">
        <is>
          <t>ОС</t>
        </is>
      </c>
      <c r="G154" s="21" t="inlineStr">
        <is>
          <t>ОС верх: 2Ø32, участок 11600…15300 мм</t>
        </is>
      </c>
      <c r="H154" s="51" t="n">
        <v>32</v>
      </c>
      <c r="I154" s="72" t="inlineStr">
        <is>
          <t>А500С</t>
        </is>
      </c>
      <c r="J154" s="72" t="inlineStr">
        <is>
          <t>—</t>
        </is>
      </c>
      <c r="K154" s="75" t="n">
        <v>1</v>
      </c>
      <c r="L154" s="51" t="n">
        <v>2</v>
      </c>
      <c r="M154" s="69" t="n">
        <v>3.7</v>
      </c>
      <c r="N154" s="70">
        <f>K154*L154*M154</f>
        <v/>
      </c>
      <c r="O154" s="37">
        <f>IFERROR(INDEX(Исходные!$B$19:$B$31,MATCH(H154,Исходные!$A$19:$A$31,0)),0)</f>
        <v/>
      </c>
      <c r="P154" s="76">
        <f>N154*O154</f>
        <v/>
      </c>
      <c r="Q154" s="21" t="inlineStr">
        <is>
          <t>АС-22: выноска «ОС 2Ø32 А500С»; длина по привязкам отдельных стержней</t>
        </is>
      </c>
      <c r="R154" s="77" t="inlineStr">
        <is>
          <t>по геометрии чертежа</t>
        </is>
      </c>
      <c r="S154" s="21" t="inlineStr">
        <is>
          <t>Координаты от оси 1: 11600…15300 мм</t>
        </is>
      </c>
      <c r="T154" s="21" t="inlineStr">
        <is>
          <t>Ригели, балки, плита, С-1</t>
        </is>
      </c>
      <c r="U154" s="49" t="n">
        <v>0</v>
      </c>
      <c r="V154" s="72" t="inlineStr">
        <is>
          <t>Р-В</t>
        </is>
      </c>
      <c r="W154" s="49" t="n">
        <v>1</v>
      </c>
    </row>
    <row r="155">
      <c r="A155" s="72" t="n">
        <v>147</v>
      </c>
      <c r="B155" s="21" t="inlineStr">
        <is>
          <t>1 этаж (отм. -0.050…+3.950)</t>
        </is>
      </c>
      <c r="C155" s="21" t="inlineStr">
        <is>
          <t>Ригели</t>
        </is>
      </c>
      <c r="D155" s="21" t="inlineStr">
        <is>
          <t>ось В (отм. +3.950)</t>
        </is>
      </c>
      <c r="E155" s="21" t="inlineStr">
        <is>
          <t>Р-В</t>
        </is>
      </c>
      <c r="F155" s="72" t="inlineStr">
        <is>
          <t>ОС</t>
        </is>
      </c>
      <c r="G155" s="21" t="inlineStr">
        <is>
          <t>ОС верх: 2Ø28, участок 18200…21800 мм</t>
        </is>
      </c>
      <c r="H155" s="51" t="n">
        <v>28</v>
      </c>
      <c r="I155" s="72" t="inlineStr">
        <is>
          <t>А500С</t>
        </is>
      </c>
      <c r="J155" s="72" t="inlineStr">
        <is>
          <t>—</t>
        </is>
      </c>
      <c r="K155" s="75" t="n">
        <v>1</v>
      </c>
      <c r="L155" s="51" t="n">
        <v>2</v>
      </c>
      <c r="M155" s="69" t="n">
        <v>3.6</v>
      </c>
      <c r="N155" s="70">
        <f>K155*L155*M155</f>
        <v/>
      </c>
      <c r="O155" s="37">
        <f>IFERROR(INDEX(Исходные!$B$19:$B$31,MATCH(H155,Исходные!$A$19:$A$31,0)),0)</f>
        <v/>
      </c>
      <c r="P155" s="76">
        <f>N155*O155</f>
        <v/>
      </c>
      <c r="Q155" s="21" t="inlineStr">
        <is>
          <t>АС-22: выноска «ОС 2Ø28 А500С»; длина по привязкам отдельных стержней</t>
        </is>
      </c>
      <c r="R155" s="77" t="inlineStr">
        <is>
          <t>по геометрии чертежа</t>
        </is>
      </c>
      <c r="S155" s="21" t="inlineStr">
        <is>
          <t>Координаты от оси 1: 18200…21800 мм</t>
        </is>
      </c>
      <c r="T155" s="21" t="inlineStr">
        <is>
          <t>Ригели, балки, плита, С-1</t>
        </is>
      </c>
      <c r="U155" s="49" t="n">
        <v>0</v>
      </c>
      <c r="V155" s="72" t="inlineStr">
        <is>
          <t>Р-В</t>
        </is>
      </c>
      <c r="W155" s="49" t="n">
        <v>1</v>
      </c>
    </row>
    <row r="156">
      <c r="A156" s="72" t="n">
        <v>148</v>
      </c>
      <c r="B156" s="21" t="inlineStr">
        <is>
          <t>1 этаж (отм. -0.050…+3.950)</t>
        </is>
      </c>
      <c r="C156" s="21" t="inlineStr">
        <is>
          <t>Ригели</t>
        </is>
      </c>
      <c r="D156" s="21" t="inlineStr">
        <is>
          <t>ось В (отм. +3.950)</t>
        </is>
      </c>
      <c r="E156" s="21" t="inlineStr">
        <is>
          <t>Р-В</t>
        </is>
      </c>
      <c r="F156" s="72" t="inlineStr">
        <is>
          <t>ОС</t>
        </is>
      </c>
      <c r="G156" s="21" t="inlineStr">
        <is>
          <t>ОС верх: 2Ø25, участок 23200…25000 мм + 250 до торца</t>
        </is>
      </c>
      <c r="H156" s="51" t="n">
        <v>25</v>
      </c>
      <c r="I156" s="72" t="inlineStr">
        <is>
          <t>А500С</t>
        </is>
      </c>
      <c r="J156" s="72" t="inlineStr">
        <is>
          <t>—</t>
        </is>
      </c>
      <c r="K156" s="75" t="n">
        <v>1</v>
      </c>
      <c r="L156" s="51" t="n">
        <v>2</v>
      </c>
      <c r="M156" s="69" t="n">
        <v>2.05</v>
      </c>
      <c r="N156" s="70">
        <f>K156*L156*M156</f>
        <v/>
      </c>
      <c r="O156" s="37">
        <f>IFERROR(INDEX(Исходные!$B$19:$B$31,MATCH(H156,Исходные!$A$19:$A$31,0)),0)</f>
        <v/>
      </c>
      <c r="P156" s="76">
        <f>N156*O156</f>
        <v/>
      </c>
      <c r="Q156" s="21" t="inlineStr">
        <is>
          <t>АС-22: выноска «ОС 2Ø25 А500С»; длина по привязкам отдельных стержней</t>
        </is>
      </c>
      <c r="R156" s="77" t="inlineStr">
        <is>
          <t>по геометрии чертежа</t>
        </is>
      </c>
      <c r="S156" s="21" t="inlineStr">
        <is>
          <t>Координаты от оси 1: 23200…25000 мм; конец заведён до торца крайней колонны (+250)</t>
        </is>
      </c>
      <c r="T156" s="21" t="inlineStr">
        <is>
          <t>Ригели, балки, плита, С-1</t>
        </is>
      </c>
      <c r="U156" s="49" t="n">
        <v>0</v>
      </c>
      <c r="V156" s="72" t="inlineStr">
        <is>
          <t>Р-В</t>
        </is>
      </c>
      <c r="W156" s="49" t="n">
        <v>1</v>
      </c>
    </row>
    <row r="157">
      <c r="A157" s="72" t="n">
        <v>149</v>
      </c>
      <c r="B157" s="21" t="inlineStr">
        <is>
          <t>1 этаж (отм. -0.050…+3.950)</t>
        </is>
      </c>
      <c r="C157" s="21" t="inlineStr">
        <is>
          <t>Ригели</t>
        </is>
      </c>
      <c r="D157" s="21" t="inlineStr">
        <is>
          <t>ось В (отм. +3.950)</t>
        </is>
      </c>
      <c r="E157" s="21" t="inlineStr">
        <is>
          <t>Р-В</t>
        </is>
      </c>
      <c r="F157" s="72" t="inlineStr">
        <is>
          <t>ОС</t>
        </is>
      </c>
      <c r="G157" s="21" t="inlineStr">
        <is>
          <t>ОС верх 2-й ряд: 2Ø14, участок 7900…12100 мм</t>
        </is>
      </c>
      <c r="H157" s="51" t="n">
        <v>14</v>
      </c>
      <c r="I157" s="72" t="inlineStr">
        <is>
          <t>А500С</t>
        </is>
      </c>
      <c r="J157" s="72" t="inlineStr">
        <is>
          <t>—</t>
        </is>
      </c>
      <c r="K157" s="75" t="n">
        <v>1</v>
      </c>
      <c r="L157" s="51" t="n">
        <v>2</v>
      </c>
      <c r="M157" s="69" t="n">
        <v>4.2</v>
      </c>
      <c r="N157" s="70">
        <f>K157*L157*M157</f>
        <v/>
      </c>
      <c r="O157" s="37">
        <f>IFERROR(INDEX(Исходные!$B$19:$B$31,MATCH(H157,Исходные!$A$19:$A$31,0)),0)</f>
        <v/>
      </c>
      <c r="P157" s="76">
        <f>N157*O157</f>
        <v/>
      </c>
      <c r="Q157" s="21" t="inlineStr">
        <is>
          <t>АС-22: выноска «ОС 2Ø14 А500С»; длина по привязкам отдельных стержней</t>
        </is>
      </c>
      <c r="R157" s="77" t="inlineStr">
        <is>
          <t>по геометрии чертежа</t>
        </is>
      </c>
      <c r="S157" s="21" t="inlineStr">
        <is>
          <t>Координаты от оси 1: 7900…12100 мм</t>
        </is>
      </c>
      <c r="T157" s="21" t="inlineStr">
        <is>
          <t>Ригели, балки, плита, С-1</t>
        </is>
      </c>
      <c r="U157" s="49" t="n">
        <v>0</v>
      </c>
      <c r="V157" s="72" t="inlineStr">
        <is>
          <t>Р-В</t>
        </is>
      </c>
      <c r="W157" s="49" t="n">
        <v>1</v>
      </c>
    </row>
    <row r="158">
      <c r="A158" s="72" t="n">
        <v>150</v>
      </c>
      <c r="B158" s="21" t="inlineStr">
        <is>
          <t>1 этаж (отм. -0.050…+3.950)</t>
        </is>
      </c>
      <c r="C158" s="21" t="inlineStr">
        <is>
          <t>Ригели</t>
        </is>
      </c>
      <c r="D158" s="21" t="inlineStr">
        <is>
          <t>ось В (отм. +3.950)</t>
        </is>
      </c>
      <c r="E158" s="21" t="inlineStr">
        <is>
          <t>Р-В</t>
        </is>
      </c>
      <c r="F158" s="72" t="inlineStr">
        <is>
          <t>ОС</t>
        </is>
      </c>
      <c r="G158" s="21" t="inlineStr">
        <is>
          <t>ОС верх 2-й ряд: 2Ø14, участок 14800…18700 мм</t>
        </is>
      </c>
      <c r="H158" s="51" t="n">
        <v>14</v>
      </c>
      <c r="I158" s="72" t="inlineStr">
        <is>
          <t>А500С</t>
        </is>
      </c>
      <c r="J158" s="72" t="inlineStr">
        <is>
          <t>—</t>
        </is>
      </c>
      <c r="K158" s="75" t="n">
        <v>1</v>
      </c>
      <c r="L158" s="51" t="n">
        <v>2</v>
      </c>
      <c r="M158" s="69" t="n">
        <v>3.9</v>
      </c>
      <c r="N158" s="70">
        <f>K158*L158*M158</f>
        <v/>
      </c>
      <c r="O158" s="37">
        <f>IFERROR(INDEX(Исходные!$B$19:$B$31,MATCH(H158,Исходные!$A$19:$A$31,0)),0)</f>
        <v/>
      </c>
      <c r="P158" s="76">
        <f>N158*O158</f>
        <v/>
      </c>
      <c r="Q158" s="21" t="inlineStr">
        <is>
          <t>АС-22: выноска «ОС 2Ø14 А500С»; длина по привязкам отдельных стержней</t>
        </is>
      </c>
      <c r="R158" s="77" t="inlineStr">
        <is>
          <t>по геометрии чертежа</t>
        </is>
      </c>
      <c r="S158" s="21" t="inlineStr">
        <is>
          <t>Координаты от оси 1: 14800…18700 мм</t>
        </is>
      </c>
      <c r="T158" s="21" t="inlineStr">
        <is>
          <t>Ригели, балки, плита, С-1</t>
        </is>
      </c>
      <c r="U158" s="49" t="n">
        <v>0</v>
      </c>
      <c r="V158" s="72" t="inlineStr">
        <is>
          <t>Р-В</t>
        </is>
      </c>
      <c r="W158" s="49" t="n">
        <v>1</v>
      </c>
    </row>
    <row r="159">
      <c r="A159" s="72" t="n">
        <v>151</v>
      </c>
      <c r="B159" s="21" t="inlineStr">
        <is>
          <t>1 этаж (отм. -0.050…+3.950)</t>
        </is>
      </c>
      <c r="C159" s="21" t="inlineStr">
        <is>
          <t>Ригели</t>
        </is>
      </c>
      <c r="D159" s="21" t="inlineStr">
        <is>
          <t>ось В (отм. +3.950)</t>
        </is>
      </c>
      <c r="E159" s="21" t="inlineStr">
        <is>
          <t>Р-В</t>
        </is>
      </c>
      <c r="F159" s="72" t="inlineStr">
        <is>
          <t>ОС</t>
        </is>
      </c>
      <c r="G159" s="21" t="inlineStr">
        <is>
          <t>ОС низ: 2Ø16, участок 1800…4700 мм</t>
        </is>
      </c>
      <c r="H159" s="51" t="n">
        <v>16</v>
      </c>
      <c r="I159" s="72" t="inlineStr">
        <is>
          <t>А500С</t>
        </is>
      </c>
      <c r="J159" s="72" t="inlineStr">
        <is>
          <t>—</t>
        </is>
      </c>
      <c r="K159" s="75" t="n">
        <v>1</v>
      </c>
      <c r="L159" s="51" t="n">
        <v>2</v>
      </c>
      <c r="M159" s="69" t="n">
        <v>2.9</v>
      </c>
      <c r="N159" s="70">
        <f>K159*L159*M159</f>
        <v/>
      </c>
      <c r="O159" s="37">
        <f>IFERROR(INDEX(Исходные!$B$19:$B$31,MATCH(H159,Исходные!$A$19:$A$31,0)),0)</f>
        <v/>
      </c>
      <c r="P159" s="76">
        <f>N159*O159</f>
        <v/>
      </c>
      <c r="Q159" s="21" t="inlineStr">
        <is>
          <t>АС-22: выноска «ОС 2Ø16 А500С»; длина по привязкам отдельных стержней</t>
        </is>
      </c>
      <c r="R159" s="77" t="inlineStr">
        <is>
          <t>по геометрии чертежа</t>
        </is>
      </c>
      <c r="S159" s="21" t="inlineStr">
        <is>
          <t>Координаты от оси 1: 1800…4700 мм</t>
        </is>
      </c>
      <c r="T159" s="21" t="inlineStr">
        <is>
          <t>Ригели, балки, плита, С-1</t>
        </is>
      </c>
      <c r="U159" s="49" t="n">
        <v>0</v>
      </c>
      <c r="V159" s="72" t="inlineStr">
        <is>
          <t>Р-В</t>
        </is>
      </c>
      <c r="W159" s="49" t="n">
        <v>1</v>
      </c>
    </row>
    <row r="160">
      <c r="A160" s="72" t="n">
        <v>152</v>
      </c>
      <c r="B160" s="21" t="inlineStr">
        <is>
          <t>1 этаж (отм. -0.050…+3.950)</t>
        </is>
      </c>
      <c r="C160" s="21" t="inlineStr">
        <is>
          <t>Ригели</t>
        </is>
      </c>
      <c r="D160" s="21" t="inlineStr">
        <is>
          <t>ось В (отм. +3.950)</t>
        </is>
      </c>
      <c r="E160" s="21" t="inlineStr">
        <is>
          <t>Р-В</t>
        </is>
      </c>
      <c r="F160" s="72" t="inlineStr">
        <is>
          <t>ОС</t>
        </is>
      </c>
      <c r="G160" s="21" t="inlineStr">
        <is>
          <t>ОС низ: 2Ø22, участок 8400…11600 мм</t>
        </is>
      </c>
      <c r="H160" s="51" t="n">
        <v>22</v>
      </c>
      <c r="I160" s="72" t="inlineStr">
        <is>
          <t>А500С</t>
        </is>
      </c>
      <c r="J160" s="72" t="inlineStr">
        <is>
          <t>—</t>
        </is>
      </c>
      <c r="K160" s="75" t="n">
        <v>1</v>
      </c>
      <c r="L160" s="51" t="n">
        <v>2</v>
      </c>
      <c r="M160" s="69" t="n">
        <v>3.2</v>
      </c>
      <c r="N160" s="70">
        <f>K160*L160*M160</f>
        <v/>
      </c>
      <c r="O160" s="37">
        <f>IFERROR(INDEX(Исходные!$B$19:$B$31,MATCH(H160,Исходные!$A$19:$A$31,0)),0)</f>
        <v/>
      </c>
      <c r="P160" s="76">
        <f>N160*O160</f>
        <v/>
      </c>
      <c r="Q160" s="21" t="inlineStr">
        <is>
          <t>АС-22: выноска «ОС 2Ø22 А500С»; длина по привязкам отдельных стержней</t>
        </is>
      </c>
      <c r="R160" s="77" t="inlineStr">
        <is>
          <t>по геометрии чертежа</t>
        </is>
      </c>
      <c r="S160" s="21" t="inlineStr">
        <is>
          <t>Координаты от оси 1: 8400…11600 мм</t>
        </is>
      </c>
      <c r="T160" s="21" t="inlineStr">
        <is>
          <t>Ригели, балки, плита, С-1</t>
        </is>
      </c>
      <c r="U160" s="49" t="n">
        <v>0</v>
      </c>
      <c r="V160" s="72" t="inlineStr">
        <is>
          <t>Р-В</t>
        </is>
      </c>
      <c r="W160" s="49" t="n">
        <v>1</v>
      </c>
    </row>
    <row r="161">
      <c r="A161" s="72" t="n">
        <v>153</v>
      </c>
      <c r="B161" s="21" t="inlineStr">
        <is>
          <t>1 этаж (отм. -0.050…+3.950)</t>
        </is>
      </c>
      <c r="C161" s="21" t="inlineStr">
        <is>
          <t>Ригели</t>
        </is>
      </c>
      <c r="D161" s="21" t="inlineStr">
        <is>
          <t>ось В (отм. +3.950)</t>
        </is>
      </c>
      <c r="E161" s="21" t="inlineStr">
        <is>
          <t>Р-В</t>
        </is>
      </c>
      <c r="F161" s="72" t="inlineStr">
        <is>
          <t>ОС</t>
        </is>
      </c>
      <c r="G161" s="21" t="inlineStr">
        <is>
          <t>ОС низ: 2Ø16, участок 15300…18200 мм</t>
        </is>
      </c>
      <c r="H161" s="51" t="n">
        <v>16</v>
      </c>
      <c r="I161" s="72" t="inlineStr">
        <is>
          <t>А500С</t>
        </is>
      </c>
      <c r="J161" s="72" t="inlineStr">
        <is>
          <t>—</t>
        </is>
      </c>
      <c r="K161" s="75" t="n">
        <v>1</v>
      </c>
      <c r="L161" s="51" t="n">
        <v>2</v>
      </c>
      <c r="M161" s="69" t="n">
        <v>2.9</v>
      </c>
      <c r="N161" s="70">
        <f>K161*L161*M161</f>
        <v/>
      </c>
      <c r="O161" s="37">
        <f>IFERROR(INDEX(Исходные!$B$19:$B$31,MATCH(H161,Исходные!$A$19:$A$31,0)),0)</f>
        <v/>
      </c>
      <c r="P161" s="76">
        <f>N161*O161</f>
        <v/>
      </c>
      <c r="Q161" s="21" t="inlineStr">
        <is>
          <t>АС-22: выноска «ОС 2Ø16 А500С»; длина по привязкам отдельных стержней</t>
        </is>
      </c>
      <c r="R161" s="77" t="inlineStr">
        <is>
          <t>по геометрии чертежа</t>
        </is>
      </c>
      <c r="S161" s="21" t="inlineStr">
        <is>
          <t>Координаты от оси 1: 15300…18200 мм</t>
        </is>
      </c>
      <c r="T161" s="21" t="inlineStr">
        <is>
          <t>Ригели, балки, плита, С-1</t>
        </is>
      </c>
      <c r="U161" s="49" t="n">
        <v>0</v>
      </c>
      <c r="V161" s="72" t="inlineStr">
        <is>
          <t>Р-В</t>
        </is>
      </c>
      <c r="W161" s="49" t="n">
        <v>1</v>
      </c>
    </row>
    <row r="162">
      <c r="A162" s="72" t="n">
        <v>154</v>
      </c>
      <c r="B162" s="21" t="inlineStr">
        <is>
          <t>1 этаж (отм. -0.050…+3.950)</t>
        </is>
      </c>
      <c r="C162" s="21" t="inlineStr">
        <is>
          <t>Ригели</t>
        </is>
      </c>
      <c r="D162" s="21" t="inlineStr">
        <is>
          <t>ось В (отм. +3.950)</t>
        </is>
      </c>
      <c r="E162" s="21" t="inlineStr">
        <is>
          <t>Р-В</t>
        </is>
      </c>
      <c r="F162" s="72" t="inlineStr">
        <is>
          <t>ОС</t>
        </is>
      </c>
      <c r="G162" s="21" t="inlineStr">
        <is>
          <t>ОС низ 2-й ряд: 2Ø14, участок 4700…8400 мм</t>
        </is>
      </c>
      <c r="H162" s="51" t="n">
        <v>14</v>
      </c>
      <c r="I162" s="72" t="inlineStr">
        <is>
          <t>А500С</t>
        </is>
      </c>
      <c r="J162" s="72" t="inlineStr">
        <is>
          <t>—</t>
        </is>
      </c>
      <c r="K162" s="75" t="n">
        <v>1</v>
      </c>
      <c r="L162" s="51" t="n">
        <v>2</v>
      </c>
      <c r="M162" s="69" t="n">
        <v>3.7</v>
      </c>
      <c r="N162" s="70">
        <f>K162*L162*M162</f>
        <v/>
      </c>
      <c r="O162" s="37">
        <f>IFERROR(INDEX(Исходные!$B$19:$B$31,MATCH(H162,Исходные!$A$19:$A$31,0)),0)</f>
        <v/>
      </c>
      <c r="P162" s="76">
        <f>N162*O162</f>
        <v/>
      </c>
      <c r="Q162" s="21" t="inlineStr">
        <is>
          <t>АС-22: выноска «ОС 2Ø14 А500С»; длина по привязкам отдельных стержней</t>
        </is>
      </c>
      <c r="R162" s="77" t="inlineStr">
        <is>
          <t>по геометрии чертежа</t>
        </is>
      </c>
      <c r="S162" s="21" t="inlineStr">
        <is>
          <t>Координаты от оси 1: 4700…8400 мм</t>
        </is>
      </c>
      <c r="T162" s="21" t="inlineStr">
        <is>
          <t>Ригели, балки, плита, С-1</t>
        </is>
      </c>
      <c r="U162" s="49" t="n">
        <v>0</v>
      </c>
      <c r="V162" s="72" t="inlineStr">
        <is>
          <t>Р-В</t>
        </is>
      </c>
      <c r="W162" s="49" t="n">
        <v>1</v>
      </c>
    </row>
    <row r="163">
      <c r="A163" s="72" t="n">
        <v>155</v>
      </c>
      <c r="B163" s="21" t="inlineStr">
        <is>
          <t>1 этаж (отм. -0.050…+3.950)</t>
        </is>
      </c>
      <c r="C163" s="21" t="inlineStr">
        <is>
          <t>Ригели</t>
        </is>
      </c>
      <c r="D163" s="21" t="inlineStr">
        <is>
          <t>ось В (отм. +3.950)</t>
        </is>
      </c>
      <c r="E163" s="21" t="inlineStr">
        <is>
          <t>Р-В</t>
        </is>
      </c>
      <c r="F163" s="72" t="inlineStr">
        <is>
          <t>ОС</t>
        </is>
      </c>
      <c r="G163" s="21" t="inlineStr">
        <is>
          <t>ОС низ 2-й ряд: 2Ø14, участок 11600…15800 мм</t>
        </is>
      </c>
      <c r="H163" s="51" t="n">
        <v>14</v>
      </c>
      <c r="I163" s="72" t="inlineStr">
        <is>
          <t>А500С</t>
        </is>
      </c>
      <c r="J163" s="72" t="inlineStr">
        <is>
          <t>—</t>
        </is>
      </c>
      <c r="K163" s="75" t="n">
        <v>1</v>
      </c>
      <c r="L163" s="51" t="n">
        <v>2</v>
      </c>
      <c r="M163" s="69" t="n">
        <v>4.2</v>
      </c>
      <c r="N163" s="70">
        <f>K163*L163*M163</f>
        <v/>
      </c>
      <c r="O163" s="37">
        <f>IFERROR(INDEX(Исходные!$B$19:$B$31,MATCH(H163,Исходные!$A$19:$A$31,0)),0)</f>
        <v/>
      </c>
      <c r="P163" s="76">
        <f>N163*O163</f>
        <v/>
      </c>
      <c r="Q163" s="21" t="inlineStr">
        <is>
          <t>АС-22: выноска «ОС 2Ø14 А500С»; длина по привязкам отдельных стержней</t>
        </is>
      </c>
      <c r="R163" s="77" t="inlineStr">
        <is>
          <t>по геометрии чертежа</t>
        </is>
      </c>
      <c r="S163" s="21" t="inlineStr">
        <is>
          <t>Координаты от оси 1: 11600…15800 мм</t>
        </is>
      </c>
      <c r="T163" s="21" t="inlineStr">
        <is>
          <t>Ригели, балки, плита, С-1</t>
        </is>
      </c>
      <c r="U163" s="49" t="n">
        <v>0</v>
      </c>
      <c r="V163" s="72" t="inlineStr">
        <is>
          <t>Р-В</t>
        </is>
      </c>
      <c r="W163" s="49" t="n">
        <v>1</v>
      </c>
    </row>
    <row r="164">
      <c r="A164" s="72" t="n">
        <v>156</v>
      </c>
      <c r="B164" s="21" t="inlineStr">
        <is>
          <t>1 этаж (отм. -0.050…+3.950)</t>
        </is>
      </c>
      <c r="C164" s="21" t="inlineStr">
        <is>
          <t>Ригели</t>
        </is>
      </c>
      <c r="D164" s="21" t="inlineStr">
        <is>
          <t>ось В (отм. +3.950)</t>
        </is>
      </c>
      <c r="E164" s="21" t="inlineStr">
        <is>
          <t>Р-В</t>
        </is>
      </c>
      <c r="F164" s="72" t="inlineStr">
        <is>
          <t>ОС</t>
        </is>
      </c>
      <c r="G164" s="21" t="inlineStr">
        <is>
          <t>Ос (бок) бок: 4Ø12, участок 4700…21800 мм</t>
        </is>
      </c>
      <c r="H164" s="51" t="n">
        <v>12</v>
      </c>
      <c r="I164" s="72" t="inlineStr">
        <is>
          <t>А500С</t>
        </is>
      </c>
      <c r="J164" s="72" t="inlineStr">
        <is>
          <t>—</t>
        </is>
      </c>
      <c r="K164" s="75" t="n">
        <v>1</v>
      </c>
      <c r="L164" s="51" t="n">
        <v>4</v>
      </c>
      <c r="M164" s="69" t="n">
        <v>17.1</v>
      </c>
      <c r="N164" s="70">
        <f>K164*L164*M164</f>
        <v/>
      </c>
      <c r="O164" s="37">
        <f>IFERROR(INDEX(Исходные!$B$19:$B$31,MATCH(H164,Исходные!$A$19:$A$31,0)),0)</f>
        <v/>
      </c>
      <c r="P164" s="76">
        <f>N164*O164</f>
        <v/>
      </c>
      <c r="Q164" s="21" t="inlineStr">
        <is>
          <t>АС-22: выноска «Ос (бок) 4Ø12 А500С» (бок); длина по привязкам отдельных стержней</t>
        </is>
      </c>
      <c r="R164" s="77" t="inlineStr">
        <is>
          <t>по геометрии чертежа</t>
        </is>
      </c>
      <c r="S164" s="21" t="inlineStr">
        <is>
          <t>Координаты от оси 1: 4700…21800 мм</t>
        </is>
      </c>
      <c r="T164" s="21" t="inlineStr">
        <is>
          <t>Ригели, балки, плита, С-1</t>
        </is>
      </c>
      <c r="U164" s="49" t="n">
        <v>0</v>
      </c>
      <c r="V164" s="72" t="inlineStr">
        <is>
          <t>Р-В</t>
        </is>
      </c>
      <c r="W164" s="49" t="n">
        <v>1</v>
      </c>
    </row>
    <row r="165">
      <c r="A165" s="72" t="n">
        <v>157</v>
      </c>
      <c r="B165" s="21" t="inlineStr">
        <is>
          <t>1 этаж (отм. -0.050…+3.950)</t>
        </is>
      </c>
      <c r="C165" s="21" t="inlineStr">
        <is>
          <t>Ригели</t>
        </is>
      </c>
      <c r="D165" s="21" t="inlineStr">
        <is>
          <t>ось В (отм. +3.950)</t>
        </is>
      </c>
      <c r="E165" s="21" t="inlineStr">
        <is>
          <t>Р-В</t>
        </is>
      </c>
      <c r="F165" s="72" t="inlineStr">
        <is>
          <t>ОС-нахл</t>
        </is>
      </c>
      <c r="G165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165" s="51" t="n">
        <v>12</v>
      </c>
      <c r="I165" s="72" t="inlineStr">
        <is>
          <t>А500С</t>
        </is>
      </c>
      <c r="J165" s="72" t="inlineStr">
        <is>
          <t>—</t>
        </is>
      </c>
      <c r="K165" s="75" t="n">
        <v>4</v>
      </c>
      <c r="L165" s="51" t="n">
        <v>1</v>
      </c>
      <c r="M165" s="69" t="n">
        <v>0.096</v>
      </c>
      <c r="N165" s="70">
        <f>K165*L165*M165</f>
        <v/>
      </c>
      <c r="O165" s="37">
        <f>IFERROR(INDEX(Исходные!$B$19:$B$31,MATCH(H165,Исходные!$A$19:$A$31,0)),0)</f>
        <v/>
      </c>
      <c r="P165" s="76">
        <f>N165*O165</f>
        <v/>
      </c>
      <c r="Q165" s="21" t="inlineStr">
        <is>
          <t>АС-19 прим.1: Ø18 и менее — внахлёстку электродуговой сваркой, Lшва=8d = 96 мм</t>
        </is>
      </c>
      <c r="R165" s="77" t="inlineStr">
        <is>
          <t>по проекту (стыковка прутков 11,7 м)</t>
        </is>
      </c>
      <c r="S165" s="21" t="inlineStr">
        <is>
          <t>Чистая длина 17.100 м; кусков 2; стыков 1; Lнахл=1×0.096=0.096 м на стержень</t>
        </is>
      </c>
      <c r="T165" s="21" t="inlineStr">
        <is>
          <t>Ригели, балки, плита, С-1</t>
        </is>
      </c>
      <c r="U165" s="49" t="n">
        <v>0</v>
      </c>
      <c r="V165" s="72" t="inlineStr">
        <is>
          <t>Р-В</t>
        </is>
      </c>
      <c r="W165" s="49" t="n">
        <v>1</v>
      </c>
    </row>
    <row r="166">
      <c r="A166" s="72" t="n">
        <v>158</v>
      </c>
      <c r="B166" s="21" t="inlineStr">
        <is>
          <t>1 этаж (отм. -0.050…+3.950)</t>
        </is>
      </c>
      <c r="C166" s="21" t="inlineStr">
        <is>
          <t>Ригели</t>
        </is>
      </c>
      <c r="D166" s="21" t="inlineStr">
        <is>
          <t>ось В (отм. +3.950)</t>
        </is>
      </c>
      <c r="E166" s="21" t="inlineStr">
        <is>
          <t>Р-В</t>
        </is>
      </c>
      <c r="F166" s="72" t="inlineStr">
        <is>
          <t>12</t>
        </is>
      </c>
      <c r="G166" s="21" t="inlineStr">
        <is>
          <t>Хомут Ø8 L=2060 ш.100 у опор (100×12), ш.150 в пролёте, 80×4 у балок плиты — вне заштрихованных участков</t>
        </is>
      </c>
      <c r="H166" s="51" t="n">
        <v>8</v>
      </c>
      <c r="I166" s="72" t="inlineStr">
        <is>
          <t>А240</t>
        </is>
      </c>
      <c r="J166" s="72" t="inlineStr">
        <is>
          <t>100/150</t>
        </is>
      </c>
      <c r="K166" s="75" t="n">
        <v>1</v>
      </c>
      <c r="L166" s="51" t="n">
        <v>78</v>
      </c>
      <c r="M166" s="69" t="n">
        <v>2.06</v>
      </c>
      <c r="N166" s="70">
        <f>K166*L166*M166</f>
        <v/>
      </c>
      <c r="O166" s="37">
        <f>IFERROR(INDEX(Исходные!$B$19:$B$31,MATCH(H166,Исходные!$A$19:$A$31,0)),0)</f>
        <v/>
      </c>
      <c r="P166" s="76">
        <f>N166*O166</f>
        <v/>
      </c>
      <c r="Q166" s="21" t="inlineStr">
        <is>
          <t>АС-28 сеч.4-4/5-5 поз.12; АС-29 «Расстановка хомутов в ригелях»</t>
        </is>
      </c>
      <c r="R166" s="77" t="inlineStr">
        <is>
          <t>по проекту</t>
        </is>
      </c>
      <c r="S166" s="21" t="inlineStr">
        <is>
          <t>Пролёты в свету [(300, 6200), (6800, 13200), (13800, 19700), (20300, 24700)], сумма 22600 мм</t>
        </is>
      </c>
      <c r="T166" s="21" t="inlineStr">
        <is>
          <t>Ригели, балки, плита, С-1</t>
        </is>
      </c>
      <c r="U166" s="49" t="n">
        <v>0</v>
      </c>
      <c r="V166" s="72" t="inlineStr">
        <is>
          <t>Р-В</t>
        </is>
      </c>
      <c r="W166" s="49" t="n">
        <v>1</v>
      </c>
    </row>
    <row r="167">
      <c r="A167" s="72" t="n">
        <v>159</v>
      </c>
      <c r="B167" s="21" t="inlineStr">
        <is>
          <t>1 этаж (отм. -0.050…+3.950)</t>
        </is>
      </c>
      <c r="C167" s="21" t="inlineStr">
        <is>
          <t>Ригели</t>
        </is>
      </c>
      <c r="D167" s="21" t="inlineStr">
        <is>
          <t>ось В (отм. +3.950)</t>
        </is>
      </c>
      <c r="E167" s="21" t="inlineStr">
        <is>
          <t>Р-В</t>
        </is>
      </c>
      <c r="F167" s="72" t="inlineStr">
        <is>
          <t>13</t>
        </is>
      </c>
      <c r="G167" s="21" t="inlineStr">
        <is>
          <t>Хомут наружный Ø10 L=2060 ш.100 — заштрихованные участки рамы</t>
        </is>
      </c>
      <c r="H167" s="51" t="n">
        <v>10</v>
      </c>
      <c r="I167" s="72" t="inlineStr">
        <is>
          <t>А240</t>
        </is>
      </c>
      <c r="J167" s="72" t="n">
        <v>100</v>
      </c>
      <c r="K167" s="75" t="n">
        <v>1</v>
      </c>
      <c r="L167" s="51" t="n">
        <v>124</v>
      </c>
      <c r="M167" s="69" t="n">
        <v>2.06</v>
      </c>
      <c r="N167" s="70">
        <f>K167*L167*M167</f>
        <v/>
      </c>
      <c r="O167" s="37">
        <f>IFERROR(INDEX(Исходные!$B$19:$B$31,MATCH(H167,Исходные!$A$19:$A$31,0)),0)</f>
        <v/>
      </c>
      <c r="P167" s="76">
        <f>N167*O167</f>
        <v/>
      </c>
      <c r="Q167" s="21" t="inlineStr">
        <is>
          <t>АС-22 штриховка «100×15»; АС-28 Фрагмент №1, поз.13</t>
        </is>
      </c>
      <c r="R167" s="77" t="inlineStr">
        <is>
          <t>по проекту</t>
        </is>
      </c>
      <c r="S167" s="21" t="inlineStr">
        <is>
          <t>Участки (мм): одинарные [(0, 1200)], двойные [(6500, 20000)]</t>
        </is>
      </c>
      <c r="T167" s="21" t="inlineStr">
        <is>
          <t>Ригели, балки, плита, С-1</t>
        </is>
      </c>
      <c r="U167" s="49" t="n">
        <v>0</v>
      </c>
      <c r="V167" s="72" t="inlineStr">
        <is>
          <t>Р-В</t>
        </is>
      </c>
      <c r="W167" s="49" t="n">
        <v>1</v>
      </c>
    </row>
    <row r="168">
      <c r="A168" s="72" t="n">
        <v>160</v>
      </c>
      <c r="B168" s="21" t="inlineStr">
        <is>
          <t>1 этаж (отм. -0.050…+3.950)</t>
        </is>
      </c>
      <c r="C168" s="21" t="inlineStr">
        <is>
          <t>Ригели</t>
        </is>
      </c>
      <c r="D168" s="21" t="inlineStr">
        <is>
          <t>ось В (отм. +3.950)</t>
        </is>
      </c>
      <c r="E168" s="21" t="inlineStr">
        <is>
          <t>Р-В</t>
        </is>
      </c>
      <c r="F168" s="72" t="inlineStr">
        <is>
          <t>15</t>
        </is>
      </c>
      <c r="G168" s="21" t="inlineStr">
        <is>
          <t>Хомут внутренний Ø10 L=1600 ш.100 — участки двойных хомутов</t>
        </is>
      </c>
      <c r="H168" s="51" t="n">
        <v>10</v>
      </c>
      <c r="I168" s="72" t="inlineStr">
        <is>
          <t>А240</t>
        </is>
      </c>
      <c r="J168" s="72" t="n">
        <v>100</v>
      </c>
      <c r="K168" s="75" t="n">
        <v>1</v>
      </c>
      <c r="L168" s="51" t="n">
        <v>115</v>
      </c>
      <c r="M168" s="69" t="n">
        <v>1.6</v>
      </c>
      <c r="N168" s="70">
        <f>K168*L168*M168</f>
        <v/>
      </c>
      <c r="O168" s="37">
        <f>IFERROR(INDEX(Исходные!$B$19:$B$31,MATCH(H168,Исходные!$A$19:$A$31,0)),0)</f>
        <v/>
      </c>
      <c r="P168" s="76">
        <f>N168*O168</f>
        <v/>
      </c>
      <c r="Q168" s="21" t="inlineStr">
        <is>
          <t>АС-22 двойная штриховка; АС-28 Фрагмент №1, поз.15</t>
        </is>
      </c>
      <c r="R168" s="77" t="inlineStr">
        <is>
          <t>по проекту</t>
        </is>
      </c>
      <c r="S168" s="21" t="inlineStr"/>
      <c r="T168" s="21" t="inlineStr">
        <is>
          <t>Ригели, балки, плита, С-1</t>
        </is>
      </c>
      <c r="U168" s="49" t="n">
        <v>0</v>
      </c>
      <c r="V168" s="72" t="inlineStr">
        <is>
          <t>Р-В</t>
        </is>
      </c>
      <c r="W168" s="49" t="n">
        <v>1</v>
      </c>
    </row>
    <row r="169">
      <c r="A169" s="72" t="n">
        <v>161</v>
      </c>
      <c r="B169" s="21" t="inlineStr">
        <is>
          <t>1 этаж (отм. -0.050…+3.950)</t>
        </is>
      </c>
      <c r="C169" s="21" t="inlineStr">
        <is>
          <t>Ригели</t>
        </is>
      </c>
      <c r="D169" s="21" t="inlineStr">
        <is>
          <t>ось В (отм. +3.950)</t>
        </is>
      </c>
      <c r="E169" s="21" t="inlineStr">
        <is>
          <t>Р-В</t>
        </is>
      </c>
      <c r="F169" s="72" t="inlineStr">
        <is>
          <t>17</t>
        </is>
      </c>
      <c r="G169" s="21" t="inlineStr">
        <is>
          <t>Шпилька вертикальная Ø8 L=750: ш.200 у опор, ш.150 в пролёте (нет в зонах двойных хомутов)</t>
        </is>
      </c>
      <c r="H169" s="51" t="n">
        <v>8</v>
      </c>
      <c r="I169" s="72" t="inlineStr">
        <is>
          <t>А240</t>
        </is>
      </c>
      <c r="J169" s="72" t="inlineStr">
        <is>
          <t>200/150</t>
        </is>
      </c>
      <c r="K169" s="75" t="n">
        <v>1</v>
      </c>
      <c r="L169" s="51" t="n">
        <v>54</v>
      </c>
      <c r="M169" s="69" t="n">
        <v>0.75</v>
      </c>
      <c r="N169" s="70">
        <f>K169*L169*M169</f>
        <v/>
      </c>
      <c r="O169" s="37">
        <f>IFERROR(INDEX(Исходные!$B$19:$B$31,MATCH(H169,Исходные!$A$19:$A$31,0)),0)</f>
        <v/>
      </c>
      <c r="P169" s="76">
        <f>N169*O169</f>
        <v/>
      </c>
      <c r="Q169" s="21" t="inlineStr">
        <is>
          <t>АС-28 сеч.4-4/5-5 поз.17</t>
        </is>
      </c>
      <c r="R169" s="77" t="inlineStr">
        <is>
          <t>по проекту</t>
        </is>
      </c>
      <c r="S169" s="21" t="inlineStr"/>
      <c r="T169" s="21" t="inlineStr">
        <is>
          <t>Ригели, балки, плита, С-1</t>
        </is>
      </c>
      <c r="U169" s="49" t="n">
        <v>0</v>
      </c>
      <c r="V169" s="72" t="inlineStr">
        <is>
          <t>Р-В</t>
        </is>
      </c>
      <c r="W169" s="49" t="n">
        <v>1</v>
      </c>
    </row>
    <row r="170">
      <c r="A170" s="72" t="n">
        <v>162</v>
      </c>
      <c r="B170" s="21" t="inlineStr">
        <is>
          <t>1 этаж (отм. -0.050…+3.950)</t>
        </is>
      </c>
      <c r="C170" s="21" t="inlineStr">
        <is>
          <t>Ригели</t>
        </is>
      </c>
      <c r="D170" s="21" t="inlineStr">
        <is>
          <t>ось В (отм. +3.950)</t>
        </is>
      </c>
      <c r="E170" s="21" t="inlineStr">
        <is>
          <t>Р-В</t>
        </is>
      </c>
      <c r="F170" s="72" t="inlineStr">
        <is>
          <t>16</t>
        </is>
      </c>
      <c r="G170" s="21" t="inlineStr">
        <is>
          <t>Шпилька горизонтальная Ø8 L=580 ш.300 (связь боковых 2Ø16)</t>
        </is>
      </c>
      <c r="H170" s="51" t="n">
        <v>8</v>
      </c>
      <c r="I170" s="72" t="inlineStr">
        <is>
          <t>А240</t>
        </is>
      </c>
      <c r="J170" s="72" t="n">
        <v>300</v>
      </c>
      <c r="K170" s="75" t="n">
        <v>1</v>
      </c>
      <c r="L170" s="51" t="n">
        <v>77</v>
      </c>
      <c r="M170" s="69" t="n">
        <v>0.58</v>
      </c>
      <c r="N170" s="70">
        <f>K170*L170*M170</f>
        <v/>
      </c>
      <c r="O170" s="37">
        <f>IFERROR(INDEX(Исходные!$B$19:$B$31,MATCH(H170,Исходные!$A$19:$A$31,0)),0)</f>
        <v/>
      </c>
      <c r="P170" s="76">
        <f>N170*O170</f>
        <v/>
      </c>
      <c r="Q170" s="21" t="inlineStr">
        <is>
          <t>АС-28 сеч.4-4/5-5 «шп.Ø8 А240 ш.300», поз.16 L=580</t>
        </is>
      </c>
      <c r="R170" s="78" t="inlineStr">
        <is>
          <t>принято (уточнить)</t>
        </is>
      </c>
      <c r="S170" s="21" t="inlineStr">
        <is>
          <t>Номер позиции на сечении не указан — принята поз.16 (L=580) по ведомости деталей.</t>
        </is>
      </c>
      <c r="T170" s="21" t="inlineStr">
        <is>
          <t>Ригели, балки, плита, С-1</t>
        </is>
      </c>
      <c r="U170" s="49" t="n">
        <v>1</v>
      </c>
      <c r="V170" s="72" t="inlineStr">
        <is>
          <t>Р-В</t>
        </is>
      </c>
      <c r="W170" s="49" t="n">
        <v>1</v>
      </c>
    </row>
    <row r="171">
      <c r="A171" s="72" t="n">
        <v>163</v>
      </c>
      <c r="B171" s="21" t="inlineStr">
        <is>
          <t>1 этаж (отм. -0.050…+3.950)</t>
        </is>
      </c>
      <c r="C171" s="21" t="inlineStr">
        <is>
          <t>Ригели</t>
        </is>
      </c>
      <c r="D171" s="21" t="inlineStr">
        <is>
          <t>ось Г (отм. +3.950)</t>
        </is>
      </c>
      <c r="E171" s="21" t="inlineStr">
        <is>
          <t>Р-Г</t>
        </is>
      </c>
      <c r="F171" s="72" t="inlineStr">
        <is>
          <t>2</t>
        </is>
      </c>
      <c r="G171" s="21" t="inlineStr">
        <is>
          <t>Продольные угловые 4Ø28 (сеч.4-4/5-5), сквозные, концы с Аш</t>
        </is>
      </c>
      <c r="H171" s="51" t="n">
        <v>28</v>
      </c>
      <c r="I171" s="72" t="inlineStr">
        <is>
          <t>А500С</t>
        </is>
      </c>
      <c r="J171" s="72" t="inlineStr">
        <is>
          <t>—</t>
        </is>
      </c>
      <c r="K171" s="75" t="n">
        <v>1</v>
      </c>
      <c r="L171" s="51" t="n">
        <v>4</v>
      </c>
      <c r="M171" s="69" t="n">
        <v>25.5</v>
      </c>
      <c r="N171" s="70">
        <f>K171*L171*M171</f>
        <v/>
      </c>
      <c r="O171" s="37">
        <f>IFERROR(INDEX(Исходные!$B$19:$B$31,MATCH(H171,Исходные!$A$19:$A$31,0)),0)</f>
        <v/>
      </c>
      <c r="P171" s="76">
        <f>N171*O171</f>
        <v/>
      </c>
      <c r="Q171" s="21" t="inlineStr">
        <is>
          <t>АС-23 рама + АС-28 сеч.4-4/5-5 поз.2; длина = 25000+2×250 (до 50 мм от наружной грани крайней колонны)</t>
        </is>
      </c>
      <c r="R171" s="77" t="inlineStr">
        <is>
          <t>по геометрии чертежа</t>
        </is>
      </c>
      <c r="S171" s="21" t="inlineStr">
        <is>
          <t>Стыки ванной сваркой без нахлёста: 2 на стержень (всего 8).</t>
        </is>
      </c>
      <c r="T171" s="21" t="inlineStr">
        <is>
          <t>Ригели, балки, плита, С-1</t>
        </is>
      </c>
      <c r="U171" s="49" t="n">
        <v>0</v>
      </c>
      <c r="V171" s="72" t="inlineStr">
        <is>
          <t>Р-Г</t>
        </is>
      </c>
      <c r="W171" s="49" t="n">
        <v>1</v>
      </c>
    </row>
    <row r="172">
      <c r="A172" s="72" t="n">
        <v>164</v>
      </c>
      <c r="B172" s="21" t="inlineStr">
        <is>
          <t>1 этаж (отм. -0.050…+3.950)</t>
        </is>
      </c>
      <c r="C172" s="21" t="inlineStr">
        <is>
          <t>Ригели</t>
        </is>
      </c>
      <c r="D172" s="21" t="inlineStr">
        <is>
          <t>ось Г (отм. +3.950)</t>
        </is>
      </c>
      <c r="E172" s="21" t="inlineStr">
        <is>
          <t>Р-Г</t>
        </is>
      </c>
      <c r="F172" s="72" t="inlineStr">
        <is>
          <t>6</t>
        </is>
      </c>
      <c r="G172" s="21" t="inlineStr">
        <is>
          <t>Продольные средние верх/низ 2Ø18 (сеч.4-4/5-5)</t>
        </is>
      </c>
      <c r="H172" s="51" t="n">
        <v>18</v>
      </c>
      <c r="I172" s="72" t="inlineStr">
        <is>
          <t>А500С</t>
        </is>
      </c>
      <c r="J172" s="72" t="inlineStr">
        <is>
          <t>—</t>
        </is>
      </c>
      <c r="K172" s="75" t="n">
        <v>1</v>
      </c>
      <c r="L172" s="51" t="n">
        <v>2</v>
      </c>
      <c r="M172" s="69" t="n">
        <v>25.5</v>
      </c>
      <c r="N172" s="70">
        <f>K172*L172*M172</f>
        <v/>
      </c>
      <c r="O172" s="37">
        <f>IFERROR(INDEX(Исходные!$B$19:$B$31,MATCH(H172,Исходные!$A$19:$A$31,0)),0)</f>
        <v/>
      </c>
      <c r="P172" s="76">
        <f>N172*O172</f>
        <v/>
      </c>
      <c r="Q172" s="21" t="inlineStr">
        <is>
          <t>АС-28 сеч.4-4/5-5 поз.6</t>
        </is>
      </c>
      <c r="R172" s="77" t="inlineStr">
        <is>
          <t>по геометрии чертежа</t>
        </is>
      </c>
      <c r="S172" s="21" t="inlineStr"/>
      <c r="T172" s="21" t="inlineStr">
        <is>
          <t>Ригели, балки, плита, С-1</t>
        </is>
      </c>
      <c r="U172" s="49" t="n">
        <v>0</v>
      </c>
      <c r="V172" s="72" t="inlineStr">
        <is>
          <t>Р-Г</t>
        </is>
      </c>
      <c r="W172" s="49" t="n">
        <v>1</v>
      </c>
    </row>
    <row r="173">
      <c r="A173" s="72" t="n">
        <v>165</v>
      </c>
      <c r="B173" s="21" t="inlineStr">
        <is>
          <t>1 этаж (отм. -0.050…+3.950)</t>
        </is>
      </c>
      <c r="C173" s="21" t="inlineStr">
        <is>
          <t>Ригели</t>
        </is>
      </c>
      <c r="D173" s="21" t="inlineStr">
        <is>
          <t>ось Г (отм. +3.950)</t>
        </is>
      </c>
      <c r="E173" s="21" t="inlineStr">
        <is>
          <t>Р-Г</t>
        </is>
      </c>
      <c r="F173" s="72" t="inlineStr">
        <is>
          <t>6-нахл</t>
        </is>
      </c>
      <c r="G173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73" s="51" t="n">
        <v>18</v>
      </c>
      <c r="I173" s="72" t="inlineStr">
        <is>
          <t>А500С</t>
        </is>
      </c>
      <c r="J173" s="72" t="inlineStr">
        <is>
          <t>—</t>
        </is>
      </c>
      <c r="K173" s="75" t="n">
        <v>2</v>
      </c>
      <c r="L173" s="51" t="n">
        <v>2</v>
      </c>
      <c r="M173" s="69" t="n">
        <v>0.144</v>
      </c>
      <c r="N173" s="70">
        <f>K173*L173*M173</f>
        <v/>
      </c>
      <c r="O173" s="37">
        <f>IFERROR(INDEX(Исходные!$B$19:$B$31,MATCH(H173,Исходные!$A$19:$A$31,0)),0)</f>
        <v/>
      </c>
      <c r="P173" s="76">
        <f>N173*O173</f>
        <v/>
      </c>
      <c r="Q173" s="21" t="inlineStr">
        <is>
          <t>АС-19 прим.1: Ø18 и менее — внахлёстку электродуговой сваркой, Lшва=8d = 144 мм</t>
        </is>
      </c>
      <c r="R173" s="77" t="inlineStr">
        <is>
          <t>по проекту (стыковка прутков 11,7 м)</t>
        </is>
      </c>
      <c r="S173" s="21" t="inlineStr">
        <is>
          <t>Чистая длина 25.500 м; кусков 3; стыков 2; Lнахл=2×0.144=0.288 м на стержень</t>
        </is>
      </c>
      <c r="T173" s="21" t="inlineStr">
        <is>
          <t>Ригели, балки, плита, С-1</t>
        </is>
      </c>
      <c r="U173" s="49" t="n">
        <v>0</v>
      </c>
      <c r="V173" s="72" t="inlineStr">
        <is>
          <t>Р-Г</t>
        </is>
      </c>
      <c r="W173" s="49" t="n">
        <v>1</v>
      </c>
    </row>
    <row r="174">
      <c r="A174" s="72" t="n">
        <v>166</v>
      </c>
      <c r="B174" s="21" t="inlineStr">
        <is>
          <t>1 этаж (отм. -0.050…+3.950)</t>
        </is>
      </c>
      <c r="C174" s="21" t="inlineStr">
        <is>
          <t>Ригели</t>
        </is>
      </c>
      <c r="D174" s="21" t="inlineStr">
        <is>
          <t>ось Г (отм. +3.950)</t>
        </is>
      </c>
      <c r="E174" s="21" t="inlineStr">
        <is>
          <t>Р-Г</t>
        </is>
      </c>
      <c r="F174" s="72" t="inlineStr">
        <is>
          <t>7</t>
        </is>
      </c>
      <c r="G174" s="21" t="inlineStr">
        <is>
          <t>Боковые стержни 2Ø16 (сеч.4-4/5-5)</t>
        </is>
      </c>
      <c r="H174" s="51" t="n">
        <v>16</v>
      </c>
      <c r="I174" s="72" t="inlineStr">
        <is>
          <t>А500С</t>
        </is>
      </c>
      <c r="J174" s="72" t="inlineStr">
        <is>
          <t>—</t>
        </is>
      </c>
      <c r="K174" s="75" t="n">
        <v>1</v>
      </c>
      <c r="L174" s="51" t="n">
        <v>2</v>
      </c>
      <c r="M174" s="69" t="n">
        <v>25.5</v>
      </c>
      <c r="N174" s="70">
        <f>K174*L174*M174</f>
        <v/>
      </c>
      <c r="O174" s="37">
        <f>IFERROR(INDEX(Исходные!$B$19:$B$31,MATCH(H174,Исходные!$A$19:$A$31,0)),0)</f>
        <v/>
      </c>
      <c r="P174" s="76">
        <f>N174*O174</f>
        <v/>
      </c>
      <c r="Q174" s="21" t="inlineStr">
        <is>
          <t>АС-28 сеч.4-4/5-5 «Боковые стержни 2Ø16»</t>
        </is>
      </c>
      <c r="R174" s="77" t="inlineStr">
        <is>
          <t>по геометрии чертежа</t>
        </is>
      </c>
      <c r="S174" s="21" t="inlineStr"/>
      <c r="T174" s="21" t="inlineStr">
        <is>
          <t>Ригели, балки, плита, С-1</t>
        </is>
      </c>
      <c r="U174" s="49" t="n">
        <v>0</v>
      </c>
      <c r="V174" s="72" t="inlineStr">
        <is>
          <t>Р-Г</t>
        </is>
      </c>
      <c r="W174" s="49" t="n">
        <v>1</v>
      </c>
    </row>
    <row r="175">
      <c r="A175" s="72" t="n">
        <v>167</v>
      </c>
      <c r="B175" s="21" t="inlineStr">
        <is>
          <t>1 этаж (отм. -0.050…+3.950)</t>
        </is>
      </c>
      <c r="C175" s="21" t="inlineStr">
        <is>
          <t>Ригели</t>
        </is>
      </c>
      <c r="D175" s="21" t="inlineStr">
        <is>
          <t>ось Г (отм. +3.950)</t>
        </is>
      </c>
      <c r="E175" s="21" t="inlineStr">
        <is>
          <t>Р-Г</t>
        </is>
      </c>
      <c r="F175" s="72" t="inlineStr">
        <is>
          <t>7-нахл</t>
        </is>
      </c>
      <c r="G175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75" s="51" t="n">
        <v>16</v>
      </c>
      <c r="I175" s="72" t="inlineStr">
        <is>
          <t>А500С</t>
        </is>
      </c>
      <c r="J175" s="72" t="inlineStr">
        <is>
          <t>—</t>
        </is>
      </c>
      <c r="K175" s="75" t="n">
        <v>2</v>
      </c>
      <c r="L175" s="51" t="n">
        <v>2</v>
      </c>
      <c r="M175" s="69" t="n">
        <v>0.128</v>
      </c>
      <c r="N175" s="70">
        <f>K175*L175*M175</f>
        <v/>
      </c>
      <c r="O175" s="37">
        <f>IFERROR(INDEX(Исходные!$B$19:$B$31,MATCH(H175,Исходные!$A$19:$A$31,0)),0)</f>
        <v/>
      </c>
      <c r="P175" s="76">
        <f>N175*O175</f>
        <v/>
      </c>
      <c r="Q175" s="21" t="inlineStr">
        <is>
          <t>АС-19 прим.1: Ø18 и менее — внахлёстку электродуговой сваркой, Lшва=8d = 128 мм</t>
        </is>
      </c>
      <c r="R175" s="77" t="inlineStr">
        <is>
          <t>по проекту (стыковка прутков 11,7 м)</t>
        </is>
      </c>
      <c r="S175" s="21" t="inlineStr">
        <is>
          <t>Чистая длина 25.500 м; кусков 3; стыков 2; Lнахл=2×0.128=0.256 м на стержень</t>
        </is>
      </c>
      <c r="T175" s="21" t="inlineStr">
        <is>
          <t>Ригели, балки, плита, С-1</t>
        </is>
      </c>
      <c r="U175" s="49" t="n">
        <v>0</v>
      </c>
      <c r="V175" s="72" t="inlineStr">
        <is>
          <t>Р-Г</t>
        </is>
      </c>
      <c r="W175" s="49" t="n">
        <v>1</v>
      </c>
    </row>
    <row r="176">
      <c r="A176" s="72" t="n">
        <v>168</v>
      </c>
      <c r="B176" s="21" t="inlineStr">
        <is>
          <t>1 этаж (отм. -0.050…+3.950)</t>
        </is>
      </c>
      <c r="C176" s="21" t="inlineStr">
        <is>
          <t>Ригели</t>
        </is>
      </c>
      <c r="D176" s="21" t="inlineStr">
        <is>
          <t>ось Г (отм. +3.950)</t>
        </is>
      </c>
      <c r="E176" s="21" t="inlineStr">
        <is>
          <t>Р-Г</t>
        </is>
      </c>
      <c r="F176" s="72" t="inlineStr">
        <is>
          <t>ОС</t>
        </is>
      </c>
      <c r="G176" s="21" t="inlineStr">
        <is>
          <t>ОС верх: 2Ø28, участок 0…1600 мм + 250 до торца</t>
        </is>
      </c>
      <c r="H176" s="51" t="n">
        <v>28</v>
      </c>
      <c r="I176" s="72" t="inlineStr">
        <is>
          <t>А500С</t>
        </is>
      </c>
      <c r="J176" s="72" t="inlineStr">
        <is>
          <t>—</t>
        </is>
      </c>
      <c r="K176" s="75" t="n">
        <v>1</v>
      </c>
      <c r="L176" s="51" t="n">
        <v>2</v>
      </c>
      <c r="M176" s="69" t="n">
        <v>1.85</v>
      </c>
      <c r="N176" s="70">
        <f>K176*L176*M176</f>
        <v/>
      </c>
      <c r="O176" s="37">
        <f>IFERROR(INDEX(Исходные!$B$19:$B$31,MATCH(H176,Исходные!$A$19:$A$31,0)),0)</f>
        <v/>
      </c>
      <c r="P176" s="76">
        <f>N176*O176</f>
        <v/>
      </c>
      <c r="Q176" s="21" t="inlineStr">
        <is>
          <t>АС-23: выноска «ОС 2Ø28 А500С»; длина по привязкам отдельных стержней</t>
        </is>
      </c>
      <c r="R176" s="77" t="inlineStr">
        <is>
          <t>по геометрии чертежа</t>
        </is>
      </c>
      <c r="S176" s="21" t="inlineStr">
        <is>
          <t>Координаты от оси 1: 0…1600 мм; конец заведён до торца крайней колонны (+250)</t>
        </is>
      </c>
      <c r="T176" s="21" t="inlineStr">
        <is>
          <t>Ригели, балки, плита, С-1</t>
        </is>
      </c>
      <c r="U176" s="49" t="n">
        <v>0</v>
      </c>
      <c r="V176" s="72" t="inlineStr">
        <is>
          <t>Р-Г</t>
        </is>
      </c>
      <c r="W176" s="49" t="n">
        <v>1</v>
      </c>
    </row>
    <row r="177">
      <c r="A177" s="72" t="n">
        <v>169</v>
      </c>
      <c r="B177" s="21" t="inlineStr">
        <is>
          <t>1 этаж (отм. -0.050…+3.950)</t>
        </is>
      </c>
      <c r="C177" s="21" t="inlineStr">
        <is>
          <t>Ригели</t>
        </is>
      </c>
      <c r="D177" s="21" t="inlineStr">
        <is>
          <t>ось Г (отм. +3.950)</t>
        </is>
      </c>
      <c r="E177" s="21" t="inlineStr">
        <is>
          <t>Р-Г</t>
        </is>
      </c>
      <c r="F177" s="72" t="inlineStr">
        <is>
          <t>ОС</t>
        </is>
      </c>
      <c r="G177" s="21" t="inlineStr">
        <is>
          <t>ОС верх: 2Ø28, участок 3900…9400 мм</t>
        </is>
      </c>
      <c r="H177" s="51" t="n">
        <v>28</v>
      </c>
      <c r="I177" s="72" t="inlineStr">
        <is>
          <t>А500С</t>
        </is>
      </c>
      <c r="J177" s="72" t="inlineStr">
        <is>
          <t>—</t>
        </is>
      </c>
      <c r="K177" s="75" t="n">
        <v>1</v>
      </c>
      <c r="L177" s="51" t="n">
        <v>2</v>
      </c>
      <c r="M177" s="69" t="n">
        <v>5.5</v>
      </c>
      <c r="N177" s="70">
        <f>K177*L177*M177</f>
        <v/>
      </c>
      <c r="O177" s="37">
        <f>IFERROR(INDEX(Исходные!$B$19:$B$31,MATCH(H177,Исходные!$A$19:$A$31,0)),0)</f>
        <v/>
      </c>
      <c r="P177" s="76">
        <f>N177*O177</f>
        <v/>
      </c>
      <c r="Q177" s="21" t="inlineStr">
        <is>
          <t>АС-23: выноска «ОС 2Ø28 А500С»; длина по привязкам отдельных стержней</t>
        </is>
      </c>
      <c r="R177" s="77" t="inlineStr">
        <is>
          <t>по геометрии чертежа</t>
        </is>
      </c>
      <c r="S177" s="21" t="inlineStr">
        <is>
          <t>Координаты от оси 1: 3900…9400 мм</t>
        </is>
      </c>
      <c r="T177" s="21" t="inlineStr">
        <is>
          <t>Ригели, балки, плита, С-1</t>
        </is>
      </c>
      <c r="U177" s="49" t="n">
        <v>0</v>
      </c>
      <c r="V177" s="72" t="inlineStr">
        <is>
          <t>Р-Г</t>
        </is>
      </c>
      <c r="W177" s="49" t="n">
        <v>1</v>
      </c>
    </row>
    <row r="178">
      <c r="A178" s="72" t="n">
        <v>170</v>
      </c>
      <c r="B178" s="21" t="inlineStr">
        <is>
          <t>1 этаж (отм. -0.050…+3.950)</t>
        </is>
      </c>
      <c r="C178" s="21" t="inlineStr">
        <is>
          <t>Ригели</t>
        </is>
      </c>
      <c r="D178" s="21" t="inlineStr">
        <is>
          <t>ось Г (отм. +3.950)</t>
        </is>
      </c>
      <c r="E178" s="21" t="inlineStr">
        <is>
          <t>Р-Г</t>
        </is>
      </c>
      <c r="F178" s="72" t="inlineStr">
        <is>
          <t>ОС</t>
        </is>
      </c>
      <c r="G178" s="21" t="inlineStr">
        <is>
          <t>ОС верх ств.: 2Ø22, участок 3900…9400 мм</t>
        </is>
      </c>
      <c r="H178" s="51" t="n">
        <v>22</v>
      </c>
      <c r="I178" s="72" t="inlineStr">
        <is>
          <t>А500С</t>
        </is>
      </c>
      <c r="J178" s="72" t="inlineStr">
        <is>
          <t>—</t>
        </is>
      </c>
      <c r="K178" s="75" t="n">
        <v>1</v>
      </c>
      <c r="L178" s="51" t="n">
        <v>2</v>
      </c>
      <c r="M178" s="69" t="n">
        <v>5.5</v>
      </c>
      <c r="N178" s="70">
        <f>K178*L178*M178</f>
        <v/>
      </c>
      <c r="O178" s="37">
        <f>IFERROR(INDEX(Исходные!$B$19:$B$31,MATCH(H178,Исходные!$A$19:$A$31,0)),0)</f>
        <v/>
      </c>
      <c r="P178" s="76">
        <f>N178*O178</f>
        <v/>
      </c>
      <c r="Q178" s="21" t="inlineStr">
        <is>
          <t>АС-23: выноска «ОС 2Ø22 А500С»; длина по привязкам отдельных стержней</t>
        </is>
      </c>
      <c r="R178" s="77" t="inlineStr">
        <is>
          <t>по геометрии чертежа</t>
        </is>
      </c>
      <c r="S178" s="21" t="inlineStr">
        <is>
          <t>Координаты от оси 1: 3900…9400 мм</t>
        </is>
      </c>
      <c r="T178" s="21" t="inlineStr">
        <is>
          <t>Ригели, балки, плита, С-1</t>
        </is>
      </c>
      <c r="U178" s="49" t="n">
        <v>0</v>
      </c>
      <c r="V178" s="72" t="inlineStr">
        <is>
          <t>Р-Г</t>
        </is>
      </c>
      <c r="W178" s="49" t="n">
        <v>1</v>
      </c>
    </row>
    <row r="179">
      <c r="A179" s="72" t="n">
        <v>171</v>
      </c>
      <c r="B179" s="21" t="inlineStr">
        <is>
          <t>1 этаж (отм. -0.050…+3.950)</t>
        </is>
      </c>
      <c r="C179" s="21" t="inlineStr">
        <is>
          <t>Ригели</t>
        </is>
      </c>
      <c r="D179" s="21" t="inlineStr">
        <is>
          <t>ось Г (отм. +3.950)</t>
        </is>
      </c>
      <c r="E179" s="21" t="inlineStr">
        <is>
          <t>Р-Г</t>
        </is>
      </c>
      <c r="F179" s="72" t="inlineStr">
        <is>
          <t>ОС</t>
        </is>
      </c>
      <c r="G179" s="21" t="inlineStr">
        <is>
          <t>ОС верх: 2Ø28, участок 11300…16000 мм</t>
        </is>
      </c>
      <c r="H179" s="51" t="n">
        <v>28</v>
      </c>
      <c r="I179" s="72" t="inlineStr">
        <is>
          <t>А500С</t>
        </is>
      </c>
      <c r="J179" s="72" t="inlineStr">
        <is>
          <t>—</t>
        </is>
      </c>
      <c r="K179" s="75" t="n">
        <v>1</v>
      </c>
      <c r="L179" s="51" t="n">
        <v>2</v>
      </c>
      <c r="M179" s="69" t="n">
        <v>4.7</v>
      </c>
      <c r="N179" s="70">
        <f>K179*L179*M179</f>
        <v/>
      </c>
      <c r="O179" s="37">
        <f>IFERROR(INDEX(Исходные!$B$19:$B$31,MATCH(H179,Исходные!$A$19:$A$31,0)),0)</f>
        <v/>
      </c>
      <c r="P179" s="76">
        <f>N179*O179</f>
        <v/>
      </c>
      <c r="Q179" s="21" t="inlineStr">
        <is>
          <t>АС-23: выноска «ОС 2Ø28 А500С»; длина по привязкам отдельных стержней</t>
        </is>
      </c>
      <c r="R179" s="77" t="inlineStr">
        <is>
          <t>по геометрии чертежа</t>
        </is>
      </c>
      <c r="S179" s="21" t="inlineStr">
        <is>
          <t>Координаты от оси 1: 11300…16000 мм</t>
        </is>
      </c>
      <c r="T179" s="21" t="inlineStr">
        <is>
          <t>Ригели, балки, плита, С-1</t>
        </is>
      </c>
      <c r="U179" s="49" t="n">
        <v>0</v>
      </c>
      <c r="V179" s="72" t="inlineStr">
        <is>
          <t>Р-Г</t>
        </is>
      </c>
      <c r="W179" s="49" t="n">
        <v>1</v>
      </c>
    </row>
    <row r="180">
      <c r="A180" s="72" t="n">
        <v>172</v>
      </c>
      <c r="B180" s="21" t="inlineStr">
        <is>
          <t>1 этаж (отм. -0.050…+3.950)</t>
        </is>
      </c>
      <c r="C180" s="21" t="inlineStr">
        <is>
          <t>Ригели</t>
        </is>
      </c>
      <c r="D180" s="21" t="inlineStr">
        <is>
          <t>ось Г (отм. +3.950)</t>
        </is>
      </c>
      <c r="E180" s="21" t="inlineStr">
        <is>
          <t>Р-Г</t>
        </is>
      </c>
      <c r="F180" s="72" t="inlineStr">
        <is>
          <t>ОС</t>
        </is>
      </c>
      <c r="G180" s="21" t="inlineStr">
        <is>
          <t>ОС верх ств.: 2Ø22, участок 11300…16000 мм</t>
        </is>
      </c>
      <c r="H180" s="51" t="n">
        <v>22</v>
      </c>
      <c r="I180" s="72" t="inlineStr">
        <is>
          <t>А500С</t>
        </is>
      </c>
      <c r="J180" s="72" t="inlineStr">
        <is>
          <t>—</t>
        </is>
      </c>
      <c r="K180" s="75" t="n">
        <v>1</v>
      </c>
      <c r="L180" s="51" t="n">
        <v>2</v>
      </c>
      <c r="M180" s="69" t="n">
        <v>4.7</v>
      </c>
      <c r="N180" s="70">
        <f>K180*L180*M180</f>
        <v/>
      </c>
      <c r="O180" s="37">
        <f>IFERROR(INDEX(Исходные!$B$19:$B$31,MATCH(H180,Исходные!$A$19:$A$31,0)),0)</f>
        <v/>
      </c>
      <c r="P180" s="76">
        <f>N180*O180</f>
        <v/>
      </c>
      <c r="Q180" s="21" t="inlineStr">
        <is>
          <t>АС-23: выноска «ОС 2Ø22 А500С»; длина по привязкам отдельных стержней</t>
        </is>
      </c>
      <c r="R180" s="77" t="inlineStr">
        <is>
          <t>по геометрии чертежа</t>
        </is>
      </c>
      <c r="S180" s="21" t="inlineStr">
        <is>
          <t>Координаты от оси 1: 11300…16000 мм</t>
        </is>
      </c>
      <c r="T180" s="21" t="inlineStr">
        <is>
          <t>Ригели, балки, плита, С-1</t>
        </is>
      </c>
      <c r="U180" s="49" t="n">
        <v>0</v>
      </c>
      <c r="V180" s="72" t="inlineStr">
        <is>
          <t>Р-Г</t>
        </is>
      </c>
      <c r="W180" s="49" t="n">
        <v>1</v>
      </c>
    </row>
    <row r="181">
      <c r="A181" s="72" t="n">
        <v>173</v>
      </c>
      <c r="B181" s="21" t="inlineStr">
        <is>
          <t>1 этаж (отм. -0.050…+3.950)</t>
        </is>
      </c>
      <c r="C181" s="21" t="inlineStr">
        <is>
          <t>Ригели</t>
        </is>
      </c>
      <c r="D181" s="21" t="inlineStr">
        <is>
          <t>ось Г (отм. +3.950)</t>
        </is>
      </c>
      <c r="E181" s="21" t="inlineStr">
        <is>
          <t>Р-Г</t>
        </is>
      </c>
      <c r="F181" s="72" t="inlineStr">
        <is>
          <t>ОС</t>
        </is>
      </c>
      <c r="G181" s="21" t="inlineStr">
        <is>
          <t>ОС верх: 2Ø32, участок 17500…21800 мм</t>
        </is>
      </c>
      <c r="H181" s="51" t="n">
        <v>32</v>
      </c>
      <c r="I181" s="72" t="inlineStr">
        <is>
          <t>А500С</t>
        </is>
      </c>
      <c r="J181" s="72" t="inlineStr">
        <is>
          <t>—</t>
        </is>
      </c>
      <c r="K181" s="75" t="n">
        <v>1</v>
      </c>
      <c r="L181" s="51" t="n">
        <v>2</v>
      </c>
      <c r="M181" s="69" t="n">
        <v>4.3</v>
      </c>
      <c r="N181" s="70">
        <f>K181*L181*M181</f>
        <v/>
      </c>
      <c r="O181" s="37">
        <f>IFERROR(INDEX(Исходные!$B$19:$B$31,MATCH(H181,Исходные!$A$19:$A$31,0)),0)</f>
        <v/>
      </c>
      <c r="P181" s="76">
        <f>N181*O181</f>
        <v/>
      </c>
      <c r="Q181" s="21" t="inlineStr">
        <is>
          <t>АС-23: выноска «ОС 2Ø32 А500С»; длина по привязкам отдельных стержней</t>
        </is>
      </c>
      <c r="R181" s="77" t="inlineStr">
        <is>
          <t>по геометрии чертежа</t>
        </is>
      </c>
      <c r="S181" s="21" t="inlineStr">
        <is>
          <t>Координаты от оси 1: 17500…21800 мм</t>
        </is>
      </c>
      <c r="T181" s="21" t="inlineStr">
        <is>
          <t>Ригели, балки, плита, С-1</t>
        </is>
      </c>
      <c r="U181" s="49" t="n">
        <v>0</v>
      </c>
      <c r="V181" s="72" t="inlineStr">
        <is>
          <t>Р-Г</t>
        </is>
      </c>
      <c r="W181" s="49" t="n">
        <v>1</v>
      </c>
    </row>
    <row r="182">
      <c r="A182" s="72" t="n">
        <v>174</v>
      </c>
      <c r="B182" s="21" t="inlineStr">
        <is>
          <t>1 этаж (отм. -0.050…+3.950)</t>
        </is>
      </c>
      <c r="C182" s="21" t="inlineStr">
        <is>
          <t>Ригели</t>
        </is>
      </c>
      <c r="D182" s="21" t="inlineStr">
        <is>
          <t>ось Г (отм. +3.950)</t>
        </is>
      </c>
      <c r="E182" s="21" t="inlineStr">
        <is>
          <t>Р-Г</t>
        </is>
      </c>
      <c r="F182" s="72" t="inlineStr">
        <is>
          <t>ОС</t>
        </is>
      </c>
      <c r="G182" s="21" t="inlineStr">
        <is>
          <t>ОС верх: 2Ø25, участок 23200…25000 мм + 250 до торца</t>
        </is>
      </c>
      <c r="H182" s="51" t="n">
        <v>25</v>
      </c>
      <c r="I182" s="72" t="inlineStr">
        <is>
          <t>А500С</t>
        </is>
      </c>
      <c r="J182" s="72" t="inlineStr">
        <is>
          <t>—</t>
        </is>
      </c>
      <c r="K182" s="75" t="n">
        <v>1</v>
      </c>
      <c r="L182" s="51" t="n">
        <v>2</v>
      </c>
      <c r="M182" s="69" t="n">
        <v>2.05</v>
      </c>
      <c r="N182" s="70">
        <f>K182*L182*M182</f>
        <v/>
      </c>
      <c r="O182" s="37">
        <f>IFERROR(INDEX(Исходные!$B$19:$B$31,MATCH(H182,Исходные!$A$19:$A$31,0)),0)</f>
        <v/>
      </c>
      <c r="P182" s="76">
        <f>N182*O182</f>
        <v/>
      </c>
      <c r="Q182" s="21" t="inlineStr">
        <is>
          <t>АС-23: выноска «ОС 2Ø25 А500С»; длина по привязкам отдельных стержней</t>
        </is>
      </c>
      <c r="R182" s="77" t="inlineStr">
        <is>
          <t>по геометрии чертежа</t>
        </is>
      </c>
      <c r="S182" s="21" t="inlineStr">
        <is>
          <t>Координаты от оси 1: 23200…25000 мм; конец заведён до торца крайней колонны (+250)</t>
        </is>
      </c>
      <c r="T182" s="21" t="inlineStr">
        <is>
          <t>Ригели, балки, плита, С-1</t>
        </is>
      </c>
      <c r="U182" s="49" t="n">
        <v>0</v>
      </c>
      <c r="V182" s="72" t="inlineStr">
        <is>
          <t>Р-Г</t>
        </is>
      </c>
      <c r="W182" s="49" t="n">
        <v>1</v>
      </c>
    </row>
    <row r="183">
      <c r="A183" s="72" t="n">
        <v>175</v>
      </c>
      <c r="B183" s="21" t="inlineStr">
        <is>
          <t>1 этаж (отм. -0.050…+3.950)</t>
        </is>
      </c>
      <c r="C183" s="21" t="inlineStr">
        <is>
          <t>Ригели</t>
        </is>
      </c>
      <c r="D183" s="21" t="inlineStr">
        <is>
          <t>ось Г (отм. +3.950)</t>
        </is>
      </c>
      <c r="E183" s="21" t="inlineStr">
        <is>
          <t>Р-Г</t>
        </is>
      </c>
      <c r="F183" s="72" t="inlineStr">
        <is>
          <t>ОС</t>
        </is>
      </c>
      <c r="G183" s="21" t="inlineStr">
        <is>
          <t>ОС низ: 2Ø16, участок 0…1600 мм + 250 до торца</t>
        </is>
      </c>
      <c r="H183" s="51" t="n">
        <v>16</v>
      </c>
      <c r="I183" s="72" t="inlineStr">
        <is>
          <t>А500С</t>
        </is>
      </c>
      <c r="J183" s="72" t="inlineStr">
        <is>
          <t>—</t>
        </is>
      </c>
      <c r="K183" s="75" t="n">
        <v>1</v>
      </c>
      <c r="L183" s="51" t="n">
        <v>2</v>
      </c>
      <c r="M183" s="69" t="n">
        <v>1.85</v>
      </c>
      <c r="N183" s="70">
        <f>K183*L183*M183</f>
        <v/>
      </c>
      <c r="O183" s="37">
        <f>IFERROR(INDEX(Исходные!$B$19:$B$31,MATCH(H183,Исходные!$A$19:$A$31,0)),0)</f>
        <v/>
      </c>
      <c r="P183" s="76">
        <f>N183*O183</f>
        <v/>
      </c>
      <c r="Q183" s="21" t="inlineStr">
        <is>
          <t>АС-23: выноска «ОС 2Ø16 А500С»; длина по привязкам отдельных стержней</t>
        </is>
      </c>
      <c r="R183" s="77" t="inlineStr">
        <is>
          <t>по геометрии чертежа</t>
        </is>
      </c>
      <c r="S183" s="21" t="inlineStr">
        <is>
          <t>Координаты от оси 1: 0…1600 мм; конец заведён до торца крайней колонны (+250)</t>
        </is>
      </c>
      <c r="T183" s="21" t="inlineStr">
        <is>
          <t>Ригели, балки, плита, С-1</t>
        </is>
      </c>
      <c r="U183" s="49" t="n">
        <v>0</v>
      </c>
      <c r="V183" s="72" t="inlineStr">
        <is>
          <t>Р-Г</t>
        </is>
      </c>
      <c r="W183" s="49" t="n">
        <v>1</v>
      </c>
    </row>
    <row r="184">
      <c r="A184" s="72" t="n">
        <v>176</v>
      </c>
      <c r="B184" s="21" t="inlineStr">
        <is>
          <t>1 этаж (отм. -0.050…+3.950)</t>
        </is>
      </c>
      <c r="C184" s="21" t="inlineStr">
        <is>
          <t>Ригели</t>
        </is>
      </c>
      <c r="D184" s="21" t="inlineStr">
        <is>
          <t>ось Г (отм. +3.950)</t>
        </is>
      </c>
      <c r="E184" s="21" t="inlineStr">
        <is>
          <t>Р-Г</t>
        </is>
      </c>
      <c r="F184" s="72" t="inlineStr">
        <is>
          <t>ОС</t>
        </is>
      </c>
      <c r="G184" s="21" t="inlineStr">
        <is>
          <t>ОС низ: 2Ø22, участок 3900…9400 мм</t>
        </is>
      </c>
      <c r="H184" s="51" t="n">
        <v>22</v>
      </c>
      <c r="I184" s="72" t="inlineStr">
        <is>
          <t>А500С</t>
        </is>
      </c>
      <c r="J184" s="72" t="inlineStr">
        <is>
          <t>—</t>
        </is>
      </c>
      <c r="K184" s="75" t="n">
        <v>1</v>
      </c>
      <c r="L184" s="51" t="n">
        <v>2</v>
      </c>
      <c r="M184" s="69" t="n">
        <v>5.5</v>
      </c>
      <c r="N184" s="70">
        <f>K184*L184*M184</f>
        <v/>
      </c>
      <c r="O184" s="37">
        <f>IFERROR(INDEX(Исходные!$B$19:$B$31,MATCH(H184,Исходные!$A$19:$A$31,0)),0)</f>
        <v/>
      </c>
      <c r="P184" s="76">
        <f>N184*O184</f>
        <v/>
      </c>
      <c r="Q184" s="21" t="inlineStr">
        <is>
          <t>АС-23: выноска «ОС 2Ø22 А500С»; длина по привязкам отдельных стержней</t>
        </is>
      </c>
      <c r="R184" s="77" t="inlineStr">
        <is>
          <t>по геометрии чертежа</t>
        </is>
      </c>
      <c r="S184" s="21" t="inlineStr">
        <is>
          <t>Координаты от оси 1: 3900…9400 мм</t>
        </is>
      </c>
      <c r="T184" s="21" t="inlineStr">
        <is>
          <t>Ригели, балки, плита, С-1</t>
        </is>
      </c>
      <c r="U184" s="49" t="n">
        <v>0</v>
      </c>
      <c r="V184" s="72" t="inlineStr">
        <is>
          <t>Р-Г</t>
        </is>
      </c>
      <c r="W184" s="49" t="n">
        <v>1</v>
      </c>
    </row>
    <row r="185">
      <c r="A185" s="72" t="n">
        <v>177</v>
      </c>
      <c r="B185" s="21" t="inlineStr">
        <is>
          <t>1 этаж (отм. -0.050…+3.950)</t>
        </is>
      </c>
      <c r="C185" s="21" t="inlineStr">
        <is>
          <t>Ригели</t>
        </is>
      </c>
      <c r="D185" s="21" t="inlineStr">
        <is>
          <t>ось Г (отм. +3.950)</t>
        </is>
      </c>
      <c r="E185" s="21" t="inlineStr">
        <is>
          <t>Р-Г</t>
        </is>
      </c>
      <c r="F185" s="72" t="inlineStr">
        <is>
          <t>ОС</t>
        </is>
      </c>
      <c r="G185" s="21" t="inlineStr">
        <is>
          <t>ОС низ: 2Ø28, участок 11300…16000 мм</t>
        </is>
      </c>
      <c r="H185" s="51" t="n">
        <v>28</v>
      </c>
      <c r="I185" s="72" t="inlineStr">
        <is>
          <t>А500С</t>
        </is>
      </c>
      <c r="J185" s="72" t="inlineStr">
        <is>
          <t>—</t>
        </is>
      </c>
      <c r="K185" s="75" t="n">
        <v>1</v>
      </c>
      <c r="L185" s="51" t="n">
        <v>2</v>
      </c>
      <c r="M185" s="69" t="n">
        <v>4.7</v>
      </c>
      <c r="N185" s="70">
        <f>K185*L185*M185</f>
        <v/>
      </c>
      <c r="O185" s="37">
        <f>IFERROR(INDEX(Исходные!$B$19:$B$31,MATCH(H185,Исходные!$A$19:$A$31,0)),0)</f>
        <v/>
      </c>
      <c r="P185" s="76">
        <f>N185*O185</f>
        <v/>
      </c>
      <c r="Q185" s="21" t="inlineStr">
        <is>
          <t>АС-23: выноска «ОС 2Ø28 А500С»; длина по привязкам отдельных стержней</t>
        </is>
      </c>
      <c r="R185" s="77" t="inlineStr">
        <is>
          <t>по геометрии чертежа</t>
        </is>
      </c>
      <c r="S185" s="21" t="inlineStr">
        <is>
          <t>Координаты от оси 1: 11300…16000 мм</t>
        </is>
      </c>
      <c r="T185" s="21" t="inlineStr">
        <is>
          <t>Ригели, балки, плита, С-1</t>
        </is>
      </c>
      <c r="U185" s="49" t="n">
        <v>0</v>
      </c>
      <c r="V185" s="72" t="inlineStr">
        <is>
          <t>Р-Г</t>
        </is>
      </c>
      <c r="W185" s="49" t="n">
        <v>1</v>
      </c>
    </row>
    <row r="186">
      <c r="A186" s="72" t="n">
        <v>178</v>
      </c>
      <c r="B186" s="21" t="inlineStr">
        <is>
          <t>1 этаж (отм. -0.050…+3.950)</t>
        </is>
      </c>
      <c r="C186" s="21" t="inlineStr">
        <is>
          <t>Ригели</t>
        </is>
      </c>
      <c r="D186" s="21" t="inlineStr">
        <is>
          <t>ось Г (отм. +3.950)</t>
        </is>
      </c>
      <c r="E186" s="21" t="inlineStr">
        <is>
          <t>Р-Г</t>
        </is>
      </c>
      <c r="F186" s="72" t="inlineStr">
        <is>
          <t>ОС</t>
        </is>
      </c>
      <c r="G186" s="21" t="inlineStr">
        <is>
          <t>ОС низ: 2Ø28, участок 17500…21800 мм</t>
        </is>
      </c>
      <c r="H186" s="51" t="n">
        <v>28</v>
      </c>
      <c r="I186" s="72" t="inlineStr">
        <is>
          <t>А500С</t>
        </is>
      </c>
      <c r="J186" s="72" t="inlineStr">
        <is>
          <t>—</t>
        </is>
      </c>
      <c r="K186" s="75" t="n">
        <v>1</v>
      </c>
      <c r="L186" s="51" t="n">
        <v>2</v>
      </c>
      <c r="M186" s="69" t="n">
        <v>4.3</v>
      </c>
      <c r="N186" s="70">
        <f>K186*L186*M186</f>
        <v/>
      </c>
      <c r="O186" s="37">
        <f>IFERROR(INDEX(Исходные!$B$19:$B$31,MATCH(H186,Исходные!$A$19:$A$31,0)),0)</f>
        <v/>
      </c>
      <c r="P186" s="76">
        <f>N186*O186</f>
        <v/>
      </c>
      <c r="Q186" s="21" t="inlineStr">
        <is>
          <t>АС-23: выноска «ОС 2Ø28 А500С»; длина по привязкам отдельных стержней</t>
        </is>
      </c>
      <c r="R186" s="77" t="inlineStr">
        <is>
          <t>по геометрии чертежа</t>
        </is>
      </c>
      <c r="S186" s="21" t="inlineStr">
        <is>
          <t>Координаты от оси 1: 17500…21800 мм</t>
        </is>
      </c>
      <c r="T186" s="21" t="inlineStr">
        <is>
          <t>Ригели, балки, плита, С-1</t>
        </is>
      </c>
      <c r="U186" s="49" t="n">
        <v>0</v>
      </c>
      <c r="V186" s="72" t="inlineStr">
        <is>
          <t>Р-Г</t>
        </is>
      </c>
      <c r="W186" s="49" t="n">
        <v>1</v>
      </c>
    </row>
    <row r="187">
      <c r="A187" s="72" t="n">
        <v>179</v>
      </c>
      <c r="B187" s="21" t="inlineStr">
        <is>
          <t>1 этаж (отм. -0.050…+3.950)</t>
        </is>
      </c>
      <c r="C187" s="21" t="inlineStr">
        <is>
          <t>Ригели</t>
        </is>
      </c>
      <c r="D187" s="21" t="inlineStr">
        <is>
          <t>ось Г (отм. +3.950)</t>
        </is>
      </c>
      <c r="E187" s="21" t="inlineStr">
        <is>
          <t>Р-Г</t>
        </is>
      </c>
      <c r="F187" s="72" t="inlineStr">
        <is>
          <t>ОС</t>
        </is>
      </c>
      <c r="G187" s="21" t="inlineStr">
        <is>
          <t>ОС низ: 2Ø22, участок 23200…25000 мм + 250 до торца</t>
        </is>
      </c>
      <c r="H187" s="51" t="n">
        <v>22</v>
      </c>
      <c r="I187" s="72" t="inlineStr">
        <is>
          <t>А500С</t>
        </is>
      </c>
      <c r="J187" s="72" t="inlineStr">
        <is>
          <t>—</t>
        </is>
      </c>
      <c r="K187" s="75" t="n">
        <v>1</v>
      </c>
      <c r="L187" s="51" t="n">
        <v>2</v>
      </c>
      <c r="M187" s="69" t="n">
        <v>2.05</v>
      </c>
      <c r="N187" s="70">
        <f>K187*L187*M187</f>
        <v/>
      </c>
      <c r="O187" s="37">
        <f>IFERROR(INDEX(Исходные!$B$19:$B$31,MATCH(H187,Исходные!$A$19:$A$31,0)),0)</f>
        <v/>
      </c>
      <c r="P187" s="76">
        <f>N187*O187</f>
        <v/>
      </c>
      <c r="Q187" s="21" t="inlineStr">
        <is>
          <t>АС-23: выноска «ОС 2Ø22 А500С»; длина по привязкам отдельных стержней</t>
        </is>
      </c>
      <c r="R187" s="77" t="inlineStr">
        <is>
          <t>по геометрии чертежа</t>
        </is>
      </c>
      <c r="S187" s="21" t="inlineStr">
        <is>
          <t>Координаты от оси 1: 23200…25000 мм; конец заведён до торца крайней колонны (+250)</t>
        </is>
      </c>
      <c r="T187" s="21" t="inlineStr">
        <is>
          <t>Ригели, балки, плита, С-1</t>
        </is>
      </c>
      <c r="U187" s="49" t="n">
        <v>0</v>
      </c>
      <c r="V187" s="72" t="inlineStr">
        <is>
          <t>Р-Г</t>
        </is>
      </c>
      <c r="W187" s="49" t="n">
        <v>1</v>
      </c>
    </row>
    <row r="188">
      <c r="A188" s="72" t="n">
        <v>180</v>
      </c>
      <c r="B188" s="21" t="inlineStr">
        <is>
          <t>1 этаж (отм. -0.050…+3.950)</t>
        </is>
      </c>
      <c r="C188" s="21" t="inlineStr">
        <is>
          <t>Ригели</t>
        </is>
      </c>
      <c r="D188" s="21" t="inlineStr">
        <is>
          <t>ось Г (отм. +3.950)</t>
        </is>
      </c>
      <c r="E188" s="21" t="inlineStr">
        <is>
          <t>Р-Г</t>
        </is>
      </c>
      <c r="F188" s="72" t="inlineStr">
        <is>
          <t>12</t>
        </is>
      </c>
      <c r="G188" s="21" t="inlineStr">
        <is>
          <t>Хомут Ø8 L=2060 ш.100 у опор (100×12), ш.150 в пролёте, 80×4 у балок плиты — вне заштрихованных участков</t>
        </is>
      </c>
      <c r="H188" s="51" t="n">
        <v>8</v>
      </c>
      <c r="I188" s="72" t="inlineStr">
        <is>
          <t>А240</t>
        </is>
      </c>
      <c r="J188" s="72" t="inlineStr">
        <is>
          <t>100/150</t>
        </is>
      </c>
      <c r="K188" s="75" t="n">
        <v>1</v>
      </c>
      <c r="L188" s="51" t="n">
        <v>125</v>
      </c>
      <c r="M188" s="69" t="n">
        <v>2.06</v>
      </c>
      <c r="N188" s="70">
        <f>K188*L188*M188</f>
        <v/>
      </c>
      <c r="O188" s="37">
        <f>IFERROR(INDEX(Исходные!$B$19:$B$31,MATCH(H188,Исходные!$A$19:$A$31,0)),0)</f>
        <v/>
      </c>
      <c r="P188" s="76">
        <f>N188*O188</f>
        <v/>
      </c>
      <c r="Q188" s="21" t="inlineStr">
        <is>
          <t>АС-28 сеч.4-4/5-5 поз.12; АС-29 «Расстановка хомутов в ригелях»</t>
        </is>
      </c>
      <c r="R188" s="77" t="inlineStr">
        <is>
          <t>по проекту</t>
        </is>
      </c>
      <c r="S188" s="21" t="inlineStr">
        <is>
          <t>Пролёты в свету [(300, 5500), (7500, 13200), (14500, 19000), (20300, 24700)], сумма 19800 мм</t>
        </is>
      </c>
      <c r="T188" s="21" t="inlineStr">
        <is>
          <t>Ригели, балки, плита, С-1</t>
        </is>
      </c>
      <c r="U188" s="49" t="n">
        <v>0</v>
      </c>
      <c r="V188" s="72" t="inlineStr">
        <is>
          <t>Р-Г</t>
        </is>
      </c>
      <c r="W188" s="49" t="n">
        <v>1</v>
      </c>
    </row>
    <row r="189">
      <c r="A189" s="72" t="n">
        <v>181</v>
      </c>
      <c r="B189" s="21" t="inlineStr">
        <is>
          <t>1 этаж (отм. -0.050…+3.950)</t>
        </is>
      </c>
      <c r="C189" s="21" t="inlineStr">
        <is>
          <t>Ригели</t>
        </is>
      </c>
      <c r="D189" s="21" t="inlineStr">
        <is>
          <t>ось Г (отм. +3.950)</t>
        </is>
      </c>
      <c r="E189" s="21" t="inlineStr">
        <is>
          <t>Р-Г</t>
        </is>
      </c>
      <c r="F189" s="72" t="inlineStr">
        <is>
          <t>13</t>
        </is>
      </c>
      <c r="G189" s="21" t="inlineStr">
        <is>
          <t>Хомут наружный Ø10 L=2060 ш.100 — заштрихованные участки рамы</t>
        </is>
      </c>
      <c r="H189" s="51" t="n">
        <v>10</v>
      </c>
      <c r="I189" s="72" t="inlineStr">
        <is>
          <t>А240</t>
        </is>
      </c>
      <c r="J189" s="72" t="n">
        <v>100</v>
      </c>
      <c r="K189" s="75" t="n">
        <v>1</v>
      </c>
      <c r="L189" s="51" t="n">
        <v>45</v>
      </c>
      <c r="M189" s="69" t="n">
        <v>2.06</v>
      </c>
      <c r="N189" s="70">
        <f>K189*L189*M189</f>
        <v/>
      </c>
      <c r="O189" s="37">
        <f>IFERROR(INDEX(Исходные!$B$19:$B$31,MATCH(H189,Исходные!$A$19:$A$31,0)),0)</f>
        <v/>
      </c>
      <c r="P189" s="76">
        <f>N189*O189</f>
        <v/>
      </c>
      <c r="Q189" s="21" t="inlineStr">
        <is>
          <t>АС-23 штриховка «100×15»; АС-28 Фрагмент №1, поз.13</t>
        </is>
      </c>
      <c r="R189" s="77" t="inlineStr">
        <is>
          <t>по проекту</t>
        </is>
      </c>
      <c r="S189" s="21" t="inlineStr">
        <is>
          <t>Участки (мм): одинарные [(4000, 5500), (7500, 9000), (17500, 19000)], двойные []</t>
        </is>
      </c>
      <c r="T189" s="21" t="inlineStr">
        <is>
          <t>Ригели, балки, плита, С-1</t>
        </is>
      </c>
      <c r="U189" s="49" t="n">
        <v>0</v>
      </c>
      <c r="V189" s="72" t="inlineStr">
        <is>
          <t>Р-Г</t>
        </is>
      </c>
      <c r="W189" s="49" t="n">
        <v>1</v>
      </c>
    </row>
    <row r="190">
      <c r="A190" s="72" t="n">
        <v>182</v>
      </c>
      <c r="B190" s="21" t="inlineStr">
        <is>
          <t>1 этаж (отм. -0.050…+3.950)</t>
        </is>
      </c>
      <c r="C190" s="21" t="inlineStr">
        <is>
          <t>Ригели</t>
        </is>
      </c>
      <c r="D190" s="21" t="inlineStr">
        <is>
          <t>ось Г (отм. +3.950)</t>
        </is>
      </c>
      <c r="E190" s="21" t="inlineStr">
        <is>
          <t>Р-Г</t>
        </is>
      </c>
      <c r="F190" s="72" t="inlineStr">
        <is>
          <t>17</t>
        </is>
      </c>
      <c r="G190" s="21" t="inlineStr">
        <is>
          <t>Шпилька вертикальная Ø8 L=750: ш.200 у опор, ш.150 в пролёте (нет в зонах двойных хомутов)</t>
        </is>
      </c>
      <c r="H190" s="51" t="n">
        <v>8</v>
      </c>
      <c r="I190" s="72" t="inlineStr">
        <is>
          <t>А240</t>
        </is>
      </c>
      <c r="J190" s="72" t="inlineStr">
        <is>
          <t>200/150</t>
        </is>
      </c>
      <c r="K190" s="75" t="n">
        <v>1</v>
      </c>
      <c r="L190" s="51" t="n">
        <v>106</v>
      </c>
      <c r="M190" s="69" t="n">
        <v>0.75</v>
      </c>
      <c r="N190" s="70">
        <f>K190*L190*M190</f>
        <v/>
      </c>
      <c r="O190" s="37">
        <f>IFERROR(INDEX(Исходные!$B$19:$B$31,MATCH(H190,Исходные!$A$19:$A$31,0)),0)</f>
        <v/>
      </c>
      <c r="P190" s="76">
        <f>N190*O190</f>
        <v/>
      </c>
      <c r="Q190" s="21" t="inlineStr">
        <is>
          <t>АС-28 сеч.4-4/5-5 поз.17</t>
        </is>
      </c>
      <c r="R190" s="77" t="inlineStr">
        <is>
          <t>по проекту</t>
        </is>
      </c>
      <c r="S190" s="21" t="inlineStr"/>
      <c r="T190" s="21" t="inlineStr">
        <is>
          <t>Ригели, балки, плита, С-1</t>
        </is>
      </c>
      <c r="U190" s="49" t="n">
        <v>0</v>
      </c>
      <c r="V190" s="72" t="inlineStr">
        <is>
          <t>Р-Г</t>
        </is>
      </c>
      <c r="W190" s="49" t="n">
        <v>1</v>
      </c>
    </row>
    <row r="191">
      <c r="A191" s="72" t="n">
        <v>183</v>
      </c>
      <c r="B191" s="21" t="inlineStr">
        <is>
          <t>1 этаж (отм. -0.050…+3.950)</t>
        </is>
      </c>
      <c r="C191" s="21" t="inlineStr">
        <is>
          <t>Ригели</t>
        </is>
      </c>
      <c r="D191" s="21" t="inlineStr">
        <is>
          <t>ось Г (отм. +3.950)</t>
        </is>
      </c>
      <c r="E191" s="21" t="inlineStr">
        <is>
          <t>Р-Г</t>
        </is>
      </c>
      <c r="F191" s="72" t="inlineStr">
        <is>
          <t>16</t>
        </is>
      </c>
      <c r="G191" s="21" t="inlineStr">
        <is>
          <t>Шпилька горизонтальная Ø8 L=580 ш.300 (связь боковых 2Ø16)</t>
        </is>
      </c>
      <c r="H191" s="51" t="n">
        <v>8</v>
      </c>
      <c r="I191" s="72" t="inlineStr">
        <is>
          <t>А240</t>
        </is>
      </c>
      <c r="J191" s="72" t="n">
        <v>300</v>
      </c>
      <c r="K191" s="75" t="n">
        <v>1</v>
      </c>
      <c r="L191" s="51" t="n">
        <v>67</v>
      </c>
      <c r="M191" s="69" t="n">
        <v>0.58</v>
      </c>
      <c r="N191" s="70">
        <f>K191*L191*M191</f>
        <v/>
      </c>
      <c r="O191" s="37">
        <f>IFERROR(INDEX(Исходные!$B$19:$B$31,MATCH(H191,Исходные!$A$19:$A$31,0)),0)</f>
        <v/>
      </c>
      <c r="P191" s="76">
        <f>N191*O191</f>
        <v/>
      </c>
      <c r="Q191" s="21" t="inlineStr">
        <is>
          <t>АС-28 сеч.4-4/5-5 «шп.Ø8 А240 ш.300», поз.16 L=580</t>
        </is>
      </c>
      <c r="R191" s="78" t="inlineStr">
        <is>
          <t>принято (уточнить)</t>
        </is>
      </c>
      <c r="S191" s="21" t="inlineStr">
        <is>
          <t>Номер позиции на сечении не указан — принята поз.16 (L=580) по ведомости деталей.</t>
        </is>
      </c>
      <c r="T191" s="21" t="inlineStr">
        <is>
          <t>Ригели, балки, плита, С-1</t>
        </is>
      </c>
      <c r="U191" s="49" t="n">
        <v>1</v>
      </c>
      <c r="V191" s="72" t="inlineStr">
        <is>
          <t>Р-Г</t>
        </is>
      </c>
      <c r="W191" s="49" t="n">
        <v>1</v>
      </c>
    </row>
    <row r="192">
      <c r="A192" s="72" t="n">
        <v>184</v>
      </c>
      <c r="B192" s="21" t="inlineStr">
        <is>
          <t>1 этаж (отм. -0.050…+3.950)</t>
        </is>
      </c>
      <c r="C192" s="21" t="inlineStr">
        <is>
          <t>Ригели</t>
        </is>
      </c>
      <c r="D192" s="21" t="inlineStr">
        <is>
          <t>оси 1, 5 (отм. +3.950)</t>
        </is>
      </c>
      <c r="E192" s="21" t="inlineStr">
        <is>
          <t>Р-1, 5</t>
        </is>
      </c>
      <c r="F192" s="72" t="inlineStr">
        <is>
          <t>2</t>
        </is>
      </c>
      <c r="G192" s="21" t="inlineStr">
        <is>
          <t>Продольные угловые 4Ø28 (сеч.4-4/5-5), сквозные, концы с Аш</t>
        </is>
      </c>
      <c r="H192" s="51" t="n">
        <v>28</v>
      </c>
      <c r="I192" s="72" t="inlineStr">
        <is>
          <t>А500С</t>
        </is>
      </c>
      <c r="J192" s="72" t="inlineStr">
        <is>
          <t>—</t>
        </is>
      </c>
      <c r="K192" s="75" t="n">
        <v>2</v>
      </c>
      <c r="L192" s="51" t="n">
        <v>4</v>
      </c>
      <c r="M192" s="69" t="n">
        <v>20.5</v>
      </c>
      <c r="N192" s="70">
        <f>K192*L192*M192</f>
        <v/>
      </c>
      <c r="O192" s="37">
        <f>IFERROR(INDEX(Исходные!$B$19:$B$31,MATCH(H192,Исходные!$A$19:$A$31,0)),0)</f>
        <v/>
      </c>
      <c r="P192" s="76">
        <f>N192*O192</f>
        <v/>
      </c>
      <c r="Q192" s="21" t="inlineStr">
        <is>
          <t>АС-24 рама + АС-28 сеч.4-4/5-5 поз.2; длина = 20000+2×250 (до 50 мм от наружной грани крайней колонны)</t>
        </is>
      </c>
      <c r="R192" s="77" t="inlineStr">
        <is>
          <t>по геометрии чертежа</t>
        </is>
      </c>
      <c r="S192" s="21" t="inlineStr">
        <is>
          <t>Стыки ванной сваркой без нахлёста: 1 на стержень (всего 8).</t>
        </is>
      </c>
      <c r="T192" s="21" t="inlineStr">
        <is>
          <t>Ригели, балки, плита, С-1</t>
        </is>
      </c>
      <c r="U192" s="49" t="n">
        <v>0</v>
      </c>
      <c r="V192" s="72" t="inlineStr">
        <is>
          <t>Р-1, 5</t>
        </is>
      </c>
      <c r="W192" s="49" t="n">
        <v>1</v>
      </c>
    </row>
    <row r="193">
      <c r="A193" s="72" t="n">
        <v>185</v>
      </c>
      <c r="B193" s="21" t="inlineStr">
        <is>
          <t>1 этаж (отм. -0.050…+3.950)</t>
        </is>
      </c>
      <c r="C193" s="21" t="inlineStr">
        <is>
          <t>Ригели</t>
        </is>
      </c>
      <c r="D193" s="21" t="inlineStr">
        <is>
          <t>оси 1, 5 (отм. +3.950)</t>
        </is>
      </c>
      <c r="E193" s="21" t="inlineStr">
        <is>
          <t>Р-1, 5</t>
        </is>
      </c>
      <c r="F193" s="72" t="inlineStr">
        <is>
          <t>6</t>
        </is>
      </c>
      <c r="G193" s="21" t="inlineStr">
        <is>
          <t>Продольные средние верх/низ 2Ø18 (сеч.4-4/5-5)</t>
        </is>
      </c>
      <c r="H193" s="51" t="n">
        <v>18</v>
      </c>
      <c r="I193" s="72" t="inlineStr">
        <is>
          <t>А500С</t>
        </is>
      </c>
      <c r="J193" s="72" t="inlineStr">
        <is>
          <t>—</t>
        </is>
      </c>
      <c r="K193" s="75" t="n">
        <v>2</v>
      </c>
      <c r="L193" s="51" t="n">
        <v>2</v>
      </c>
      <c r="M193" s="69" t="n">
        <v>20.5</v>
      </c>
      <c r="N193" s="70">
        <f>K193*L193*M193</f>
        <v/>
      </c>
      <c r="O193" s="37">
        <f>IFERROR(INDEX(Исходные!$B$19:$B$31,MATCH(H193,Исходные!$A$19:$A$31,0)),0)</f>
        <v/>
      </c>
      <c r="P193" s="76">
        <f>N193*O193</f>
        <v/>
      </c>
      <c r="Q193" s="21" t="inlineStr">
        <is>
          <t>АС-28 сеч.4-4/5-5 поз.6</t>
        </is>
      </c>
      <c r="R193" s="77" t="inlineStr">
        <is>
          <t>по геометрии чертежа</t>
        </is>
      </c>
      <c r="S193" s="21" t="inlineStr"/>
      <c r="T193" s="21" t="inlineStr">
        <is>
          <t>Ригели, балки, плита, С-1</t>
        </is>
      </c>
      <c r="U193" s="49" t="n">
        <v>0</v>
      </c>
      <c r="V193" s="72" t="inlineStr">
        <is>
          <t>Р-1, 5</t>
        </is>
      </c>
      <c r="W193" s="49" t="n">
        <v>1</v>
      </c>
    </row>
    <row r="194">
      <c r="A194" s="72" t="n">
        <v>186</v>
      </c>
      <c r="B194" s="21" t="inlineStr">
        <is>
          <t>1 этаж (отм. -0.050…+3.950)</t>
        </is>
      </c>
      <c r="C194" s="21" t="inlineStr">
        <is>
          <t>Ригели</t>
        </is>
      </c>
      <c r="D194" s="21" t="inlineStr">
        <is>
          <t>оси 1, 5 (отм. +3.950)</t>
        </is>
      </c>
      <c r="E194" s="21" t="inlineStr">
        <is>
          <t>Р-1, 5</t>
        </is>
      </c>
      <c r="F194" s="72" t="inlineStr">
        <is>
          <t>6-нахл</t>
        </is>
      </c>
      <c r="G194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194" s="51" t="n">
        <v>18</v>
      </c>
      <c r="I194" s="72" t="inlineStr">
        <is>
          <t>А500С</t>
        </is>
      </c>
      <c r="J194" s="72" t="inlineStr">
        <is>
          <t>—</t>
        </is>
      </c>
      <c r="K194" s="75" t="n">
        <v>4</v>
      </c>
      <c r="L194" s="51" t="n">
        <v>1</v>
      </c>
      <c r="M194" s="69" t="n">
        <v>0.144</v>
      </c>
      <c r="N194" s="70">
        <f>K194*L194*M194</f>
        <v/>
      </c>
      <c r="O194" s="37">
        <f>IFERROR(INDEX(Исходные!$B$19:$B$31,MATCH(H194,Исходные!$A$19:$A$31,0)),0)</f>
        <v/>
      </c>
      <c r="P194" s="76">
        <f>N194*O194</f>
        <v/>
      </c>
      <c r="Q194" s="21" t="inlineStr">
        <is>
          <t>АС-19 прим.1: Ø18 и менее — внахлёстку электродуговой сваркой, Lшва=8d = 144 мм</t>
        </is>
      </c>
      <c r="R194" s="77" t="inlineStr">
        <is>
          <t>по проекту (стыковка прутков 11,7 м)</t>
        </is>
      </c>
      <c r="S194" s="21" t="inlineStr">
        <is>
          <t>Чистая длина 20.500 м; кусков 2; стыков 1; Lнахл=1×0.144=0.144 м на стержень</t>
        </is>
      </c>
      <c r="T194" s="21" t="inlineStr">
        <is>
          <t>Ригели, балки, плита, С-1</t>
        </is>
      </c>
      <c r="U194" s="49" t="n">
        <v>0</v>
      </c>
      <c r="V194" s="72" t="inlineStr">
        <is>
          <t>Р-1, 5</t>
        </is>
      </c>
      <c r="W194" s="49" t="n">
        <v>1</v>
      </c>
    </row>
    <row r="195">
      <c r="A195" s="72" t="n">
        <v>187</v>
      </c>
      <c r="B195" s="21" t="inlineStr">
        <is>
          <t>1 этаж (отм. -0.050…+3.950)</t>
        </is>
      </c>
      <c r="C195" s="21" t="inlineStr">
        <is>
          <t>Ригели</t>
        </is>
      </c>
      <c r="D195" s="21" t="inlineStr">
        <is>
          <t>оси 1, 5 (отм. +3.950)</t>
        </is>
      </c>
      <c r="E195" s="21" t="inlineStr">
        <is>
          <t>Р-1, 5</t>
        </is>
      </c>
      <c r="F195" s="72" t="inlineStr">
        <is>
          <t>7</t>
        </is>
      </c>
      <c r="G195" s="21" t="inlineStr">
        <is>
          <t>Боковые стержни 2Ø16 (сеч.4-4/5-5)</t>
        </is>
      </c>
      <c r="H195" s="51" t="n">
        <v>16</v>
      </c>
      <c r="I195" s="72" t="inlineStr">
        <is>
          <t>А500С</t>
        </is>
      </c>
      <c r="J195" s="72" t="inlineStr">
        <is>
          <t>—</t>
        </is>
      </c>
      <c r="K195" s="75" t="n">
        <v>2</v>
      </c>
      <c r="L195" s="51" t="n">
        <v>2</v>
      </c>
      <c r="M195" s="69" t="n">
        <v>20.5</v>
      </c>
      <c r="N195" s="70">
        <f>K195*L195*M195</f>
        <v/>
      </c>
      <c r="O195" s="37">
        <f>IFERROR(INDEX(Исходные!$B$19:$B$31,MATCH(H195,Исходные!$A$19:$A$31,0)),0)</f>
        <v/>
      </c>
      <c r="P195" s="76">
        <f>N195*O195</f>
        <v/>
      </c>
      <c r="Q195" s="21" t="inlineStr">
        <is>
          <t>АС-28 сеч.4-4/5-5 «Боковые стержни 2Ø16»</t>
        </is>
      </c>
      <c r="R195" s="77" t="inlineStr">
        <is>
          <t>по геометрии чертежа</t>
        </is>
      </c>
      <c r="S195" s="21" t="inlineStr"/>
      <c r="T195" s="21" t="inlineStr">
        <is>
          <t>Ригели, балки, плита, С-1</t>
        </is>
      </c>
      <c r="U195" s="49" t="n">
        <v>0</v>
      </c>
      <c r="V195" s="72" t="inlineStr">
        <is>
          <t>Р-1, 5</t>
        </is>
      </c>
      <c r="W195" s="49" t="n">
        <v>1</v>
      </c>
    </row>
    <row r="196">
      <c r="A196" s="72" t="n">
        <v>188</v>
      </c>
      <c r="B196" s="21" t="inlineStr">
        <is>
          <t>1 этаж (отм. -0.050…+3.950)</t>
        </is>
      </c>
      <c r="C196" s="21" t="inlineStr">
        <is>
          <t>Ригели</t>
        </is>
      </c>
      <c r="D196" s="21" t="inlineStr">
        <is>
          <t>оси 1, 5 (отм. +3.950)</t>
        </is>
      </c>
      <c r="E196" s="21" t="inlineStr">
        <is>
          <t>Р-1, 5</t>
        </is>
      </c>
      <c r="F196" s="72" t="inlineStr">
        <is>
          <t>7-нахл</t>
        </is>
      </c>
      <c r="G196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196" s="51" t="n">
        <v>16</v>
      </c>
      <c r="I196" s="72" t="inlineStr">
        <is>
          <t>А500С</t>
        </is>
      </c>
      <c r="J196" s="72" t="inlineStr">
        <is>
          <t>—</t>
        </is>
      </c>
      <c r="K196" s="75" t="n">
        <v>4</v>
      </c>
      <c r="L196" s="51" t="n">
        <v>1</v>
      </c>
      <c r="M196" s="69" t="n">
        <v>0.128</v>
      </c>
      <c r="N196" s="70">
        <f>K196*L196*M196</f>
        <v/>
      </c>
      <c r="O196" s="37">
        <f>IFERROR(INDEX(Исходные!$B$19:$B$31,MATCH(H196,Исходные!$A$19:$A$31,0)),0)</f>
        <v/>
      </c>
      <c r="P196" s="76">
        <f>N196*O196</f>
        <v/>
      </c>
      <c r="Q196" s="21" t="inlineStr">
        <is>
          <t>АС-19 прим.1: Ø18 и менее — внахлёстку электродуговой сваркой, Lшва=8d = 128 мм</t>
        </is>
      </c>
      <c r="R196" s="77" t="inlineStr">
        <is>
          <t>по проекту (стыковка прутков 11,7 м)</t>
        </is>
      </c>
      <c r="S196" s="21" t="inlineStr">
        <is>
          <t>Чистая длина 20.500 м; кусков 2; стыков 1; Lнахл=1×0.128=0.128 м на стержень</t>
        </is>
      </c>
      <c r="T196" s="21" t="inlineStr">
        <is>
          <t>Ригели, балки, плита, С-1</t>
        </is>
      </c>
      <c r="U196" s="49" t="n">
        <v>0</v>
      </c>
      <c r="V196" s="72" t="inlineStr">
        <is>
          <t>Р-1, 5</t>
        </is>
      </c>
      <c r="W196" s="49" t="n">
        <v>1</v>
      </c>
    </row>
    <row r="197">
      <c r="A197" s="72" t="n">
        <v>189</v>
      </c>
      <c r="B197" s="21" t="inlineStr">
        <is>
          <t>1 этаж (отм. -0.050…+3.950)</t>
        </is>
      </c>
      <c r="C197" s="21" t="inlineStr">
        <is>
          <t>Ригели</t>
        </is>
      </c>
      <c r="D197" s="21" t="inlineStr">
        <is>
          <t>оси 1, 5 (отм. +3.950)</t>
        </is>
      </c>
      <c r="E197" s="21" t="inlineStr">
        <is>
          <t>Р-1, 5</t>
        </is>
      </c>
      <c r="F197" s="72" t="inlineStr">
        <is>
          <t>ОС</t>
        </is>
      </c>
      <c r="G197" s="21" t="inlineStr">
        <is>
          <t>ОС верх: 2Ø25, участок 0…1800 мм + 250 до торца</t>
        </is>
      </c>
      <c r="H197" s="51" t="n">
        <v>25</v>
      </c>
      <c r="I197" s="72" t="inlineStr">
        <is>
          <t>А500С</t>
        </is>
      </c>
      <c r="J197" s="72" t="inlineStr">
        <is>
          <t>—</t>
        </is>
      </c>
      <c r="K197" s="75" t="n">
        <v>2</v>
      </c>
      <c r="L197" s="51" t="n">
        <v>2</v>
      </c>
      <c r="M197" s="69" t="n">
        <v>2.05</v>
      </c>
      <c r="N197" s="70">
        <f>K197*L197*M197</f>
        <v/>
      </c>
      <c r="O197" s="37">
        <f>IFERROR(INDEX(Исходные!$B$19:$B$31,MATCH(H197,Исходные!$A$19:$A$31,0)),0)</f>
        <v/>
      </c>
      <c r="P197" s="76">
        <f>N197*O197</f>
        <v/>
      </c>
      <c r="Q197" s="21" t="inlineStr">
        <is>
          <t>АС-24: выноска «ОС 2Ø25 А500С»; длина по привязкам отдельных стержней</t>
        </is>
      </c>
      <c r="R197" s="77" t="inlineStr">
        <is>
          <t>по геометрии чертежа</t>
        </is>
      </c>
      <c r="S197" s="21" t="inlineStr">
        <is>
          <t>Координаты от оси А: 0…1800 мм; конец заведён до торца крайней колонны (+250)</t>
        </is>
      </c>
      <c r="T197" s="21" t="inlineStr">
        <is>
          <t>Ригели, балки, плита, С-1</t>
        </is>
      </c>
      <c r="U197" s="49" t="n">
        <v>0</v>
      </c>
      <c r="V197" s="72" t="inlineStr">
        <is>
          <t>Р-1, 5</t>
        </is>
      </c>
      <c r="W197" s="49" t="n">
        <v>1</v>
      </c>
    </row>
    <row r="198">
      <c r="A198" s="72" t="n">
        <v>190</v>
      </c>
      <c r="B198" s="21" t="inlineStr">
        <is>
          <t>1 этаж (отм. -0.050…+3.950)</t>
        </is>
      </c>
      <c r="C198" s="21" t="inlineStr">
        <is>
          <t>Ригели</t>
        </is>
      </c>
      <c r="D198" s="21" t="inlineStr">
        <is>
          <t>оси 1, 5 (отм. +3.950)</t>
        </is>
      </c>
      <c r="E198" s="21" t="inlineStr">
        <is>
          <t>Р-1, 5</t>
        </is>
      </c>
      <c r="F198" s="72" t="inlineStr">
        <is>
          <t>ОС</t>
        </is>
      </c>
      <c r="G198" s="21" t="inlineStr">
        <is>
          <t>ОС верх: 2Ø28, участок 4700…8500 мм</t>
        </is>
      </c>
      <c r="H198" s="51" t="n">
        <v>28</v>
      </c>
      <c r="I198" s="72" t="inlineStr">
        <is>
          <t>А500С</t>
        </is>
      </c>
      <c r="J198" s="72" t="inlineStr">
        <is>
          <t>—</t>
        </is>
      </c>
      <c r="K198" s="75" t="n">
        <v>2</v>
      </c>
      <c r="L198" s="51" t="n">
        <v>2</v>
      </c>
      <c r="M198" s="69" t="n">
        <v>3.8</v>
      </c>
      <c r="N198" s="70">
        <f>K198*L198*M198</f>
        <v/>
      </c>
      <c r="O198" s="37">
        <f>IFERROR(INDEX(Исходные!$B$19:$B$31,MATCH(H198,Исходные!$A$19:$A$31,0)),0)</f>
        <v/>
      </c>
      <c r="P198" s="76">
        <f>N198*O198</f>
        <v/>
      </c>
      <c r="Q198" s="21" t="inlineStr">
        <is>
          <t>АС-24: выноска «ОС 2Ø28 А500С»; длина по привязкам отдельных стержней</t>
        </is>
      </c>
      <c r="R198" s="77" t="inlineStr">
        <is>
          <t>по геометрии чертежа</t>
        </is>
      </c>
      <c r="S198" s="21" t="inlineStr">
        <is>
          <t>Координаты от оси А: 4700…8500 мм</t>
        </is>
      </c>
      <c r="T198" s="21" t="inlineStr">
        <is>
          <t>Ригели, балки, плита, С-1</t>
        </is>
      </c>
      <c r="U198" s="49" t="n">
        <v>0</v>
      </c>
      <c r="V198" s="72" t="inlineStr">
        <is>
          <t>Р-1, 5</t>
        </is>
      </c>
      <c r="W198" s="49" t="n">
        <v>1</v>
      </c>
    </row>
    <row r="199">
      <c r="A199" s="72" t="n">
        <v>191</v>
      </c>
      <c r="B199" s="21" t="inlineStr">
        <is>
          <t>1 этаж (отм. -0.050…+3.950)</t>
        </is>
      </c>
      <c r="C199" s="21" t="inlineStr">
        <is>
          <t>Ригели</t>
        </is>
      </c>
      <c r="D199" s="21" t="inlineStr">
        <is>
          <t>оси 1, 5 (отм. +3.950)</t>
        </is>
      </c>
      <c r="E199" s="21" t="inlineStr">
        <is>
          <t>Р-1, 5</t>
        </is>
      </c>
      <c r="F199" s="72" t="inlineStr">
        <is>
          <t>ОС</t>
        </is>
      </c>
      <c r="G199" s="21" t="inlineStr">
        <is>
          <t>ОС верх: 2Ø32, участок 11500…15300 мм</t>
        </is>
      </c>
      <c r="H199" s="51" t="n">
        <v>32</v>
      </c>
      <c r="I199" s="72" t="inlineStr">
        <is>
          <t>А500С</t>
        </is>
      </c>
      <c r="J199" s="72" t="inlineStr">
        <is>
          <t>—</t>
        </is>
      </c>
      <c r="K199" s="75" t="n">
        <v>2</v>
      </c>
      <c r="L199" s="51" t="n">
        <v>2</v>
      </c>
      <c r="M199" s="69" t="n">
        <v>3.8</v>
      </c>
      <c r="N199" s="70">
        <f>K199*L199*M199</f>
        <v/>
      </c>
      <c r="O199" s="37">
        <f>IFERROR(INDEX(Исходные!$B$19:$B$31,MATCH(H199,Исходные!$A$19:$A$31,0)),0)</f>
        <v/>
      </c>
      <c r="P199" s="76">
        <f>N199*O199</f>
        <v/>
      </c>
      <c r="Q199" s="21" t="inlineStr">
        <is>
          <t>АС-24: выноска «ОС 2Ø32 А500С»; длина по привязкам отдельных стержней</t>
        </is>
      </c>
      <c r="R199" s="77" t="inlineStr">
        <is>
          <t>по геометрии чертежа</t>
        </is>
      </c>
      <c r="S199" s="21" t="inlineStr">
        <is>
          <t>Координаты от оси А: 11500…15300 мм</t>
        </is>
      </c>
      <c r="T199" s="21" t="inlineStr">
        <is>
          <t>Ригели, балки, плита, С-1</t>
        </is>
      </c>
      <c r="U199" s="49" t="n">
        <v>0</v>
      </c>
      <c r="V199" s="72" t="inlineStr">
        <is>
          <t>Р-1, 5</t>
        </is>
      </c>
      <c r="W199" s="49" t="n">
        <v>1</v>
      </c>
    </row>
    <row r="200">
      <c r="A200" s="72" t="n">
        <v>192</v>
      </c>
      <c r="B200" s="21" t="inlineStr">
        <is>
          <t>1 этаж (отм. -0.050…+3.950)</t>
        </is>
      </c>
      <c r="C200" s="21" t="inlineStr">
        <is>
          <t>Ригели</t>
        </is>
      </c>
      <c r="D200" s="21" t="inlineStr">
        <is>
          <t>оси 1, 5 (отм. +3.950)</t>
        </is>
      </c>
      <c r="E200" s="21" t="inlineStr">
        <is>
          <t>Р-1, 5</t>
        </is>
      </c>
      <c r="F200" s="72" t="inlineStr">
        <is>
          <t>ОС</t>
        </is>
      </c>
      <c r="G200" s="21" t="inlineStr">
        <is>
          <t>ОС верх: 2Ø28, участок 18200…20000 мм + 250 до торца</t>
        </is>
      </c>
      <c r="H200" s="51" t="n">
        <v>28</v>
      </c>
      <c r="I200" s="72" t="inlineStr">
        <is>
          <t>А500С</t>
        </is>
      </c>
      <c r="J200" s="72" t="inlineStr">
        <is>
          <t>—</t>
        </is>
      </c>
      <c r="K200" s="75" t="n">
        <v>2</v>
      </c>
      <c r="L200" s="51" t="n">
        <v>2</v>
      </c>
      <c r="M200" s="69" t="n">
        <v>2.05</v>
      </c>
      <c r="N200" s="70">
        <f>K200*L200*M200</f>
        <v/>
      </c>
      <c r="O200" s="37">
        <f>IFERROR(INDEX(Исходные!$B$19:$B$31,MATCH(H200,Исходные!$A$19:$A$31,0)),0)</f>
        <v/>
      </c>
      <c r="P200" s="76">
        <f>N200*O200</f>
        <v/>
      </c>
      <c r="Q200" s="21" t="inlineStr">
        <is>
          <t>АС-24: выноска «ОС 2Ø28 А500С»; длина по привязкам отдельных стержней</t>
        </is>
      </c>
      <c r="R200" s="77" t="inlineStr">
        <is>
          <t>по геометрии чертежа</t>
        </is>
      </c>
      <c r="S200" s="21" t="inlineStr">
        <is>
          <t>Координаты от оси А: 18200…20000 мм; конец заведён до торца крайней колонны (+250)</t>
        </is>
      </c>
      <c r="T200" s="21" t="inlineStr">
        <is>
          <t>Ригели, балки, плита, С-1</t>
        </is>
      </c>
      <c r="U200" s="49" t="n">
        <v>0</v>
      </c>
      <c r="V200" s="72" t="inlineStr">
        <is>
          <t>Р-1, 5</t>
        </is>
      </c>
      <c r="W200" s="49" t="n">
        <v>1</v>
      </c>
    </row>
    <row r="201">
      <c r="A201" s="72" t="n">
        <v>193</v>
      </c>
      <c r="B201" s="21" t="inlineStr">
        <is>
          <t>1 этаж (отм. -0.050…+3.950)</t>
        </is>
      </c>
      <c r="C201" s="21" t="inlineStr">
        <is>
          <t>Ригели</t>
        </is>
      </c>
      <c r="D201" s="21" t="inlineStr">
        <is>
          <t>оси 1, 5 (отм. +3.950)</t>
        </is>
      </c>
      <c r="E201" s="21" t="inlineStr">
        <is>
          <t>Р-1, 5</t>
        </is>
      </c>
      <c r="F201" s="72" t="inlineStr">
        <is>
          <t>ОС</t>
        </is>
      </c>
      <c r="G201" s="21" t="inlineStr">
        <is>
          <t>ОС низ: 2Ø16, участок 0…4700 мм + 250 до торца</t>
        </is>
      </c>
      <c r="H201" s="51" t="n">
        <v>16</v>
      </c>
      <c r="I201" s="72" t="inlineStr">
        <is>
          <t>А500С</t>
        </is>
      </c>
      <c r="J201" s="72" t="inlineStr">
        <is>
          <t>—</t>
        </is>
      </c>
      <c r="K201" s="75" t="n">
        <v>2</v>
      </c>
      <c r="L201" s="51" t="n">
        <v>2</v>
      </c>
      <c r="M201" s="69" t="n">
        <v>4.95</v>
      </c>
      <c r="N201" s="70">
        <f>K201*L201*M201</f>
        <v/>
      </c>
      <c r="O201" s="37">
        <f>IFERROR(INDEX(Исходные!$B$19:$B$31,MATCH(H201,Исходные!$A$19:$A$31,0)),0)</f>
        <v/>
      </c>
      <c r="P201" s="76">
        <f>N201*O201</f>
        <v/>
      </c>
      <c r="Q201" s="21" t="inlineStr">
        <is>
          <t>АС-24: выноска «ОС 2Ø16 А500С»; длина по привязкам отдельных стержней</t>
        </is>
      </c>
      <c r="R201" s="77" t="inlineStr">
        <is>
          <t>по геометрии чертежа</t>
        </is>
      </c>
      <c r="S201" s="21" t="inlineStr">
        <is>
          <t>Координаты от оси А: 0…4700 мм; конец заведён до торца крайней колонны (+250)</t>
        </is>
      </c>
      <c r="T201" s="21" t="inlineStr">
        <is>
          <t>Ригели, балки, плита, С-1</t>
        </is>
      </c>
      <c r="U201" s="49" t="n">
        <v>0</v>
      </c>
      <c r="V201" s="72" t="inlineStr">
        <is>
          <t>Р-1, 5</t>
        </is>
      </c>
      <c r="W201" s="49" t="n">
        <v>1</v>
      </c>
    </row>
    <row r="202">
      <c r="A202" s="72" t="n">
        <v>194</v>
      </c>
      <c r="B202" s="21" t="inlineStr">
        <is>
          <t>1 этаж (отм. -0.050…+3.950)</t>
        </is>
      </c>
      <c r="C202" s="21" t="inlineStr">
        <is>
          <t>Ригели</t>
        </is>
      </c>
      <c r="D202" s="21" t="inlineStr">
        <is>
          <t>оси 1, 5 (отм. +3.950)</t>
        </is>
      </c>
      <c r="E202" s="21" t="inlineStr">
        <is>
          <t>Р-1, 5</t>
        </is>
      </c>
      <c r="F202" s="72" t="inlineStr">
        <is>
          <t>ОС</t>
        </is>
      </c>
      <c r="G202" s="21" t="inlineStr">
        <is>
          <t>ОС низ: 2Ø16, участок 8500…11500 мм</t>
        </is>
      </c>
      <c r="H202" s="51" t="n">
        <v>16</v>
      </c>
      <c r="I202" s="72" t="inlineStr">
        <is>
          <t>А500С</t>
        </is>
      </c>
      <c r="J202" s="72" t="inlineStr">
        <is>
          <t>—</t>
        </is>
      </c>
      <c r="K202" s="75" t="n">
        <v>2</v>
      </c>
      <c r="L202" s="51" t="n">
        <v>2</v>
      </c>
      <c r="M202" s="69" t="n">
        <v>3</v>
      </c>
      <c r="N202" s="70">
        <f>K202*L202*M202</f>
        <v/>
      </c>
      <c r="O202" s="37">
        <f>IFERROR(INDEX(Исходные!$B$19:$B$31,MATCH(H202,Исходные!$A$19:$A$31,0)),0)</f>
        <v/>
      </c>
      <c r="P202" s="76">
        <f>N202*O202</f>
        <v/>
      </c>
      <c r="Q202" s="21" t="inlineStr">
        <is>
          <t>АС-24: выноска «ОС 2Ø16 А500С»; длина по привязкам отдельных стержней</t>
        </is>
      </c>
      <c r="R202" s="77" t="inlineStr">
        <is>
          <t>по геометрии чертежа</t>
        </is>
      </c>
      <c r="S202" s="21" t="inlineStr">
        <is>
          <t>Координаты от оси А: 8500…11500 мм</t>
        </is>
      </c>
      <c r="T202" s="21" t="inlineStr">
        <is>
          <t>Ригели, балки, плита, С-1</t>
        </is>
      </c>
      <c r="U202" s="49" t="n">
        <v>0</v>
      </c>
      <c r="V202" s="72" t="inlineStr">
        <is>
          <t>Р-1, 5</t>
        </is>
      </c>
      <c r="W202" s="49" t="n">
        <v>1</v>
      </c>
    </row>
    <row r="203">
      <c r="A203" s="72" t="n">
        <v>195</v>
      </c>
      <c r="B203" s="21" t="inlineStr">
        <is>
          <t>1 этаж (отм. -0.050…+3.950)</t>
        </is>
      </c>
      <c r="C203" s="21" t="inlineStr">
        <is>
          <t>Ригели</t>
        </is>
      </c>
      <c r="D203" s="21" t="inlineStr">
        <is>
          <t>оси 1, 5 (отм. +3.950)</t>
        </is>
      </c>
      <c r="E203" s="21" t="inlineStr">
        <is>
          <t>Р-1, 5</t>
        </is>
      </c>
      <c r="F203" s="72" t="inlineStr">
        <is>
          <t>ОС</t>
        </is>
      </c>
      <c r="G203" s="21" t="inlineStr">
        <is>
          <t>ОС низ: 2Ø16, участок 15300…18200 мм</t>
        </is>
      </c>
      <c r="H203" s="51" t="n">
        <v>16</v>
      </c>
      <c r="I203" s="72" t="inlineStr">
        <is>
          <t>А500С</t>
        </is>
      </c>
      <c r="J203" s="72" t="inlineStr">
        <is>
          <t>—</t>
        </is>
      </c>
      <c r="K203" s="75" t="n">
        <v>2</v>
      </c>
      <c r="L203" s="51" t="n">
        <v>2</v>
      </c>
      <c r="M203" s="69" t="n">
        <v>2.9</v>
      </c>
      <c r="N203" s="70">
        <f>K203*L203*M203</f>
        <v/>
      </c>
      <c r="O203" s="37">
        <f>IFERROR(INDEX(Исходные!$B$19:$B$31,MATCH(H203,Исходные!$A$19:$A$31,0)),0)</f>
        <v/>
      </c>
      <c r="P203" s="76">
        <f>N203*O203</f>
        <v/>
      </c>
      <c r="Q203" s="21" t="inlineStr">
        <is>
          <t>АС-24: выноска «ОС 2Ø16 А500С»; длина по привязкам отдельных стержней</t>
        </is>
      </c>
      <c r="R203" s="77" t="inlineStr">
        <is>
          <t>по геометрии чертежа</t>
        </is>
      </c>
      <c r="S203" s="21" t="inlineStr">
        <is>
          <t>Координаты от оси А: 15300…18200 мм</t>
        </is>
      </c>
      <c r="T203" s="21" t="inlineStr">
        <is>
          <t>Ригели, балки, плита, С-1</t>
        </is>
      </c>
      <c r="U203" s="49" t="n">
        <v>0</v>
      </c>
      <c r="V203" s="72" t="inlineStr">
        <is>
          <t>Р-1, 5</t>
        </is>
      </c>
      <c r="W203" s="49" t="n">
        <v>1</v>
      </c>
    </row>
    <row r="204">
      <c r="A204" s="72" t="n">
        <v>196</v>
      </c>
      <c r="B204" s="21" t="inlineStr">
        <is>
          <t>1 этаж (отм. -0.050…+3.950)</t>
        </is>
      </c>
      <c r="C204" s="21" t="inlineStr">
        <is>
          <t>Ригели</t>
        </is>
      </c>
      <c r="D204" s="21" t="inlineStr">
        <is>
          <t>оси 1, 5 (отм. +3.950)</t>
        </is>
      </c>
      <c r="E204" s="21" t="inlineStr">
        <is>
          <t>Р-1, 5</t>
        </is>
      </c>
      <c r="F204" s="72" t="inlineStr">
        <is>
          <t>ОС</t>
        </is>
      </c>
      <c r="G204" s="21" t="inlineStr">
        <is>
          <t>Ос (бок) бок: 4Ø12, участок 0…1800 мм + 250 до торца</t>
        </is>
      </c>
      <c r="H204" s="51" t="n">
        <v>12</v>
      </c>
      <c r="I204" s="72" t="inlineStr">
        <is>
          <t>А500С</t>
        </is>
      </c>
      <c r="J204" s="72" t="inlineStr">
        <is>
          <t>—</t>
        </is>
      </c>
      <c r="K204" s="75" t="n">
        <v>2</v>
      </c>
      <c r="L204" s="51" t="n">
        <v>4</v>
      </c>
      <c r="M204" s="69" t="n">
        <v>2.05</v>
      </c>
      <c r="N204" s="70">
        <f>K204*L204*M204</f>
        <v/>
      </c>
      <c r="O204" s="37">
        <f>IFERROR(INDEX(Исходные!$B$19:$B$31,MATCH(H204,Исходные!$A$19:$A$31,0)),0)</f>
        <v/>
      </c>
      <c r="P204" s="76">
        <f>N204*O204</f>
        <v/>
      </c>
      <c r="Q204" s="21" t="inlineStr">
        <is>
          <t>АС-24: выноска «Ос (бок) 4Ø12 А500С» (бок); длина по привязкам отдельных стержней</t>
        </is>
      </c>
      <c r="R204" s="77" t="inlineStr">
        <is>
          <t>по геометрии чертежа</t>
        </is>
      </c>
      <c r="S204" s="21" t="inlineStr">
        <is>
          <t>Координаты от оси А: 0…1800 мм; конец заведён до торца крайней колонны (+250)</t>
        </is>
      </c>
      <c r="T204" s="21" t="inlineStr">
        <is>
          <t>Ригели, балки, плита, С-1</t>
        </is>
      </c>
      <c r="U204" s="49" t="n">
        <v>0</v>
      </c>
      <c r="V204" s="72" t="inlineStr">
        <is>
          <t>Р-1, 5</t>
        </is>
      </c>
      <c r="W204" s="49" t="n">
        <v>1</v>
      </c>
    </row>
    <row r="205">
      <c r="A205" s="72" t="n">
        <v>197</v>
      </c>
      <c r="B205" s="21" t="inlineStr">
        <is>
          <t>1 этаж (отм. -0.050…+3.950)</t>
        </is>
      </c>
      <c r="C205" s="21" t="inlineStr">
        <is>
          <t>Ригели</t>
        </is>
      </c>
      <c r="D205" s="21" t="inlineStr">
        <is>
          <t>оси 1, 5 (отм. +3.950)</t>
        </is>
      </c>
      <c r="E205" s="21" t="inlineStr">
        <is>
          <t>Р-1, 5</t>
        </is>
      </c>
      <c r="F205" s="72" t="inlineStr">
        <is>
          <t>12</t>
        </is>
      </c>
      <c r="G205" s="21" t="inlineStr">
        <is>
          <t>Хомут Ø8 L=2060 ш.100 у опор (100×12), ш.150 в пролёте, 80×4 у балок плиты — вне заштрихованных участков</t>
        </is>
      </c>
      <c r="H205" s="51" t="n">
        <v>8</v>
      </c>
      <c r="I205" s="72" t="inlineStr">
        <is>
          <t>А240</t>
        </is>
      </c>
      <c r="J205" s="72" t="inlineStr">
        <is>
          <t>100/150</t>
        </is>
      </c>
      <c r="K205" s="75" t="n">
        <v>2</v>
      </c>
      <c r="L205" s="51" t="n">
        <v>112</v>
      </c>
      <c r="M205" s="69" t="n">
        <v>2.06</v>
      </c>
      <c r="N205" s="70">
        <f>K205*L205*M205</f>
        <v/>
      </c>
      <c r="O205" s="37">
        <f>IFERROR(INDEX(Исходные!$B$19:$B$31,MATCH(H205,Исходные!$A$19:$A$31,0)),0)</f>
        <v/>
      </c>
      <c r="P205" s="76">
        <f>N205*O205</f>
        <v/>
      </c>
      <c r="Q205" s="21" t="inlineStr">
        <is>
          <t>АС-28 сеч.4-4/5-5 поз.12; АС-29 «Расстановка хомутов в ригелях»</t>
        </is>
      </c>
      <c r="R205" s="77" t="inlineStr">
        <is>
          <t>по проекту</t>
        </is>
      </c>
      <c r="S205" s="21" t="inlineStr">
        <is>
          <t>Пролёты в свету [(300, 6200), (6800, 13200), (13800, 19700)], сумма 18200 мм</t>
        </is>
      </c>
      <c r="T205" s="21" t="inlineStr">
        <is>
          <t>Ригели, балки, плита, С-1</t>
        </is>
      </c>
      <c r="U205" s="49" t="n">
        <v>0</v>
      </c>
      <c r="V205" s="72" t="inlineStr">
        <is>
          <t>Р-1, 5</t>
        </is>
      </c>
      <c r="W205" s="49" t="n">
        <v>1</v>
      </c>
    </row>
    <row r="206">
      <c r="A206" s="72" t="n">
        <v>198</v>
      </c>
      <c r="B206" s="21" t="inlineStr">
        <is>
          <t>1 этаж (отм. -0.050…+3.950)</t>
        </is>
      </c>
      <c r="C206" s="21" t="inlineStr">
        <is>
          <t>Ригели</t>
        </is>
      </c>
      <c r="D206" s="21" t="inlineStr">
        <is>
          <t>оси 1, 5 (отм. +3.950)</t>
        </is>
      </c>
      <c r="E206" s="21" t="inlineStr">
        <is>
          <t>Р-1, 5</t>
        </is>
      </c>
      <c r="F206" s="72" t="inlineStr">
        <is>
          <t>13</t>
        </is>
      </c>
      <c r="G206" s="21" t="inlineStr">
        <is>
          <t>Хомут наружный Ø10 L=2060 ш.100 — заштрихованные участки рамы</t>
        </is>
      </c>
      <c r="H206" s="51" t="n">
        <v>10</v>
      </c>
      <c r="I206" s="72" t="inlineStr">
        <is>
          <t>А240</t>
        </is>
      </c>
      <c r="J206" s="72" t="n">
        <v>100</v>
      </c>
      <c r="K206" s="75" t="n">
        <v>2</v>
      </c>
      <c r="L206" s="51" t="n">
        <v>36</v>
      </c>
      <c r="M206" s="69" t="n">
        <v>2.06</v>
      </c>
      <c r="N206" s="70">
        <f>K206*L206*M206</f>
        <v/>
      </c>
      <c r="O206" s="37">
        <f>IFERROR(INDEX(Исходные!$B$19:$B$31,MATCH(H206,Исходные!$A$19:$A$31,0)),0)</f>
        <v/>
      </c>
      <c r="P206" s="76">
        <f>N206*O206</f>
        <v/>
      </c>
      <c r="Q206" s="21" t="inlineStr">
        <is>
          <t>АС-24 штриховка «100×15»; АС-28 Фрагмент №1, поз.13</t>
        </is>
      </c>
      <c r="R206" s="77" t="inlineStr">
        <is>
          <t>по проекту</t>
        </is>
      </c>
      <c r="S206" s="21" t="inlineStr">
        <is>
          <t>Участки (мм): одинарные [(300, 1700), (5100, 7900)], двойные []</t>
        </is>
      </c>
      <c r="T206" s="21" t="inlineStr">
        <is>
          <t>Ригели, балки, плита, С-1</t>
        </is>
      </c>
      <c r="U206" s="49" t="n">
        <v>0</v>
      </c>
      <c r="V206" s="72" t="inlineStr">
        <is>
          <t>Р-1, 5</t>
        </is>
      </c>
      <c r="W206" s="49" t="n">
        <v>1</v>
      </c>
    </row>
    <row r="207">
      <c r="A207" s="72" t="n">
        <v>199</v>
      </c>
      <c r="B207" s="21" t="inlineStr">
        <is>
          <t>1 этаж (отм. -0.050…+3.950)</t>
        </is>
      </c>
      <c r="C207" s="21" t="inlineStr">
        <is>
          <t>Ригели</t>
        </is>
      </c>
      <c r="D207" s="21" t="inlineStr">
        <is>
          <t>оси 1, 5 (отм. +3.950)</t>
        </is>
      </c>
      <c r="E207" s="21" t="inlineStr">
        <is>
          <t>Р-1, 5</t>
        </is>
      </c>
      <c r="F207" s="72" t="inlineStr">
        <is>
          <t>17</t>
        </is>
      </c>
      <c r="G207" s="21" t="inlineStr">
        <is>
          <t>Шпилька вертикальная Ø8 L=750: ш.200 у опор, ш.150 в пролёте (нет в зонах двойных хомутов)</t>
        </is>
      </c>
      <c r="H207" s="51" t="n">
        <v>8</v>
      </c>
      <c r="I207" s="72" t="inlineStr">
        <is>
          <t>А240</t>
        </is>
      </c>
      <c r="J207" s="72" t="inlineStr">
        <is>
          <t>200/150</t>
        </is>
      </c>
      <c r="K207" s="75" t="n">
        <v>2</v>
      </c>
      <c r="L207" s="51" t="n">
        <v>99</v>
      </c>
      <c r="M207" s="69" t="n">
        <v>0.75</v>
      </c>
      <c r="N207" s="70">
        <f>K207*L207*M207</f>
        <v/>
      </c>
      <c r="O207" s="37">
        <f>IFERROR(INDEX(Исходные!$B$19:$B$31,MATCH(H207,Исходные!$A$19:$A$31,0)),0)</f>
        <v/>
      </c>
      <c r="P207" s="76">
        <f>N207*O207</f>
        <v/>
      </c>
      <c r="Q207" s="21" t="inlineStr">
        <is>
          <t>АС-28 сеч.4-4/5-5 поз.17</t>
        </is>
      </c>
      <c r="R207" s="77" t="inlineStr">
        <is>
          <t>по проекту</t>
        </is>
      </c>
      <c r="S207" s="21" t="inlineStr"/>
      <c r="T207" s="21" t="inlineStr">
        <is>
          <t>Ригели, балки, плита, С-1</t>
        </is>
      </c>
      <c r="U207" s="49" t="n">
        <v>0</v>
      </c>
      <c r="V207" s="72" t="inlineStr">
        <is>
          <t>Р-1, 5</t>
        </is>
      </c>
      <c r="W207" s="49" t="n">
        <v>1</v>
      </c>
    </row>
    <row r="208">
      <c r="A208" s="72" t="n">
        <v>200</v>
      </c>
      <c r="B208" s="21" t="inlineStr">
        <is>
          <t>1 этаж (отм. -0.050…+3.950)</t>
        </is>
      </c>
      <c r="C208" s="21" t="inlineStr">
        <is>
          <t>Ригели</t>
        </is>
      </c>
      <c r="D208" s="21" t="inlineStr">
        <is>
          <t>оси 1, 5 (отм. +3.950)</t>
        </is>
      </c>
      <c r="E208" s="21" t="inlineStr">
        <is>
          <t>Р-1, 5</t>
        </is>
      </c>
      <c r="F208" s="72" t="inlineStr">
        <is>
          <t>16</t>
        </is>
      </c>
      <c r="G208" s="21" t="inlineStr">
        <is>
          <t>Шпилька горизонтальная Ø8 L=580 ш.300 (связь боковых 2Ø16)</t>
        </is>
      </c>
      <c r="H208" s="51" t="n">
        <v>8</v>
      </c>
      <c r="I208" s="72" t="inlineStr">
        <is>
          <t>А240</t>
        </is>
      </c>
      <c r="J208" s="72" t="n">
        <v>300</v>
      </c>
      <c r="K208" s="75" t="n">
        <v>2</v>
      </c>
      <c r="L208" s="51" t="n">
        <v>62</v>
      </c>
      <c r="M208" s="69" t="n">
        <v>0.58</v>
      </c>
      <c r="N208" s="70">
        <f>K208*L208*M208</f>
        <v/>
      </c>
      <c r="O208" s="37">
        <f>IFERROR(INDEX(Исходные!$B$19:$B$31,MATCH(H208,Исходные!$A$19:$A$31,0)),0)</f>
        <v/>
      </c>
      <c r="P208" s="76">
        <f>N208*O208</f>
        <v/>
      </c>
      <c r="Q208" s="21" t="inlineStr">
        <is>
          <t>АС-28 сеч.4-4/5-5 «шп.Ø8 А240 ш.300», поз.16 L=580</t>
        </is>
      </c>
      <c r="R208" s="78" t="inlineStr">
        <is>
          <t>принято (уточнить)</t>
        </is>
      </c>
      <c r="S208" s="21" t="inlineStr">
        <is>
          <t>Номер позиции на сечении не указан — принята поз.16 (L=580) по ведомости деталей.</t>
        </is>
      </c>
      <c r="T208" s="21" t="inlineStr">
        <is>
          <t>Ригели, балки, плита, С-1</t>
        </is>
      </c>
      <c r="U208" s="49" t="n">
        <v>1</v>
      </c>
      <c r="V208" s="72" t="inlineStr">
        <is>
          <t>Р-1, 5</t>
        </is>
      </c>
      <c r="W208" s="49" t="n">
        <v>1</v>
      </c>
    </row>
    <row r="209">
      <c r="A209" s="72" t="n">
        <v>201</v>
      </c>
      <c r="B209" s="21" t="inlineStr">
        <is>
          <t>1 этаж (отм. -0.050…+3.950)</t>
        </is>
      </c>
      <c r="C209" s="21" t="inlineStr">
        <is>
          <t>Ригели</t>
        </is>
      </c>
      <c r="D209" s="21" t="inlineStr">
        <is>
          <t>ось 2 (отм. +3.950)</t>
        </is>
      </c>
      <c r="E209" s="21" t="inlineStr">
        <is>
          <t>Р-2</t>
        </is>
      </c>
      <c r="F209" s="72" t="inlineStr">
        <is>
          <t>2</t>
        </is>
      </c>
      <c r="G209" s="21" t="inlineStr">
        <is>
          <t>Продольные угловые 4Ø28 (сеч.4-4/5-5), сквозные, концы с Аш</t>
        </is>
      </c>
      <c r="H209" s="51" t="n">
        <v>28</v>
      </c>
      <c r="I209" s="72" t="inlineStr">
        <is>
          <t>А500С</t>
        </is>
      </c>
      <c r="J209" s="72" t="inlineStr">
        <is>
          <t>—</t>
        </is>
      </c>
      <c r="K209" s="75" t="n">
        <v>1</v>
      </c>
      <c r="L209" s="51" t="n">
        <v>4</v>
      </c>
      <c r="M209" s="69" t="n">
        <v>20.5</v>
      </c>
      <c r="N209" s="70">
        <f>K209*L209*M209</f>
        <v/>
      </c>
      <c r="O209" s="37">
        <f>IFERROR(INDEX(Исходные!$B$19:$B$31,MATCH(H209,Исходные!$A$19:$A$31,0)),0)</f>
        <v/>
      </c>
      <c r="P209" s="76">
        <f>N209*O209</f>
        <v/>
      </c>
      <c r="Q209" s="21" t="inlineStr">
        <is>
          <t>АС-25 рама + АС-28 сеч.4-4/5-5 поз.2; длина = 20000+2×250 (до 50 мм от наружной грани крайней колонны)</t>
        </is>
      </c>
      <c r="R209" s="77" t="inlineStr">
        <is>
          <t>по геометрии чертежа</t>
        </is>
      </c>
      <c r="S209" s="21" t="inlineStr">
        <is>
          <t>Стыки ванной сваркой без нахлёста: 1 на стержень (всего 4).</t>
        </is>
      </c>
      <c r="T209" s="21" t="inlineStr">
        <is>
          <t>Ригели, балки, плита, С-1</t>
        </is>
      </c>
      <c r="U209" s="49" t="n">
        <v>0</v>
      </c>
      <c r="V209" s="72" t="inlineStr">
        <is>
          <t>Р-2</t>
        </is>
      </c>
      <c r="W209" s="49" t="n">
        <v>1</v>
      </c>
    </row>
    <row r="210">
      <c r="A210" s="72" t="n">
        <v>202</v>
      </c>
      <c r="B210" s="21" t="inlineStr">
        <is>
          <t>1 этаж (отм. -0.050…+3.950)</t>
        </is>
      </c>
      <c r="C210" s="21" t="inlineStr">
        <is>
          <t>Ригели</t>
        </is>
      </c>
      <c r="D210" s="21" t="inlineStr">
        <is>
          <t>ось 2 (отм. +3.950)</t>
        </is>
      </c>
      <c r="E210" s="21" t="inlineStr">
        <is>
          <t>Р-2</t>
        </is>
      </c>
      <c r="F210" s="72" t="inlineStr">
        <is>
          <t>6</t>
        </is>
      </c>
      <c r="G210" s="21" t="inlineStr">
        <is>
          <t>Продольные средние верх/низ 2Ø18 (сеч.4-4/5-5)</t>
        </is>
      </c>
      <c r="H210" s="51" t="n">
        <v>18</v>
      </c>
      <c r="I210" s="72" t="inlineStr">
        <is>
          <t>А500С</t>
        </is>
      </c>
      <c r="J210" s="72" t="inlineStr">
        <is>
          <t>—</t>
        </is>
      </c>
      <c r="K210" s="75" t="n">
        <v>1</v>
      </c>
      <c r="L210" s="51" t="n">
        <v>2</v>
      </c>
      <c r="M210" s="69" t="n">
        <v>20.5</v>
      </c>
      <c r="N210" s="70">
        <f>K210*L210*M210</f>
        <v/>
      </c>
      <c r="O210" s="37">
        <f>IFERROR(INDEX(Исходные!$B$19:$B$31,MATCH(H210,Исходные!$A$19:$A$31,0)),0)</f>
        <v/>
      </c>
      <c r="P210" s="76">
        <f>N210*O210</f>
        <v/>
      </c>
      <c r="Q210" s="21" t="inlineStr">
        <is>
          <t>АС-28 сеч.4-4/5-5 поз.6</t>
        </is>
      </c>
      <c r="R210" s="77" t="inlineStr">
        <is>
          <t>по геометрии чертежа</t>
        </is>
      </c>
      <c r="S210" s="21" t="inlineStr"/>
      <c r="T210" s="21" t="inlineStr">
        <is>
          <t>Ригели, балки, плита, С-1</t>
        </is>
      </c>
      <c r="U210" s="49" t="n">
        <v>0</v>
      </c>
      <c r="V210" s="72" t="inlineStr">
        <is>
          <t>Р-2</t>
        </is>
      </c>
      <c r="W210" s="49" t="n">
        <v>1</v>
      </c>
    </row>
    <row r="211">
      <c r="A211" s="72" t="n">
        <v>203</v>
      </c>
      <c r="B211" s="21" t="inlineStr">
        <is>
          <t>1 этаж (отм. -0.050…+3.950)</t>
        </is>
      </c>
      <c r="C211" s="21" t="inlineStr">
        <is>
          <t>Ригели</t>
        </is>
      </c>
      <c r="D211" s="21" t="inlineStr">
        <is>
          <t>ось 2 (отм. +3.950)</t>
        </is>
      </c>
      <c r="E211" s="21" t="inlineStr">
        <is>
          <t>Р-2</t>
        </is>
      </c>
      <c r="F211" s="72" t="inlineStr">
        <is>
          <t>6-нахл</t>
        </is>
      </c>
      <c r="G211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211" s="51" t="n">
        <v>18</v>
      </c>
      <c r="I211" s="72" t="inlineStr">
        <is>
          <t>А500С</t>
        </is>
      </c>
      <c r="J211" s="72" t="inlineStr">
        <is>
          <t>—</t>
        </is>
      </c>
      <c r="K211" s="75" t="n">
        <v>2</v>
      </c>
      <c r="L211" s="51" t="n">
        <v>1</v>
      </c>
      <c r="M211" s="69" t="n">
        <v>0.144</v>
      </c>
      <c r="N211" s="70">
        <f>K211*L211*M211</f>
        <v/>
      </c>
      <c r="O211" s="37">
        <f>IFERROR(INDEX(Исходные!$B$19:$B$31,MATCH(H211,Исходные!$A$19:$A$31,0)),0)</f>
        <v/>
      </c>
      <c r="P211" s="76">
        <f>N211*O211</f>
        <v/>
      </c>
      <c r="Q211" s="21" t="inlineStr">
        <is>
          <t>АС-19 прим.1: Ø18 и менее — внахлёстку электродуговой сваркой, Lшва=8d = 144 мм</t>
        </is>
      </c>
      <c r="R211" s="77" t="inlineStr">
        <is>
          <t>по проекту (стыковка прутков 11,7 м)</t>
        </is>
      </c>
      <c r="S211" s="21" t="inlineStr">
        <is>
          <t>Чистая длина 20.500 м; кусков 2; стыков 1; Lнахл=1×0.144=0.144 м на стержень</t>
        </is>
      </c>
      <c r="T211" s="21" t="inlineStr">
        <is>
          <t>Ригели, балки, плита, С-1</t>
        </is>
      </c>
      <c r="U211" s="49" t="n">
        <v>0</v>
      </c>
      <c r="V211" s="72" t="inlineStr">
        <is>
          <t>Р-2</t>
        </is>
      </c>
      <c r="W211" s="49" t="n">
        <v>1</v>
      </c>
    </row>
    <row r="212">
      <c r="A212" s="72" t="n">
        <v>204</v>
      </c>
      <c r="B212" s="21" t="inlineStr">
        <is>
          <t>1 этаж (отм. -0.050…+3.950)</t>
        </is>
      </c>
      <c r="C212" s="21" t="inlineStr">
        <is>
          <t>Ригели</t>
        </is>
      </c>
      <c r="D212" s="21" t="inlineStr">
        <is>
          <t>ось 2 (отм. +3.950)</t>
        </is>
      </c>
      <c r="E212" s="21" t="inlineStr">
        <is>
          <t>Р-2</t>
        </is>
      </c>
      <c r="F212" s="72" t="inlineStr">
        <is>
          <t>7</t>
        </is>
      </c>
      <c r="G212" s="21" t="inlineStr">
        <is>
          <t>Боковые стержни 2Ø16 (сеч.4-4/5-5)</t>
        </is>
      </c>
      <c r="H212" s="51" t="n">
        <v>16</v>
      </c>
      <c r="I212" s="72" t="inlineStr">
        <is>
          <t>А500С</t>
        </is>
      </c>
      <c r="J212" s="72" t="inlineStr">
        <is>
          <t>—</t>
        </is>
      </c>
      <c r="K212" s="75" t="n">
        <v>1</v>
      </c>
      <c r="L212" s="51" t="n">
        <v>2</v>
      </c>
      <c r="M212" s="69" t="n">
        <v>20.5</v>
      </c>
      <c r="N212" s="70">
        <f>K212*L212*M212</f>
        <v/>
      </c>
      <c r="O212" s="37">
        <f>IFERROR(INDEX(Исходные!$B$19:$B$31,MATCH(H212,Исходные!$A$19:$A$31,0)),0)</f>
        <v/>
      </c>
      <c r="P212" s="76">
        <f>N212*O212</f>
        <v/>
      </c>
      <c r="Q212" s="21" t="inlineStr">
        <is>
          <t>АС-28 сеч.4-4/5-5 «Боковые стержни 2Ø16»</t>
        </is>
      </c>
      <c r="R212" s="77" t="inlineStr">
        <is>
          <t>по геометрии чертежа</t>
        </is>
      </c>
      <c r="S212" s="21" t="inlineStr"/>
      <c r="T212" s="21" t="inlineStr">
        <is>
          <t>Ригели, балки, плита, С-1</t>
        </is>
      </c>
      <c r="U212" s="49" t="n">
        <v>0</v>
      </c>
      <c r="V212" s="72" t="inlineStr">
        <is>
          <t>Р-2</t>
        </is>
      </c>
      <c r="W212" s="49" t="n">
        <v>1</v>
      </c>
    </row>
    <row r="213">
      <c r="A213" s="72" t="n">
        <v>205</v>
      </c>
      <c r="B213" s="21" t="inlineStr">
        <is>
          <t>1 этаж (отм. -0.050…+3.950)</t>
        </is>
      </c>
      <c r="C213" s="21" t="inlineStr">
        <is>
          <t>Ригели</t>
        </is>
      </c>
      <c r="D213" s="21" t="inlineStr">
        <is>
          <t>ось 2 (отм. +3.950)</t>
        </is>
      </c>
      <c r="E213" s="21" t="inlineStr">
        <is>
          <t>Р-2</t>
        </is>
      </c>
      <c r="F213" s="72" t="inlineStr">
        <is>
          <t>7-нахл</t>
        </is>
      </c>
      <c r="G213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213" s="51" t="n">
        <v>16</v>
      </c>
      <c r="I213" s="72" t="inlineStr">
        <is>
          <t>А500С</t>
        </is>
      </c>
      <c r="J213" s="72" t="inlineStr">
        <is>
          <t>—</t>
        </is>
      </c>
      <c r="K213" s="75" t="n">
        <v>2</v>
      </c>
      <c r="L213" s="51" t="n">
        <v>1</v>
      </c>
      <c r="M213" s="69" t="n">
        <v>0.128</v>
      </c>
      <c r="N213" s="70">
        <f>K213*L213*M213</f>
        <v/>
      </c>
      <c r="O213" s="37">
        <f>IFERROR(INDEX(Исходные!$B$19:$B$31,MATCH(H213,Исходные!$A$19:$A$31,0)),0)</f>
        <v/>
      </c>
      <c r="P213" s="76">
        <f>N213*O213</f>
        <v/>
      </c>
      <c r="Q213" s="21" t="inlineStr">
        <is>
          <t>АС-19 прим.1: Ø18 и менее — внахлёстку электродуговой сваркой, Lшва=8d = 128 мм</t>
        </is>
      </c>
      <c r="R213" s="77" t="inlineStr">
        <is>
          <t>по проекту (стыковка прутков 11,7 м)</t>
        </is>
      </c>
      <c r="S213" s="21" t="inlineStr">
        <is>
          <t>Чистая длина 20.500 м; кусков 2; стыков 1; Lнахл=1×0.128=0.128 м на стержень</t>
        </is>
      </c>
      <c r="T213" s="21" t="inlineStr">
        <is>
          <t>Ригели, балки, плита, С-1</t>
        </is>
      </c>
      <c r="U213" s="49" t="n">
        <v>0</v>
      </c>
      <c r="V213" s="72" t="inlineStr">
        <is>
          <t>Р-2</t>
        </is>
      </c>
      <c r="W213" s="49" t="n">
        <v>1</v>
      </c>
    </row>
    <row r="214">
      <c r="A214" s="72" t="n">
        <v>206</v>
      </c>
      <c r="B214" s="21" t="inlineStr">
        <is>
          <t>1 этаж (отм. -0.050…+3.950)</t>
        </is>
      </c>
      <c r="C214" s="21" t="inlineStr">
        <is>
          <t>Ригели</t>
        </is>
      </c>
      <c r="D214" s="21" t="inlineStr">
        <is>
          <t>ось 2 (отм. +3.950)</t>
        </is>
      </c>
      <c r="E214" s="21" t="inlineStr">
        <is>
          <t>Р-2</t>
        </is>
      </c>
      <c r="F214" s="72" t="inlineStr">
        <is>
          <t>ОС</t>
        </is>
      </c>
      <c r="G214" s="21" t="inlineStr">
        <is>
          <t>ОС верх 2-й ряд: 1Ø20, участок 1000…3400 мм</t>
        </is>
      </c>
      <c r="H214" s="51" t="n">
        <v>20</v>
      </c>
      <c r="I214" s="72" t="inlineStr">
        <is>
          <t>А500С</t>
        </is>
      </c>
      <c r="J214" s="72" t="inlineStr">
        <is>
          <t>—</t>
        </is>
      </c>
      <c r="K214" s="75" t="n">
        <v>1</v>
      </c>
      <c r="L214" s="51" t="n">
        <v>1</v>
      </c>
      <c r="M214" s="69" t="n">
        <v>2.4</v>
      </c>
      <c r="N214" s="70">
        <f>K214*L214*M214</f>
        <v/>
      </c>
      <c r="O214" s="37">
        <f>IFERROR(INDEX(Исходные!$B$19:$B$31,MATCH(H214,Исходные!$A$19:$A$31,0)),0)</f>
        <v/>
      </c>
      <c r="P214" s="76">
        <f>N214*O214</f>
        <v/>
      </c>
      <c r="Q214" s="21" t="inlineStr">
        <is>
          <t>АС-25: выноска «ОС 1Ø20 А500С»; длина по привязкам отдельных стержней</t>
        </is>
      </c>
      <c r="R214" s="77" t="inlineStr">
        <is>
          <t>по геометрии чертежа</t>
        </is>
      </c>
      <c r="S214" s="21" t="inlineStr">
        <is>
          <t>Координаты от оси А: 1000…3400 мм</t>
        </is>
      </c>
      <c r="T214" s="21" t="inlineStr">
        <is>
          <t>Ригели, балки, плита, С-1</t>
        </is>
      </c>
      <c r="U214" s="49" t="n">
        <v>0</v>
      </c>
      <c r="V214" s="72" t="inlineStr">
        <is>
          <t>Р-2</t>
        </is>
      </c>
      <c r="W214" s="49" t="n">
        <v>1</v>
      </c>
    </row>
    <row r="215">
      <c r="A215" s="72" t="n">
        <v>207</v>
      </c>
      <c r="B215" s="21" t="inlineStr">
        <is>
          <t>1 этаж (отм. -0.050…+3.950)</t>
        </is>
      </c>
      <c r="C215" s="21" t="inlineStr">
        <is>
          <t>Ригели</t>
        </is>
      </c>
      <c r="D215" s="21" t="inlineStr">
        <is>
          <t>ось 2 (отм. +3.950)</t>
        </is>
      </c>
      <c r="E215" s="21" t="inlineStr">
        <is>
          <t>Р-2</t>
        </is>
      </c>
      <c r="F215" s="72" t="inlineStr">
        <is>
          <t>ОС</t>
        </is>
      </c>
      <c r="G215" s="21" t="inlineStr">
        <is>
          <t>ОС верх 2-й ряд: 2Ø14, участок 8000…12000 мм</t>
        </is>
      </c>
      <c r="H215" s="51" t="n">
        <v>14</v>
      </c>
      <c r="I215" s="72" t="inlineStr">
        <is>
          <t>А500С</t>
        </is>
      </c>
      <c r="J215" s="72" t="inlineStr">
        <is>
          <t>—</t>
        </is>
      </c>
      <c r="K215" s="75" t="n">
        <v>1</v>
      </c>
      <c r="L215" s="51" t="n">
        <v>2</v>
      </c>
      <c r="M215" s="69" t="n">
        <v>4</v>
      </c>
      <c r="N215" s="70">
        <f>K215*L215*M215</f>
        <v/>
      </c>
      <c r="O215" s="37">
        <f>IFERROR(INDEX(Исходные!$B$19:$B$31,MATCH(H215,Исходные!$A$19:$A$31,0)),0)</f>
        <v/>
      </c>
      <c r="P215" s="76">
        <f>N215*O215</f>
        <v/>
      </c>
      <c r="Q215" s="21" t="inlineStr">
        <is>
          <t>АС-25: выноска «ОС 2Ø14 А500С»; длина по привязкам отдельных стержней</t>
        </is>
      </c>
      <c r="R215" s="77" t="inlineStr">
        <is>
          <t>по геометрии чертежа</t>
        </is>
      </c>
      <c r="S215" s="21" t="inlineStr">
        <is>
          <t>Координаты от оси А: 8000…12000 мм</t>
        </is>
      </c>
      <c r="T215" s="21" t="inlineStr">
        <is>
          <t>Ригели, балки, плита, С-1</t>
        </is>
      </c>
      <c r="U215" s="49" t="n">
        <v>0</v>
      </c>
      <c r="V215" s="72" t="inlineStr">
        <is>
          <t>Р-2</t>
        </is>
      </c>
      <c r="W215" s="49" t="n">
        <v>1</v>
      </c>
    </row>
    <row r="216">
      <c r="A216" s="72" t="n">
        <v>208</v>
      </c>
      <c r="B216" s="21" t="inlineStr">
        <is>
          <t>1 этаж (отм. -0.050…+3.950)</t>
        </is>
      </c>
      <c r="C216" s="21" t="inlineStr">
        <is>
          <t>Ригели</t>
        </is>
      </c>
      <c r="D216" s="21" t="inlineStr">
        <is>
          <t>ось 2 (отм. +3.950)</t>
        </is>
      </c>
      <c r="E216" s="21" t="inlineStr">
        <is>
          <t>Р-2</t>
        </is>
      </c>
      <c r="F216" s="72" t="inlineStr">
        <is>
          <t>ОС</t>
        </is>
      </c>
      <c r="G216" s="21" t="inlineStr">
        <is>
          <t>ОС верх: 2Ø32, участок 1000…8500 мм</t>
        </is>
      </c>
      <c r="H216" s="51" t="n">
        <v>32</v>
      </c>
      <c r="I216" s="72" t="inlineStr">
        <is>
          <t>А500С</t>
        </is>
      </c>
      <c r="J216" s="72" t="inlineStr">
        <is>
          <t>—</t>
        </is>
      </c>
      <c r="K216" s="75" t="n">
        <v>1</v>
      </c>
      <c r="L216" s="51" t="n">
        <v>2</v>
      </c>
      <c r="M216" s="69" t="n">
        <v>7.5</v>
      </c>
      <c r="N216" s="70">
        <f>K216*L216*M216</f>
        <v/>
      </c>
      <c r="O216" s="37">
        <f>IFERROR(INDEX(Исходные!$B$19:$B$31,MATCH(H216,Исходные!$A$19:$A$31,0)),0)</f>
        <v/>
      </c>
      <c r="P216" s="76">
        <f>N216*O216</f>
        <v/>
      </c>
      <c r="Q216" s="21" t="inlineStr">
        <is>
          <t>АС-25: выноска «ОС 2Ø32 А500С»; длина по привязкам отдельных стержней</t>
        </is>
      </c>
      <c r="R216" s="77" t="inlineStr">
        <is>
          <t>по геометрии чертежа</t>
        </is>
      </c>
      <c r="S216" s="21" t="inlineStr">
        <is>
          <t>Координаты от оси А: 1000…8500 мм</t>
        </is>
      </c>
      <c r="T216" s="21" t="inlineStr">
        <is>
          <t>Ригели, балки, плита, С-1</t>
        </is>
      </c>
      <c r="U216" s="49" t="n">
        <v>0</v>
      </c>
      <c r="V216" s="72" t="inlineStr">
        <is>
          <t>Р-2</t>
        </is>
      </c>
      <c r="W216" s="49" t="n">
        <v>1</v>
      </c>
    </row>
    <row r="217">
      <c r="A217" s="72" t="n">
        <v>209</v>
      </c>
      <c r="B217" s="21" t="inlineStr">
        <is>
          <t>1 этаж (отм. -0.050…+3.950)</t>
        </is>
      </c>
      <c r="C217" s="21" t="inlineStr">
        <is>
          <t>Ригели</t>
        </is>
      </c>
      <c r="D217" s="21" t="inlineStr">
        <is>
          <t>ось 2 (отм. +3.950)</t>
        </is>
      </c>
      <c r="E217" s="21" t="inlineStr">
        <is>
          <t>Р-2</t>
        </is>
      </c>
      <c r="F217" s="72" t="inlineStr">
        <is>
          <t>ОС</t>
        </is>
      </c>
      <c r="G217" s="21" t="inlineStr">
        <is>
          <t>ОС верх: 2Ø32, участок 11500…15100 мм</t>
        </is>
      </c>
      <c r="H217" s="51" t="n">
        <v>32</v>
      </c>
      <c r="I217" s="72" t="inlineStr">
        <is>
          <t>А500С</t>
        </is>
      </c>
      <c r="J217" s="72" t="inlineStr">
        <is>
          <t>—</t>
        </is>
      </c>
      <c r="K217" s="75" t="n">
        <v>1</v>
      </c>
      <c r="L217" s="51" t="n">
        <v>2</v>
      </c>
      <c r="M217" s="69" t="n">
        <v>3.6</v>
      </c>
      <c r="N217" s="70">
        <f>K217*L217*M217</f>
        <v/>
      </c>
      <c r="O217" s="37">
        <f>IFERROR(INDEX(Исходные!$B$19:$B$31,MATCH(H217,Исходные!$A$19:$A$31,0)),0)</f>
        <v/>
      </c>
      <c r="P217" s="76">
        <f>N217*O217</f>
        <v/>
      </c>
      <c r="Q217" s="21" t="inlineStr">
        <is>
          <t>АС-25: выноска «ОС 2Ø32 А500С»; длина по привязкам отдельных стержней</t>
        </is>
      </c>
      <c r="R217" s="77" t="inlineStr">
        <is>
          <t>по геометрии чертежа</t>
        </is>
      </c>
      <c r="S217" s="21" t="inlineStr">
        <is>
          <t>Координаты от оси А: 11500…15100 мм</t>
        </is>
      </c>
      <c r="T217" s="21" t="inlineStr">
        <is>
          <t>Ригели, балки, плита, С-1</t>
        </is>
      </c>
      <c r="U217" s="49" t="n">
        <v>0</v>
      </c>
      <c r="V217" s="72" t="inlineStr">
        <is>
          <t>Р-2</t>
        </is>
      </c>
      <c r="W217" s="49" t="n">
        <v>1</v>
      </c>
    </row>
    <row r="218">
      <c r="A218" s="72" t="n">
        <v>210</v>
      </c>
      <c r="B218" s="21" t="inlineStr">
        <is>
          <t>1 этаж (отм. -0.050…+3.950)</t>
        </is>
      </c>
      <c r="C218" s="21" t="inlineStr">
        <is>
          <t>Ригели</t>
        </is>
      </c>
      <c r="D218" s="21" t="inlineStr">
        <is>
          <t>ось 2 (отм. +3.950)</t>
        </is>
      </c>
      <c r="E218" s="21" t="inlineStr">
        <is>
          <t>Р-2</t>
        </is>
      </c>
      <c r="F218" s="72" t="inlineStr">
        <is>
          <t>ОС</t>
        </is>
      </c>
      <c r="G218" s="21" t="inlineStr">
        <is>
          <t>ОС верх: 2Ø32, участок 17400…20000 мм + 250 до торца</t>
        </is>
      </c>
      <c r="H218" s="51" t="n">
        <v>32</v>
      </c>
      <c r="I218" s="72" t="inlineStr">
        <is>
          <t>А500С</t>
        </is>
      </c>
      <c r="J218" s="72" t="inlineStr">
        <is>
          <t>—</t>
        </is>
      </c>
      <c r="K218" s="75" t="n">
        <v>1</v>
      </c>
      <c r="L218" s="51" t="n">
        <v>2</v>
      </c>
      <c r="M218" s="69" t="n">
        <v>2.85</v>
      </c>
      <c r="N218" s="70">
        <f>K218*L218*M218</f>
        <v/>
      </c>
      <c r="O218" s="37">
        <f>IFERROR(INDEX(Исходные!$B$19:$B$31,MATCH(H218,Исходные!$A$19:$A$31,0)),0)</f>
        <v/>
      </c>
      <c r="P218" s="76">
        <f>N218*O218</f>
        <v/>
      </c>
      <c r="Q218" s="21" t="inlineStr">
        <is>
          <t>АС-25: выноска «ОС 2Ø32 А500С»; длина по привязкам отдельных стержней</t>
        </is>
      </c>
      <c r="R218" s="77" t="inlineStr">
        <is>
          <t>по геометрии чертежа</t>
        </is>
      </c>
      <c r="S218" s="21" t="inlineStr">
        <is>
          <t>Координаты от оси А: 17400…20000 мм; конец заведён до торца крайней колонны (+250)</t>
        </is>
      </c>
      <c r="T218" s="21" t="inlineStr">
        <is>
          <t>Ригели, балки, плита, С-1</t>
        </is>
      </c>
      <c r="U218" s="49" t="n">
        <v>0</v>
      </c>
      <c r="V218" s="72" t="inlineStr">
        <is>
          <t>Р-2</t>
        </is>
      </c>
      <c r="W218" s="49" t="n">
        <v>1</v>
      </c>
    </row>
    <row r="219">
      <c r="A219" s="72" t="n">
        <v>211</v>
      </c>
      <c r="B219" s="21" t="inlineStr">
        <is>
          <t>1 этаж (отм. -0.050…+3.950)</t>
        </is>
      </c>
      <c r="C219" s="21" t="inlineStr">
        <is>
          <t>Ригели</t>
        </is>
      </c>
      <c r="D219" s="21" t="inlineStr">
        <is>
          <t>ось 2 (отм. +3.950)</t>
        </is>
      </c>
      <c r="E219" s="21" t="inlineStr">
        <is>
          <t>Р-2</t>
        </is>
      </c>
      <c r="F219" s="72" t="inlineStr">
        <is>
          <t>ОС</t>
        </is>
      </c>
      <c r="G219" s="21" t="inlineStr">
        <is>
          <t>ОС низ: 2Ø25, участок 1000…11500 мм</t>
        </is>
      </c>
      <c r="H219" s="51" t="n">
        <v>25</v>
      </c>
      <c r="I219" s="72" t="inlineStr">
        <is>
          <t>А500С</t>
        </is>
      </c>
      <c r="J219" s="72" t="inlineStr">
        <is>
          <t>—</t>
        </is>
      </c>
      <c r="K219" s="75" t="n">
        <v>1</v>
      </c>
      <c r="L219" s="51" t="n">
        <v>2</v>
      </c>
      <c r="M219" s="69" t="n">
        <v>10.5</v>
      </c>
      <c r="N219" s="70">
        <f>K219*L219*M219</f>
        <v/>
      </c>
      <c r="O219" s="37">
        <f>IFERROR(INDEX(Исходные!$B$19:$B$31,MATCH(H219,Исходные!$A$19:$A$31,0)),0)</f>
        <v/>
      </c>
      <c r="P219" s="76">
        <f>N219*O219</f>
        <v/>
      </c>
      <c r="Q219" s="21" t="inlineStr">
        <is>
          <t>АС-25: выноска «ОС 2Ø25 А500С»; длина по привязкам отдельных стержней</t>
        </is>
      </c>
      <c r="R219" s="77" t="inlineStr">
        <is>
          <t>по геометрии чертежа</t>
        </is>
      </c>
      <c r="S219" s="21" t="inlineStr">
        <is>
          <t>Координаты от оси А: 1000…11500 мм</t>
        </is>
      </c>
      <c r="T219" s="21" t="inlineStr">
        <is>
          <t>Ригели, балки, плита, С-1</t>
        </is>
      </c>
      <c r="U219" s="49" t="n">
        <v>0</v>
      </c>
      <c r="V219" s="72" t="inlineStr">
        <is>
          <t>Р-2</t>
        </is>
      </c>
      <c r="W219" s="49" t="n">
        <v>1</v>
      </c>
    </row>
    <row r="220">
      <c r="A220" s="72" t="n">
        <v>212</v>
      </c>
      <c r="B220" s="21" t="inlineStr">
        <is>
          <t>1 этаж (отм. -0.050…+3.950)</t>
        </is>
      </c>
      <c r="C220" s="21" t="inlineStr">
        <is>
          <t>Ригели</t>
        </is>
      </c>
      <c r="D220" s="21" t="inlineStr">
        <is>
          <t>ось 2 (отм. +3.950)</t>
        </is>
      </c>
      <c r="E220" s="21" t="inlineStr">
        <is>
          <t>Р-2</t>
        </is>
      </c>
      <c r="F220" s="72" t="inlineStr">
        <is>
          <t>ОС</t>
        </is>
      </c>
      <c r="G220" s="21" t="inlineStr">
        <is>
          <t>ОС низ: 2Ø20, участок 17400…20000 мм + 250 до торца</t>
        </is>
      </c>
      <c r="H220" s="51" t="n">
        <v>20</v>
      </c>
      <c r="I220" s="72" t="inlineStr">
        <is>
          <t>А500С</t>
        </is>
      </c>
      <c r="J220" s="72" t="inlineStr">
        <is>
          <t>—</t>
        </is>
      </c>
      <c r="K220" s="75" t="n">
        <v>1</v>
      </c>
      <c r="L220" s="51" t="n">
        <v>2</v>
      </c>
      <c r="M220" s="69" t="n">
        <v>2.85</v>
      </c>
      <c r="N220" s="70">
        <f>K220*L220*M220</f>
        <v/>
      </c>
      <c r="O220" s="37">
        <f>IFERROR(INDEX(Исходные!$B$19:$B$31,MATCH(H220,Исходные!$A$19:$A$31,0)),0)</f>
        <v/>
      </c>
      <c r="P220" s="76">
        <f>N220*O220</f>
        <v/>
      </c>
      <c r="Q220" s="21" t="inlineStr">
        <is>
          <t>АС-25: выноска «ОС 2Ø20 А500С»; длина по привязкам отдельных стержней</t>
        </is>
      </c>
      <c r="R220" s="77" t="inlineStr">
        <is>
          <t>по геометрии чертежа</t>
        </is>
      </c>
      <c r="S220" s="21" t="inlineStr">
        <is>
          <t>Координаты от оси А: 17400…20000 мм; конец заведён до торца крайней колонны (+250)</t>
        </is>
      </c>
      <c r="T220" s="21" t="inlineStr">
        <is>
          <t>Ригели, балки, плита, С-1</t>
        </is>
      </c>
      <c r="U220" s="49" t="n">
        <v>0</v>
      </c>
      <c r="V220" s="72" t="inlineStr">
        <is>
          <t>Р-2</t>
        </is>
      </c>
      <c r="W220" s="49" t="n">
        <v>1</v>
      </c>
    </row>
    <row r="221">
      <c r="A221" s="72" t="n">
        <v>213</v>
      </c>
      <c r="B221" s="21" t="inlineStr">
        <is>
          <t>1 этаж (отм. -0.050…+3.950)</t>
        </is>
      </c>
      <c r="C221" s="21" t="inlineStr">
        <is>
          <t>Ригели</t>
        </is>
      </c>
      <c r="D221" s="21" t="inlineStr">
        <is>
          <t>ось 2 (отм. +3.950)</t>
        </is>
      </c>
      <c r="E221" s="21" t="inlineStr">
        <is>
          <t>Р-2</t>
        </is>
      </c>
      <c r="F221" s="72" t="inlineStr">
        <is>
          <t>ОС</t>
        </is>
      </c>
      <c r="G221" s="21" t="inlineStr">
        <is>
          <t>ОС низ 2-й ряд: 2Ø16, участок 11500…15100 мм</t>
        </is>
      </c>
      <c r="H221" s="51" t="n">
        <v>16</v>
      </c>
      <c r="I221" s="72" t="inlineStr">
        <is>
          <t>А500С</t>
        </is>
      </c>
      <c r="J221" s="72" t="inlineStr">
        <is>
          <t>—</t>
        </is>
      </c>
      <c r="K221" s="75" t="n">
        <v>1</v>
      </c>
      <c r="L221" s="51" t="n">
        <v>2</v>
      </c>
      <c r="M221" s="69" t="n">
        <v>3.6</v>
      </c>
      <c r="N221" s="70">
        <f>K221*L221*M221</f>
        <v/>
      </c>
      <c r="O221" s="37">
        <f>IFERROR(INDEX(Исходные!$B$19:$B$31,MATCH(H221,Исходные!$A$19:$A$31,0)),0)</f>
        <v/>
      </c>
      <c r="P221" s="76">
        <f>N221*O221</f>
        <v/>
      </c>
      <c r="Q221" s="21" t="inlineStr">
        <is>
          <t>АС-25: выноска «ОС 2Ø16 А500С»; длина по привязкам отдельных стержней</t>
        </is>
      </c>
      <c r="R221" s="77" t="inlineStr">
        <is>
          <t>по геометрии чертежа</t>
        </is>
      </c>
      <c r="S221" s="21" t="inlineStr">
        <is>
          <t>Координаты от оси А: 11500…15100 мм</t>
        </is>
      </c>
      <c r="T221" s="21" t="inlineStr">
        <is>
          <t>Ригели, балки, плита, С-1</t>
        </is>
      </c>
      <c r="U221" s="49" t="n">
        <v>0</v>
      </c>
      <c r="V221" s="72" t="inlineStr">
        <is>
          <t>Р-2</t>
        </is>
      </c>
      <c r="W221" s="49" t="n">
        <v>1</v>
      </c>
    </row>
    <row r="222">
      <c r="A222" s="72" t="n">
        <v>214</v>
      </c>
      <c r="B222" s="21" t="inlineStr">
        <is>
          <t>1 этаж (отм. -0.050…+3.950)</t>
        </is>
      </c>
      <c r="C222" s="21" t="inlineStr">
        <is>
          <t>Ригели</t>
        </is>
      </c>
      <c r="D222" s="21" t="inlineStr">
        <is>
          <t>ось 2 (отм. +3.950)</t>
        </is>
      </c>
      <c r="E222" s="21" t="inlineStr">
        <is>
          <t>Р-2</t>
        </is>
      </c>
      <c r="F222" s="72" t="inlineStr">
        <is>
          <t>ОС</t>
        </is>
      </c>
      <c r="G222" s="21" t="inlineStr">
        <is>
          <t>Ос (бок) бок: 2Ø14, участок 1000…3400 мм</t>
        </is>
      </c>
      <c r="H222" s="51" t="n">
        <v>14</v>
      </c>
      <c r="I222" s="72" t="inlineStr">
        <is>
          <t>А500С</t>
        </is>
      </c>
      <c r="J222" s="72" t="inlineStr">
        <is>
          <t>—</t>
        </is>
      </c>
      <c r="K222" s="75" t="n">
        <v>1</v>
      </c>
      <c r="L222" s="51" t="n">
        <v>2</v>
      </c>
      <c r="M222" s="69" t="n">
        <v>2.4</v>
      </c>
      <c r="N222" s="70">
        <f>K222*L222*M222</f>
        <v/>
      </c>
      <c r="O222" s="37">
        <f>IFERROR(INDEX(Исходные!$B$19:$B$31,MATCH(H222,Исходные!$A$19:$A$31,0)),0)</f>
        <v/>
      </c>
      <c r="P222" s="76">
        <f>N222*O222</f>
        <v/>
      </c>
      <c r="Q222" s="21" t="inlineStr">
        <is>
          <t>АС-25: выноска «Ос (бок) 2Ø14 А500С» (бок); длина по привязкам отдельных стержней</t>
        </is>
      </c>
      <c r="R222" s="77" t="inlineStr">
        <is>
          <t>по геометрии чертежа</t>
        </is>
      </c>
      <c r="S222" s="21" t="inlineStr">
        <is>
          <t>Координаты от оси А: 1000…3400 мм</t>
        </is>
      </c>
      <c r="T222" s="21" t="inlineStr">
        <is>
          <t>Ригели, балки, плита, С-1</t>
        </is>
      </c>
      <c r="U222" s="49" t="n">
        <v>0</v>
      </c>
      <c r="V222" s="72" t="inlineStr">
        <is>
          <t>Р-2</t>
        </is>
      </c>
      <c r="W222" s="49" t="n">
        <v>1</v>
      </c>
    </row>
    <row r="223">
      <c r="A223" s="72" t="n">
        <v>215</v>
      </c>
      <c r="B223" s="21" t="inlineStr">
        <is>
          <t>1 этаж (отм. -0.050…+3.950)</t>
        </is>
      </c>
      <c r="C223" s="21" t="inlineStr">
        <is>
          <t>Ригели</t>
        </is>
      </c>
      <c r="D223" s="21" t="inlineStr">
        <is>
          <t>ось 2 (отм. +3.950)</t>
        </is>
      </c>
      <c r="E223" s="21" t="inlineStr">
        <is>
          <t>Р-2</t>
        </is>
      </c>
      <c r="F223" s="72" t="inlineStr">
        <is>
          <t>ОС</t>
        </is>
      </c>
      <c r="G223" s="21" t="inlineStr">
        <is>
          <t>Ос (бок) бок: 2Ø14, участок 5100…14200 мм</t>
        </is>
      </c>
      <c r="H223" s="51" t="n">
        <v>14</v>
      </c>
      <c r="I223" s="72" t="inlineStr">
        <is>
          <t>А500С</t>
        </is>
      </c>
      <c r="J223" s="72" t="inlineStr">
        <is>
          <t>—</t>
        </is>
      </c>
      <c r="K223" s="75" t="n">
        <v>1</v>
      </c>
      <c r="L223" s="51" t="n">
        <v>2</v>
      </c>
      <c r="M223" s="69" t="n">
        <v>9.1</v>
      </c>
      <c r="N223" s="70">
        <f>K223*L223*M223</f>
        <v/>
      </c>
      <c r="O223" s="37">
        <f>IFERROR(INDEX(Исходные!$B$19:$B$31,MATCH(H223,Исходные!$A$19:$A$31,0)),0)</f>
        <v/>
      </c>
      <c r="P223" s="76">
        <f>N223*O223</f>
        <v/>
      </c>
      <c r="Q223" s="21" t="inlineStr">
        <is>
          <t>АС-25: выноска «Ос (бок) 2Ø14 А500С» (бок); длина по привязкам отдельных стержней</t>
        </is>
      </c>
      <c r="R223" s="77" t="inlineStr">
        <is>
          <t>по геометрии чертежа</t>
        </is>
      </c>
      <c r="S223" s="21" t="inlineStr">
        <is>
          <t>Координаты от оси А: 5100…14200 мм</t>
        </is>
      </c>
      <c r="T223" s="21" t="inlineStr">
        <is>
          <t>Ригели, балки, плита, С-1</t>
        </is>
      </c>
      <c r="U223" s="49" t="n">
        <v>0</v>
      </c>
      <c r="V223" s="72" t="inlineStr">
        <is>
          <t>Р-2</t>
        </is>
      </c>
      <c r="W223" s="49" t="n">
        <v>1</v>
      </c>
    </row>
    <row r="224">
      <c r="A224" s="72" t="n">
        <v>216</v>
      </c>
      <c r="B224" s="21" t="inlineStr">
        <is>
          <t>1 этаж (отм. -0.050…+3.950)</t>
        </is>
      </c>
      <c r="C224" s="21" t="inlineStr">
        <is>
          <t>Ригели</t>
        </is>
      </c>
      <c r="D224" s="21" t="inlineStr">
        <is>
          <t>ось 2 (отм. +3.950)</t>
        </is>
      </c>
      <c r="E224" s="21" t="inlineStr">
        <is>
          <t>Р-2</t>
        </is>
      </c>
      <c r="F224" s="72" t="inlineStr">
        <is>
          <t>ОС</t>
        </is>
      </c>
      <c r="G224" s="21" t="inlineStr">
        <is>
          <t>Ос (бок) бок: 2Ø14, участок 17400…20000 мм + 250 до торца</t>
        </is>
      </c>
      <c r="H224" s="51" t="n">
        <v>14</v>
      </c>
      <c r="I224" s="72" t="inlineStr">
        <is>
          <t>А500С</t>
        </is>
      </c>
      <c r="J224" s="72" t="inlineStr">
        <is>
          <t>—</t>
        </is>
      </c>
      <c r="K224" s="75" t="n">
        <v>1</v>
      </c>
      <c r="L224" s="51" t="n">
        <v>2</v>
      </c>
      <c r="M224" s="69" t="n">
        <v>2.85</v>
      </c>
      <c r="N224" s="70">
        <f>K224*L224*M224</f>
        <v/>
      </c>
      <c r="O224" s="37">
        <f>IFERROR(INDEX(Исходные!$B$19:$B$31,MATCH(H224,Исходные!$A$19:$A$31,0)),0)</f>
        <v/>
      </c>
      <c r="P224" s="76">
        <f>N224*O224</f>
        <v/>
      </c>
      <c r="Q224" s="21" t="inlineStr">
        <is>
          <t>АС-25: выноска «Ос (бок) 2Ø14 А500С» (бок); длина по привязкам отдельных стержней</t>
        </is>
      </c>
      <c r="R224" s="77" t="inlineStr">
        <is>
          <t>по геометрии чертежа</t>
        </is>
      </c>
      <c r="S224" s="21" t="inlineStr">
        <is>
          <t>Координаты от оси А: 17400…20000 мм; конец заведён до торца крайней колонны (+250)</t>
        </is>
      </c>
      <c r="T224" s="21" t="inlineStr">
        <is>
          <t>Ригели, балки, плита, С-1</t>
        </is>
      </c>
      <c r="U224" s="49" t="n">
        <v>0</v>
      </c>
      <c r="V224" s="72" t="inlineStr">
        <is>
          <t>Р-2</t>
        </is>
      </c>
      <c r="W224" s="49" t="n">
        <v>1</v>
      </c>
    </row>
    <row r="225">
      <c r="A225" s="72" t="n">
        <v>217</v>
      </c>
      <c r="B225" s="21" t="inlineStr">
        <is>
          <t>1 этаж (отм. -0.050…+3.950)</t>
        </is>
      </c>
      <c r="C225" s="21" t="inlineStr">
        <is>
          <t>Ригели</t>
        </is>
      </c>
      <c r="D225" s="21" t="inlineStr">
        <is>
          <t>ось 2 (отм. +3.950)</t>
        </is>
      </c>
      <c r="E225" s="21" t="inlineStr">
        <is>
          <t>Р-2</t>
        </is>
      </c>
      <c r="F225" s="72" t="inlineStr">
        <is>
          <t>12</t>
        </is>
      </c>
      <c r="G225" s="21" t="inlineStr">
        <is>
          <t>Хомут Ø8 L=2060 ш.100 у опор (100×12), ш.150 в пролёте, 80×4 у балок плиты — вне заштрихованных участков</t>
        </is>
      </c>
      <c r="H225" s="51" t="n">
        <v>8</v>
      </c>
      <c r="I225" s="72" t="inlineStr">
        <is>
          <t>А240</t>
        </is>
      </c>
      <c r="J225" s="72" t="inlineStr">
        <is>
          <t>100/150</t>
        </is>
      </c>
      <c r="K225" s="75" t="n">
        <v>1</v>
      </c>
      <c r="L225" s="51" t="n">
        <v>47</v>
      </c>
      <c r="M225" s="69" t="n">
        <v>2.06</v>
      </c>
      <c r="N225" s="70">
        <f>K225*L225*M225</f>
        <v/>
      </c>
      <c r="O225" s="37">
        <f>IFERROR(INDEX(Исходные!$B$19:$B$31,MATCH(H225,Исходные!$A$19:$A$31,0)),0)</f>
        <v/>
      </c>
      <c r="P225" s="76">
        <f>N225*O225</f>
        <v/>
      </c>
      <c r="Q225" s="21" t="inlineStr">
        <is>
          <t>АС-28 сеч.4-4/5-5 поз.12; АС-29 «Расстановка хомутов в ригелях»</t>
        </is>
      </c>
      <c r="R225" s="77" t="inlineStr">
        <is>
          <t>по проекту</t>
        </is>
      </c>
      <c r="S225" s="21" t="inlineStr">
        <is>
          <t>Пролёты в свету [(2000, 6200), (6800, 13200), (13800, 19000)], сумма 15800 мм</t>
        </is>
      </c>
      <c r="T225" s="21" t="inlineStr">
        <is>
          <t>Ригели, балки, плита, С-1</t>
        </is>
      </c>
      <c r="U225" s="49" t="n">
        <v>0</v>
      </c>
      <c r="V225" s="72" t="inlineStr">
        <is>
          <t>Р-2</t>
        </is>
      </c>
      <c r="W225" s="49" t="n">
        <v>1</v>
      </c>
    </row>
    <row r="226">
      <c r="A226" s="72" t="n">
        <v>218</v>
      </c>
      <c r="B226" s="21" t="inlineStr">
        <is>
          <t>1 этаж (отм. -0.050…+3.950)</t>
        </is>
      </c>
      <c r="C226" s="21" t="inlineStr">
        <is>
          <t>Ригели</t>
        </is>
      </c>
      <c r="D226" s="21" t="inlineStr">
        <is>
          <t>ось 2 (отм. +3.950)</t>
        </is>
      </c>
      <c r="E226" s="21" t="inlineStr">
        <is>
          <t>Р-2</t>
        </is>
      </c>
      <c r="F226" s="72" t="inlineStr">
        <is>
          <t>13</t>
        </is>
      </c>
      <c r="G226" s="21" t="inlineStr">
        <is>
          <t>Хомут наружный Ø10 L=2060 ш.100 — заштрихованные участки рамы</t>
        </is>
      </c>
      <c r="H226" s="51" t="n">
        <v>10</v>
      </c>
      <c r="I226" s="72" t="inlineStr">
        <is>
          <t>А240</t>
        </is>
      </c>
      <c r="J226" s="72" t="n">
        <v>100</v>
      </c>
      <c r="K226" s="75" t="n">
        <v>1</v>
      </c>
      <c r="L226" s="51" t="n">
        <v>92</v>
      </c>
      <c r="M226" s="69" t="n">
        <v>2.06</v>
      </c>
      <c r="N226" s="70">
        <f>K226*L226*M226</f>
        <v/>
      </c>
      <c r="O226" s="37">
        <f>IFERROR(INDEX(Исходные!$B$19:$B$31,MATCH(H226,Исходные!$A$19:$A$31,0)),0)</f>
        <v/>
      </c>
      <c r="P226" s="76">
        <f>N226*O226</f>
        <v/>
      </c>
      <c r="Q226" s="21" t="inlineStr">
        <is>
          <t>АС-25 штриховка «100×15»; АС-28 Фрагмент №1, поз.13</t>
        </is>
      </c>
      <c r="R226" s="77" t="inlineStr">
        <is>
          <t>по проекту</t>
        </is>
      </c>
      <c r="S226" s="21" t="inlineStr">
        <is>
          <t>Участки (мм): одинарные [(16400, 17400)], двойные [(2000, 3200), (6500, 13500), (17400, 19000)]</t>
        </is>
      </c>
      <c r="T226" s="21" t="inlineStr">
        <is>
          <t>Ригели, балки, плита, С-1</t>
        </is>
      </c>
      <c r="U226" s="49" t="n">
        <v>0</v>
      </c>
      <c r="V226" s="72" t="inlineStr">
        <is>
          <t>Р-2</t>
        </is>
      </c>
      <c r="W226" s="49" t="n">
        <v>1</v>
      </c>
    </row>
    <row r="227">
      <c r="A227" s="72" t="n">
        <v>219</v>
      </c>
      <c r="B227" s="21" t="inlineStr">
        <is>
          <t>1 этаж (отм. -0.050…+3.950)</t>
        </is>
      </c>
      <c r="C227" s="21" t="inlineStr">
        <is>
          <t>Ригели</t>
        </is>
      </c>
      <c r="D227" s="21" t="inlineStr">
        <is>
          <t>ось 2 (отм. +3.950)</t>
        </is>
      </c>
      <c r="E227" s="21" t="inlineStr">
        <is>
          <t>Р-2</t>
        </is>
      </c>
      <c r="F227" s="72" t="inlineStr">
        <is>
          <t>15</t>
        </is>
      </c>
      <c r="G227" s="21" t="inlineStr">
        <is>
          <t>Хомут внутренний Ø10 L=1600 ш.100 — участки двойных хомутов</t>
        </is>
      </c>
      <c r="H227" s="51" t="n">
        <v>10</v>
      </c>
      <c r="I227" s="72" t="inlineStr">
        <is>
          <t>А240</t>
        </is>
      </c>
      <c r="J227" s="72" t="n">
        <v>100</v>
      </c>
      <c r="K227" s="75" t="n">
        <v>1</v>
      </c>
      <c r="L227" s="51" t="n">
        <v>86</v>
      </c>
      <c r="M227" s="69" t="n">
        <v>1.6</v>
      </c>
      <c r="N227" s="70">
        <f>K227*L227*M227</f>
        <v/>
      </c>
      <c r="O227" s="37">
        <f>IFERROR(INDEX(Исходные!$B$19:$B$31,MATCH(H227,Исходные!$A$19:$A$31,0)),0)</f>
        <v/>
      </c>
      <c r="P227" s="76">
        <f>N227*O227</f>
        <v/>
      </c>
      <c r="Q227" s="21" t="inlineStr">
        <is>
          <t>АС-25 двойная штриховка; АС-28 Фрагмент №1, поз.15</t>
        </is>
      </c>
      <c r="R227" s="77" t="inlineStr">
        <is>
          <t>по проекту</t>
        </is>
      </c>
      <c r="S227" s="21" t="inlineStr"/>
      <c r="T227" s="21" t="inlineStr">
        <is>
          <t>Ригели, балки, плита, С-1</t>
        </is>
      </c>
      <c r="U227" s="49" t="n">
        <v>0</v>
      </c>
      <c r="V227" s="72" t="inlineStr">
        <is>
          <t>Р-2</t>
        </is>
      </c>
      <c r="W227" s="49" t="n">
        <v>1</v>
      </c>
    </row>
    <row r="228">
      <c r="A228" s="72" t="n">
        <v>220</v>
      </c>
      <c r="B228" s="21" t="inlineStr">
        <is>
          <t>1 этаж (отм. -0.050…+3.950)</t>
        </is>
      </c>
      <c r="C228" s="21" t="inlineStr">
        <is>
          <t>Ригели</t>
        </is>
      </c>
      <c r="D228" s="21" t="inlineStr">
        <is>
          <t>ось 2 (отм. +3.950)</t>
        </is>
      </c>
      <c r="E228" s="21" t="inlineStr">
        <is>
          <t>Р-2</t>
        </is>
      </c>
      <c r="F228" s="72" t="inlineStr">
        <is>
          <t>17</t>
        </is>
      </c>
      <c r="G228" s="21" t="inlineStr">
        <is>
          <t>Шпилька вертикальная Ø8 L=750: ш.200 у опор, ш.150 в пролёте (нет в зонах двойных хомутов)</t>
        </is>
      </c>
      <c r="H228" s="51" t="n">
        <v>8</v>
      </c>
      <c r="I228" s="72" t="inlineStr">
        <is>
          <t>А240</t>
        </is>
      </c>
      <c r="J228" s="72" t="inlineStr">
        <is>
          <t>200/150</t>
        </is>
      </c>
      <c r="K228" s="75" t="n">
        <v>1</v>
      </c>
      <c r="L228" s="51" t="n">
        <v>35</v>
      </c>
      <c r="M228" s="69" t="n">
        <v>0.75</v>
      </c>
      <c r="N228" s="70">
        <f>K228*L228*M228</f>
        <v/>
      </c>
      <c r="O228" s="37">
        <f>IFERROR(INDEX(Исходные!$B$19:$B$31,MATCH(H228,Исходные!$A$19:$A$31,0)),0)</f>
        <v/>
      </c>
      <c r="P228" s="76">
        <f>N228*O228</f>
        <v/>
      </c>
      <c r="Q228" s="21" t="inlineStr">
        <is>
          <t>АС-28 сеч.4-4/5-5 поз.17</t>
        </is>
      </c>
      <c r="R228" s="77" t="inlineStr">
        <is>
          <t>по проекту</t>
        </is>
      </c>
      <c r="S228" s="21" t="inlineStr"/>
      <c r="T228" s="21" t="inlineStr">
        <is>
          <t>Ригели, балки, плита, С-1</t>
        </is>
      </c>
      <c r="U228" s="49" t="n">
        <v>0</v>
      </c>
      <c r="V228" s="72" t="inlineStr">
        <is>
          <t>Р-2</t>
        </is>
      </c>
      <c r="W228" s="49" t="n">
        <v>1</v>
      </c>
    </row>
    <row r="229">
      <c r="A229" s="72" t="n">
        <v>221</v>
      </c>
      <c r="B229" s="21" t="inlineStr">
        <is>
          <t>1 этаж (отм. -0.050…+3.950)</t>
        </is>
      </c>
      <c r="C229" s="21" t="inlineStr">
        <is>
          <t>Ригели</t>
        </is>
      </c>
      <c r="D229" s="21" t="inlineStr">
        <is>
          <t>ось 2 (отм. +3.950)</t>
        </is>
      </c>
      <c r="E229" s="21" t="inlineStr">
        <is>
          <t>Р-2</t>
        </is>
      </c>
      <c r="F229" s="72" t="inlineStr">
        <is>
          <t>16</t>
        </is>
      </c>
      <c r="G229" s="21" t="inlineStr">
        <is>
          <t>Шпилька горизонтальная Ø8 L=580 ш.300 (связь боковых 2Ø16)</t>
        </is>
      </c>
      <c r="H229" s="51" t="n">
        <v>8</v>
      </c>
      <c r="I229" s="72" t="inlineStr">
        <is>
          <t>А240</t>
        </is>
      </c>
      <c r="J229" s="72" t="n">
        <v>300</v>
      </c>
      <c r="K229" s="75" t="n">
        <v>1</v>
      </c>
      <c r="L229" s="51" t="n">
        <v>54</v>
      </c>
      <c r="M229" s="69" t="n">
        <v>0.58</v>
      </c>
      <c r="N229" s="70">
        <f>K229*L229*M229</f>
        <v/>
      </c>
      <c r="O229" s="37">
        <f>IFERROR(INDEX(Исходные!$B$19:$B$31,MATCH(H229,Исходные!$A$19:$A$31,0)),0)</f>
        <v/>
      </c>
      <c r="P229" s="76">
        <f>N229*O229</f>
        <v/>
      </c>
      <c r="Q229" s="21" t="inlineStr">
        <is>
          <t>АС-28 сеч.4-4/5-5 «шп.Ø8 А240 ш.300», поз.16 L=580</t>
        </is>
      </c>
      <c r="R229" s="78" t="inlineStr">
        <is>
          <t>принято (уточнить)</t>
        </is>
      </c>
      <c r="S229" s="21" t="inlineStr">
        <is>
          <t>Номер позиции на сечении не указан — принята поз.16 (L=580) по ведомости деталей.</t>
        </is>
      </c>
      <c r="T229" s="21" t="inlineStr">
        <is>
          <t>Ригели, балки, плита, С-1</t>
        </is>
      </c>
      <c r="U229" s="49" t="n">
        <v>1</v>
      </c>
      <c r="V229" s="72" t="inlineStr">
        <is>
          <t>Р-2</t>
        </is>
      </c>
      <c r="W229" s="49" t="n">
        <v>1</v>
      </c>
    </row>
    <row r="230">
      <c r="A230" s="72" t="n">
        <v>222</v>
      </c>
      <c r="B230" s="21" t="inlineStr">
        <is>
          <t>1 этаж (отм. -0.050…+3.950)</t>
        </is>
      </c>
      <c r="C230" s="21" t="inlineStr">
        <is>
          <t>Ригели</t>
        </is>
      </c>
      <c r="D230" s="21" t="inlineStr">
        <is>
          <t>ось 3 (отм. +3.950)</t>
        </is>
      </c>
      <c r="E230" s="21" t="inlineStr">
        <is>
          <t>Р-3</t>
        </is>
      </c>
      <c r="F230" s="72" t="inlineStr">
        <is>
          <t>2</t>
        </is>
      </c>
      <c r="G230" s="21" t="inlineStr">
        <is>
          <t>Продольные угловые 4Ø28 (сеч.4-4/5-5), сквозные, концы с Аш</t>
        </is>
      </c>
      <c r="H230" s="51" t="n">
        <v>28</v>
      </c>
      <c r="I230" s="72" t="inlineStr">
        <is>
          <t>А500С</t>
        </is>
      </c>
      <c r="J230" s="72" t="inlineStr">
        <is>
          <t>—</t>
        </is>
      </c>
      <c r="K230" s="75" t="n">
        <v>1</v>
      </c>
      <c r="L230" s="51" t="n">
        <v>4</v>
      </c>
      <c r="M230" s="69" t="n">
        <v>20.5</v>
      </c>
      <c r="N230" s="70">
        <f>K230*L230*M230</f>
        <v/>
      </c>
      <c r="O230" s="37">
        <f>IFERROR(INDEX(Исходные!$B$19:$B$31,MATCH(H230,Исходные!$A$19:$A$31,0)),0)</f>
        <v/>
      </c>
      <c r="P230" s="76">
        <f>N230*O230</f>
        <v/>
      </c>
      <c r="Q230" s="21" t="inlineStr">
        <is>
          <t>АС-26 рама + АС-28 сеч.4-4/5-5 поз.2; длина = 20000+2×250 (до 50 мм от наружной грани крайней колонны)</t>
        </is>
      </c>
      <c r="R230" s="77" t="inlineStr">
        <is>
          <t>по геометрии чертежа</t>
        </is>
      </c>
      <c r="S230" s="21" t="inlineStr">
        <is>
          <t>Стыки ванной сваркой без нахлёста: 1 на стержень (всего 4).</t>
        </is>
      </c>
      <c r="T230" s="21" t="inlineStr">
        <is>
          <t>Ригели, балки, плита, С-1</t>
        </is>
      </c>
      <c r="U230" s="49" t="n">
        <v>0</v>
      </c>
      <c r="V230" s="72" t="inlineStr">
        <is>
          <t>Р-3</t>
        </is>
      </c>
      <c r="W230" s="49" t="n">
        <v>1</v>
      </c>
    </row>
    <row r="231">
      <c r="A231" s="72" t="n">
        <v>223</v>
      </c>
      <c r="B231" s="21" t="inlineStr">
        <is>
          <t>1 этаж (отм. -0.050…+3.950)</t>
        </is>
      </c>
      <c r="C231" s="21" t="inlineStr">
        <is>
          <t>Ригели</t>
        </is>
      </c>
      <c r="D231" s="21" t="inlineStr">
        <is>
          <t>ось 3 (отм. +3.950)</t>
        </is>
      </c>
      <c r="E231" s="21" t="inlineStr">
        <is>
          <t>Р-3</t>
        </is>
      </c>
      <c r="F231" s="72" t="inlineStr">
        <is>
          <t>6</t>
        </is>
      </c>
      <c r="G231" s="21" t="inlineStr">
        <is>
          <t>Продольные средние верх/низ 2Ø18 (сеч.4-4/5-5)</t>
        </is>
      </c>
      <c r="H231" s="51" t="n">
        <v>18</v>
      </c>
      <c r="I231" s="72" t="inlineStr">
        <is>
          <t>А500С</t>
        </is>
      </c>
      <c r="J231" s="72" t="inlineStr">
        <is>
          <t>—</t>
        </is>
      </c>
      <c r="K231" s="75" t="n">
        <v>1</v>
      </c>
      <c r="L231" s="51" t="n">
        <v>2</v>
      </c>
      <c r="M231" s="69" t="n">
        <v>20.5</v>
      </c>
      <c r="N231" s="70">
        <f>K231*L231*M231</f>
        <v/>
      </c>
      <c r="O231" s="37">
        <f>IFERROR(INDEX(Исходные!$B$19:$B$31,MATCH(H231,Исходные!$A$19:$A$31,0)),0)</f>
        <v/>
      </c>
      <c r="P231" s="76">
        <f>N231*O231</f>
        <v/>
      </c>
      <c r="Q231" s="21" t="inlineStr">
        <is>
          <t>АС-28 сеч.4-4/5-5 поз.6</t>
        </is>
      </c>
      <c r="R231" s="77" t="inlineStr">
        <is>
          <t>по геометрии чертежа</t>
        </is>
      </c>
      <c r="S231" s="21" t="inlineStr"/>
      <c r="T231" s="21" t="inlineStr">
        <is>
          <t>Ригели, балки, плита, С-1</t>
        </is>
      </c>
      <c r="U231" s="49" t="n">
        <v>0</v>
      </c>
      <c r="V231" s="72" t="inlineStr">
        <is>
          <t>Р-3</t>
        </is>
      </c>
      <c r="W231" s="49" t="n">
        <v>1</v>
      </c>
    </row>
    <row r="232">
      <c r="A232" s="72" t="n">
        <v>224</v>
      </c>
      <c r="B232" s="21" t="inlineStr">
        <is>
          <t>1 этаж (отм. -0.050…+3.950)</t>
        </is>
      </c>
      <c r="C232" s="21" t="inlineStr">
        <is>
          <t>Ригели</t>
        </is>
      </c>
      <c r="D232" s="21" t="inlineStr">
        <is>
          <t>ось 3 (отм. +3.950)</t>
        </is>
      </c>
      <c r="E232" s="21" t="inlineStr">
        <is>
          <t>Р-3</t>
        </is>
      </c>
      <c r="F232" s="72" t="inlineStr">
        <is>
          <t>6-нахл</t>
        </is>
      </c>
      <c r="G232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232" s="51" t="n">
        <v>18</v>
      </c>
      <c r="I232" s="72" t="inlineStr">
        <is>
          <t>А500С</t>
        </is>
      </c>
      <c r="J232" s="72" t="inlineStr">
        <is>
          <t>—</t>
        </is>
      </c>
      <c r="K232" s="75" t="n">
        <v>2</v>
      </c>
      <c r="L232" s="51" t="n">
        <v>1</v>
      </c>
      <c r="M232" s="69" t="n">
        <v>0.144</v>
      </c>
      <c r="N232" s="70">
        <f>K232*L232*M232</f>
        <v/>
      </c>
      <c r="O232" s="37">
        <f>IFERROR(INDEX(Исходные!$B$19:$B$31,MATCH(H232,Исходные!$A$19:$A$31,0)),0)</f>
        <v/>
      </c>
      <c r="P232" s="76">
        <f>N232*O232</f>
        <v/>
      </c>
      <c r="Q232" s="21" t="inlineStr">
        <is>
          <t>АС-19 прим.1: Ø18 и менее — внахлёстку электродуговой сваркой, Lшва=8d = 144 мм</t>
        </is>
      </c>
      <c r="R232" s="77" t="inlineStr">
        <is>
          <t>по проекту (стыковка прутков 11,7 м)</t>
        </is>
      </c>
      <c r="S232" s="21" t="inlineStr">
        <is>
          <t>Чистая длина 20.500 м; кусков 2; стыков 1; Lнахл=1×0.144=0.144 м на стержень</t>
        </is>
      </c>
      <c r="T232" s="21" t="inlineStr">
        <is>
          <t>Ригели, балки, плита, С-1</t>
        </is>
      </c>
      <c r="U232" s="49" t="n">
        <v>0</v>
      </c>
      <c r="V232" s="72" t="inlineStr">
        <is>
          <t>Р-3</t>
        </is>
      </c>
      <c r="W232" s="49" t="n">
        <v>1</v>
      </c>
    </row>
    <row r="233">
      <c r="A233" s="72" t="n">
        <v>225</v>
      </c>
      <c r="B233" s="21" t="inlineStr">
        <is>
          <t>1 этаж (отм. -0.050…+3.950)</t>
        </is>
      </c>
      <c r="C233" s="21" t="inlineStr">
        <is>
          <t>Ригели</t>
        </is>
      </c>
      <c r="D233" s="21" t="inlineStr">
        <is>
          <t>ось 3 (отм. +3.950)</t>
        </is>
      </c>
      <c r="E233" s="21" t="inlineStr">
        <is>
          <t>Р-3</t>
        </is>
      </c>
      <c r="F233" s="72" t="inlineStr">
        <is>
          <t>7</t>
        </is>
      </c>
      <c r="G233" s="21" t="inlineStr">
        <is>
          <t>Боковые стержни 2Ø16 (сеч.4-4/5-5)</t>
        </is>
      </c>
      <c r="H233" s="51" t="n">
        <v>16</v>
      </c>
      <c r="I233" s="72" t="inlineStr">
        <is>
          <t>А500С</t>
        </is>
      </c>
      <c r="J233" s="72" t="inlineStr">
        <is>
          <t>—</t>
        </is>
      </c>
      <c r="K233" s="75" t="n">
        <v>1</v>
      </c>
      <c r="L233" s="51" t="n">
        <v>2</v>
      </c>
      <c r="M233" s="69" t="n">
        <v>20.5</v>
      </c>
      <c r="N233" s="70">
        <f>K233*L233*M233</f>
        <v/>
      </c>
      <c r="O233" s="37">
        <f>IFERROR(INDEX(Исходные!$B$19:$B$31,MATCH(H233,Исходные!$A$19:$A$31,0)),0)</f>
        <v/>
      </c>
      <c r="P233" s="76">
        <f>N233*O233</f>
        <v/>
      </c>
      <c r="Q233" s="21" t="inlineStr">
        <is>
          <t>АС-28 сеч.4-4/5-5 «Боковые стержни 2Ø16»</t>
        </is>
      </c>
      <c r="R233" s="77" t="inlineStr">
        <is>
          <t>по геометрии чертежа</t>
        </is>
      </c>
      <c r="S233" s="21" t="inlineStr"/>
      <c r="T233" s="21" t="inlineStr">
        <is>
          <t>Ригели, балки, плита, С-1</t>
        </is>
      </c>
      <c r="U233" s="49" t="n">
        <v>0</v>
      </c>
      <c r="V233" s="72" t="inlineStr">
        <is>
          <t>Р-3</t>
        </is>
      </c>
      <c r="W233" s="49" t="n">
        <v>1</v>
      </c>
    </row>
    <row r="234">
      <c r="A234" s="72" t="n">
        <v>226</v>
      </c>
      <c r="B234" s="21" t="inlineStr">
        <is>
          <t>1 этаж (отм. -0.050…+3.950)</t>
        </is>
      </c>
      <c r="C234" s="21" t="inlineStr">
        <is>
          <t>Ригели</t>
        </is>
      </c>
      <c r="D234" s="21" t="inlineStr">
        <is>
          <t>ось 3 (отм. +3.950)</t>
        </is>
      </c>
      <c r="E234" s="21" t="inlineStr">
        <is>
          <t>Р-3</t>
        </is>
      </c>
      <c r="F234" s="72" t="inlineStr">
        <is>
          <t>7-нахл</t>
        </is>
      </c>
      <c r="G234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234" s="51" t="n">
        <v>16</v>
      </c>
      <c r="I234" s="72" t="inlineStr">
        <is>
          <t>А500С</t>
        </is>
      </c>
      <c r="J234" s="72" t="inlineStr">
        <is>
          <t>—</t>
        </is>
      </c>
      <c r="K234" s="75" t="n">
        <v>2</v>
      </c>
      <c r="L234" s="51" t="n">
        <v>1</v>
      </c>
      <c r="M234" s="69" t="n">
        <v>0.128</v>
      </c>
      <c r="N234" s="70">
        <f>K234*L234*M234</f>
        <v/>
      </c>
      <c r="O234" s="37">
        <f>IFERROR(INDEX(Исходные!$B$19:$B$31,MATCH(H234,Исходные!$A$19:$A$31,0)),0)</f>
        <v/>
      </c>
      <c r="P234" s="76">
        <f>N234*O234</f>
        <v/>
      </c>
      <c r="Q234" s="21" t="inlineStr">
        <is>
          <t>АС-19 прим.1: Ø18 и менее — внахлёстку электродуговой сваркой, Lшва=8d = 128 мм</t>
        </is>
      </c>
      <c r="R234" s="77" t="inlineStr">
        <is>
          <t>по проекту (стыковка прутков 11,7 м)</t>
        </is>
      </c>
      <c r="S234" s="21" t="inlineStr">
        <is>
          <t>Чистая длина 20.500 м; кусков 2; стыков 1; Lнахл=1×0.128=0.128 м на стержень</t>
        </is>
      </c>
      <c r="T234" s="21" t="inlineStr">
        <is>
          <t>Ригели, балки, плита, С-1</t>
        </is>
      </c>
      <c r="U234" s="49" t="n">
        <v>0</v>
      </c>
      <c r="V234" s="72" t="inlineStr">
        <is>
          <t>Р-3</t>
        </is>
      </c>
      <c r="W234" s="49" t="n">
        <v>1</v>
      </c>
    </row>
    <row r="235">
      <c r="A235" s="72" t="n">
        <v>227</v>
      </c>
      <c r="B235" s="21" t="inlineStr">
        <is>
          <t>1 этаж (отм. -0.050…+3.950)</t>
        </is>
      </c>
      <c r="C235" s="21" t="inlineStr">
        <is>
          <t>Ригели</t>
        </is>
      </c>
      <c r="D235" s="21" t="inlineStr">
        <is>
          <t>ось 3 (отм. +3.950)</t>
        </is>
      </c>
      <c r="E235" s="21" t="inlineStr">
        <is>
          <t>Р-3</t>
        </is>
      </c>
      <c r="F235" s="72" t="inlineStr">
        <is>
          <t>ОС</t>
        </is>
      </c>
      <c r="G235" s="21" t="inlineStr">
        <is>
          <t>ОС верх: 2Ø28, участок 0…1800 мм + 250 до торца</t>
        </is>
      </c>
      <c r="H235" s="51" t="n">
        <v>28</v>
      </c>
      <c r="I235" s="72" t="inlineStr">
        <is>
          <t>А500С</t>
        </is>
      </c>
      <c r="J235" s="72" t="inlineStr">
        <is>
          <t>—</t>
        </is>
      </c>
      <c r="K235" s="75" t="n">
        <v>1</v>
      </c>
      <c r="L235" s="51" t="n">
        <v>2</v>
      </c>
      <c r="M235" s="69" t="n">
        <v>2.05</v>
      </c>
      <c r="N235" s="70">
        <f>K235*L235*M235</f>
        <v/>
      </c>
      <c r="O235" s="37">
        <f>IFERROR(INDEX(Исходные!$B$19:$B$31,MATCH(H235,Исходные!$A$19:$A$31,0)),0)</f>
        <v/>
      </c>
      <c r="P235" s="76">
        <f>N235*O235</f>
        <v/>
      </c>
      <c r="Q235" s="21" t="inlineStr">
        <is>
          <t>АС-26: выноска «ОС 2Ø28 А500С»; длина по привязкам отдельных стержней</t>
        </is>
      </c>
      <c r="R235" s="77" t="inlineStr">
        <is>
          <t>по геометрии чертежа</t>
        </is>
      </c>
      <c r="S235" s="21" t="inlineStr">
        <is>
          <t>Координаты от оси А: 0…1800 мм; конец заведён до торца крайней колонны (+250)</t>
        </is>
      </c>
      <c r="T235" s="21" t="inlineStr">
        <is>
          <t>Ригели, балки, плита, С-1</t>
        </is>
      </c>
      <c r="U235" s="49" t="n">
        <v>0</v>
      </c>
      <c r="V235" s="72" t="inlineStr">
        <is>
          <t>Р-3</t>
        </is>
      </c>
      <c r="W235" s="49" t="n">
        <v>1</v>
      </c>
    </row>
    <row r="236">
      <c r="A236" s="72" t="n">
        <v>228</v>
      </c>
      <c r="B236" s="21" t="inlineStr">
        <is>
          <t>1 этаж (отм. -0.050…+3.950)</t>
        </is>
      </c>
      <c r="C236" s="21" t="inlineStr">
        <is>
          <t>Ригели</t>
        </is>
      </c>
      <c r="D236" s="21" t="inlineStr">
        <is>
          <t>ось 3 (отм. +3.950)</t>
        </is>
      </c>
      <c r="E236" s="21" t="inlineStr">
        <is>
          <t>Р-3</t>
        </is>
      </c>
      <c r="F236" s="72" t="inlineStr">
        <is>
          <t>ОС</t>
        </is>
      </c>
      <c r="G236" s="21" t="inlineStr">
        <is>
          <t>ОС верх: 2Ø28, участок 4700…8500 мм</t>
        </is>
      </c>
      <c r="H236" s="51" t="n">
        <v>28</v>
      </c>
      <c r="I236" s="72" t="inlineStr">
        <is>
          <t>А500С</t>
        </is>
      </c>
      <c r="J236" s="72" t="inlineStr">
        <is>
          <t>—</t>
        </is>
      </c>
      <c r="K236" s="75" t="n">
        <v>1</v>
      </c>
      <c r="L236" s="51" t="n">
        <v>2</v>
      </c>
      <c r="M236" s="69" t="n">
        <v>3.8</v>
      </c>
      <c r="N236" s="70">
        <f>K236*L236*M236</f>
        <v/>
      </c>
      <c r="O236" s="37">
        <f>IFERROR(INDEX(Исходные!$B$19:$B$31,MATCH(H236,Исходные!$A$19:$A$31,0)),0)</f>
        <v/>
      </c>
      <c r="P236" s="76">
        <f>N236*O236</f>
        <v/>
      </c>
      <c r="Q236" s="21" t="inlineStr">
        <is>
          <t>АС-26: выноска «ОС 2Ø28 А500С»; длина по привязкам отдельных стержней</t>
        </is>
      </c>
      <c r="R236" s="77" t="inlineStr">
        <is>
          <t>по геометрии чертежа</t>
        </is>
      </c>
      <c r="S236" s="21" t="inlineStr">
        <is>
          <t>Координаты от оси А: 4700…8500 мм</t>
        </is>
      </c>
      <c r="T236" s="21" t="inlineStr">
        <is>
          <t>Ригели, балки, плита, С-1</t>
        </is>
      </c>
      <c r="U236" s="49" t="n">
        <v>0</v>
      </c>
      <c r="V236" s="72" t="inlineStr">
        <is>
          <t>Р-3</t>
        </is>
      </c>
      <c r="W236" s="49" t="n">
        <v>1</v>
      </c>
    </row>
    <row r="237">
      <c r="A237" s="72" t="n">
        <v>229</v>
      </c>
      <c r="B237" s="21" t="inlineStr">
        <is>
          <t>1 этаж (отм. -0.050…+3.950)</t>
        </is>
      </c>
      <c r="C237" s="21" t="inlineStr">
        <is>
          <t>Ригели</t>
        </is>
      </c>
      <c r="D237" s="21" t="inlineStr">
        <is>
          <t>ось 3 (отм. +3.950)</t>
        </is>
      </c>
      <c r="E237" s="21" t="inlineStr">
        <is>
          <t>Р-3</t>
        </is>
      </c>
      <c r="F237" s="72" t="inlineStr">
        <is>
          <t>ОС</t>
        </is>
      </c>
      <c r="G237" s="21" t="inlineStr">
        <is>
          <t>ОС верх ств.: 2Ø25, участок 4700…8500 мм</t>
        </is>
      </c>
      <c r="H237" s="51" t="n">
        <v>25</v>
      </c>
      <c r="I237" s="72" t="inlineStr">
        <is>
          <t>А500С</t>
        </is>
      </c>
      <c r="J237" s="72" t="inlineStr">
        <is>
          <t>—</t>
        </is>
      </c>
      <c r="K237" s="75" t="n">
        <v>1</v>
      </c>
      <c r="L237" s="51" t="n">
        <v>2</v>
      </c>
      <c r="M237" s="69" t="n">
        <v>3.8</v>
      </c>
      <c r="N237" s="70">
        <f>K237*L237*M237</f>
        <v/>
      </c>
      <c r="O237" s="37">
        <f>IFERROR(INDEX(Исходные!$B$19:$B$31,MATCH(H237,Исходные!$A$19:$A$31,0)),0)</f>
        <v/>
      </c>
      <c r="P237" s="76">
        <f>N237*O237</f>
        <v/>
      </c>
      <c r="Q237" s="21" t="inlineStr">
        <is>
          <t>АС-26: выноска «ОС 2Ø25 А500С»; длина по привязкам отдельных стержней</t>
        </is>
      </c>
      <c r="R237" s="77" t="inlineStr">
        <is>
          <t>по геометрии чертежа</t>
        </is>
      </c>
      <c r="S237" s="21" t="inlineStr">
        <is>
          <t>Координаты от оси А: 4700…8500 мм</t>
        </is>
      </c>
      <c r="T237" s="21" t="inlineStr">
        <is>
          <t>Ригели, балки, плита, С-1</t>
        </is>
      </c>
      <c r="U237" s="49" t="n">
        <v>0</v>
      </c>
      <c r="V237" s="72" t="inlineStr">
        <is>
          <t>Р-3</t>
        </is>
      </c>
      <c r="W237" s="49" t="n">
        <v>1</v>
      </c>
    </row>
    <row r="238">
      <c r="A238" s="72" t="n">
        <v>230</v>
      </c>
      <c r="B238" s="21" t="inlineStr">
        <is>
          <t>1 этаж (отм. -0.050…+3.950)</t>
        </is>
      </c>
      <c r="C238" s="21" t="inlineStr">
        <is>
          <t>Ригели</t>
        </is>
      </c>
      <c r="D238" s="21" t="inlineStr">
        <is>
          <t>ось 3 (отм. +3.950)</t>
        </is>
      </c>
      <c r="E238" s="21" t="inlineStr">
        <is>
          <t>Р-3</t>
        </is>
      </c>
      <c r="F238" s="72" t="inlineStr">
        <is>
          <t>ОС</t>
        </is>
      </c>
      <c r="G238" s="21" t="inlineStr">
        <is>
          <t>ОС верх: 2Ø25, участок 11500…15300 мм</t>
        </is>
      </c>
      <c r="H238" s="51" t="n">
        <v>25</v>
      </c>
      <c r="I238" s="72" t="inlineStr">
        <is>
          <t>А500С</t>
        </is>
      </c>
      <c r="J238" s="72" t="inlineStr">
        <is>
          <t>—</t>
        </is>
      </c>
      <c r="K238" s="75" t="n">
        <v>1</v>
      </c>
      <c r="L238" s="51" t="n">
        <v>2</v>
      </c>
      <c r="M238" s="69" t="n">
        <v>3.8</v>
      </c>
      <c r="N238" s="70">
        <f>K238*L238*M238</f>
        <v/>
      </c>
      <c r="O238" s="37">
        <f>IFERROR(INDEX(Исходные!$B$19:$B$31,MATCH(H238,Исходные!$A$19:$A$31,0)),0)</f>
        <v/>
      </c>
      <c r="P238" s="76">
        <f>N238*O238</f>
        <v/>
      </c>
      <c r="Q238" s="21" t="inlineStr">
        <is>
          <t>АС-26: выноска «ОС 2Ø25 А500С»; длина по привязкам отдельных стержней</t>
        </is>
      </c>
      <c r="R238" s="77" t="inlineStr">
        <is>
          <t>по геометрии чертежа</t>
        </is>
      </c>
      <c r="S238" s="21" t="inlineStr">
        <is>
          <t>Координаты от оси А: 11500…15300 мм</t>
        </is>
      </c>
      <c r="T238" s="21" t="inlineStr">
        <is>
          <t>Ригели, балки, плита, С-1</t>
        </is>
      </c>
      <c r="U238" s="49" t="n">
        <v>0</v>
      </c>
      <c r="V238" s="72" t="inlineStr">
        <is>
          <t>Р-3</t>
        </is>
      </c>
      <c r="W238" s="49" t="n">
        <v>1</v>
      </c>
    </row>
    <row r="239">
      <c r="A239" s="72" t="n">
        <v>231</v>
      </c>
      <c r="B239" s="21" t="inlineStr">
        <is>
          <t>1 этаж (отм. -0.050…+3.950)</t>
        </is>
      </c>
      <c r="C239" s="21" t="inlineStr">
        <is>
          <t>Ригели</t>
        </is>
      </c>
      <c r="D239" s="21" t="inlineStr">
        <is>
          <t>ось 3 (отм. +3.950)</t>
        </is>
      </c>
      <c r="E239" s="21" t="inlineStr">
        <is>
          <t>Р-3</t>
        </is>
      </c>
      <c r="F239" s="72" t="inlineStr">
        <is>
          <t>ОС</t>
        </is>
      </c>
      <c r="G239" s="21" t="inlineStr">
        <is>
          <t>ОС верх ств.: 2Ø25, участок 11500…15300 мм</t>
        </is>
      </c>
      <c r="H239" s="51" t="n">
        <v>25</v>
      </c>
      <c r="I239" s="72" t="inlineStr">
        <is>
          <t>А500С</t>
        </is>
      </c>
      <c r="J239" s="72" t="inlineStr">
        <is>
          <t>—</t>
        </is>
      </c>
      <c r="K239" s="75" t="n">
        <v>1</v>
      </c>
      <c r="L239" s="51" t="n">
        <v>2</v>
      </c>
      <c r="M239" s="69" t="n">
        <v>3.8</v>
      </c>
      <c r="N239" s="70">
        <f>K239*L239*M239</f>
        <v/>
      </c>
      <c r="O239" s="37">
        <f>IFERROR(INDEX(Исходные!$B$19:$B$31,MATCH(H239,Исходные!$A$19:$A$31,0)),0)</f>
        <v/>
      </c>
      <c r="P239" s="76">
        <f>N239*O239</f>
        <v/>
      </c>
      <c r="Q239" s="21" t="inlineStr">
        <is>
          <t>АС-26: выноска «ОС 2Ø25 А500С»; длина по привязкам отдельных стержней</t>
        </is>
      </c>
      <c r="R239" s="77" t="inlineStr">
        <is>
          <t>по геометрии чертежа</t>
        </is>
      </c>
      <c r="S239" s="21" t="inlineStr">
        <is>
          <t>Координаты от оси А: 11500…15300 мм</t>
        </is>
      </c>
      <c r="T239" s="21" t="inlineStr">
        <is>
          <t>Ригели, балки, плита, С-1</t>
        </is>
      </c>
      <c r="U239" s="49" t="n">
        <v>0</v>
      </c>
      <c r="V239" s="72" t="inlineStr">
        <is>
          <t>Р-3</t>
        </is>
      </c>
      <c r="W239" s="49" t="n">
        <v>1</v>
      </c>
    </row>
    <row r="240">
      <c r="A240" s="72" t="n">
        <v>232</v>
      </c>
      <c r="B240" s="21" t="inlineStr">
        <is>
          <t>1 этаж (отм. -0.050…+3.950)</t>
        </is>
      </c>
      <c r="C240" s="21" t="inlineStr">
        <is>
          <t>Ригели</t>
        </is>
      </c>
      <c r="D240" s="21" t="inlineStr">
        <is>
          <t>ось 3 (отм. +3.950)</t>
        </is>
      </c>
      <c r="E240" s="21" t="inlineStr">
        <is>
          <t>Р-3</t>
        </is>
      </c>
      <c r="F240" s="72" t="inlineStr">
        <is>
          <t>ОС</t>
        </is>
      </c>
      <c r="G240" s="21" t="inlineStr">
        <is>
          <t>ОС верх: 2Ø32, участок 18200…20000 мм + 250 до торца</t>
        </is>
      </c>
      <c r="H240" s="51" t="n">
        <v>32</v>
      </c>
      <c r="I240" s="72" t="inlineStr">
        <is>
          <t>А500С</t>
        </is>
      </c>
      <c r="J240" s="72" t="inlineStr">
        <is>
          <t>—</t>
        </is>
      </c>
      <c r="K240" s="75" t="n">
        <v>1</v>
      </c>
      <c r="L240" s="51" t="n">
        <v>2</v>
      </c>
      <c r="M240" s="69" t="n">
        <v>2.05</v>
      </c>
      <c r="N240" s="70">
        <f>K240*L240*M240</f>
        <v/>
      </c>
      <c r="O240" s="37">
        <f>IFERROR(INDEX(Исходные!$B$19:$B$31,MATCH(H240,Исходные!$A$19:$A$31,0)),0)</f>
        <v/>
      </c>
      <c r="P240" s="76">
        <f>N240*O240</f>
        <v/>
      </c>
      <c r="Q240" s="21" t="inlineStr">
        <is>
          <t>АС-26: выноска «ОС 2Ø32 А500С»; длина по привязкам отдельных стержней</t>
        </is>
      </c>
      <c r="R240" s="77" t="inlineStr">
        <is>
          <t>по геометрии чертежа</t>
        </is>
      </c>
      <c r="S240" s="21" t="inlineStr">
        <is>
          <t>Координаты от оси А: 18200…20000 мм; конец заведён до торца крайней колонны (+250)</t>
        </is>
      </c>
      <c r="T240" s="21" t="inlineStr">
        <is>
          <t>Ригели, балки, плита, С-1</t>
        </is>
      </c>
      <c r="U240" s="49" t="n">
        <v>0</v>
      </c>
      <c r="V240" s="72" t="inlineStr">
        <is>
          <t>Р-3</t>
        </is>
      </c>
      <c r="W240" s="49" t="n">
        <v>1</v>
      </c>
    </row>
    <row r="241">
      <c r="A241" s="72" t="n">
        <v>233</v>
      </c>
      <c r="B241" s="21" t="inlineStr">
        <is>
          <t>1 этаж (отм. -0.050…+3.950)</t>
        </is>
      </c>
      <c r="C241" s="21" t="inlineStr">
        <is>
          <t>Ригели</t>
        </is>
      </c>
      <c r="D241" s="21" t="inlineStr">
        <is>
          <t>ось 3 (отм. +3.950)</t>
        </is>
      </c>
      <c r="E241" s="21" t="inlineStr">
        <is>
          <t>Р-3</t>
        </is>
      </c>
      <c r="F241" s="72" t="inlineStr">
        <is>
          <t>ОС</t>
        </is>
      </c>
      <c r="G241" s="21" t="inlineStr">
        <is>
          <t>ОС низ: 2Ø16, участок 1800…4700 мм</t>
        </is>
      </c>
      <c r="H241" s="51" t="n">
        <v>16</v>
      </c>
      <c r="I241" s="72" t="inlineStr">
        <is>
          <t>А500С</t>
        </is>
      </c>
      <c r="J241" s="72" t="inlineStr">
        <is>
          <t>—</t>
        </is>
      </c>
      <c r="K241" s="75" t="n">
        <v>1</v>
      </c>
      <c r="L241" s="51" t="n">
        <v>2</v>
      </c>
      <c r="M241" s="69" t="n">
        <v>2.9</v>
      </c>
      <c r="N241" s="70">
        <f>K241*L241*M241</f>
        <v/>
      </c>
      <c r="O241" s="37">
        <f>IFERROR(INDEX(Исходные!$B$19:$B$31,MATCH(H241,Исходные!$A$19:$A$31,0)),0)</f>
        <v/>
      </c>
      <c r="P241" s="76">
        <f>N241*O241</f>
        <v/>
      </c>
      <c r="Q241" s="21" t="inlineStr">
        <is>
          <t>АС-26: выноска «ОС 2Ø16 А500С»; длина по привязкам отдельных стержней</t>
        </is>
      </c>
      <c r="R241" s="77" t="inlineStr">
        <is>
          <t>по геометрии чертежа</t>
        </is>
      </c>
      <c r="S241" s="21" t="inlineStr">
        <is>
          <t>Координаты от оси А: 1800…4700 мм</t>
        </is>
      </c>
      <c r="T241" s="21" t="inlineStr">
        <is>
          <t>Ригели, балки, плита, С-1</t>
        </is>
      </c>
      <c r="U241" s="49" t="n">
        <v>0</v>
      </c>
      <c r="V241" s="72" t="inlineStr">
        <is>
          <t>Р-3</t>
        </is>
      </c>
      <c r="W241" s="49" t="n">
        <v>1</v>
      </c>
    </row>
    <row r="242">
      <c r="A242" s="72" t="n">
        <v>234</v>
      </c>
      <c r="B242" s="21" t="inlineStr">
        <is>
          <t>1 этаж (отм. -0.050…+3.950)</t>
        </is>
      </c>
      <c r="C242" s="21" t="inlineStr">
        <is>
          <t>Ригели</t>
        </is>
      </c>
      <c r="D242" s="21" t="inlineStr">
        <is>
          <t>ось 3 (отм. +3.950)</t>
        </is>
      </c>
      <c r="E242" s="21" t="inlineStr">
        <is>
          <t>Р-3</t>
        </is>
      </c>
      <c r="F242" s="72" t="inlineStr">
        <is>
          <t>ОС</t>
        </is>
      </c>
      <c r="G242" s="21" t="inlineStr">
        <is>
          <t>ОС низ: 2Ø28, участок 8500…11500 мм</t>
        </is>
      </c>
      <c r="H242" s="51" t="n">
        <v>28</v>
      </c>
      <c r="I242" s="72" t="inlineStr">
        <is>
          <t>А500С</t>
        </is>
      </c>
      <c r="J242" s="72" t="inlineStr">
        <is>
          <t>—</t>
        </is>
      </c>
      <c r="K242" s="75" t="n">
        <v>1</v>
      </c>
      <c r="L242" s="51" t="n">
        <v>2</v>
      </c>
      <c r="M242" s="69" t="n">
        <v>3</v>
      </c>
      <c r="N242" s="70">
        <f>K242*L242*M242</f>
        <v/>
      </c>
      <c r="O242" s="37">
        <f>IFERROR(INDEX(Исходные!$B$19:$B$31,MATCH(H242,Исходные!$A$19:$A$31,0)),0)</f>
        <v/>
      </c>
      <c r="P242" s="76">
        <f>N242*O242</f>
        <v/>
      </c>
      <c r="Q242" s="21" t="inlineStr">
        <is>
          <t>АС-26: выноска «ОС 2Ø28 А500С»; длина по привязкам отдельных стержней</t>
        </is>
      </c>
      <c r="R242" s="77" t="inlineStr">
        <is>
          <t>по геометрии чертежа</t>
        </is>
      </c>
      <c r="S242" s="21" t="inlineStr">
        <is>
          <t>Координаты от оси А: 8500…11500 мм</t>
        </is>
      </c>
      <c r="T242" s="21" t="inlineStr">
        <is>
          <t>Ригели, балки, плита, С-1</t>
        </is>
      </c>
      <c r="U242" s="49" t="n">
        <v>0</v>
      </c>
      <c r="V242" s="72" t="inlineStr">
        <is>
          <t>Р-3</t>
        </is>
      </c>
      <c r="W242" s="49" t="n">
        <v>1</v>
      </c>
    </row>
    <row r="243">
      <c r="A243" s="72" t="n">
        <v>235</v>
      </c>
      <c r="B243" s="21" t="inlineStr">
        <is>
          <t>1 этаж (отм. -0.050…+3.950)</t>
        </is>
      </c>
      <c r="C243" s="21" t="inlineStr">
        <is>
          <t>Ригели</t>
        </is>
      </c>
      <c r="D243" s="21" t="inlineStr">
        <is>
          <t>ось 3 (отм. +3.950)</t>
        </is>
      </c>
      <c r="E243" s="21" t="inlineStr">
        <is>
          <t>Р-3</t>
        </is>
      </c>
      <c r="F243" s="72" t="inlineStr">
        <is>
          <t>ОС</t>
        </is>
      </c>
      <c r="G243" s="21" t="inlineStr">
        <is>
          <t>ОС низ: 2Ø16, участок 15300…20000 мм + 250 до торца</t>
        </is>
      </c>
      <c r="H243" s="51" t="n">
        <v>16</v>
      </c>
      <c r="I243" s="72" t="inlineStr">
        <is>
          <t>А500С</t>
        </is>
      </c>
      <c r="J243" s="72" t="inlineStr">
        <is>
          <t>—</t>
        </is>
      </c>
      <c r="K243" s="75" t="n">
        <v>1</v>
      </c>
      <c r="L243" s="51" t="n">
        <v>2</v>
      </c>
      <c r="M243" s="69" t="n">
        <v>4.95</v>
      </c>
      <c r="N243" s="70">
        <f>K243*L243*M243</f>
        <v/>
      </c>
      <c r="O243" s="37">
        <f>IFERROR(INDEX(Исходные!$B$19:$B$31,MATCH(H243,Исходные!$A$19:$A$31,0)),0)</f>
        <v/>
      </c>
      <c r="P243" s="76">
        <f>N243*O243</f>
        <v/>
      </c>
      <c r="Q243" s="21" t="inlineStr">
        <is>
          <t>АС-26: выноска «ОС 2Ø16 А500С»; длина по привязкам отдельных стержней</t>
        </is>
      </c>
      <c r="R243" s="77" t="inlineStr">
        <is>
          <t>по геометрии чертежа</t>
        </is>
      </c>
      <c r="S243" s="21" t="inlineStr">
        <is>
          <t>Координаты от оси А: 15300…20000 мм; конец заведён до торца крайней колонны (+250)</t>
        </is>
      </c>
      <c r="T243" s="21" t="inlineStr">
        <is>
          <t>Ригели, балки, плита, С-1</t>
        </is>
      </c>
      <c r="U243" s="49" t="n">
        <v>0</v>
      </c>
      <c r="V243" s="72" t="inlineStr">
        <is>
          <t>Р-3</t>
        </is>
      </c>
      <c r="W243" s="49" t="n">
        <v>1</v>
      </c>
    </row>
    <row r="244">
      <c r="A244" s="72" t="n">
        <v>236</v>
      </c>
      <c r="B244" s="21" t="inlineStr">
        <is>
          <t>1 этаж (отм. -0.050…+3.950)</t>
        </is>
      </c>
      <c r="C244" s="21" t="inlineStr">
        <is>
          <t>Ригели</t>
        </is>
      </c>
      <c r="D244" s="21" t="inlineStr">
        <is>
          <t>ось 3 (отм. +3.950)</t>
        </is>
      </c>
      <c r="E244" s="21" t="inlineStr">
        <is>
          <t>Р-3</t>
        </is>
      </c>
      <c r="F244" s="72" t="inlineStr">
        <is>
          <t>ОС</t>
        </is>
      </c>
      <c r="G244" s="21" t="inlineStr">
        <is>
          <t>Ос (бок) бок: 4Ø12, участок 4700…8500 мм</t>
        </is>
      </c>
      <c r="H244" s="51" t="n">
        <v>12</v>
      </c>
      <c r="I244" s="72" t="inlineStr">
        <is>
          <t>А500С</t>
        </is>
      </c>
      <c r="J244" s="72" t="inlineStr">
        <is>
          <t>—</t>
        </is>
      </c>
      <c r="K244" s="75" t="n">
        <v>1</v>
      </c>
      <c r="L244" s="51" t="n">
        <v>4</v>
      </c>
      <c r="M244" s="69" t="n">
        <v>3.8</v>
      </c>
      <c r="N244" s="70">
        <f>K244*L244*M244</f>
        <v/>
      </c>
      <c r="O244" s="37">
        <f>IFERROR(INDEX(Исходные!$B$19:$B$31,MATCH(H244,Исходные!$A$19:$A$31,0)),0)</f>
        <v/>
      </c>
      <c r="P244" s="76">
        <f>N244*O244</f>
        <v/>
      </c>
      <c r="Q244" s="21" t="inlineStr">
        <is>
          <t>АС-26: выноска «Ос (бок) 4Ø12 А500С» (бок); длина по привязкам отдельных стержней</t>
        </is>
      </c>
      <c r="R244" s="77" t="inlineStr">
        <is>
          <t>по геометрии чертежа</t>
        </is>
      </c>
      <c r="S244" s="21" t="inlineStr">
        <is>
          <t>Координаты от оси А: 4700…8500 мм</t>
        </is>
      </c>
      <c r="T244" s="21" t="inlineStr">
        <is>
          <t>Ригели, балки, плита, С-1</t>
        </is>
      </c>
      <c r="U244" s="49" t="n">
        <v>0</v>
      </c>
      <c r="V244" s="72" t="inlineStr">
        <is>
          <t>Р-3</t>
        </is>
      </c>
      <c r="W244" s="49" t="n">
        <v>1</v>
      </c>
    </row>
    <row r="245">
      <c r="A245" s="72" t="n">
        <v>237</v>
      </c>
      <c r="B245" s="21" t="inlineStr">
        <is>
          <t>1 этаж (отм. -0.050…+3.950)</t>
        </is>
      </c>
      <c r="C245" s="21" t="inlineStr">
        <is>
          <t>Ригели</t>
        </is>
      </c>
      <c r="D245" s="21" t="inlineStr">
        <is>
          <t>ось 3 (отм. +3.950)</t>
        </is>
      </c>
      <c r="E245" s="21" t="inlineStr">
        <is>
          <t>Р-3</t>
        </is>
      </c>
      <c r="F245" s="72" t="inlineStr">
        <is>
          <t>ОС</t>
        </is>
      </c>
      <c r="G245" s="21" t="inlineStr">
        <is>
          <t>Ос (бок) бок: 4Ø12, участок 11500…15300 мм</t>
        </is>
      </c>
      <c r="H245" s="51" t="n">
        <v>12</v>
      </c>
      <c r="I245" s="72" t="inlineStr">
        <is>
          <t>А500С</t>
        </is>
      </c>
      <c r="J245" s="72" t="inlineStr">
        <is>
          <t>—</t>
        </is>
      </c>
      <c r="K245" s="75" t="n">
        <v>1</v>
      </c>
      <c r="L245" s="51" t="n">
        <v>4</v>
      </c>
      <c r="M245" s="69" t="n">
        <v>3.8</v>
      </c>
      <c r="N245" s="70">
        <f>K245*L245*M245</f>
        <v/>
      </c>
      <c r="O245" s="37">
        <f>IFERROR(INDEX(Исходные!$B$19:$B$31,MATCH(H245,Исходные!$A$19:$A$31,0)),0)</f>
        <v/>
      </c>
      <c r="P245" s="76">
        <f>N245*O245</f>
        <v/>
      </c>
      <c r="Q245" s="21" t="inlineStr">
        <is>
          <t>АС-26: выноска «Ос (бок) 4Ø12 А500С» (бок); длина по привязкам отдельных стержней</t>
        </is>
      </c>
      <c r="R245" s="77" t="inlineStr">
        <is>
          <t>по геометрии чертежа</t>
        </is>
      </c>
      <c r="S245" s="21" t="inlineStr">
        <is>
          <t>Координаты от оси А: 11500…15300 мм</t>
        </is>
      </c>
      <c r="T245" s="21" t="inlineStr">
        <is>
          <t>Ригели, балки, плита, С-1</t>
        </is>
      </c>
      <c r="U245" s="49" t="n">
        <v>0</v>
      </c>
      <c r="V245" s="72" t="inlineStr">
        <is>
          <t>Р-3</t>
        </is>
      </c>
      <c r="W245" s="49" t="n">
        <v>1</v>
      </c>
    </row>
    <row r="246">
      <c r="A246" s="72" t="n">
        <v>238</v>
      </c>
      <c r="B246" s="21" t="inlineStr">
        <is>
          <t>1 этаж (отм. -0.050…+3.950)</t>
        </is>
      </c>
      <c r="C246" s="21" t="inlineStr">
        <is>
          <t>Ригели</t>
        </is>
      </c>
      <c r="D246" s="21" t="inlineStr">
        <is>
          <t>ось 3 (отм. +3.950)</t>
        </is>
      </c>
      <c r="E246" s="21" t="inlineStr">
        <is>
          <t>Р-3</t>
        </is>
      </c>
      <c r="F246" s="72" t="inlineStr">
        <is>
          <t>ОС</t>
        </is>
      </c>
      <c r="G246" s="21" t="inlineStr">
        <is>
          <t>Ос (бок) бок: 4Ø12, участок 18200…20000 мм + 250 до торца</t>
        </is>
      </c>
      <c r="H246" s="51" t="n">
        <v>12</v>
      </c>
      <c r="I246" s="72" t="inlineStr">
        <is>
          <t>А500С</t>
        </is>
      </c>
      <c r="J246" s="72" t="inlineStr">
        <is>
          <t>—</t>
        </is>
      </c>
      <c r="K246" s="75" t="n">
        <v>1</v>
      </c>
      <c r="L246" s="51" t="n">
        <v>4</v>
      </c>
      <c r="M246" s="69" t="n">
        <v>2.05</v>
      </c>
      <c r="N246" s="70">
        <f>K246*L246*M246</f>
        <v/>
      </c>
      <c r="O246" s="37">
        <f>IFERROR(INDEX(Исходные!$B$19:$B$31,MATCH(H246,Исходные!$A$19:$A$31,0)),0)</f>
        <v/>
      </c>
      <c r="P246" s="76">
        <f>N246*O246</f>
        <v/>
      </c>
      <c r="Q246" s="21" t="inlineStr">
        <is>
          <t>АС-26: выноска «Ос (бок) 4Ø12 А500С» (бок); длина по привязкам отдельных стержней</t>
        </is>
      </c>
      <c r="R246" s="77" t="inlineStr">
        <is>
          <t>по геометрии чертежа</t>
        </is>
      </c>
      <c r="S246" s="21" t="inlineStr">
        <is>
          <t>Координаты от оси А: 18200…20000 мм; конец заведён до торца крайней колонны (+250)</t>
        </is>
      </c>
      <c r="T246" s="21" t="inlineStr">
        <is>
          <t>Ригели, балки, плита, С-1</t>
        </is>
      </c>
      <c r="U246" s="49" t="n">
        <v>0</v>
      </c>
      <c r="V246" s="72" t="inlineStr">
        <is>
          <t>Р-3</t>
        </is>
      </c>
      <c r="W246" s="49" t="n">
        <v>1</v>
      </c>
    </row>
    <row r="247">
      <c r="A247" s="72" t="n">
        <v>239</v>
      </c>
      <c r="B247" s="21" t="inlineStr">
        <is>
          <t>1 этаж (отм. -0.050…+3.950)</t>
        </is>
      </c>
      <c r="C247" s="21" t="inlineStr">
        <is>
          <t>Ригели</t>
        </is>
      </c>
      <c r="D247" s="21" t="inlineStr">
        <is>
          <t>ось 3 (отм. +3.950)</t>
        </is>
      </c>
      <c r="E247" s="21" t="inlineStr">
        <is>
          <t>Р-3</t>
        </is>
      </c>
      <c r="F247" s="72" t="inlineStr">
        <is>
          <t>12</t>
        </is>
      </c>
      <c r="G247" s="21" t="inlineStr">
        <is>
          <t>Хомут Ø8 L=2060 ш.100 у опор (100×12), ш.150 в пролёте, 80×4 у балок плиты — вне заштрихованных участков</t>
        </is>
      </c>
      <c r="H247" s="51" t="n">
        <v>8</v>
      </c>
      <c r="I247" s="72" t="inlineStr">
        <is>
          <t>А240</t>
        </is>
      </c>
      <c r="J247" s="72" t="inlineStr">
        <is>
          <t>100/150</t>
        </is>
      </c>
      <c r="K247" s="75" t="n">
        <v>1</v>
      </c>
      <c r="L247" s="51" t="n">
        <v>52</v>
      </c>
      <c r="M247" s="69" t="n">
        <v>2.06</v>
      </c>
      <c r="N247" s="70">
        <f>K247*L247*M247</f>
        <v/>
      </c>
      <c r="O247" s="37">
        <f>IFERROR(INDEX(Исходные!$B$19:$B$31,MATCH(H247,Исходные!$A$19:$A$31,0)),0)</f>
        <v/>
      </c>
      <c r="P247" s="76">
        <f>N247*O247</f>
        <v/>
      </c>
      <c r="Q247" s="21" t="inlineStr">
        <is>
          <t>АС-28 сеч.4-4/5-5 поз.12; АС-29 «Расстановка хомутов в ригелях»</t>
        </is>
      </c>
      <c r="R247" s="77" t="inlineStr">
        <is>
          <t>по проекту</t>
        </is>
      </c>
      <c r="S247" s="21" t="inlineStr">
        <is>
          <t>Пролёты в свету [(300, 6200), (6800, 13200), (13800, 19700)], сумма 18200 мм</t>
        </is>
      </c>
      <c r="T247" s="21" t="inlineStr">
        <is>
          <t>Ригели, балки, плита, С-1</t>
        </is>
      </c>
      <c r="U247" s="49" t="n">
        <v>0</v>
      </c>
      <c r="V247" s="72" t="inlineStr">
        <is>
          <t>Р-3</t>
        </is>
      </c>
      <c r="W247" s="49" t="n">
        <v>1</v>
      </c>
    </row>
    <row r="248">
      <c r="A248" s="72" t="n">
        <v>240</v>
      </c>
      <c r="B248" s="21" t="inlineStr">
        <is>
          <t>1 этаж (отм. -0.050…+3.950)</t>
        </is>
      </c>
      <c r="C248" s="21" t="inlineStr">
        <is>
          <t>Ригели</t>
        </is>
      </c>
      <c r="D248" s="21" t="inlineStr">
        <is>
          <t>ось 3 (отм. +3.950)</t>
        </is>
      </c>
      <c r="E248" s="21" t="inlineStr">
        <is>
          <t>Р-3</t>
        </is>
      </c>
      <c r="F248" s="72" t="inlineStr">
        <is>
          <t>13</t>
        </is>
      </c>
      <c r="G248" s="21" t="inlineStr">
        <is>
          <t>Хомут наружный Ø10 L=2060 ш.100 — заштрихованные участки рамы</t>
        </is>
      </c>
      <c r="H248" s="51" t="n">
        <v>10</v>
      </c>
      <c r="I248" s="72" t="inlineStr">
        <is>
          <t>А240</t>
        </is>
      </c>
      <c r="J248" s="72" t="n">
        <v>100</v>
      </c>
      <c r="K248" s="75" t="n">
        <v>1</v>
      </c>
      <c r="L248" s="51" t="n">
        <v>106</v>
      </c>
      <c r="M248" s="69" t="n">
        <v>2.06</v>
      </c>
      <c r="N248" s="70">
        <f>K248*L248*M248</f>
        <v/>
      </c>
      <c r="O248" s="37">
        <f>IFERROR(INDEX(Исходные!$B$19:$B$31,MATCH(H248,Исходные!$A$19:$A$31,0)),0)</f>
        <v/>
      </c>
      <c r="P248" s="76">
        <f>N248*O248</f>
        <v/>
      </c>
      <c r="Q248" s="21" t="inlineStr">
        <is>
          <t>АС-26 штриховка «100×15»; АС-28 Фрагмент №1, поз.13</t>
        </is>
      </c>
      <c r="R248" s="77" t="inlineStr">
        <is>
          <t>по проекту</t>
        </is>
      </c>
      <c r="S248" s="21" t="inlineStr">
        <is>
          <t>Участки (мм): одинарные [(0, 1500), (5000, 6500), (8500, 9500), (10500, 11500), (13500, 15000)], двойные [(6500, 8500), (11500, 13500), (18200, 20000)]</t>
        </is>
      </c>
      <c r="T248" s="21" t="inlineStr">
        <is>
          <t>Ригели, балки, плита, С-1</t>
        </is>
      </c>
      <c r="U248" s="49" t="n">
        <v>0</v>
      </c>
      <c r="V248" s="72" t="inlineStr">
        <is>
          <t>Р-3</t>
        </is>
      </c>
      <c r="W248" s="49" t="n">
        <v>1</v>
      </c>
    </row>
    <row r="249">
      <c r="A249" s="72" t="n">
        <v>241</v>
      </c>
      <c r="B249" s="21" t="inlineStr">
        <is>
          <t>1 этаж (отм. -0.050…+3.950)</t>
        </is>
      </c>
      <c r="C249" s="21" t="inlineStr">
        <is>
          <t>Ригели</t>
        </is>
      </c>
      <c r="D249" s="21" t="inlineStr">
        <is>
          <t>ось 3 (отм. +3.950)</t>
        </is>
      </c>
      <c r="E249" s="21" t="inlineStr">
        <is>
          <t>Р-3</t>
        </is>
      </c>
      <c r="F249" s="72" t="inlineStr">
        <is>
          <t>15</t>
        </is>
      </c>
      <c r="G249" s="21" t="inlineStr">
        <is>
          <t>Хомут внутренний Ø10 L=1600 ш.100 — участки двойных хомутов</t>
        </is>
      </c>
      <c r="H249" s="51" t="n">
        <v>10</v>
      </c>
      <c r="I249" s="72" t="inlineStr">
        <is>
          <t>А240</t>
        </is>
      </c>
      <c r="J249" s="72" t="n">
        <v>100</v>
      </c>
      <c r="K249" s="75" t="n">
        <v>1</v>
      </c>
      <c r="L249" s="51" t="n">
        <v>50</v>
      </c>
      <c r="M249" s="69" t="n">
        <v>1.6</v>
      </c>
      <c r="N249" s="70">
        <f>K249*L249*M249</f>
        <v/>
      </c>
      <c r="O249" s="37">
        <f>IFERROR(INDEX(Исходные!$B$19:$B$31,MATCH(H249,Исходные!$A$19:$A$31,0)),0)</f>
        <v/>
      </c>
      <c r="P249" s="76">
        <f>N249*O249</f>
        <v/>
      </c>
      <c r="Q249" s="21" t="inlineStr">
        <is>
          <t>АС-26 двойная штриховка; АС-28 Фрагмент №1, поз.15</t>
        </is>
      </c>
      <c r="R249" s="77" t="inlineStr">
        <is>
          <t>по проекту</t>
        </is>
      </c>
      <c r="S249" s="21" t="inlineStr"/>
      <c r="T249" s="21" t="inlineStr">
        <is>
          <t>Ригели, балки, плита, С-1</t>
        </is>
      </c>
      <c r="U249" s="49" t="n">
        <v>0</v>
      </c>
      <c r="V249" s="72" t="inlineStr">
        <is>
          <t>Р-3</t>
        </is>
      </c>
      <c r="W249" s="49" t="n">
        <v>1</v>
      </c>
    </row>
    <row r="250">
      <c r="A250" s="72" t="n">
        <v>242</v>
      </c>
      <c r="B250" s="21" t="inlineStr">
        <is>
          <t>1 этаж (отм. -0.050…+3.950)</t>
        </is>
      </c>
      <c r="C250" s="21" t="inlineStr">
        <is>
          <t>Ригели</t>
        </is>
      </c>
      <c r="D250" s="21" t="inlineStr">
        <is>
          <t>ось 3 (отм. +3.950)</t>
        </is>
      </c>
      <c r="E250" s="21" t="inlineStr">
        <is>
          <t>Р-3</t>
        </is>
      </c>
      <c r="F250" s="72" t="inlineStr">
        <is>
          <t>17</t>
        </is>
      </c>
      <c r="G250" s="21" t="inlineStr">
        <is>
          <t>Шпилька вертикальная Ø8 L=750: ш.200 у опор, ш.150 в пролёте (нет в зонах двойных хомутов)</t>
        </is>
      </c>
      <c r="H250" s="51" t="n">
        <v>8</v>
      </c>
      <c r="I250" s="72" t="inlineStr">
        <is>
          <t>А240</t>
        </is>
      </c>
      <c r="J250" s="72" t="inlineStr">
        <is>
          <t>200/150</t>
        </is>
      </c>
      <c r="K250" s="75" t="n">
        <v>1</v>
      </c>
      <c r="L250" s="51" t="n">
        <v>73</v>
      </c>
      <c r="M250" s="69" t="n">
        <v>0.75</v>
      </c>
      <c r="N250" s="70">
        <f>K250*L250*M250</f>
        <v/>
      </c>
      <c r="O250" s="37">
        <f>IFERROR(INDEX(Исходные!$B$19:$B$31,MATCH(H250,Исходные!$A$19:$A$31,0)),0)</f>
        <v/>
      </c>
      <c r="P250" s="76">
        <f>N250*O250</f>
        <v/>
      </c>
      <c r="Q250" s="21" t="inlineStr">
        <is>
          <t>АС-28 сеч.4-4/5-5 поз.17</t>
        </is>
      </c>
      <c r="R250" s="77" t="inlineStr">
        <is>
          <t>по проекту</t>
        </is>
      </c>
      <c r="S250" s="21" t="inlineStr"/>
      <c r="T250" s="21" t="inlineStr">
        <is>
          <t>Ригели, балки, плита, С-1</t>
        </is>
      </c>
      <c r="U250" s="49" t="n">
        <v>0</v>
      </c>
      <c r="V250" s="72" t="inlineStr">
        <is>
          <t>Р-3</t>
        </is>
      </c>
      <c r="W250" s="49" t="n">
        <v>1</v>
      </c>
    </row>
    <row r="251">
      <c r="A251" s="72" t="n">
        <v>243</v>
      </c>
      <c r="B251" s="21" t="inlineStr">
        <is>
          <t>1 этаж (отм. -0.050…+3.950)</t>
        </is>
      </c>
      <c r="C251" s="21" t="inlineStr">
        <is>
          <t>Ригели</t>
        </is>
      </c>
      <c r="D251" s="21" t="inlineStr">
        <is>
          <t>ось 3 (отм. +3.950)</t>
        </is>
      </c>
      <c r="E251" s="21" t="inlineStr">
        <is>
          <t>Р-3</t>
        </is>
      </c>
      <c r="F251" s="72" t="inlineStr">
        <is>
          <t>16</t>
        </is>
      </c>
      <c r="G251" s="21" t="inlineStr">
        <is>
          <t>Шпилька горизонтальная Ø8 L=580 ш.300 (связь боковых 2Ø16)</t>
        </is>
      </c>
      <c r="H251" s="51" t="n">
        <v>8</v>
      </c>
      <c r="I251" s="72" t="inlineStr">
        <is>
          <t>А240</t>
        </is>
      </c>
      <c r="J251" s="72" t="n">
        <v>300</v>
      </c>
      <c r="K251" s="75" t="n">
        <v>1</v>
      </c>
      <c r="L251" s="51" t="n">
        <v>62</v>
      </c>
      <c r="M251" s="69" t="n">
        <v>0.58</v>
      </c>
      <c r="N251" s="70">
        <f>K251*L251*M251</f>
        <v/>
      </c>
      <c r="O251" s="37">
        <f>IFERROR(INDEX(Исходные!$B$19:$B$31,MATCH(H251,Исходные!$A$19:$A$31,0)),0)</f>
        <v/>
      </c>
      <c r="P251" s="76">
        <f>N251*O251</f>
        <v/>
      </c>
      <c r="Q251" s="21" t="inlineStr">
        <is>
          <t>АС-28 сеч.4-4/5-5 «шп.Ø8 А240 ш.300», поз.16 L=580</t>
        </is>
      </c>
      <c r="R251" s="78" t="inlineStr">
        <is>
          <t>принято (уточнить)</t>
        </is>
      </c>
      <c r="S251" s="21" t="inlineStr">
        <is>
          <t>Номер позиции на сечении не указан — принята поз.16 (L=580) по ведомости деталей.</t>
        </is>
      </c>
      <c r="T251" s="21" t="inlineStr">
        <is>
          <t>Ригели, балки, плита, С-1</t>
        </is>
      </c>
      <c r="U251" s="49" t="n">
        <v>1</v>
      </c>
      <c r="V251" s="72" t="inlineStr">
        <is>
          <t>Р-3</t>
        </is>
      </c>
      <c r="W251" s="49" t="n">
        <v>1</v>
      </c>
    </row>
    <row r="252">
      <c r="A252" s="72" t="n">
        <v>244</v>
      </c>
      <c r="B252" s="21" t="inlineStr">
        <is>
          <t>1 этаж (отм. -0.050…+3.950)</t>
        </is>
      </c>
      <c r="C252" s="21" t="inlineStr">
        <is>
          <t>Ригели</t>
        </is>
      </c>
      <c r="D252" s="21" t="inlineStr">
        <is>
          <t>ось 4 (отм. +3.950)</t>
        </is>
      </c>
      <c r="E252" s="21" t="inlineStr">
        <is>
          <t>Р-4</t>
        </is>
      </c>
      <c r="F252" s="72" t="inlineStr">
        <is>
          <t>2</t>
        </is>
      </c>
      <c r="G252" s="21" t="inlineStr">
        <is>
          <t>Продольные угловые 4Ø28 (сеч.4-4/5-5), сквозные, концы с Аш</t>
        </is>
      </c>
      <c r="H252" s="51" t="n">
        <v>28</v>
      </c>
      <c r="I252" s="72" t="inlineStr">
        <is>
          <t>А500С</t>
        </is>
      </c>
      <c r="J252" s="72" t="inlineStr">
        <is>
          <t>—</t>
        </is>
      </c>
      <c r="K252" s="75" t="n">
        <v>1</v>
      </c>
      <c r="L252" s="51" t="n">
        <v>4</v>
      </c>
      <c r="M252" s="69" t="n">
        <v>20.5</v>
      </c>
      <c r="N252" s="70">
        <f>K252*L252*M252</f>
        <v/>
      </c>
      <c r="O252" s="37">
        <f>IFERROR(INDEX(Исходные!$B$19:$B$31,MATCH(H252,Исходные!$A$19:$A$31,0)),0)</f>
        <v/>
      </c>
      <c r="P252" s="76">
        <f>N252*O252</f>
        <v/>
      </c>
      <c r="Q252" s="21" t="inlineStr">
        <is>
          <t>АС-27 рама + АС-28 сеч.4-4/5-5 поз.2; длина = 20000+2×250 (до 50 мм от наружной грани крайней колонны)</t>
        </is>
      </c>
      <c r="R252" s="77" t="inlineStr">
        <is>
          <t>по геометрии чертежа</t>
        </is>
      </c>
      <c r="S252" s="21" t="inlineStr">
        <is>
          <t>Стыки ванной сваркой без нахлёста: 1 на стержень (всего 4).</t>
        </is>
      </c>
      <c r="T252" s="21" t="inlineStr">
        <is>
          <t>Ригели, балки, плита, С-1</t>
        </is>
      </c>
      <c r="U252" s="49" t="n">
        <v>0</v>
      </c>
      <c r="V252" s="72" t="inlineStr">
        <is>
          <t>Р-4</t>
        </is>
      </c>
      <c r="W252" s="49" t="n">
        <v>1</v>
      </c>
    </row>
    <row r="253">
      <c r="A253" s="72" t="n">
        <v>245</v>
      </c>
      <c r="B253" s="21" t="inlineStr">
        <is>
          <t>1 этаж (отм. -0.050…+3.950)</t>
        </is>
      </c>
      <c r="C253" s="21" t="inlineStr">
        <is>
          <t>Ригели</t>
        </is>
      </c>
      <c r="D253" s="21" t="inlineStr">
        <is>
          <t>ось 4 (отм. +3.950)</t>
        </is>
      </c>
      <c r="E253" s="21" t="inlineStr">
        <is>
          <t>Р-4</t>
        </is>
      </c>
      <c r="F253" s="72" t="inlineStr">
        <is>
          <t>6</t>
        </is>
      </c>
      <c r="G253" s="21" t="inlineStr">
        <is>
          <t>Продольные средние верх/низ 2Ø18 (сеч.4-4/5-5)</t>
        </is>
      </c>
      <c r="H253" s="51" t="n">
        <v>18</v>
      </c>
      <c r="I253" s="72" t="inlineStr">
        <is>
          <t>А500С</t>
        </is>
      </c>
      <c r="J253" s="72" t="inlineStr">
        <is>
          <t>—</t>
        </is>
      </c>
      <c r="K253" s="75" t="n">
        <v>1</v>
      </c>
      <c r="L253" s="51" t="n">
        <v>2</v>
      </c>
      <c r="M253" s="69" t="n">
        <v>20.5</v>
      </c>
      <c r="N253" s="70">
        <f>K253*L253*M253</f>
        <v/>
      </c>
      <c r="O253" s="37">
        <f>IFERROR(INDEX(Исходные!$B$19:$B$31,MATCH(H253,Исходные!$A$19:$A$31,0)),0)</f>
        <v/>
      </c>
      <c r="P253" s="76">
        <f>N253*O253</f>
        <v/>
      </c>
      <c r="Q253" s="21" t="inlineStr">
        <is>
          <t>АС-28 сеч.4-4/5-5 поз.6</t>
        </is>
      </c>
      <c r="R253" s="77" t="inlineStr">
        <is>
          <t>по геометрии чертежа</t>
        </is>
      </c>
      <c r="S253" s="21" t="inlineStr"/>
      <c r="T253" s="21" t="inlineStr">
        <is>
          <t>Ригели, балки, плита, С-1</t>
        </is>
      </c>
      <c r="U253" s="49" t="n">
        <v>0</v>
      </c>
      <c r="V253" s="72" t="inlineStr">
        <is>
          <t>Р-4</t>
        </is>
      </c>
      <c r="W253" s="49" t="n">
        <v>1</v>
      </c>
    </row>
    <row r="254">
      <c r="A254" s="72" t="n">
        <v>246</v>
      </c>
      <c r="B254" s="21" t="inlineStr">
        <is>
          <t>1 этаж (отм. -0.050…+3.950)</t>
        </is>
      </c>
      <c r="C254" s="21" t="inlineStr">
        <is>
          <t>Ригели</t>
        </is>
      </c>
      <c r="D254" s="21" t="inlineStr">
        <is>
          <t>ось 4 (отм. +3.950)</t>
        </is>
      </c>
      <c r="E254" s="21" t="inlineStr">
        <is>
          <t>Р-4</t>
        </is>
      </c>
      <c r="F254" s="72" t="inlineStr">
        <is>
          <t>6-нахл</t>
        </is>
      </c>
      <c r="G254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254" s="51" t="n">
        <v>18</v>
      </c>
      <c r="I254" s="72" t="inlineStr">
        <is>
          <t>А500С</t>
        </is>
      </c>
      <c r="J254" s="72" t="inlineStr">
        <is>
          <t>—</t>
        </is>
      </c>
      <c r="K254" s="75" t="n">
        <v>2</v>
      </c>
      <c r="L254" s="51" t="n">
        <v>1</v>
      </c>
      <c r="M254" s="69" t="n">
        <v>0.144</v>
      </c>
      <c r="N254" s="70">
        <f>K254*L254*M254</f>
        <v/>
      </c>
      <c r="O254" s="37">
        <f>IFERROR(INDEX(Исходные!$B$19:$B$31,MATCH(H254,Исходные!$A$19:$A$31,0)),0)</f>
        <v/>
      </c>
      <c r="P254" s="76">
        <f>N254*O254</f>
        <v/>
      </c>
      <c r="Q254" s="21" t="inlineStr">
        <is>
          <t>АС-19 прим.1: Ø18 и менее — внахлёстку электродуговой сваркой, Lшва=8d = 144 мм</t>
        </is>
      </c>
      <c r="R254" s="77" t="inlineStr">
        <is>
          <t>по проекту (стыковка прутков 11,7 м)</t>
        </is>
      </c>
      <c r="S254" s="21" t="inlineStr">
        <is>
          <t>Чистая длина 20.500 м; кусков 2; стыков 1; Lнахл=1×0.144=0.144 м на стержень</t>
        </is>
      </c>
      <c r="T254" s="21" t="inlineStr">
        <is>
          <t>Ригели, балки, плита, С-1</t>
        </is>
      </c>
      <c r="U254" s="49" t="n">
        <v>0</v>
      </c>
      <c r="V254" s="72" t="inlineStr">
        <is>
          <t>Р-4</t>
        </is>
      </c>
      <c r="W254" s="49" t="n">
        <v>1</v>
      </c>
    </row>
    <row r="255">
      <c r="A255" s="72" t="n">
        <v>247</v>
      </c>
      <c r="B255" s="21" t="inlineStr">
        <is>
          <t>1 этаж (отм. -0.050…+3.950)</t>
        </is>
      </c>
      <c r="C255" s="21" t="inlineStr">
        <is>
          <t>Ригели</t>
        </is>
      </c>
      <c r="D255" s="21" t="inlineStr">
        <is>
          <t>ось 4 (отм. +3.950)</t>
        </is>
      </c>
      <c r="E255" s="21" t="inlineStr">
        <is>
          <t>Р-4</t>
        </is>
      </c>
      <c r="F255" s="72" t="inlineStr">
        <is>
          <t>7</t>
        </is>
      </c>
      <c r="G255" s="21" t="inlineStr">
        <is>
          <t>Боковые стержни 2Ø16 (сеч.4-4/5-5)</t>
        </is>
      </c>
      <c r="H255" s="51" t="n">
        <v>16</v>
      </c>
      <c r="I255" s="72" t="inlineStr">
        <is>
          <t>А500С</t>
        </is>
      </c>
      <c r="J255" s="72" t="inlineStr">
        <is>
          <t>—</t>
        </is>
      </c>
      <c r="K255" s="75" t="n">
        <v>1</v>
      </c>
      <c r="L255" s="51" t="n">
        <v>2</v>
      </c>
      <c r="M255" s="69" t="n">
        <v>20.5</v>
      </c>
      <c r="N255" s="70">
        <f>K255*L255*M255</f>
        <v/>
      </c>
      <c r="O255" s="37">
        <f>IFERROR(INDEX(Исходные!$B$19:$B$31,MATCH(H255,Исходные!$A$19:$A$31,0)),0)</f>
        <v/>
      </c>
      <c r="P255" s="76">
        <f>N255*O255</f>
        <v/>
      </c>
      <c r="Q255" s="21" t="inlineStr">
        <is>
          <t>АС-28 сеч.4-4/5-5 «Боковые стержни 2Ø16»</t>
        </is>
      </c>
      <c r="R255" s="77" t="inlineStr">
        <is>
          <t>по геометрии чертежа</t>
        </is>
      </c>
      <c r="S255" s="21" t="inlineStr"/>
      <c r="T255" s="21" t="inlineStr">
        <is>
          <t>Ригели, балки, плита, С-1</t>
        </is>
      </c>
      <c r="U255" s="49" t="n">
        <v>0</v>
      </c>
      <c r="V255" s="72" t="inlineStr">
        <is>
          <t>Р-4</t>
        </is>
      </c>
      <c r="W255" s="49" t="n">
        <v>1</v>
      </c>
    </row>
    <row r="256">
      <c r="A256" s="72" t="n">
        <v>248</v>
      </c>
      <c r="B256" s="21" t="inlineStr">
        <is>
          <t>1 этаж (отм. -0.050…+3.950)</t>
        </is>
      </c>
      <c r="C256" s="21" t="inlineStr">
        <is>
          <t>Ригели</t>
        </is>
      </c>
      <c r="D256" s="21" t="inlineStr">
        <is>
          <t>ось 4 (отм. +3.950)</t>
        </is>
      </c>
      <c r="E256" s="21" t="inlineStr">
        <is>
          <t>Р-4</t>
        </is>
      </c>
      <c r="F256" s="72" t="inlineStr">
        <is>
          <t>7-нахл</t>
        </is>
      </c>
      <c r="G256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256" s="51" t="n">
        <v>16</v>
      </c>
      <c r="I256" s="72" t="inlineStr">
        <is>
          <t>А500С</t>
        </is>
      </c>
      <c r="J256" s="72" t="inlineStr">
        <is>
          <t>—</t>
        </is>
      </c>
      <c r="K256" s="75" t="n">
        <v>2</v>
      </c>
      <c r="L256" s="51" t="n">
        <v>1</v>
      </c>
      <c r="M256" s="69" t="n">
        <v>0.128</v>
      </c>
      <c r="N256" s="70">
        <f>K256*L256*M256</f>
        <v/>
      </c>
      <c r="O256" s="37">
        <f>IFERROR(INDEX(Исходные!$B$19:$B$31,MATCH(H256,Исходные!$A$19:$A$31,0)),0)</f>
        <v/>
      </c>
      <c r="P256" s="76">
        <f>N256*O256</f>
        <v/>
      </c>
      <c r="Q256" s="21" t="inlineStr">
        <is>
          <t>АС-19 прим.1: Ø18 и менее — внахлёстку электродуговой сваркой, Lшва=8d = 128 мм</t>
        </is>
      </c>
      <c r="R256" s="77" t="inlineStr">
        <is>
          <t>по проекту (стыковка прутков 11,7 м)</t>
        </is>
      </c>
      <c r="S256" s="21" t="inlineStr">
        <is>
          <t>Чистая длина 20.500 м; кусков 2; стыков 1; Lнахл=1×0.128=0.128 м на стержень</t>
        </is>
      </c>
      <c r="T256" s="21" t="inlineStr">
        <is>
          <t>Ригели, балки, плита, С-1</t>
        </is>
      </c>
      <c r="U256" s="49" t="n">
        <v>0</v>
      </c>
      <c r="V256" s="72" t="inlineStr">
        <is>
          <t>Р-4</t>
        </is>
      </c>
      <c r="W256" s="49" t="n">
        <v>1</v>
      </c>
    </row>
    <row r="257">
      <c r="A257" s="72" t="n">
        <v>249</v>
      </c>
      <c r="B257" s="21" t="inlineStr">
        <is>
          <t>1 этаж (отм. -0.050…+3.950)</t>
        </is>
      </c>
      <c r="C257" s="21" t="inlineStr">
        <is>
          <t>Ригели</t>
        </is>
      </c>
      <c r="D257" s="21" t="inlineStr">
        <is>
          <t>ось 4 (отм. +3.950)</t>
        </is>
      </c>
      <c r="E257" s="21" t="inlineStr">
        <is>
          <t>Р-4</t>
        </is>
      </c>
      <c r="F257" s="72" t="inlineStr">
        <is>
          <t>ОС</t>
        </is>
      </c>
      <c r="G257" s="21" t="inlineStr">
        <is>
          <t>ОС верх: 2Ø32, участок 1000…3400 мм</t>
        </is>
      </c>
      <c r="H257" s="51" t="n">
        <v>32</v>
      </c>
      <c r="I257" s="72" t="inlineStr">
        <is>
          <t>А500С</t>
        </is>
      </c>
      <c r="J257" s="72" t="inlineStr">
        <is>
          <t>—</t>
        </is>
      </c>
      <c r="K257" s="75" t="n">
        <v>1</v>
      </c>
      <c r="L257" s="51" t="n">
        <v>2</v>
      </c>
      <c r="M257" s="69" t="n">
        <v>2.4</v>
      </c>
      <c r="N257" s="70">
        <f>K257*L257*M257</f>
        <v/>
      </c>
      <c r="O257" s="37">
        <f>IFERROR(INDEX(Исходные!$B$19:$B$31,MATCH(H257,Исходные!$A$19:$A$31,0)),0)</f>
        <v/>
      </c>
      <c r="P257" s="76">
        <f>N257*O257</f>
        <v/>
      </c>
      <c r="Q257" s="21" t="inlineStr">
        <is>
          <t>АС-27: выноска «ОС 2Ø32 А500С»; длина по привязкам отдельных стержней</t>
        </is>
      </c>
      <c r="R257" s="77" t="inlineStr">
        <is>
          <t>по геометрии чертежа</t>
        </is>
      </c>
      <c r="S257" s="21" t="inlineStr">
        <is>
          <t>Координаты от оси А: 1000…3400 мм</t>
        </is>
      </c>
      <c r="T257" s="21" t="inlineStr">
        <is>
          <t>Ригели, балки, плита, С-1</t>
        </is>
      </c>
      <c r="U257" s="49" t="n">
        <v>0</v>
      </c>
      <c r="V257" s="72" t="inlineStr">
        <is>
          <t>Р-4</t>
        </is>
      </c>
      <c r="W257" s="49" t="n">
        <v>1</v>
      </c>
    </row>
    <row r="258">
      <c r="A258" s="72" t="n">
        <v>250</v>
      </c>
      <c r="B258" s="21" t="inlineStr">
        <is>
          <t>1 этаж (отм. -0.050…+3.950)</t>
        </is>
      </c>
      <c r="C258" s="21" t="inlineStr">
        <is>
          <t>Ригели</t>
        </is>
      </c>
      <c r="D258" s="21" t="inlineStr">
        <is>
          <t>ось 4 (отм. +3.950)</t>
        </is>
      </c>
      <c r="E258" s="21" t="inlineStr">
        <is>
          <t>Р-4</t>
        </is>
      </c>
      <c r="F258" s="72" t="inlineStr">
        <is>
          <t>ОС</t>
        </is>
      </c>
      <c r="G258" s="21" t="inlineStr">
        <is>
          <t>ОС верх: 2Ø32, участок 5100…8500 мм</t>
        </is>
      </c>
      <c r="H258" s="51" t="n">
        <v>32</v>
      </c>
      <c r="I258" s="72" t="inlineStr">
        <is>
          <t>А500С</t>
        </is>
      </c>
      <c r="J258" s="72" t="inlineStr">
        <is>
          <t>—</t>
        </is>
      </c>
      <c r="K258" s="75" t="n">
        <v>1</v>
      </c>
      <c r="L258" s="51" t="n">
        <v>2</v>
      </c>
      <c r="M258" s="69" t="n">
        <v>3.4</v>
      </c>
      <c r="N258" s="70">
        <f>K258*L258*M258</f>
        <v/>
      </c>
      <c r="O258" s="37">
        <f>IFERROR(INDEX(Исходные!$B$19:$B$31,MATCH(H258,Исходные!$A$19:$A$31,0)),0)</f>
        <v/>
      </c>
      <c r="P258" s="76">
        <f>N258*O258</f>
        <v/>
      </c>
      <c r="Q258" s="21" t="inlineStr">
        <is>
          <t>АС-27: выноска «ОС 2Ø32 А500С»; длина по привязкам отдельных стержней</t>
        </is>
      </c>
      <c r="R258" s="77" t="inlineStr">
        <is>
          <t>по геометрии чертежа</t>
        </is>
      </c>
      <c r="S258" s="21" t="inlineStr">
        <is>
          <t>Координаты от оси А: 5100…8500 мм</t>
        </is>
      </c>
      <c r="T258" s="21" t="inlineStr">
        <is>
          <t>Ригели, балки, плита, С-1</t>
        </is>
      </c>
      <c r="U258" s="49" t="n">
        <v>0</v>
      </c>
      <c r="V258" s="72" t="inlineStr">
        <is>
          <t>Р-4</t>
        </is>
      </c>
      <c r="W258" s="49" t="n">
        <v>1</v>
      </c>
    </row>
    <row r="259">
      <c r="A259" s="72" t="n">
        <v>251</v>
      </c>
      <c r="B259" s="21" t="inlineStr">
        <is>
          <t>1 этаж (отм. -0.050…+3.950)</t>
        </is>
      </c>
      <c r="C259" s="21" t="inlineStr">
        <is>
          <t>Ригели</t>
        </is>
      </c>
      <c r="D259" s="21" t="inlineStr">
        <is>
          <t>ось 4 (отм. +3.950)</t>
        </is>
      </c>
      <c r="E259" s="21" t="inlineStr">
        <is>
          <t>Р-4</t>
        </is>
      </c>
      <c r="F259" s="72" t="inlineStr">
        <is>
          <t>ОС</t>
        </is>
      </c>
      <c r="G259" s="21" t="inlineStr">
        <is>
          <t>ОС верх: 2Ø28, участок 11500…15100 мм</t>
        </is>
      </c>
      <c r="H259" s="51" t="n">
        <v>28</v>
      </c>
      <c r="I259" s="72" t="inlineStr">
        <is>
          <t>А500С</t>
        </is>
      </c>
      <c r="J259" s="72" t="inlineStr">
        <is>
          <t>—</t>
        </is>
      </c>
      <c r="K259" s="75" t="n">
        <v>1</v>
      </c>
      <c r="L259" s="51" t="n">
        <v>2</v>
      </c>
      <c r="M259" s="69" t="n">
        <v>3.6</v>
      </c>
      <c r="N259" s="70">
        <f>K259*L259*M259</f>
        <v/>
      </c>
      <c r="O259" s="37">
        <f>IFERROR(INDEX(Исходные!$B$19:$B$31,MATCH(H259,Исходные!$A$19:$A$31,0)),0)</f>
        <v/>
      </c>
      <c r="P259" s="76">
        <f>N259*O259</f>
        <v/>
      </c>
      <c r="Q259" s="21" t="inlineStr">
        <is>
          <t>АС-27: выноска «ОС 2Ø28 А500С»; длина по привязкам отдельных стержней</t>
        </is>
      </c>
      <c r="R259" s="77" t="inlineStr">
        <is>
          <t>по геометрии чертежа</t>
        </is>
      </c>
      <c r="S259" s="21" t="inlineStr">
        <is>
          <t>Координаты от оси А: 11500…15100 мм</t>
        </is>
      </c>
      <c r="T259" s="21" t="inlineStr">
        <is>
          <t>Ригели, балки, плита, С-1</t>
        </is>
      </c>
      <c r="U259" s="49" t="n">
        <v>0</v>
      </c>
      <c r="V259" s="72" t="inlineStr">
        <is>
          <t>Р-4</t>
        </is>
      </c>
      <c r="W259" s="49" t="n">
        <v>1</v>
      </c>
    </row>
    <row r="260">
      <c r="A260" s="72" t="n">
        <v>252</v>
      </c>
      <c r="B260" s="21" t="inlineStr">
        <is>
          <t>1 этаж (отм. -0.050…+3.950)</t>
        </is>
      </c>
      <c r="C260" s="21" t="inlineStr">
        <is>
          <t>Ригели</t>
        </is>
      </c>
      <c r="D260" s="21" t="inlineStr">
        <is>
          <t>ось 4 (отм. +3.950)</t>
        </is>
      </c>
      <c r="E260" s="21" t="inlineStr">
        <is>
          <t>Р-4</t>
        </is>
      </c>
      <c r="F260" s="72" t="inlineStr">
        <is>
          <t>ОС</t>
        </is>
      </c>
      <c r="G260" s="21" t="inlineStr">
        <is>
          <t>ОС верх: 2Ø32, участок 17400…20000 мм + 250 до торца</t>
        </is>
      </c>
      <c r="H260" s="51" t="n">
        <v>32</v>
      </c>
      <c r="I260" s="72" t="inlineStr">
        <is>
          <t>А500С</t>
        </is>
      </c>
      <c r="J260" s="72" t="inlineStr">
        <is>
          <t>—</t>
        </is>
      </c>
      <c r="K260" s="75" t="n">
        <v>1</v>
      </c>
      <c r="L260" s="51" t="n">
        <v>2</v>
      </c>
      <c r="M260" s="69" t="n">
        <v>2.85</v>
      </c>
      <c r="N260" s="70">
        <f>K260*L260*M260</f>
        <v/>
      </c>
      <c r="O260" s="37">
        <f>IFERROR(INDEX(Исходные!$B$19:$B$31,MATCH(H260,Исходные!$A$19:$A$31,0)),0)</f>
        <v/>
      </c>
      <c r="P260" s="76">
        <f>N260*O260</f>
        <v/>
      </c>
      <c r="Q260" s="21" t="inlineStr">
        <is>
          <t>АС-27: выноска «ОС 2Ø32 А500С»; длина по привязкам отдельных стержней</t>
        </is>
      </c>
      <c r="R260" s="77" t="inlineStr">
        <is>
          <t>по геометрии чертежа</t>
        </is>
      </c>
      <c r="S260" s="21" t="inlineStr">
        <is>
          <t>Координаты от оси А: 17400…20000 мм; конец заведён до торца крайней колонны (+250)</t>
        </is>
      </c>
      <c r="T260" s="21" t="inlineStr">
        <is>
          <t>Ригели, балки, плита, С-1</t>
        </is>
      </c>
      <c r="U260" s="49" t="n">
        <v>0</v>
      </c>
      <c r="V260" s="72" t="inlineStr">
        <is>
          <t>Р-4</t>
        </is>
      </c>
      <c r="W260" s="49" t="n">
        <v>1</v>
      </c>
    </row>
    <row r="261">
      <c r="A261" s="72" t="n">
        <v>253</v>
      </c>
      <c r="B261" s="21" t="inlineStr">
        <is>
          <t>1 этаж (отм. -0.050…+3.950)</t>
        </is>
      </c>
      <c r="C261" s="21" t="inlineStr">
        <is>
          <t>Ригели</t>
        </is>
      </c>
      <c r="D261" s="21" t="inlineStr">
        <is>
          <t>ось 4 (отм. +3.950)</t>
        </is>
      </c>
      <c r="E261" s="21" t="inlineStr">
        <is>
          <t>Р-4</t>
        </is>
      </c>
      <c r="F261" s="72" t="inlineStr">
        <is>
          <t>ОС</t>
        </is>
      </c>
      <c r="G261" s="21" t="inlineStr">
        <is>
          <t>ОС низ: 2Ø25, участок 1000…7200 мм</t>
        </is>
      </c>
      <c r="H261" s="51" t="n">
        <v>25</v>
      </c>
      <c r="I261" s="72" t="inlineStr">
        <is>
          <t>А500С</t>
        </is>
      </c>
      <c r="J261" s="72" t="inlineStr">
        <is>
          <t>—</t>
        </is>
      </c>
      <c r="K261" s="75" t="n">
        <v>1</v>
      </c>
      <c r="L261" s="51" t="n">
        <v>2</v>
      </c>
      <c r="M261" s="69" t="n">
        <v>6.2</v>
      </c>
      <c r="N261" s="70">
        <f>K261*L261*M261</f>
        <v/>
      </c>
      <c r="O261" s="37">
        <f>IFERROR(INDEX(Исходные!$B$19:$B$31,MATCH(H261,Исходные!$A$19:$A$31,0)),0)</f>
        <v/>
      </c>
      <c r="P261" s="76">
        <f>N261*O261</f>
        <v/>
      </c>
      <c r="Q261" s="21" t="inlineStr">
        <is>
          <t>АС-27: выноска «ОС 2Ø25 А500С»; длина по привязкам отдельных стержней</t>
        </is>
      </c>
      <c r="R261" s="77" t="inlineStr">
        <is>
          <t>по геометрии чертежа</t>
        </is>
      </c>
      <c r="S261" s="21" t="inlineStr">
        <is>
          <t>Координаты от оси А: 1000…7200 мм</t>
        </is>
      </c>
      <c r="T261" s="21" t="inlineStr">
        <is>
          <t>Ригели, балки, плита, С-1</t>
        </is>
      </c>
      <c r="U261" s="49" t="n">
        <v>0</v>
      </c>
      <c r="V261" s="72" t="inlineStr">
        <is>
          <t>Р-4</t>
        </is>
      </c>
      <c r="W261" s="49" t="n">
        <v>1</v>
      </c>
    </row>
    <row r="262">
      <c r="A262" s="72" t="n">
        <v>254</v>
      </c>
      <c r="B262" s="21" t="inlineStr">
        <is>
          <t>1 этаж (отм. -0.050…+3.950)</t>
        </is>
      </c>
      <c r="C262" s="21" t="inlineStr">
        <is>
          <t>Ригели</t>
        </is>
      </c>
      <c r="D262" s="21" t="inlineStr">
        <is>
          <t>ось 4 (отм. +3.950)</t>
        </is>
      </c>
      <c r="E262" s="21" t="inlineStr">
        <is>
          <t>Р-4</t>
        </is>
      </c>
      <c r="F262" s="72" t="inlineStr">
        <is>
          <t>ОС</t>
        </is>
      </c>
      <c r="G262" s="21" t="inlineStr">
        <is>
          <t>ОС низ: 2Ø20, участок 8500…11500 мм</t>
        </is>
      </c>
      <c r="H262" s="51" t="n">
        <v>20</v>
      </c>
      <c r="I262" s="72" t="inlineStr">
        <is>
          <t>А500С</t>
        </is>
      </c>
      <c r="J262" s="72" t="inlineStr">
        <is>
          <t>—</t>
        </is>
      </c>
      <c r="K262" s="75" t="n">
        <v>1</v>
      </c>
      <c r="L262" s="51" t="n">
        <v>2</v>
      </c>
      <c r="M262" s="69" t="n">
        <v>3</v>
      </c>
      <c r="N262" s="70">
        <f>K262*L262*M262</f>
        <v/>
      </c>
      <c r="O262" s="37">
        <f>IFERROR(INDEX(Исходные!$B$19:$B$31,MATCH(H262,Исходные!$A$19:$A$31,0)),0)</f>
        <v/>
      </c>
      <c r="P262" s="76">
        <f>N262*O262</f>
        <v/>
      </c>
      <c r="Q262" s="21" t="inlineStr">
        <is>
          <t>АС-27: выноска «ОС 2Ø20 А500С»; длина по привязкам отдельных стержней</t>
        </is>
      </c>
      <c r="R262" s="77" t="inlineStr">
        <is>
          <t>по геометрии чертежа</t>
        </is>
      </c>
      <c r="S262" s="21" t="inlineStr">
        <is>
          <t>Координаты от оси А: 8500…11500 мм</t>
        </is>
      </c>
      <c r="T262" s="21" t="inlineStr">
        <is>
          <t>Ригели, балки, плита, С-1</t>
        </is>
      </c>
      <c r="U262" s="49" t="n">
        <v>0</v>
      </c>
      <c r="V262" s="72" t="inlineStr">
        <is>
          <t>Р-4</t>
        </is>
      </c>
      <c r="W262" s="49" t="n">
        <v>1</v>
      </c>
    </row>
    <row r="263">
      <c r="A263" s="72" t="n">
        <v>255</v>
      </c>
      <c r="B263" s="21" t="inlineStr">
        <is>
          <t>1 этаж (отм. -0.050…+3.950)</t>
        </is>
      </c>
      <c r="C263" s="21" t="inlineStr">
        <is>
          <t>Ригели</t>
        </is>
      </c>
      <c r="D263" s="21" t="inlineStr">
        <is>
          <t>ось 4 (отм. +3.950)</t>
        </is>
      </c>
      <c r="E263" s="21" t="inlineStr">
        <is>
          <t>Р-4</t>
        </is>
      </c>
      <c r="F263" s="72" t="inlineStr">
        <is>
          <t>ОС</t>
        </is>
      </c>
      <c r="G263" s="21" t="inlineStr">
        <is>
          <t>ОС низ: 2Ø16, участок 17400…19700 мм</t>
        </is>
      </c>
      <c r="H263" s="51" t="n">
        <v>16</v>
      </c>
      <c r="I263" s="72" t="inlineStr">
        <is>
          <t>А500С</t>
        </is>
      </c>
      <c r="J263" s="72" t="inlineStr">
        <is>
          <t>—</t>
        </is>
      </c>
      <c r="K263" s="75" t="n">
        <v>1</v>
      </c>
      <c r="L263" s="51" t="n">
        <v>2</v>
      </c>
      <c r="M263" s="69" t="n">
        <v>2.3</v>
      </c>
      <c r="N263" s="70">
        <f>K263*L263*M263</f>
        <v/>
      </c>
      <c r="O263" s="37">
        <f>IFERROR(INDEX(Исходные!$B$19:$B$31,MATCH(H263,Исходные!$A$19:$A$31,0)),0)</f>
        <v/>
      </c>
      <c r="P263" s="76">
        <f>N263*O263</f>
        <v/>
      </c>
      <c r="Q263" s="21" t="inlineStr">
        <is>
          <t>АС-27: выноска «ОС 2Ø16 А500С»; длина по привязкам отдельных стержней</t>
        </is>
      </c>
      <c r="R263" s="77" t="inlineStr">
        <is>
          <t>по геометрии чертежа</t>
        </is>
      </c>
      <c r="S263" s="21" t="inlineStr">
        <is>
          <t>Координаты от оси А: 17400…19700 мм</t>
        </is>
      </c>
      <c r="T263" s="21" t="inlineStr">
        <is>
          <t>Ригели, балки, плита, С-1</t>
        </is>
      </c>
      <c r="U263" s="49" t="n">
        <v>0</v>
      </c>
      <c r="V263" s="72" t="inlineStr">
        <is>
          <t>Р-4</t>
        </is>
      </c>
      <c r="W263" s="49" t="n">
        <v>1</v>
      </c>
    </row>
    <row r="264">
      <c r="A264" s="72" t="n">
        <v>256</v>
      </c>
      <c r="B264" s="21" t="inlineStr">
        <is>
          <t>1 этаж (отм. -0.050…+3.950)</t>
        </is>
      </c>
      <c r="C264" s="21" t="inlineStr">
        <is>
          <t>Ригели</t>
        </is>
      </c>
      <c r="D264" s="21" t="inlineStr">
        <is>
          <t>ось 4 (отм. +3.950)</t>
        </is>
      </c>
      <c r="E264" s="21" t="inlineStr">
        <is>
          <t>Р-4</t>
        </is>
      </c>
      <c r="F264" s="72" t="inlineStr">
        <is>
          <t>ОС</t>
        </is>
      </c>
      <c r="G264" s="21" t="inlineStr">
        <is>
          <t>Ос (бок) бок: 4Ø12, участок 1000…3400 мм</t>
        </is>
      </c>
      <c r="H264" s="51" t="n">
        <v>12</v>
      </c>
      <c r="I264" s="72" t="inlineStr">
        <is>
          <t>А500С</t>
        </is>
      </c>
      <c r="J264" s="72" t="inlineStr">
        <is>
          <t>—</t>
        </is>
      </c>
      <c r="K264" s="75" t="n">
        <v>1</v>
      </c>
      <c r="L264" s="51" t="n">
        <v>4</v>
      </c>
      <c r="M264" s="69" t="n">
        <v>2.4</v>
      </c>
      <c r="N264" s="70">
        <f>K264*L264*M264</f>
        <v/>
      </c>
      <c r="O264" s="37">
        <f>IFERROR(INDEX(Исходные!$B$19:$B$31,MATCH(H264,Исходные!$A$19:$A$31,0)),0)</f>
        <v/>
      </c>
      <c r="P264" s="76">
        <f>N264*O264</f>
        <v/>
      </c>
      <c r="Q264" s="21" t="inlineStr">
        <is>
          <t>АС-27: выноска «Ос (бок) 4Ø12 А500С» (бок); длина по привязкам отдельных стержней</t>
        </is>
      </c>
      <c r="R264" s="77" t="inlineStr">
        <is>
          <t>по геометрии чертежа</t>
        </is>
      </c>
      <c r="S264" s="21" t="inlineStr">
        <is>
          <t>Координаты от оси А: 1000…3400 мм</t>
        </is>
      </c>
      <c r="T264" s="21" t="inlineStr">
        <is>
          <t>Ригели, балки, плита, С-1</t>
        </is>
      </c>
      <c r="U264" s="49" t="n">
        <v>0</v>
      </c>
      <c r="V264" s="72" t="inlineStr">
        <is>
          <t>Р-4</t>
        </is>
      </c>
      <c r="W264" s="49" t="n">
        <v>1</v>
      </c>
    </row>
    <row r="265">
      <c r="A265" s="72" t="n">
        <v>257</v>
      </c>
      <c r="B265" s="21" t="inlineStr">
        <is>
          <t>1 этаж (отм. -0.050…+3.950)</t>
        </is>
      </c>
      <c r="C265" s="21" t="inlineStr">
        <is>
          <t>Ригели</t>
        </is>
      </c>
      <c r="D265" s="21" t="inlineStr">
        <is>
          <t>ось 4 (отм. +3.950)</t>
        </is>
      </c>
      <c r="E265" s="21" t="inlineStr">
        <is>
          <t>Р-4</t>
        </is>
      </c>
      <c r="F265" s="72" t="inlineStr">
        <is>
          <t>ОС</t>
        </is>
      </c>
      <c r="G265" s="21" t="inlineStr">
        <is>
          <t>Ос (бок) бок: 4Ø12, участок 5100…8500 мм</t>
        </is>
      </c>
      <c r="H265" s="51" t="n">
        <v>12</v>
      </c>
      <c r="I265" s="72" t="inlineStr">
        <is>
          <t>А500С</t>
        </is>
      </c>
      <c r="J265" s="72" t="inlineStr">
        <is>
          <t>—</t>
        </is>
      </c>
      <c r="K265" s="75" t="n">
        <v>1</v>
      </c>
      <c r="L265" s="51" t="n">
        <v>4</v>
      </c>
      <c r="M265" s="69" t="n">
        <v>3.4</v>
      </c>
      <c r="N265" s="70">
        <f>K265*L265*M265</f>
        <v/>
      </c>
      <c r="O265" s="37">
        <f>IFERROR(INDEX(Исходные!$B$19:$B$31,MATCH(H265,Исходные!$A$19:$A$31,0)),0)</f>
        <v/>
      </c>
      <c r="P265" s="76">
        <f>N265*O265</f>
        <v/>
      </c>
      <c r="Q265" s="21" t="inlineStr">
        <is>
          <t>АС-27: выноска «Ос (бок) 4Ø12 А500С» (бок); длина по привязкам отдельных стержней</t>
        </is>
      </c>
      <c r="R265" s="77" t="inlineStr">
        <is>
          <t>по геометрии чертежа</t>
        </is>
      </c>
      <c r="S265" s="21" t="inlineStr">
        <is>
          <t>Координаты от оси А: 5100…8500 мм</t>
        </is>
      </c>
      <c r="T265" s="21" t="inlineStr">
        <is>
          <t>Ригели, балки, плита, С-1</t>
        </is>
      </c>
      <c r="U265" s="49" t="n">
        <v>0</v>
      </c>
      <c r="V265" s="72" t="inlineStr">
        <is>
          <t>Р-4</t>
        </is>
      </c>
      <c r="W265" s="49" t="n">
        <v>1</v>
      </c>
    </row>
    <row r="266">
      <c r="A266" s="72" t="n">
        <v>258</v>
      </c>
      <c r="B266" s="21" t="inlineStr">
        <is>
          <t>1 этаж (отм. -0.050…+3.950)</t>
        </is>
      </c>
      <c r="C266" s="21" t="inlineStr">
        <is>
          <t>Ригели</t>
        </is>
      </c>
      <c r="D266" s="21" t="inlineStr">
        <is>
          <t>ось 4 (отм. +3.950)</t>
        </is>
      </c>
      <c r="E266" s="21" t="inlineStr">
        <is>
          <t>Р-4</t>
        </is>
      </c>
      <c r="F266" s="72" t="inlineStr">
        <is>
          <t>ОС</t>
        </is>
      </c>
      <c r="G266" s="21" t="inlineStr">
        <is>
          <t>Ос (бок) бок: 4Ø12, участок 11500…15100 мм</t>
        </is>
      </c>
      <c r="H266" s="51" t="n">
        <v>12</v>
      </c>
      <c r="I266" s="72" t="inlineStr">
        <is>
          <t>А500С</t>
        </is>
      </c>
      <c r="J266" s="72" t="inlineStr">
        <is>
          <t>—</t>
        </is>
      </c>
      <c r="K266" s="75" t="n">
        <v>1</v>
      </c>
      <c r="L266" s="51" t="n">
        <v>4</v>
      </c>
      <c r="M266" s="69" t="n">
        <v>3.6</v>
      </c>
      <c r="N266" s="70">
        <f>K266*L266*M266</f>
        <v/>
      </c>
      <c r="O266" s="37">
        <f>IFERROR(INDEX(Исходные!$B$19:$B$31,MATCH(H266,Исходные!$A$19:$A$31,0)),0)</f>
        <v/>
      </c>
      <c r="P266" s="76">
        <f>N266*O266</f>
        <v/>
      </c>
      <c r="Q266" s="21" t="inlineStr">
        <is>
          <t>АС-27: выноска «Ос (бок) 4Ø12 А500С» (бок); длина по привязкам отдельных стержней</t>
        </is>
      </c>
      <c r="R266" s="77" t="inlineStr">
        <is>
          <t>по геометрии чертежа</t>
        </is>
      </c>
      <c r="S266" s="21" t="inlineStr">
        <is>
          <t>Координаты от оси А: 11500…15100 мм</t>
        </is>
      </c>
      <c r="T266" s="21" t="inlineStr">
        <is>
          <t>Ригели, балки, плита, С-1</t>
        </is>
      </c>
      <c r="U266" s="49" t="n">
        <v>0</v>
      </c>
      <c r="V266" s="72" t="inlineStr">
        <is>
          <t>Р-4</t>
        </is>
      </c>
      <c r="W266" s="49" t="n">
        <v>1</v>
      </c>
    </row>
    <row r="267">
      <c r="A267" s="72" t="n">
        <v>259</v>
      </c>
      <c r="B267" s="21" t="inlineStr">
        <is>
          <t>1 этаж (отм. -0.050…+3.950)</t>
        </is>
      </c>
      <c r="C267" s="21" t="inlineStr">
        <is>
          <t>Ригели</t>
        </is>
      </c>
      <c r="D267" s="21" t="inlineStr">
        <is>
          <t>ось 4 (отм. +3.950)</t>
        </is>
      </c>
      <c r="E267" s="21" t="inlineStr">
        <is>
          <t>Р-4</t>
        </is>
      </c>
      <c r="F267" s="72" t="inlineStr">
        <is>
          <t>ОС</t>
        </is>
      </c>
      <c r="G267" s="21" t="inlineStr">
        <is>
          <t>Ос (бок) бок: 4Ø12, участок 17400…19700 мм</t>
        </is>
      </c>
      <c r="H267" s="51" t="n">
        <v>12</v>
      </c>
      <c r="I267" s="72" t="inlineStr">
        <is>
          <t>А500С</t>
        </is>
      </c>
      <c r="J267" s="72" t="inlineStr">
        <is>
          <t>—</t>
        </is>
      </c>
      <c r="K267" s="75" t="n">
        <v>1</v>
      </c>
      <c r="L267" s="51" t="n">
        <v>4</v>
      </c>
      <c r="M267" s="69" t="n">
        <v>2.3</v>
      </c>
      <c r="N267" s="70">
        <f>K267*L267*M267</f>
        <v/>
      </c>
      <c r="O267" s="37">
        <f>IFERROR(INDEX(Исходные!$B$19:$B$31,MATCH(H267,Исходные!$A$19:$A$31,0)),0)</f>
        <v/>
      </c>
      <c r="P267" s="76">
        <f>N267*O267</f>
        <v/>
      </c>
      <c r="Q267" s="21" t="inlineStr">
        <is>
          <t>АС-27: выноска «Ос (бок) 4Ø12 А500С» (бок); длина по привязкам отдельных стержней</t>
        </is>
      </c>
      <c r="R267" s="77" t="inlineStr">
        <is>
          <t>по геометрии чертежа</t>
        </is>
      </c>
      <c r="S267" s="21" t="inlineStr">
        <is>
          <t>Координаты от оси А: 17400…19700 мм</t>
        </is>
      </c>
      <c r="T267" s="21" t="inlineStr">
        <is>
          <t>Ригели, балки, плита, С-1</t>
        </is>
      </c>
      <c r="U267" s="49" t="n">
        <v>0</v>
      </c>
      <c r="V267" s="72" t="inlineStr">
        <is>
          <t>Р-4</t>
        </is>
      </c>
      <c r="W267" s="49" t="n">
        <v>1</v>
      </c>
    </row>
    <row r="268">
      <c r="A268" s="72" t="n">
        <v>260</v>
      </c>
      <c r="B268" s="21" t="inlineStr">
        <is>
          <t>1 этаж (отм. -0.050…+3.950)</t>
        </is>
      </c>
      <c r="C268" s="21" t="inlineStr">
        <is>
          <t>Ригели</t>
        </is>
      </c>
      <c r="D268" s="21" t="inlineStr">
        <is>
          <t>ось 4 (отм. +3.950)</t>
        </is>
      </c>
      <c r="E268" s="21" t="inlineStr">
        <is>
          <t>Р-4</t>
        </is>
      </c>
      <c r="F268" s="72" t="inlineStr">
        <is>
          <t>12</t>
        </is>
      </c>
      <c r="G268" s="21" t="inlineStr">
        <is>
          <t>Хомут Ø8 L=2060 ш.100 у опор (100×12), ш.150 в пролёте, 80×4 у балок плиты — вне заштрихованных участков</t>
        </is>
      </c>
      <c r="H268" s="51" t="n">
        <v>8</v>
      </c>
      <c r="I268" s="72" t="inlineStr">
        <is>
          <t>А240</t>
        </is>
      </c>
      <c r="J268" s="72" t="inlineStr">
        <is>
          <t>100/150</t>
        </is>
      </c>
      <c r="K268" s="75" t="n">
        <v>1</v>
      </c>
      <c r="L268" s="51" t="n">
        <v>51</v>
      </c>
      <c r="M268" s="69" t="n">
        <v>2.06</v>
      </c>
      <c r="N268" s="70">
        <f>K268*L268*M268</f>
        <v/>
      </c>
      <c r="O268" s="37">
        <f>IFERROR(INDEX(Исходные!$B$19:$B$31,MATCH(H268,Исходные!$A$19:$A$31,0)),0)</f>
        <v/>
      </c>
      <c r="P268" s="76">
        <f>N268*O268</f>
        <v/>
      </c>
      <c r="Q268" s="21" t="inlineStr">
        <is>
          <t>АС-28 сеч.4-4/5-5 поз.12; АС-29 «Расстановка хомутов в ригелях»</t>
        </is>
      </c>
      <c r="R268" s="77" t="inlineStr">
        <is>
          <t>по проекту</t>
        </is>
      </c>
      <c r="S268" s="21" t="inlineStr">
        <is>
          <t>Пролёты в свету [(2000, 6200), (6800, 13200), (13800, 19000)], сумма 15800 мм</t>
        </is>
      </c>
      <c r="T268" s="21" t="inlineStr">
        <is>
          <t>Ригели, балки, плита, С-1</t>
        </is>
      </c>
      <c r="U268" s="49" t="n">
        <v>0</v>
      </c>
      <c r="V268" s="72" t="inlineStr">
        <is>
          <t>Р-4</t>
        </is>
      </c>
      <c r="W268" s="49" t="n">
        <v>1</v>
      </c>
    </row>
    <row r="269">
      <c r="A269" s="72" t="n">
        <v>261</v>
      </c>
      <c r="B269" s="21" t="inlineStr">
        <is>
          <t>1 этаж (отм. -0.050…+3.950)</t>
        </is>
      </c>
      <c r="C269" s="21" t="inlineStr">
        <is>
          <t>Ригели</t>
        </is>
      </c>
      <c r="D269" s="21" t="inlineStr">
        <is>
          <t>ось 4 (отм. +3.950)</t>
        </is>
      </c>
      <c r="E269" s="21" t="inlineStr">
        <is>
          <t>Р-4</t>
        </is>
      </c>
      <c r="F269" s="72" t="inlineStr">
        <is>
          <t>13</t>
        </is>
      </c>
      <c r="G269" s="21" t="inlineStr">
        <is>
          <t>Хомут наружный Ø10 L=2060 ш.100 — заштрихованные участки рамы</t>
        </is>
      </c>
      <c r="H269" s="51" t="n">
        <v>10</v>
      </c>
      <c r="I269" s="72" t="inlineStr">
        <is>
          <t>А240</t>
        </is>
      </c>
      <c r="J269" s="72" t="n">
        <v>100</v>
      </c>
      <c r="K269" s="75" t="n">
        <v>1</v>
      </c>
      <c r="L269" s="51" t="n">
        <v>86</v>
      </c>
      <c r="M269" s="69" t="n">
        <v>2.06</v>
      </c>
      <c r="N269" s="70">
        <f>K269*L269*M269</f>
        <v/>
      </c>
      <c r="O269" s="37">
        <f>IFERROR(INDEX(Исходные!$B$19:$B$31,MATCH(H269,Исходные!$A$19:$A$31,0)),0)</f>
        <v/>
      </c>
      <c r="P269" s="76">
        <f>N269*O269</f>
        <v/>
      </c>
      <c r="Q269" s="21" t="inlineStr">
        <is>
          <t>АС-27 штриховка «100×15»; АС-28 Фрагмент №1, поз.13</t>
        </is>
      </c>
      <c r="R269" s="77" t="inlineStr">
        <is>
          <t>по проекту</t>
        </is>
      </c>
      <c r="S269" s="21" t="inlineStr">
        <is>
          <t>Участки (мм): одинарные [(6500, 9500), (10500, 13500), (16400, 17400)], двойные [(2000, 3200), (17400, 19000)]</t>
        </is>
      </c>
      <c r="T269" s="21" t="inlineStr">
        <is>
          <t>Ригели, балки, плита, С-1</t>
        </is>
      </c>
      <c r="U269" s="49" t="n">
        <v>0</v>
      </c>
      <c r="V269" s="72" t="inlineStr">
        <is>
          <t>Р-4</t>
        </is>
      </c>
      <c r="W269" s="49" t="n">
        <v>1</v>
      </c>
    </row>
    <row r="270">
      <c r="A270" s="72" t="n">
        <v>262</v>
      </c>
      <c r="B270" s="21" t="inlineStr">
        <is>
          <t>1 этаж (отм. -0.050…+3.950)</t>
        </is>
      </c>
      <c r="C270" s="21" t="inlineStr">
        <is>
          <t>Ригели</t>
        </is>
      </c>
      <c r="D270" s="21" t="inlineStr">
        <is>
          <t>ось 4 (отм. +3.950)</t>
        </is>
      </c>
      <c r="E270" s="21" t="inlineStr">
        <is>
          <t>Р-4</t>
        </is>
      </c>
      <c r="F270" s="72" t="inlineStr">
        <is>
          <t>15</t>
        </is>
      </c>
      <c r="G270" s="21" t="inlineStr">
        <is>
          <t>Хомут внутренний Ø10 L=1600 ш.100 — участки двойных хомутов</t>
        </is>
      </c>
      <c r="H270" s="51" t="n">
        <v>10</v>
      </c>
      <c r="I270" s="72" t="inlineStr">
        <is>
          <t>А240</t>
        </is>
      </c>
      <c r="J270" s="72" t="n">
        <v>100</v>
      </c>
      <c r="K270" s="75" t="n">
        <v>1</v>
      </c>
      <c r="L270" s="51" t="n">
        <v>26</v>
      </c>
      <c r="M270" s="69" t="n">
        <v>1.6</v>
      </c>
      <c r="N270" s="70">
        <f>K270*L270*M270</f>
        <v/>
      </c>
      <c r="O270" s="37">
        <f>IFERROR(INDEX(Исходные!$B$19:$B$31,MATCH(H270,Исходные!$A$19:$A$31,0)),0)</f>
        <v/>
      </c>
      <c r="P270" s="76">
        <f>N270*O270</f>
        <v/>
      </c>
      <c r="Q270" s="21" t="inlineStr">
        <is>
          <t>АС-27 двойная штриховка; АС-28 Фрагмент №1, поз.15</t>
        </is>
      </c>
      <c r="R270" s="77" t="inlineStr">
        <is>
          <t>по проекту</t>
        </is>
      </c>
      <c r="S270" s="21" t="inlineStr"/>
      <c r="T270" s="21" t="inlineStr">
        <is>
          <t>Ригели, балки, плита, С-1</t>
        </is>
      </c>
      <c r="U270" s="49" t="n">
        <v>0</v>
      </c>
      <c r="V270" s="72" t="inlineStr">
        <is>
          <t>Р-4</t>
        </is>
      </c>
      <c r="W270" s="49" t="n">
        <v>1</v>
      </c>
    </row>
    <row r="271">
      <c r="A271" s="72" t="n">
        <v>263</v>
      </c>
      <c r="B271" s="21" t="inlineStr">
        <is>
          <t>1 этаж (отм. -0.050…+3.950)</t>
        </is>
      </c>
      <c r="C271" s="21" t="inlineStr">
        <is>
          <t>Ригели</t>
        </is>
      </c>
      <c r="D271" s="21" t="inlineStr">
        <is>
          <t>ось 4 (отм. +3.950)</t>
        </is>
      </c>
      <c r="E271" s="21" t="inlineStr">
        <is>
          <t>Р-4</t>
        </is>
      </c>
      <c r="F271" s="72" t="inlineStr">
        <is>
          <t>17</t>
        </is>
      </c>
      <c r="G271" s="21" t="inlineStr">
        <is>
          <t>Шпилька вертикальная Ø8 L=750: ш.200 у опор, ш.150 в пролёте (нет в зонах двойных хомутов)</t>
        </is>
      </c>
      <c r="H271" s="51" t="n">
        <v>8</v>
      </c>
      <c r="I271" s="72" t="inlineStr">
        <is>
          <t>А240</t>
        </is>
      </c>
      <c r="J271" s="72" t="inlineStr">
        <is>
          <t>200/150</t>
        </is>
      </c>
      <c r="K271" s="75" t="n">
        <v>1</v>
      </c>
      <c r="L271" s="51" t="n">
        <v>71</v>
      </c>
      <c r="M271" s="69" t="n">
        <v>0.75</v>
      </c>
      <c r="N271" s="70">
        <f>K271*L271*M271</f>
        <v/>
      </c>
      <c r="O271" s="37">
        <f>IFERROR(INDEX(Исходные!$B$19:$B$31,MATCH(H271,Исходные!$A$19:$A$31,0)),0)</f>
        <v/>
      </c>
      <c r="P271" s="76">
        <f>N271*O271</f>
        <v/>
      </c>
      <c r="Q271" s="21" t="inlineStr">
        <is>
          <t>АС-28 сеч.4-4/5-5 поз.17</t>
        </is>
      </c>
      <c r="R271" s="77" t="inlineStr">
        <is>
          <t>по проекту</t>
        </is>
      </c>
      <c r="S271" s="21" t="inlineStr"/>
      <c r="T271" s="21" t="inlineStr">
        <is>
          <t>Ригели, балки, плита, С-1</t>
        </is>
      </c>
      <c r="U271" s="49" t="n">
        <v>0</v>
      </c>
      <c r="V271" s="72" t="inlineStr">
        <is>
          <t>Р-4</t>
        </is>
      </c>
      <c r="W271" s="49" t="n">
        <v>1</v>
      </c>
    </row>
    <row r="272">
      <c r="A272" s="72" t="n">
        <v>264</v>
      </c>
      <c r="B272" s="21" t="inlineStr">
        <is>
          <t>1 этаж (отм. -0.050…+3.950)</t>
        </is>
      </c>
      <c r="C272" s="21" t="inlineStr">
        <is>
          <t>Ригели</t>
        </is>
      </c>
      <c r="D272" s="21" t="inlineStr">
        <is>
          <t>ось 4 (отм. +3.950)</t>
        </is>
      </c>
      <c r="E272" s="21" t="inlineStr">
        <is>
          <t>Р-4</t>
        </is>
      </c>
      <c r="F272" s="72" t="inlineStr">
        <is>
          <t>16</t>
        </is>
      </c>
      <c r="G272" s="21" t="inlineStr">
        <is>
          <t>Шпилька горизонтальная Ø8 L=580 ш.300 (связь боковых 2Ø16)</t>
        </is>
      </c>
      <c r="H272" s="51" t="n">
        <v>8</v>
      </c>
      <c r="I272" s="72" t="inlineStr">
        <is>
          <t>А240</t>
        </is>
      </c>
      <c r="J272" s="72" t="n">
        <v>300</v>
      </c>
      <c r="K272" s="75" t="n">
        <v>1</v>
      </c>
      <c r="L272" s="51" t="n">
        <v>54</v>
      </c>
      <c r="M272" s="69" t="n">
        <v>0.58</v>
      </c>
      <c r="N272" s="70">
        <f>K272*L272*M272</f>
        <v/>
      </c>
      <c r="O272" s="37">
        <f>IFERROR(INDEX(Исходные!$B$19:$B$31,MATCH(H272,Исходные!$A$19:$A$31,0)),0)</f>
        <v/>
      </c>
      <c r="P272" s="76">
        <f>N272*O272</f>
        <v/>
      </c>
      <c r="Q272" s="21" t="inlineStr">
        <is>
          <t>АС-28 сеч.4-4/5-5 «шп.Ø8 А240 ш.300», поз.16 L=580</t>
        </is>
      </c>
      <c r="R272" s="78" t="inlineStr">
        <is>
          <t>принято (уточнить)</t>
        </is>
      </c>
      <c r="S272" s="21" t="inlineStr">
        <is>
          <t>Номер позиции на сечении не указан — принята поз.16 (L=580) по ведомости деталей.</t>
        </is>
      </c>
      <c r="T272" s="21" t="inlineStr">
        <is>
          <t>Ригели, балки, плита, С-1</t>
        </is>
      </c>
      <c r="U272" s="49" t="n">
        <v>1</v>
      </c>
      <c r="V272" s="72" t="inlineStr">
        <is>
          <t>Р-4</t>
        </is>
      </c>
      <c r="W272" s="49" t="n">
        <v>1</v>
      </c>
    </row>
    <row r="273">
      <c r="A273" s="74" t="inlineStr">
        <is>
          <t>1.4. ПЛИТА ПЕРЕКРЫТИЯ: сетки, доп. зоны, край, фиксаторы — отм. +3.950 (АС-47)</t>
        </is>
      </c>
      <c r="B273" s="33" t="n"/>
      <c r="C273" s="33" t="n"/>
      <c r="D273" s="33" t="n"/>
      <c r="E273" s="33" t="n"/>
      <c r="F273" s="33" t="n"/>
      <c r="G273" s="33" t="n"/>
      <c r="H273" s="33" t="n"/>
      <c r="I273" s="33" t="n"/>
      <c r="J273" s="33" t="n"/>
      <c r="K273" s="33" t="n"/>
      <c r="L273" s="33" t="n"/>
      <c r="M273" s="33" t="n"/>
      <c r="N273" s="33" t="n"/>
      <c r="O273" s="33" t="n"/>
      <c r="P273" s="33" t="n"/>
      <c r="Q273" s="33" t="n"/>
      <c r="R273" s="33" t="n"/>
      <c r="S273" s="33" t="n"/>
      <c r="T273" s="33" t="n"/>
      <c r="U273" s="33" t="n"/>
      <c r="V273" s="33" t="n"/>
      <c r="W273" s="34" t="n"/>
    </row>
    <row r="274">
      <c r="A274" s="72" t="n">
        <v>265</v>
      </c>
      <c r="B274" s="21" t="inlineStr">
        <is>
          <t>1 этаж (отм. -0.050…+3.950)</t>
        </is>
      </c>
      <c r="C274" s="21" t="inlineStr">
        <is>
          <t>Плита перекрытия</t>
        </is>
      </c>
      <c r="D274" s="21" t="inlineStr">
        <is>
          <t>1–5 / А–Г</t>
        </is>
      </c>
      <c r="E274" s="21" t="inlineStr">
        <is>
          <t>ПМ-3.950</t>
        </is>
      </c>
      <c r="F274" s="72" t="inlineStr">
        <is>
          <t>НX</t>
        </is>
      </c>
      <c r="G274" s="21" t="inlineStr">
        <is>
          <t>Нижняя осн. сетка, направление X (вдоль осей 1–5)</t>
        </is>
      </c>
      <c r="H274" s="51" t="n">
        <v>10</v>
      </c>
      <c r="I274" s="72" t="inlineStr">
        <is>
          <t>А500С</t>
        </is>
      </c>
      <c r="J274" s="72" t="n">
        <v>200</v>
      </c>
      <c r="K274" s="75" t="n">
        <v>1</v>
      </c>
      <c r="L274" s="51" t="n">
        <v>26</v>
      </c>
      <c r="M274" s="69" t="n">
        <v>27.35</v>
      </c>
      <c r="N274" s="70">
        <f>K274*L274*M274</f>
        <v/>
      </c>
      <c r="O274" s="37">
        <f>IFERROR(INDEX(Исходные!$B$19:$B$31,MATCH(H274,Исходные!$A$19:$A$31,0)),0)</f>
        <v/>
      </c>
      <c r="P274" s="76">
        <f>N274*O274</f>
        <v/>
      </c>
      <c r="Q274" s="21" t="inlineStr">
        <is>
          <t>АС-50/АС-51 «Осн. сетка Ø10 А500С ш.200×200»; контур — АС-47</t>
        </is>
      </c>
      <c r="R274" s="77" t="inlineStr">
        <is>
          <t>по геометрии чертежа</t>
        </is>
      </c>
      <c r="S274" s="21" t="inlineStr"/>
      <c r="T274" s="21" t="inlineStr">
        <is>
          <t>Ригели, балки, плита, С-1</t>
        </is>
      </c>
      <c r="U274" s="49" t="n">
        <v>0</v>
      </c>
      <c r="V274" s="72" t="inlineStr">
        <is>
          <t>П-сетка</t>
        </is>
      </c>
      <c r="W274" s="49" t="n">
        <v>1</v>
      </c>
    </row>
    <row r="275">
      <c r="A275" s="72" t="n">
        <v>266</v>
      </c>
      <c r="B275" s="21" t="inlineStr">
        <is>
          <t>1 этаж (отм. -0.050…+3.950)</t>
        </is>
      </c>
      <c r="C275" s="21" t="inlineStr">
        <is>
          <t>Плита перекрытия</t>
        </is>
      </c>
      <c r="D275" s="21" t="inlineStr">
        <is>
          <t>1–5 / А–Г</t>
        </is>
      </c>
      <c r="E275" s="21" t="inlineStr">
        <is>
          <t>ПМ-3.950</t>
        </is>
      </c>
      <c r="F275" s="72" t="inlineStr">
        <is>
          <t>НX-нахл</t>
        </is>
      </c>
      <c r="G275" s="21" t="inlineStr">
        <is>
          <t>Нахлёсты стыков к поз. «Нижняя осн. сетка, направление X (вдоль осей 1–5)» (L=27.350 м &gt; 11,7 м): 3 куска, 2 стык(а) на стержень × 26 стерж.</t>
        </is>
      </c>
      <c r="H275" s="51" t="n">
        <v>10</v>
      </c>
      <c r="I275" s="72" t="inlineStr">
        <is>
          <t>А500С</t>
        </is>
      </c>
      <c r="J275" s="72" t="inlineStr">
        <is>
          <t>—</t>
        </is>
      </c>
      <c r="K275" s="75" t="n">
        <v>26</v>
      </c>
      <c r="L275" s="51" t="n">
        <v>2</v>
      </c>
      <c r="M275" s="69" t="n">
        <v>0.4</v>
      </c>
      <c r="N275" s="70">
        <f>K275*L275*M275</f>
        <v/>
      </c>
      <c r="O275" s="37">
        <f>IFERROR(INDEX(Исходные!$B$19:$B$31,MATCH(H275,Исходные!$A$19:$A$31,0)),0)</f>
        <v/>
      </c>
      <c r="P275" s="76">
        <f>N275*O275</f>
        <v/>
      </c>
      <c r="Q275" s="21" t="inlineStr">
        <is>
          <t>АС-58 «Деталь стыка арматуры армирования плиты»: нахлёст 400 мм для Ø10</t>
        </is>
      </c>
      <c r="R275" s="77" t="inlineStr">
        <is>
          <t>по проекту (стыковка прутков 11,7 м)</t>
        </is>
      </c>
      <c r="S275" s="21" t="inlineStr">
        <is>
          <t>Чистая длина 27.350 м; кусков 3; стыков 2; Lнахл=2×0.400=0.8 м на стержень</t>
        </is>
      </c>
      <c r="T275" s="21" t="inlineStr">
        <is>
          <t>Ригели, балки, плита, С-1</t>
        </is>
      </c>
      <c r="U275" s="49" t="n">
        <v>0</v>
      </c>
      <c r="V275" s="72" t="inlineStr">
        <is>
          <t>П-сетка</t>
        </is>
      </c>
      <c r="W275" s="49" t="n">
        <v>1</v>
      </c>
    </row>
    <row r="276">
      <c r="A276" s="72" t="n">
        <v>267</v>
      </c>
      <c r="B276" s="21" t="inlineStr">
        <is>
          <t>1 этаж (отм. -0.050…+3.950)</t>
        </is>
      </c>
      <c r="C276" s="21" t="inlineStr">
        <is>
          <t>Плита перекрытия</t>
        </is>
      </c>
      <c r="D276" s="21" t="inlineStr">
        <is>
          <t>1–5 / А–Г</t>
        </is>
      </c>
      <c r="E276" s="21" t="inlineStr">
        <is>
          <t>ПМ-3.950</t>
        </is>
      </c>
      <c r="F276" s="72" t="inlineStr">
        <is>
          <t>НX</t>
        </is>
      </c>
      <c r="G276" s="21" t="inlineStr">
        <is>
          <t>Нижняя осн. сетка, направление X (вдоль осей 1–5)</t>
        </is>
      </c>
      <c r="H276" s="51" t="n">
        <v>10</v>
      </c>
      <c r="I276" s="72" t="inlineStr">
        <is>
          <t>А500С</t>
        </is>
      </c>
      <c r="J276" s="72" t="n">
        <v>200</v>
      </c>
      <c r="K276" s="75" t="n">
        <v>1</v>
      </c>
      <c r="L276" s="51" t="n">
        <v>49</v>
      </c>
      <c r="M276" s="69" t="n">
        <v>25.62</v>
      </c>
      <c r="N276" s="70">
        <f>K276*L276*M276</f>
        <v/>
      </c>
      <c r="O276" s="37">
        <f>IFERROR(INDEX(Исходные!$B$19:$B$31,MATCH(H276,Исходные!$A$19:$A$31,0)),0)</f>
        <v/>
      </c>
      <c r="P276" s="76">
        <f>N276*O276</f>
        <v/>
      </c>
      <c r="Q276" s="21" t="inlineStr">
        <is>
          <t>АС-50/АС-51 «Осн. сетка Ø10 А500С ш.200×200»; контур — АС-47</t>
        </is>
      </c>
      <c r="R276" s="77" t="inlineStr">
        <is>
          <t>по геометрии чертежа</t>
        </is>
      </c>
      <c r="S276" s="21" t="inlineStr"/>
      <c r="T276" s="21" t="inlineStr">
        <is>
          <t>Ригели, балки, плита, С-1</t>
        </is>
      </c>
      <c r="U276" s="49" t="n">
        <v>0</v>
      </c>
      <c r="V276" s="72" t="inlineStr">
        <is>
          <t>П-сетка</t>
        </is>
      </c>
      <c r="W276" s="49" t="n">
        <v>1</v>
      </c>
    </row>
    <row r="277">
      <c r="A277" s="72" t="n">
        <v>268</v>
      </c>
      <c r="B277" s="21" t="inlineStr">
        <is>
          <t>1 этаж (отм. -0.050…+3.950)</t>
        </is>
      </c>
      <c r="C277" s="21" t="inlineStr">
        <is>
          <t>Плита перекрытия</t>
        </is>
      </c>
      <c r="D277" s="21" t="inlineStr">
        <is>
          <t>1–5 / А–Г</t>
        </is>
      </c>
      <c r="E277" s="21" t="inlineStr">
        <is>
          <t>ПМ-3.950</t>
        </is>
      </c>
      <c r="F277" s="72" t="inlineStr">
        <is>
          <t>НX-нахл</t>
        </is>
      </c>
      <c r="G277" s="21" t="inlineStr">
        <is>
          <t>Нахлёсты стыков к поз. «Нижняя осн. сетка, направление X (вдоль осей 1–5)» (L=25.620 м &gt; 11,7 м): 3 куска, 2 стык(а) на стержень × 49 стерж.</t>
        </is>
      </c>
      <c r="H277" s="51" t="n">
        <v>10</v>
      </c>
      <c r="I277" s="72" t="inlineStr">
        <is>
          <t>А500С</t>
        </is>
      </c>
      <c r="J277" s="72" t="inlineStr">
        <is>
          <t>—</t>
        </is>
      </c>
      <c r="K277" s="75" t="n">
        <v>49</v>
      </c>
      <c r="L277" s="51" t="n">
        <v>2</v>
      </c>
      <c r="M277" s="69" t="n">
        <v>0.4</v>
      </c>
      <c r="N277" s="70">
        <f>K277*L277*M277</f>
        <v/>
      </c>
      <c r="O277" s="37">
        <f>IFERROR(INDEX(Исходные!$B$19:$B$31,MATCH(H277,Исходные!$A$19:$A$31,0)),0)</f>
        <v/>
      </c>
      <c r="P277" s="76">
        <f>N277*O277</f>
        <v/>
      </c>
      <c r="Q277" s="21" t="inlineStr">
        <is>
          <t>АС-58 «Деталь стыка арматуры армирования плиты»: нахлёст 400 мм для Ø10</t>
        </is>
      </c>
      <c r="R277" s="77" t="inlineStr">
        <is>
          <t>по проекту (стыковка прутков 11,7 м)</t>
        </is>
      </c>
      <c r="S277" s="21" t="inlineStr">
        <is>
          <t>Чистая длина 25.620 м; кусков 3; стыков 2; Lнахл=2×0.400=0.8 м на стержень</t>
        </is>
      </c>
      <c r="T277" s="21" t="inlineStr">
        <is>
          <t>Ригели, балки, плита, С-1</t>
        </is>
      </c>
      <c r="U277" s="49" t="n">
        <v>0</v>
      </c>
      <c r="V277" s="72" t="inlineStr">
        <is>
          <t>П-сетка</t>
        </is>
      </c>
      <c r="W277" s="49" t="n">
        <v>1</v>
      </c>
    </row>
    <row r="278">
      <c r="A278" s="72" t="n">
        <v>269</v>
      </c>
      <c r="B278" s="21" t="inlineStr">
        <is>
          <t>1 этаж (отм. -0.050…+3.950)</t>
        </is>
      </c>
      <c r="C278" s="21" t="inlineStr">
        <is>
          <t>Плита перекрытия</t>
        </is>
      </c>
      <c r="D278" s="21" t="inlineStr">
        <is>
          <t>1–5 / А–Г</t>
        </is>
      </c>
      <c r="E278" s="21" t="inlineStr">
        <is>
          <t>ПМ-3.950</t>
        </is>
      </c>
      <c r="F278" s="72" t="inlineStr">
        <is>
          <t>НX</t>
        </is>
      </c>
      <c r="G278" s="21" t="inlineStr">
        <is>
          <t>Нижняя осн. сетка, направление X (вдоль осей 1–5)</t>
        </is>
      </c>
      <c r="H278" s="51" t="n">
        <v>10</v>
      </c>
      <c r="I278" s="72" t="inlineStr">
        <is>
          <t>А500С</t>
        </is>
      </c>
      <c r="J278" s="72" t="n">
        <v>200</v>
      </c>
      <c r="K278" s="75" t="n">
        <v>1</v>
      </c>
      <c r="L278" s="51" t="n">
        <v>1</v>
      </c>
      <c r="M278" s="69" t="n">
        <v>22.2</v>
      </c>
      <c r="N278" s="70">
        <f>K278*L278*M278</f>
        <v/>
      </c>
      <c r="O278" s="37">
        <f>IFERROR(INDEX(Исходные!$B$19:$B$31,MATCH(H278,Исходные!$A$19:$A$31,0)),0)</f>
        <v/>
      </c>
      <c r="P278" s="76">
        <f>N278*O278</f>
        <v/>
      </c>
      <c r="Q278" s="21" t="inlineStr">
        <is>
          <t>АС-50/АС-51 «Осн. сетка Ø10 А500С ш.200×200»; контур — АС-47</t>
        </is>
      </c>
      <c r="R278" s="77" t="inlineStr">
        <is>
          <t>по геометрии чертежа</t>
        </is>
      </c>
      <c r="S278" s="21" t="inlineStr"/>
      <c r="T278" s="21" t="inlineStr">
        <is>
          <t>Ригели, балки, плита, С-1</t>
        </is>
      </c>
      <c r="U278" s="49" t="n">
        <v>0</v>
      </c>
      <c r="V278" s="72" t="inlineStr">
        <is>
          <t>П-сетка</t>
        </is>
      </c>
      <c r="W278" s="49" t="n">
        <v>1</v>
      </c>
    </row>
    <row r="279">
      <c r="A279" s="72" t="n">
        <v>270</v>
      </c>
      <c r="B279" s="21" t="inlineStr">
        <is>
          <t>1 этаж (отм. -0.050…+3.950)</t>
        </is>
      </c>
      <c r="C279" s="21" t="inlineStr">
        <is>
          <t>Плита перекрытия</t>
        </is>
      </c>
      <c r="D279" s="21" t="inlineStr">
        <is>
          <t>1–5 / А–Г</t>
        </is>
      </c>
      <c r="E279" s="21" t="inlineStr">
        <is>
          <t>ПМ-3.950</t>
        </is>
      </c>
      <c r="F279" s="72" t="inlineStr">
        <is>
          <t>НX-нахл</t>
        </is>
      </c>
      <c r="G279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279" s="51" t="n">
        <v>10</v>
      </c>
      <c r="I279" s="72" t="inlineStr">
        <is>
          <t>А500С</t>
        </is>
      </c>
      <c r="J279" s="72" t="inlineStr">
        <is>
          <t>—</t>
        </is>
      </c>
      <c r="K279" s="75" t="n">
        <v>1</v>
      </c>
      <c r="L279" s="51" t="n">
        <v>1</v>
      </c>
      <c r="M279" s="69" t="n">
        <v>0.4</v>
      </c>
      <c r="N279" s="70">
        <f>K279*L279*M279</f>
        <v/>
      </c>
      <c r="O279" s="37">
        <f>IFERROR(INDEX(Исходные!$B$19:$B$31,MATCH(H279,Исходные!$A$19:$A$31,0)),0)</f>
        <v/>
      </c>
      <c r="P279" s="76">
        <f>N279*O279</f>
        <v/>
      </c>
      <c r="Q279" s="21" t="inlineStr">
        <is>
          <t>АС-58 «Деталь стыка арматуры армирования плиты»: нахлёст 400 мм для Ø10</t>
        </is>
      </c>
      <c r="R279" s="77" t="inlineStr">
        <is>
          <t>по проекту (стыковка прутков 11,7 м)</t>
        </is>
      </c>
      <c r="S279" s="21" t="inlineStr">
        <is>
          <t>Чистая длина 22.200 м; кусков 2; стыков 1; Lнахл=1×0.400=0.4 м на стержень</t>
        </is>
      </c>
      <c r="T279" s="21" t="inlineStr">
        <is>
          <t>Ригели, балки, плита, С-1</t>
        </is>
      </c>
      <c r="U279" s="49" t="n">
        <v>0</v>
      </c>
      <c r="V279" s="72" t="inlineStr">
        <is>
          <t>П-сетка</t>
        </is>
      </c>
      <c r="W279" s="49" t="n">
        <v>1</v>
      </c>
    </row>
    <row r="280">
      <c r="A280" s="72" t="n">
        <v>271</v>
      </c>
      <c r="B280" s="21" t="inlineStr">
        <is>
          <t>1 этаж (отм. -0.050…+3.950)</t>
        </is>
      </c>
      <c r="C280" s="21" t="inlineStr">
        <is>
          <t>Плита перекрытия</t>
        </is>
      </c>
      <c r="D280" s="21" t="inlineStr">
        <is>
          <t>1–5 / А–Г</t>
        </is>
      </c>
      <c r="E280" s="21" t="inlineStr">
        <is>
          <t>ПМ-3.950</t>
        </is>
      </c>
      <c r="F280" s="72" t="inlineStr">
        <is>
          <t>НX</t>
        </is>
      </c>
      <c r="G280" s="21" t="inlineStr">
        <is>
          <t>Нижняя осн. сетка, направление X (вдоль осей 1–5)</t>
        </is>
      </c>
      <c r="H280" s="51" t="n">
        <v>10</v>
      </c>
      <c r="I280" s="72" t="inlineStr">
        <is>
          <t>А500С</t>
        </is>
      </c>
      <c r="J280" s="72" t="n">
        <v>200</v>
      </c>
      <c r="K280" s="75" t="n">
        <v>1</v>
      </c>
      <c r="L280" s="51" t="n">
        <v>16</v>
      </c>
      <c r="M280" s="69" t="n">
        <v>15.62</v>
      </c>
      <c r="N280" s="70">
        <f>K280*L280*M280</f>
        <v/>
      </c>
      <c r="O280" s="37">
        <f>IFERROR(INDEX(Исходные!$B$19:$B$31,MATCH(H280,Исходные!$A$19:$A$31,0)),0)</f>
        <v/>
      </c>
      <c r="P280" s="76">
        <f>N280*O280</f>
        <v/>
      </c>
      <c r="Q280" s="21" t="inlineStr">
        <is>
          <t>АС-50/АС-51 «Осн. сетка Ø10 А500С ш.200×200»; контур — АС-47</t>
        </is>
      </c>
      <c r="R280" s="77" t="inlineStr">
        <is>
          <t>по геометрии чертежа</t>
        </is>
      </c>
      <c r="S280" s="21" t="inlineStr"/>
      <c r="T280" s="21" t="inlineStr">
        <is>
          <t>Ригели, балки, плита, С-1</t>
        </is>
      </c>
      <c r="U280" s="49" t="n">
        <v>0</v>
      </c>
      <c r="V280" s="72" t="inlineStr">
        <is>
          <t>П-сетка</t>
        </is>
      </c>
      <c r="W280" s="49" t="n">
        <v>1</v>
      </c>
    </row>
    <row r="281">
      <c r="A281" s="72" t="n">
        <v>272</v>
      </c>
      <c r="B281" s="21" t="inlineStr">
        <is>
          <t>1 этаж (отм. -0.050…+3.950)</t>
        </is>
      </c>
      <c r="C281" s="21" t="inlineStr">
        <is>
          <t>Плита перекрытия</t>
        </is>
      </c>
      <c r="D281" s="21" t="inlineStr">
        <is>
          <t>1–5 / А–Г</t>
        </is>
      </c>
      <c r="E281" s="21" t="inlineStr">
        <is>
          <t>ПМ-3.950</t>
        </is>
      </c>
      <c r="F281" s="72" t="inlineStr">
        <is>
          <t>НX-нахл</t>
        </is>
      </c>
      <c r="G281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281" s="51" t="n">
        <v>10</v>
      </c>
      <c r="I281" s="72" t="inlineStr">
        <is>
          <t>А500С</t>
        </is>
      </c>
      <c r="J281" s="72" t="inlineStr">
        <is>
          <t>—</t>
        </is>
      </c>
      <c r="K281" s="75" t="n">
        <v>16</v>
      </c>
      <c r="L281" s="51" t="n">
        <v>1</v>
      </c>
      <c r="M281" s="69" t="n">
        <v>0.4</v>
      </c>
      <c r="N281" s="70">
        <f>K281*L281*M281</f>
        <v/>
      </c>
      <c r="O281" s="37">
        <f>IFERROR(INDEX(Исходные!$B$19:$B$31,MATCH(H281,Исходные!$A$19:$A$31,0)),0)</f>
        <v/>
      </c>
      <c r="P281" s="76">
        <f>N281*O281</f>
        <v/>
      </c>
      <c r="Q281" s="21" t="inlineStr">
        <is>
          <t>АС-58 «Деталь стыка арматуры армирования плиты»: нахлёст 400 мм для Ø10</t>
        </is>
      </c>
      <c r="R281" s="77" t="inlineStr">
        <is>
          <t>по проекту (стыковка прутков 11,7 м)</t>
        </is>
      </c>
      <c r="S281" s="21" t="inlineStr">
        <is>
          <t>Чистая длина 15.620 м; кусков 2; стыков 1; Lнахл=1×0.400=0.4 м на стержень</t>
        </is>
      </c>
      <c r="T281" s="21" t="inlineStr">
        <is>
          <t>Ригели, балки, плита, С-1</t>
        </is>
      </c>
      <c r="U281" s="49" t="n">
        <v>0</v>
      </c>
      <c r="V281" s="72" t="inlineStr">
        <is>
          <t>П-сетка</t>
        </is>
      </c>
      <c r="W281" s="49" t="n">
        <v>1</v>
      </c>
    </row>
    <row r="282">
      <c r="A282" s="72" t="n">
        <v>273</v>
      </c>
      <c r="B282" s="21" t="inlineStr">
        <is>
          <t>1 этаж (отм. -0.050…+3.950)</t>
        </is>
      </c>
      <c r="C282" s="21" t="inlineStr">
        <is>
          <t>Плита перекрытия</t>
        </is>
      </c>
      <c r="D282" s="21" t="inlineStr">
        <is>
          <t>1–5 / А–Г</t>
        </is>
      </c>
      <c r="E282" s="21" t="inlineStr">
        <is>
          <t>ПМ-3.950</t>
        </is>
      </c>
      <c r="F282" s="72" t="inlineStr">
        <is>
          <t>НX</t>
        </is>
      </c>
      <c r="G282" s="21" t="inlineStr">
        <is>
          <t>Нижняя осн. сетка, направление X (вдоль осей 1–5)</t>
        </is>
      </c>
      <c r="H282" s="51" t="n">
        <v>10</v>
      </c>
      <c r="I282" s="72" t="inlineStr">
        <is>
          <t>А500С</t>
        </is>
      </c>
      <c r="J282" s="72" t="n">
        <v>200</v>
      </c>
      <c r="K282" s="75" t="n">
        <v>1</v>
      </c>
      <c r="L282" s="51" t="n">
        <v>12</v>
      </c>
      <c r="M282" s="69" t="n">
        <v>13.9</v>
      </c>
      <c r="N282" s="70">
        <f>K282*L282*M282</f>
        <v/>
      </c>
      <c r="O282" s="37">
        <f>IFERROR(INDEX(Исходные!$B$19:$B$31,MATCH(H282,Исходные!$A$19:$A$31,0)),0)</f>
        <v/>
      </c>
      <c r="P282" s="76">
        <f>N282*O282</f>
        <v/>
      </c>
      <c r="Q282" s="21" t="inlineStr">
        <is>
          <t>АС-50/АС-51 «Осн. сетка Ø10 А500С ш.200×200»; контур — АС-47</t>
        </is>
      </c>
      <c r="R282" s="77" t="inlineStr">
        <is>
          <t>по геометрии чертежа</t>
        </is>
      </c>
      <c r="S282" s="21" t="inlineStr"/>
      <c r="T282" s="21" t="inlineStr">
        <is>
          <t>Ригели, балки, плита, С-1</t>
        </is>
      </c>
      <c r="U282" s="49" t="n">
        <v>0</v>
      </c>
      <c r="V282" s="72" t="inlineStr">
        <is>
          <t>П-сетка</t>
        </is>
      </c>
      <c r="W282" s="49" t="n">
        <v>1</v>
      </c>
    </row>
    <row r="283">
      <c r="A283" s="72" t="n">
        <v>274</v>
      </c>
      <c r="B283" s="21" t="inlineStr">
        <is>
          <t>1 этаж (отм. -0.050…+3.950)</t>
        </is>
      </c>
      <c r="C283" s="21" t="inlineStr">
        <is>
          <t>Плита перекрытия</t>
        </is>
      </c>
      <c r="D283" s="21" t="inlineStr">
        <is>
          <t>1–5 / А–Г</t>
        </is>
      </c>
      <c r="E283" s="21" t="inlineStr">
        <is>
          <t>ПМ-3.950</t>
        </is>
      </c>
      <c r="F283" s="72" t="inlineStr">
        <is>
          <t>НX-нахл</t>
        </is>
      </c>
      <c r="G283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283" s="51" t="n">
        <v>10</v>
      </c>
      <c r="I283" s="72" t="inlineStr">
        <is>
          <t>А500С</t>
        </is>
      </c>
      <c r="J283" s="72" t="inlineStr">
        <is>
          <t>—</t>
        </is>
      </c>
      <c r="K283" s="75" t="n">
        <v>12</v>
      </c>
      <c r="L283" s="51" t="n">
        <v>1</v>
      </c>
      <c r="M283" s="69" t="n">
        <v>0.4</v>
      </c>
      <c r="N283" s="70">
        <f>K283*L283*M283</f>
        <v/>
      </c>
      <c r="O283" s="37">
        <f>IFERROR(INDEX(Исходные!$B$19:$B$31,MATCH(H283,Исходные!$A$19:$A$31,0)),0)</f>
        <v/>
      </c>
      <c r="P283" s="76">
        <f>N283*O283</f>
        <v/>
      </c>
      <c r="Q283" s="21" t="inlineStr">
        <is>
          <t>АС-58 «Деталь стыка арматуры армирования плиты»: нахлёст 400 мм для Ø10</t>
        </is>
      </c>
      <c r="R283" s="77" t="inlineStr">
        <is>
          <t>по проекту (стыковка прутков 11,7 м)</t>
        </is>
      </c>
      <c r="S283" s="21" t="inlineStr">
        <is>
          <t>Чистая длина 13.900 м; кусков 2; стыков 1; Lнахл=1×0.400=0.4 м на стержень</t>
        </is>
      </c>
      <c r="T283" s="21" t="inlineStr">
        <is>
          <t>Ригели, балки, плита, С-1</t>
        </is>
      </c>
      <c r="U283" s="49" t="n">
        <v>0</v>
      </c>
      <c r="V283" s="72" t="inlineStr">
        <is>
          <t>П-сетка</t>
        </is>
      </c>
      <c r="W283" s="49" t="n">
        <v>1</v>
      </c>
    </row>
    <row r="284">
      <c r="A284" s="72" t="n">
        <v>275</v>
      </c>
      <c r="B284" s="21" t="inlineStr">
        <is>
          <t>1 этаж (отм. -0.050…+3.950)</t>
        </is>
      </c>
      <c r="C284" s="21" t="inlineStr">
        <is>
          <t>Плита перекрытия</t>
        </is>
      </c>
      <c r="D284" s="21" t="inlineStr">
        <is>
          <t>1–5 / А–Г</t>
        </is>
      </c>
      <c r="E284" s="21" t="inlineStr">
        <is>
          <t>ПМ-3.950</t>
        </is>
      </c>
      <c r="F284" s="72" t="inlineStr">
        <is>
          <t>НX</t>
        </is>
      </c>
      <c r="G284" s="21" t="inlineStr">
        <is>
          <t>Нижняя осн. сетка, направление X (вдоль осей 1–5)</t>
        </is>
      </c>
      <c r="H284" s="51" t="n">
        <v>10</v>
      </c>
      <c r="I284" s="72" t="inlineStr">
        <is>
          <t>А500С</t>
        </is>
      </c>
      <c r="J284" s="72" t="n">
        <v>200</v>
      </c>
      <c r="K284" s="75" t="n">
        <v>1</v>
      </c>
      <c r="L284" s="51" t="n">
        <v>1</v>
      </c>
      <c r="M284" s="69" t="n">
        <v>10.8</v>
      </c>
      <c r="N284" s="70">
        <f>K284*L284*M284</f>
        <v/>
      </c>
      <c r="O284" s="37">
        <f>IFERROR(INDEX(Исходные!$B$19:$B$31,MATCH(H284,Исходные!$A$19:$A$31,0)),0)</f>
        <v/>
      </c>
      <c r="P284" s="76">
        <f>N284*O284</f>
        <v/>
      </c>
      <c r="Q284" s="21" t="inlineStr">
        <is>
          <t>АС-50/АС-51 «Осн. сетка Ø10 А500С ш.200×200»; контур — АС-47</t>
        </is>
      </c>
      <c r="R284" s="77" t="inlineStr">
        <is>
          <t>по геометрии чертежа</t>
        </is>
      </c>
      <c r="S284" s="21" t="inlineStr"/>
      <c r="T284" s="21" t="inlineStr">
        <is>
          <t>Ригели, балки, плита, С-1</t>
        </is>
      </c>
      <c r="U284" s="49" t="n">
        <v>0</v>
      </c>
      <c r="V284" s="72" t="inlineStr">
        <is>
          <t>П-сетка</t>
        </is>
      </c>
      <c r="W284" s="49" t="n">
        <v>1</v>
      </c>
    </row>
    <row r="285">
      <c r="A285" s="72" t="n">
        <v>276</v>
      </c>
      <c r="B285" s="21" t="inlineStr">
        <is>
          <t>1 этаж (отм. -0.050…+3.950)</t>
        </is>
      </c>
      <c r="C285" s="21" t="inlineStr">
        <is>
          <t>Плита перекрытия</t>
        </is>
      </c>
      <c r="D285" s="21" t="inlineStr">
        <is>
          <t>1–5 / А–Г</t>
        </is>
      </c>
      <c r="E285" s="21" t="inlineStr">
        <is>
          <t>ПМ-3.950</t>
        </is>
      </c>
      <c r="F285" s="72" t="inlineStr">
        <is>
          <t>НX</t>
        </is>
      </c>
      <c r="G285" s="21" t="inlineStr">
        <is>
          <t>Нижняя осн. сетка, направление X (вдоль осей 1–5)</t>
        </is>
      </c>
      <c r="H285" s="51" t="n">
        <v>10</v>
      </c>
      <c r="I285" s="72" t="inlineStr">
        <is>
          <t>А500С</t>
        </is>
      </c>
      <c r="J285" s="72" t="n">
        <v>200</v>
      </c>
      <c r="K285" s="75" t="n">
        <v>1</v>
      </c>
      <c r="L285" s="51" t="n">
        <v>14</v>
      </c>
      <c r="M285" s="69" t="n">
        <v>8</v>
      </c>
      <c r="N285" s="70">
        <f>K285*L285*M285</f>
        <v/>
      </c>
      <c r="O285" s="37">
        <f>IFERROR(INDEX(Исходные!$B$19:$B$31,MATCH(H285,Исходные!$A$19:$A$31,0)),0)</f>
        <v/>
      </c>
      <c r="P285" s="76">
        <f>N285*O285</f>
        <v/>
      </c>
      <c r="Q285" s="21" t="inlineStr">
        <is>
          <t>АС-50/АС-51 «Осн. сетка Ø10 А500С ш.200×200»; контур — АС-47</t>
        </is>
      </c>
      <c r="R285" s="77" t="inlineStr">
        <is>
          <t>по геометрии чертежа</t>
        </is>
      </c>
      <c r="S285" s="21" t="inlineStr"/>
      <c r="T285" s="21" t="inlineStr">
        <is>
          <t>Ригели, балки, плита, С-1</t>
        </is>
      </c>
      <c r="U285" s="49" t="n">
        <v>0</v>
      </c>
      <c r="V285" s="72" t="inlineStr">
        <is>
          <t>П-сетка</t>
        </is>
      </c>
      <c r="W285" s="49" t="n">
        <v>1</v>
      </c>
    </row>
    <row r="286">
      <c r="A286" s="72" t="n">
        <v>277</v>
      </c>
      <c r="B286" s="21" t="inlineStr">
        <is>
          <t>1 этаж (отм. -0.050…+3.950)</t>
        </is>
      </c>
      <c r="C286" s="21" t="inlineStr">
        <is>
          <t>Плита перекрытия</t>
        </is>
      </c>
      <c r="D286" s="21" t="inlineStr">
        <is>
          <t>1–5 / А–Г</t>
        </is>
      </c>
      <c r="E286" s="21" t="inlineStr">
        <is>
          <t>ПМ-3.950</t>
        </is>
      </c>
      <c r="F286" s="72" t="inlineStr">
        <is>
          <t>НX</t>
        </is>
      </c>
      <c r="G286" s="21" t="inlineStr">
        <is>
          <t>Нижняя осн. сетка, направление X (вдоль осей 1–5)</t>
        </is>
      </c>
      <c r="H286" s="51" t="n">
        <v>10</v>
      </c>
      <c r="I286" s="72" t="inlineStr">
        <is>
          <t>А500С</t>
        </is>
      </c>
      <c r="J286" s="72" t="n">
        <v>200</v>
      </c>
      <c r="K286" s="75" t="n">
        <v>1</v>
      </c>
      <c r="L286" s="51" t="n">
        <v>9</v>
      </c>
      <c r="M286" s="69" t="n">
        <v>7.95</v>
      </c>
      <c r="N286" s="70">
        <f>K286*L286*M286</f>
        <v/>
      </c>
      <c r="O286" s="37">
        <f>IFERROR(INDEX(Исходные!$B$19:$B$31,MATCH(H286,Исходные!$A$19:$A$31,0)),0)</f>
        <v/>
      </c>
      <c r="P286" s="76">
        <f>N286*O286</f>
        <v/>
      </c>
      <c r="Q286" s="21" t="inlineStr">
        <is>
          <t>АС-50/АС-51 «Осн. сетка Ø10 А500С ш.200×200»; контур — АС-47</t>
        </is>
      </c>
      <c r="R286" s="77" t="inlineStr">
        <is>
          <t>по геометрии чертежа</t>
        </is>
      </c>
      <c r="S286" s="21" t="inlineStr"/>
      <c r="T286" s="21" t="inlineStr">
        <is>
          <t>Ригели, балки, плита, С-1</t>
        </is>
      </c>
      <c r="U286" s="49" t="n">
        <v>0</v>
      </c>
      <c r="V286" s="72" t="inlineStr">
        <is>
          <t>П-сетка</t>
        </is>
      </c>
      <c r="W286" s="49" t="n">
        <v>1</v>
      </c>
    </row>
    <row r="287">
      <c r="A287" s="72" t="n">
        <v>278</v>
      </c>
      <c r="B287" s="21" t="inlineStr">
        <is>
          <t>1 этаж (отм. -0.050…+3.950)</t>
        </is>
      </c>
      <c r="C287" s="21" t="inlineStr">
        <is>
          <t>Плита перекрытия</t>
        </is>
      </c>
      <c r="D287" s="21" t="inlineStr">
        <is>
          <t>1–5 / А–Г</t>
        </is>
      </c>
      <c r="E287" s="21" t="inlineStr">
        <is>
          <t>ПМ-3.950</t>
        </is>
      </c>
      <c r="F287" s="72" t="inlineStr">
        <is>
          <t>НX</t>
        </is>
      </c>
      <c r="G287" s="21" t="inlineStr">
        <is>
          <t>Нижняя осн. сетка, направление X (вдоль осей 1–5)</t>
        </is>
      </c>
      <c r="H287" s="51" t="n">
        <v>10</v>
      </c>
      <c r="I287" s="72" t="inlineStr">
        <is>
          <t>А500С</t>
        </is>
      </c>
      <c r="J287" s="72" t="n">
        <v>200</v>
      </c>
      <c r="K287" s="75" t="n">
        <v>1</v>
      </c>
      <c r="L287" s="51" t="n">
        <v>13</v>
      </c>
      <c r="M287" s="69" t="n">
        <v>6.9</v>
      </c>
      <c r="N287" s="70">
        <f>K287*L287*M287</f>
        <v/>
      </c>
      <c r="O287" s="37">
        <f>IFERROR(INDEX(Исходные!$B$19:$B$31,MATCH(H287,Исходные!$A$19:$A$31,0)),0)</f>
        <v/>
      </c>
      <c r="P287" s="76">
        <f>N287*O287</f>
        <v/>
      </c>
      <c r="Q287" s="21" t="inlineStr">
        <is>
          <t>АС-50/АС-51 «Осн. сетка Ø10 А500С ш.200×200»; контур — АС-47</t>
        </is>
      </c>
      <c r="R287" s="77" t="inlineStr">
        <is>
          <t>по геометрии чертежа</t>
        </is>
      </c>
      <c r="S287" s="21" t="inlineStr"/>
      <c r="T287" s="21" t="inlineStr">
        <is>
          <t>Ригели, балки, плита, С-1</t>
        </is>
      </c>
      <c r="U287" s="49" t="n">
        <v>0</v>
      </c>
      <c r="V287" s="72" t="inlineStr">
        <is>
          <t>П-сетка</t>
        </is>
      </c>
      <c r="W287" s="49" t="n">
        <v>1</v>
      </c>
    </row>
    <row r="288">
      <c r="A288" s="72" t="n">
        <v>279</v>
      </c>
      <c r="B288" s="21" t="inlineStr">
        <is>
          <t>1 этаж (отм. -0.050…+3.950)</t>
        </is>
      </c>
      <c r="C288" s="21" t="inlineStr">
        <is>
          <t>Плита перекрытия</t>
        </is>
      </c>
      <c r="D288" s="21" t="inlineStr">
        <is>
          <t>1–5 / А–Г</t>
        </is>
      </c>
      <c r="E288" s="21" t="inlineStr">
        <is>
          <t>ПМ-3.950</t>
        </is>
      </c>
      <c r="F288" s="72" t="inlineStr">
        <is>
          <t>НX</t>
        </is>
      </c>
      <c r="G288" s="21" t="inlineStr">
        <is>
          <t>Нижняя осн. сетка, направление X (вдоль осей 1–5)</t>
        </is>
      </c>
      <c r="H288" s="51" t="n">
        <v>10</v>
      </c>
      <c r="I288" s="72" t="inlineStr">
        <is>
          <t>А500С</t>
        </is>
      </c>
      <c r="J288" s="72" t="n">
        <v>200</v>
      </c>
      <c r="K288" s="75" t="n">
        <v>1</v>
      </c>
      <c r="L288" s="51" t="n">
        <v>9</v>
      </c>
      <c r="M288" s="69" t="n">
        <v>3.78</v>
      </c>
      <c r="N288" s="70">
        <f>K288*L288*M288</f>
        <v/>
      </c>
      <c r="O288" s="37">
        <f>IFERROR(INDEX(Исходные!$B$19:$B$31,MATCH(H288,Исходные!$A$19:$A$31,0)),0)</f>
        <v/>
      </c>
      <c r="P288" s="76">
        <f>N288*O288</f>
        <v/>
      </c>
      <c r="Q288" s="21" t="inlineStr">
        <is>
          <t>АС-50/АС-51 «Осн. сетка Ø10 А500С ш.200×200»; контур — АС-47</t>
        </is>
      </c>
      <c r="R288" s="77" t="inlineStr">
        <is>
          <t>по геометрии чертежа</t>
        </is>
      </c>
      <c r="S288" s="21" t="inlineStr"/>
      <c r="T288" s="21" t="inlineStr">
        <is>
          <t>Ригели, балки, плита, С-1</t>
        </is>
      </c>
      <c r="U288" s="49" t="n">
        <v>0</v>
      </c>
      <c r="V288" s="72" t="inlineStr">
        <is>
          <t>П-сетка</t>
        </is>
      </c>
      <c r="W288" s="49" t="n">
        <v>1</v>
      </c>
    </row>
    <row r="289">
      <c r="A289" s="72" t="n">
        <v>280</v>
      </c>
      <c r="B289" s="21" t="inlineStr">
        <is>
          <t>1 этаж (отм. -0.050…+3.950)</t>
        </is>
      </c>
      <c r="C289" s="21" t="inlineStr">
        <is>
          <t>Плита перекрытия</t>
        </is>
      </c>
      <c r="D289" s="21" t="inlineStr">
        <is>
          <t>1–5 / А–Г</t>
        </is>
      </c>
      <c r="E289" s="21" t="inlineStr">
        <is>
          <t>ПМ-3.950</t>
        </is>
      </c>
      <c r="F289" s="72" t="inlineStr">
        <is>
          <t>НY</t>
        </is>
      </c>
      <c r="G289" s="21" t="inlineStr">
        <is>
          <t>Нижняя осн. сетка, направление Y (вдоль осей А–Г)</t>
        </is>
      </c>
      <c r="H289" s="51" t="n">
        <v>10</v>
      </c>
      <c r="I289" s="72" t="inlineStr">
        <is>
          <t>А500С</t>
        </is>
      </c>
      <c r="J289" s="72" t="n">
        <v>200</v>
      </c>
      <c r="K289" s="75" t="n">
        <v>1</v>
      </c>
      <c r="L289" s="51" t="n">
        <v>40</v>
      </c>
      <c r="M289" s="69" t="n">
        <v>22.35</v>
      </c>
      <c r="N289" s="70">
        <f>K289*L289*M289</f>
        <v/>
      </c>
      <c r="O289" s="37">
        <f>IFERROR(INDEX(Исходные!$B$19:$B$31,MATCH(H289,Исходные!$A$19:$A$31,0)),0)</f>
        <v/>
      </c>
      <c r="P289" s="76">
        <f>N289*O289</f>
        <v/>
      </c>
      <c r="Q289" s="21" t="inlineStr">
        <is>
          <t>АС-50/АС-51 «Осн. сетка Ø10 А500С ш.200×200»; контур — АС-47</t>
        </is>
      </c>
      <c r="R289" s="77" t="inlineStr">
        <is>
          <t>по геометрии чертежа</t>
        </is>
      </c>
      <c r="S289" s="21" t="inlineStr"/>
      <c r="T289" s="21" t="inlineStr">
        <is>
          <t>Ригели, балки, плита, С-1</t>
        </is>
      </c>
      <c r="U289" s="49" t="n">
        <v>0</v>
      </c>
      <c r="V289" s="72" t="inlineStr">
        <is>
          <t>П-сетка</t>
        </is>
      </c>
      <c r="W289" s="49" t="n">
        <v>1</v>
      </c>
    </row>
    <row r="290">
      <c r="A290" s="72" t="n">
        <v>281</v>
      </c>
      <c r="B290" s="21" t="inlineStr">
        <is>
          <t>1 этаж (отм. -0.050…+3.950)</t>
        </is>
      </c>
      <c r="C290" s="21" t="inlineStr">
        <is>
          <t>Плита перекрытия</t>
        </is>
      </c>
      <c r="D290" s="21" t="inlineStr">
        <is>
          <t>1–5 / А–Г</t>
        </is>
      </c>
      <c r="E290" s="21" t="inlineStr">
        <is>
          <t>ПМ-3.950</t>
        </is>
      </c>
      <c r="F290" s="72" t="inlineStr">
        <is>
          <t>НY-нахл</t>
        </is>
      </c>
      <c r="G290" s="21" t="inlineStr">
        <is>
          <t>Нахлёсты стыков к поз. «Нижняя осн. сетка, направление Y (вдоль осей А–Г)» (L=22.350 м &gt; 11,7 м): 2 куска, 1 стык(а) на стержень × 40 стерж.</t>
        </is>
      </c>
      <c r="H290" s="51" t="n">
        <v>10</v>
      </c>
      <c r="I290" s="72" t="inlineStr">
        <is>
          <t>А500С</t>
        </is>
      </c>
      <c r="J290" s="72" t="inlineStr">
        <is>
          <t>—</t>
        </is>
      </c>
      <c r="K290" s="75" t="n">
        <v>40</v>
      </c>
      <c r="L290" s="51" t="n">
        <v>1</v>
      </c>
      <c r="M290" s="69" t="n">
        <v>0.4</v>
      </c>
      <c r="N290" s="70">
        <f>K290*L290*M290</f>
        <v/>
      </c>
      <c r="O290" s="37">
        <f>IFERROR(INDEX(Исходные!$B$19:$B$31,MATCH(H290,Исходные!$A$19:$A$31,0)),0)</f>
        <v/>
      </c>
      <c r="P290" s="76">
        <f>N290*O290</f>
        <v/>
      </c>
      <c r="Q290" s="21" t="inlineStr">
        <is>
          <t>АС-58 «Деталь стыка арматуры армирования плиты»: нахлёст 400 мм для Ø10</t>
        </is>
      </c>
      <c r="R290" s="77" t="inlineStr">
        <is>
          <t>по проекту (стыковка прутков 11,7 м)</t>
        </is>
      </c>
      <c r="S290" s="21" t="inlineStr">
        <is>
          <t>Чистая длина 22.350 м; кусков 2; стыков 1; Lнахл=1×0.400=0.4 м на стержень</t>
        </is>
      </c>
      <c r="T290" s="21" t="inlineStr">
        <is>
          <t>Ригели, балки, плита, С-1</t>
        </is>
      </c>
      <c r="U290" s="49" t="n">
        <v>0</v>
      </c>
      <c r="V290" s="72" t="inlineStr">
        <is>
          <t>П-сетка</t>
        </is>
      </c>
      <c r="W290" s="49" t="n">
        <v>1</v>
      </c>
    </row>
    <row r="291">
      <c r="A291" s="72" t="n">
        <v>282</v>
      </c>
      <c r="B291" s="21" t="inlineStr">
        <is>
          <t>1 этаж (отм. -0.050…+3.950)</t>
        </is>
      </c>
      <c r="C291" s="21" t="inlineStr">
        <is>
          <t>Плита перекрытия</t>
        </is>
      </c>
      <c r="D291" s="21" t="inlineStr">
        <is>
          <t>1–5 / А–Г</t>
        </is>
      </c>
      <c r="E291" s="21" t="inlineStr">
        <is>
          <t>ПМ-3.950</t>
        </is>
      </c>
      <c r="F291" s="72" t="inlineStr">
        <is>
          <t>НY</t>
        </is>
      </c>
      <c r="G291" s="21" t="inlineStr">
        <is>
          <t>Нижняя осн. сетка, направление Y (вдоль осей А–Г)</t>
        </is>
      </c>
      <c r="H291" s="51" t="n">
        <v>10</v>
      </c>
      <c r="I291" s="72" t="inlineStr">
        <is>
          <t>А500С</t>
        </is>
      </c>
      <c r="J291" s="72" t="n">
        <v>200</v>
      </c>
      <c r="K291" s="75" t="n">
        <v>1</v>
      </c>
      <c r="L291" s="51" t="n">
        <v>39</v>
      </c>
      <c r="M291" s="69" t="n">
        <v>20.62</v>
      </c>
      <c r="N291" s="70">
        <f>K291*L291*M291</f>
        <v/>
      </c>
      <c r="O291" s="37">
        <f>IFERROR(INDEX(Исходные!$B$19:$B$31,MATCH(H291,Исходные!$A$19:$A$31,0)),0)</f>
        <v/>
      </c>
      <c r="P291" s="76">
        <f>N291*O291</f>
        <v/>
      </c>
      <c r="Q291" s="21" t="inlineStr">
        <is>
          <t>АС-50/АС-51 «Осн. сетка Ø10 А500С ш.200×200»; контур — АС-47</t>
        </is>
      </c>
      <c r="R291" s="77" t="inlineStr">
        <is>
          <t>по геометрии чертежа</t>
        </is>
      </c>
      <c r="S291" s="21" t="inlineStr"/>
      <c r="T291" s="21" t="inlineStr">
        <is>
          <t>Ригели, балки, плита, С-1</t>
        </is>
      </c>
      <c r="U291" s="49" t="n">
        <v>0</v>
      </c>
      <c r="V291" s="72" t="inlineStr">
        <is>
          <t>П-сетка</t>
        </is>
      </c>
      <c r="W291" s="49" t="n">
        <v>1</v>
      </c>
    </row>
    <row r="292">
      <c r="A292" s="72" t="n">
        <v>283</v>
      </c>
      <c r="B292" s="21" t="inlineStr">
        <is>
          <t>1 этаж (отм. -0.050…+3.950)</t>
        </is>
      </c>
      <c r="C292" s="21" t="inlineStr">
        <is>
          <t>Плита перекрытия</t>
        </is>
      </c>
      <c r="D292" s="21" t="inlineStr">
        <is>
          <t>1–5 / А–Г</t>
        </is>
      </c>
      <c r="E292" s="21" t="inlineStr">
        <is>
          <t>ПМ-3.950</t>
        </is>
      </c>
      <c r="F292" s="72" t="inlineStr">
        <is>
          <t>НY-нахл</t>
        </is>
      </c>
      <c r="G292" s="21" t="inlineStr">
        <is>
          <t>Нахлёсты стыков к поз. «Нижняя осн. сетка, направление Y (вдоль осей А–Г)» (L=20.620 м &gt; 11,7 м): 2 куска, 1 стык(а) на стержень × 39 стерж.</t>
        </is>
      </c>
      <c r="H292" s="51" t="n">
        <v>10</v>
      </c>
      <c r="I292" s="72" t="inlineStr">
        <is>
          <t>А500С</t>
        </is>
      </c>
      <c r="J292" s="72" t="inlineStr">
        <is>
          <t>—</t>
        </is>
      </c>
      <c r="K292" s="75" t="n">
        <v>39</v>
      </c>
      <c r="L292" s="51" t="n">
        <v>1</v>
      </c>
      <c r="M292" s="69" t="n">
        <v>0.4</v>
      </c>
      <c r="N292" s="70">
        <f>K292*L292*M292</f>
        <v/>
      </c>
      <c r="O292" s="37">
        <f>IFERROR(INDEX(Исходные!$B$19:$B$31,MATCH(H292,Исходные!$A$19:$A$31,0)),0)</f>
        <v/>
      </c>
      <c r="P292" s="76">
        <f>N292*O292</f>
        <v/>
      </c>
      <c r="Q292" s="21" t="inlineStr">
        <is>
          <t>АС-58 «Деталь стыка арматуры армирования плиты»: нахлёст 400 мм для Ø10</t>
        </is>
      </c>
      <c r="R292" s="77" t="inlineStr">
        <is>
          <t>по проекту (стыковка прутков 11,7 м)</t>
        </is>
      </c>
      <c r="S292" s="21" t="inlineStr">
        <is>
          <t>Чистая длина 20.620 м; кусков 2; стыков 1; Lнахл=1×0.400=0.4 м на стержень</t>
        </is>
      </c>
      <c r="T292" s="21" t="inlineStr">
        <is>
          <t>Ригели, балки, плита, С-1</t>
        </is>
      </c>
      <c r="U292" s="49" t="n">
        <v>0</v>
      </c>
      <c r="V292" s="72" t="inlineStr">
        <is>
          <t>П-сетка</t>
        </is>
      </c>
      <c r="W292" s="49" t="n">
        <v>1</v>
      </c>
    </row>
    <row r="293">
      <c r="A293" s="72" t="n">
        <v>284</v>
      </c>
      <c r="B293" s="21" t="inlineStr">
        <is>
          <t>1 этаж (отм. -0.050…+3.950)</t>
        </is>
      </c>
      <c r="C293" s="21" t="inlineStr">
        <is>
          <t>Плита перекрытия</t>
        </is>
      </c>
      <c r="D293" s="21" t="inlineStr">
        <is>
          <t>1–5 / А–Г</t>
        </is>
      </c>
      <c r="E293" s="21" t="inlineStr">
        <is>
          <t>ПМ-3.950</t>
        </is>
      </c>
      <c r="F293" s="72" t="inlineStr">
        <is>
          <t>НY</t>
        </is>
      </c>
      <c r="G293" s="21" t="inlineStr">
        <is>
          <t>Нижняя осн. сетка, направление Y (вдоль осей А–Г)</t>
        </is>
      </c>
      <c r="H293" s="51" t="n">
        <v>10</v>
      </c>
      <c r="I293" s="72" t="inlineStr">
        <is>
          <t>А500С</t>
        </is>
      </c>
      <c r="J293" s="72" t="n">
        <v>200</v>
      </c>
      <c r="K293" s="75" t="n">
        <v>1</v>
      </c>
      <c r="L293" s="51" t="n">
        <v>26</v>
      </c>
      <c r="M293" s="69" t="n">
        <v>20.48</v>
      </c>
      <c r="N293" s="70">
        <f>K293*L293*M293</f>
        <v/>
      </c>
      <c r="O293" s="37">
        <f>IFERROR(INDEX(Исходные!$B$19:$B$31,MATCH(H293,Исходные!$A$19:$A$31,0)),0)</f>
        <v/>
      </c>
      <c r="P293" s="76">
        <f>N293*O293</f>
        <v/>
      </c>
      <c r="Q293" s="21" t="inlineStr">
        <is>
          <t>АС-50/АС-51 «Осн. сетка Ø10 А500С ш.200×200»; контур — АС-47</t>
        </is>
      </c>
      <c r="R293" s="77" t="inlineStr">
        <is>
          <t>по геометрии чертежа</t>
        </is>
      </c>
      <c r="S293" s="21" t="inlineStr"/>
      <c r="T293" s="21" t="inlineStr">
        <is>
          <t>Ригели, балки, плита, С-1</t>
        </is>
      </c>
      <c r="U293" s="49" t="n">
        <v>0</v>
      </c>
      <c r="V293" s="72" t="inlineStr">
        <is>
          <t>П-сетка</t>
        </is>
      </c>
      <c r="W293" s="49" t="n">
        <v>1</v>
      </c>
    </row>
    <row r="294">
      <c r="A294" s="72" t="n">
        <v>285</v>
      </c>
      <c r="B294" s="21" t="inlineStr">
        <is>
          <t>1 этаж (отм. -0.050…+3.950)</t>
        </is>
      </c>
      <c r="C294" s="21" t="inlineStr">
        <is>
          <t>Плита перекрытия</t>
        </is>
      </c>
      <c r="D294" s="21" t="inlineStr">
        <is>
          <t>1–5 / А–Г</t>
        </is>
      </c>
      <c r="E294" s="21" t="inlineStr">
        <is>
          <t>ПМ-3.950</t>
        </is>
      </c>
      <c r="F294" s="72" t="inlineStr">
        <is>
          <t>НY-нахл</t>
        </is>
      </c>
      <c r="G294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294" s="51" t="n">
        <v>10</v>
      </c>
      <c r="I294" s="72" t="inlineStr">
        <is>
          <t>А500С</t>
        </is>
      </c>
      <c r="J294" s="72" t="inlineStr">
        <is>
          <t>—</t>
        </is>
      </c>
      <c r="K294" s="75" t="n">
        <v>26</v>
      </c>
      <c r="L294" s="51" t="n">
        <v>1</v>
      </c>
      <c r="M294" s="69" t="n">
        <v>0.4</v>
      </c>
      <c r="N294" s="70">
        <f>K294*L294*M294</f>
        <v/>
      </c>
      <c r="O294" s="37">
        <f>IFERROR(INDEX(Исходные!$B$19:$B$31,MATCH(H294,Исходные!$A$19:$A$31,0)),0)</f>
        <v/>
      </c>
      <c r="P294" s="76">
        <f>N294*O294</f>
        <v/>
      </c>
      <c r="Q294" s="21" t="inlineStr">
        <is>
          <t>АС-58 «Деталь стыка арматуры армирования плиты»: нахлёст 400 мм для Ø10</t>
        </is>
      </c>
      <c r="R294" s="77" t="inlineStr">
        <is>
          <t>по проекту (стыковка прутков 11,7 м)</t>
        </is>
      </c>
      <c r="S294" s="21" t="inlineStr">
        <is>
          <t>Чистая длина 20.480 м; кусков 2; стыков 1; Lнахл=1×0.400=0.4 м на стержень</t>
        </is>
      </c>
      <c r="T294" s="21" t="inlineStr">
        <is>
          <t>Ригели, балки, плита, С-1</t>
        </is>
      </c>
      <c r="U294" s="49" t="n">
        <v>0</v>
      </c>
      <c r="V294" s="72" t="inlineStr">
        <is>
          <t>П-сетка</t>
        </is>
      </c>
      <c r="W294" s="49" t="n">
        <v>1</v>
      </c>
    </row>
    <row r="295">
      <c r="A295" s="72" t="n">
        <v>286</v>
      </c>
      <c r="B295" s="21" t="inlineStr">
        <is>
          <t>1 этаж (отм. -0.050…+3.950)</t>
        </is>
      </c>
      <c r="C295" s="21" t="inlineStr">
        <is>
          <t>Плита перекрытия</t>
        </is>
      </c>
      <c r="D295" s="21" t="inlineStr">
        <is>
          <t>1–5 / А–Г</t>
        </is>
      </c>
      <c r="E295" s="21" t="inlineStr">
        <is>
          <t>ПМ-3.950</t>
        </is>
      </c>
      <c r="F295" s="72" t="inlineStr">
        <is>
          <t>НY</t>
        </is>
      </c>
      <c r="G295" s="21" t="inlineStr">
        <is>
          <t>Нижняя осн. сетка, направление Y (вдоль осей А–Г)</t>
        </is>
      </c>
      <c r="H295" s="51" t="n">
        <v>10</v>
      </c>
      <c r="I295" s="72" t="inlineStr">
        <is>
          <t>А500С</t>
        </is>
      </c>
      <c r="J295" s="72" t="n">
        <v>200</v>
      </c>
      <c r="K295" s="75" t="n">
        <v>1</v>
      </c>
      <c r="L295" s="51" t="n">
        <v>2</v>
      </c>
      <c r="M295" s="69" t="n">
        <v>19.01</v>
      </c>
      <c r="N295" s="70">
        <f>K295*L295*M295</f>
        <v/>
      </c>
      <c r="O295" s="37">
        <f>IFERROR(INDEX(Исходные!$B$19:$B$31,MATCH(H295,Исходные!$A$19:$A$31,0)),0)</f>
        <v/>
      </c>
      <c r="P295" s="76">
        <f>N295*O295</f>
        <v/>
      </c>
      <c r="Q295" s="21" t="inlineStr">
        <is>
          <t>АС-50/АС-51 «Осн. сетка Ø10 А500С ш.200×200»; контур — АС-47</t>
        </is>
      </c>
      <c r="R295" s="77" t="inlineStr">
        <is>
          <t>по геометрии чертежа</t>
        </is>
      </c>
      <c r="S295" s="21" t="inlineStr"/>
      <c r="T295" s="21" t="inlineStr">
        <is>
          <t>Ригели, балки, плита, С-1</t>
        </is>
      </c>
      <c r="U295" s="49" t="n">
        <v>0</v>
      </c>
      <c r="V295" s="72" t="inlineStr">
        <is>
          <t>П-сетка</t>
        </is>
      </c>
      <c r="W295" s="49" t="n">
        <v>1</v>
      </c>
    </row>
    <row r="296">
      <c r="A296" s="72" t="n">
        <v>287</v>
      </c>
      <c r="B296" s="21" t="inlineStr">
        <is>
          <t>1 этаж (отм. -0.050…+3.950)</t>
        </is>
      </c>
      <c r="C296" s="21" t="inlineStr">
        <is>
          <t>Плита перекрытия</t>
        </is>
      </c>
      <c r="D296" s="21" t="inlineStr">
        <is>
          <t>1–5 / А–Г</t>
        </is>
      </c>
      <c r="E296" s="21" t="inlineStr">
        <is>
          <t>ПМ-3.950</t>
        </is>
      </c>
      <c r="F296" s="72" t="inlineStr">
        <is>
          <t>НY-нахл</t>
        </is>
      </c>
      <c r="G296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296" s="51" t="n">
        <v>10</v>
      </c>
      <c r="I296" s="72" t="inlineStr">
        <is>
          <t>А500С</t>
        </is>
      </c>
      <c r="J296" s="72" t="inlineStr">
        <is>
          <t>—</t>
        </is>
      </c>
      <c r="K296" s="75" t="n">
        <v>2</v>
      </c>
      <c r="L296" s="51" t="n">
        <v>1</v>
      </c>
      <c r="M296" s="69" t="n">
        <v>0.4</v>
      </c>
      <c r="N296" s="70">
        <f>K296*L296*M296</f>
        <v/>
      </c>
      <c r="O296" s="37">
        <f>IFERROR(INDEX(Исходные!$B$19:$B$31,MATCH(H296,Исходные!$A$19:$A$31,0)),0)</f>
        <v/>
      </c>
      <c r="P296" s="76">
        <f>N296*O296</f>
        <v/>
      </c>
      <c r="Q296" s="21" t="inlineStr">
        <is>
          <t>АС-58 «Деталь стыка арматуры армирования плиты»: нахлёст 400 мм для Ø10</t>
        </is>
      </c>
      <c r="R296" s="77" t="inlineStr">
        <is>
          <t>по проекту (стыковка прутков 11,7 м)</t>
        </is>
      </c>
      <c r="S296" s="21" t="inlineStr">
        <is>
          <t>Чистая длина 19.010 м; кусков 2; стыков 1; Lнахл=1×0.400=0.4 м на стержень</t>
        </is>
      </c>
      <c r="T296" s="21" t="inlineStr">
        <is>
          <t>Ригели, балки, плита, С-1</t>
        </is>
      </c>
      <c r="U296" s="49" t="n">
        <v>0</v>
      </c>
      <c r="V296" s="72" t="inlineStr">
        <is>
          <t>П-сетка</t>
        </is>
      </c>
      <c r="W296" s="49" t="n">
        <v>1</v>
      </c>
    </row>
    <row r="297">
      <c r="A297" s="72" t="n">
        <v>288</v>
      </c>
      <c r="B297" s="21" t="inlineStr">
        <is>
          <t>1 этаж (отм. -0.050…+3.950)</t>
        </is>
      </c>
      <c r="C297" s="21" t="inlineStr">
        <is>
          <t>Плита перекрытия</t>
        </is>
      </c>
      <c r="D297" s="21" t="inlineStr">
        <is>
          <t>1–5 / А–Г</t>
        </is>
      </c>
      <c r="E297" s="21" t="inlineStr">
        <is>
          <t>ПМ-3.950</t>
        </is>
      </c>
      <c r="F297" s="72" t="inlineStr">
        <is>
          <t>НY</t>
        </is>
      </c>
      <c r="G297" s="21" t="inlineStr">
        <is>
          <t>Нижняя осн. сетка, направление Y (вдоль осей А–Г)</t>
        </is>
      </c>
      <c r="H297" s="51" t="n">
        <v>10</v>
      </c>
      <c r="I297" s="72" t="inlineStr">
        <is>
          <t>А500С</t>
        </is>
      </c>
      <c r="J297" s="72" t="n">
        <v>200</v>
      </c>
      <c r="K297" s="75" t="n">
        <v>1</v>
      </c>
      <c r="L297" s="51" t="n">
        <v>5</v>
      </c>
      <c r="M297" s="69" t="n">
        <v>17.28</v>
      </c>
      <c r="N297" s="70">
        <f>K297*L297*M297</f>
        <v/>
      </c>
      <c r="O297" s="37">
        <f>IFERROR(INDEX(Исходные!$B$19:$B$31,MATCH(H297,Исходные!$A$19:$A$31,0)),0)</f>
        <v/>
      </c>
      <c r="P297" s="76">
        <f>N297*O297</f>
        <v/>
      </c>
      <c r="Q297" s="21" t="inlineStr">
        <is>
          <t>АС-50/АС-51 «Осн. сетка Ø10 А500С ш.200×200»; контур — АС-47</t>
        </is>
      </c>
      <c r="R297" s="77" t="inlineStr">
        <is>
          <t>по геометрии чертежа</t>
        </is>
      </c>
      <c r="S297" s="21" t="inlineStr"/>
      <c r="T297" s="21" t="inlineStr">
        <is>
          <t>Ригели, балки, плита, С-1</t>
        </is>
      </c>
      <c r="U297" s="49" t="n">
        <v>0</v>
      </c>
      <c r="V297" s="72" t="inlineStr">
        <is>
          <t>П-сетка</t>
        </is>
      </c>
      <c r="W297" s="49" t="n">
        <v>1</v>
      </c>
    </row>
    <row r="298">
      <c r="A298" s="72" t="n">
        <v>289</v>
      </c>
      <c r="B298" s="21" t="inlineStr">
        <is>
          <t>1 этаж (отм. -0.050…+3.950)</t>
        </is>
      </c>
      <c r="C298" s="21" t="inlineStr">
        <is>
          <t>Плита перекрытия</t>
        </is>
      </c>
      <c r="D298" s="21" t="inlineStr">
        <is>
          <t>1–5 / А–Г</t>
        </is>
      </c>
      <c r="E298" s="21" t="inlineStr">
        <is>
          <t>ПМ-3.950</t>
        </is>
      </c>
      <c r="F298" s="72" t="inlineStr">
        <is>
          <t>НY-нахл</t>
        </is>
      </c>
      <c r="G298" s="21" t="inlineStr">
        <is>
          <t>Нахлёсты стыков к поз. «Нижняя осн. сетка, направление Y (вдоль осей А–Г)» (L=17.280 м &gt; 11,7 м): 2 куска, 1 стык(а) на стержень × 5 стерж.</t>
        </is>
      </c>
      <c r="H298" s="51" t="n">
        <v>10</v>
      </c>
      <c r="I298" s="72" t="inlineStr">
        <is>
          <t>А500С</t>
        </is>
      </c>
      <c r="J298" s="72" t="inlineStr">
        <is>
          <t>—</t>
        </is>
      </c>
      <c r="K298" s="75" t="n">
        <v>5</v>
      </c>
      <c r="L298" s="51" t="n">
        <v>1</v>
      </c>
      <c r="M298" s="69" t="n">
        <v>0.4</v>
      </c>
      <c r="N298" s="70">
        <f>K298*L298*M298</f>
        <v/>
      </c>
      <c r="O298" s="37">
        <f>IFERROR(INDEX(Исходные!$B$19:$B$31,MATCH(H298,Исходные!$A$19:$A$31,0)),0)</f>
        <v/>
      </c>
      <c r="P298" s="76">
        <f>N298*O298</f>
        <v/>
      </c>
      <c r="Q298" s="21" t="inlineStr">
        <is>
          <t>АС-58 «Деталь стыка арматуры армирования плиты»: нахлёст 400 мм для Ø10</t>
        </is>
      </c>
      <c r="R298" s="77" t="inlineStr">
        <is>
          <t>по проекту (стыковка прутков 11,7 м)</t>
        </is>
      </c>
      <c r="S298" s="21" t="inlineStr">
        <is>
          <t>Чистая длина 17.280 м; кусков 2; стыков 1; Lнахл=1×0.400=0.4 м на стержень</t>
        </is>
      </c>
      <c r="T298" s="21" t="inlineStr">
        <is>
          <t>Ригели, балки, плита, С-1</t>
        </is>
      </c>
      <c r="U298" s="49" t="n">
        <v>0</v>
      </c>
      <c r="V298" s="72" t="inlineStr">
        <is>
          <t>П-сетка</t>
        </is>
      </c>
      <c r="W298" s="49" t="n">
        <v>1</v>
      </c>
    </row>
    <row r="299">
      <c r="A299" s="72" t="n">
        <v>290</v>
      </c>
      <c r="B299" s="21" t="inlineStr">
        <is>
          <t>1 этаж (отм. -0.050…+3.950)</t>
        </is>
      </c>
      <c r="C299" s="21" t="inlineStr">
        <is>
          <t>Плита перекрытия</t>
        </is>
      </c>
      <c r="D299" s="21" t="inlineStr">
        <is>
          <t>1–5 / А–Г</t>
        </is>
      </c>
      <c r="E299" s="21" t="inlineStr">
        <is>
          <t>ПМ-3.950</t>
        </is>
      </c>
      <c r="F299" s="72" t="inlineStr">
        <is>
          <t>НY</t>
        </is>
      </c>
      <c r="G299" s="21" t="inlineStr">
        <is>
          <t>Нижняя осн. сетка, направление Y (вдоль осей А–Г)</t>
        </is>
      </c>
      <c r="H299" s="51" t="n">
        <v>10</v>
      </c>
      <c r="I299" s="72" t="inlineStr">
        <is>
          <t>А500С</t>
        </is>
      </c>
      <c r="J299" s="72" t="n">
        <v>200</v>
      </c>
      <c r="K299" s="75" t="n">
        <v>1</v>
      </c>
      <c r="L299" s="51" t="n">
        <v>17</v>
      </c>
      <c r="M299" s="69" t="n">
        <v>15.6</v>
      </c>
      <c r="N299" s="70">
        <f>K299*L299*M299</f>
        <v/>
      </c>
      <c r="O299" s="37">
        <f>IFERROR(INDEX(Исходные!$B$19:$B$31,MATCH(H299,Исходные!$A$19:$A$31,0)),0)</f>
        <v/>
      </c>
      <c r="P299" s="76">
        <f>N299*O299</f>
        <v/>
      </c>
      <c r="Q299" s="21" t="inlineStr">
        <is>
          <t>АС-50/АС-51 «Осн. сетка Ø10 А500С ш.200×200»; контур — АС-47</t>
        </is>
      </c>
      <c r="R299" s="77" t="inlineStr">
        <is>
          <t>по геометрии чертежа</t>
        </is>
      </c>
      <c r="S299" s="21" t="inlineStr"/>
      <c r="T299" s="21" t="inlineStr">
        <is>
          <t>Ригели, балки, плита, С-1</t>
        </is>
      </c>
      <c r="U299" s="49" t="n">
        <v>0</v>
      </c>
      <c r="V299" s="72" t="inlineStr">
        <is>
          <t>П-сетка</t>
        </is>
      </c>
      <c r="W299" s="49" t="n">
        <v>1</v>
      </c>
    </row>
    <row r="300">
      <c r="A300" s="72" t="n">
        <v>291</v>
      </c>
      <c r="B300" s="21" t="inlineStr">
        <is>
          <t>1 этаж (отм. -0.050…+3.950)</t>
        </is>
      </c>
      <c r="C300" s="21" t="inlineStr">
        <is>
          <t>Плита перекрытия</t>
        </is>
      </c>
      <c r="D300" s="21" t="inlineStr">
        <is>
          <t>1–5 / А–Г</t>
        </is>
      </c>
      <c r="E300" s="21" t="inlineStr">
        <is>
          <t>ПМ-3.950</t>
        </is>
      </c>
      <c r="F300" s="72" t="inlineStr">
        <is>
          <t>НY-нахл</t>
        </is>
      </c>
      <c r="G300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300" s="51" t="n">
        <v>10</v>
      </c>
      <c r="I300" s="72" t="inlineStr">
        <is>
          <t>А500С</t>
        </is>
      </c>
      <c r="J300" s="72" t="inlineStr">
        <is>
          <t>—</t>
        </is>
      </c>
      <c r="K300" s="75" t="n">
        <v>17</v>
      </c>
      <c r="L300" s="51" t="n">
        <v>1</v>
      </c>
      <c r="M300" s="69" t="n">
        <v>0.4</v>
      </c>
      <c r="N300" s="70">
        <f>K300*L300*M300</f>
        <v/>
      </c>
      <c r="O300" s="37">
        <f>IFERROR(INDEX(Исходные!$B$19:$B$31,MATCH(H300,Исходные!$A$19:$A$31,0)),0)</f>
        <v/>
      </c>
      <c r="P300" s="76">
        <f>N300*O300</f>
        <v/>
      </c>
      <c r="Q300" s="21" t="inlineStr">
        <is>
          <t>АС-58 «Деталь стыка арматуры армирования плиты»: нахлёст 400 мм для Ø10</t>
        </is>
      </c>
      <c r="R300" s="77" t="inlineStr">
        <is>
          <t>по проекту (стыковка прутков 11,7 м)</t>
        </is>
      </c>
      <c r="S300" s="21" t="inlineStr">
        <is>
          <t>Чистая длина 15.600 м; кусков 2; стыков 1; Lнахл=1×0.400=0.4 м на стержень</t>
        </is>
      </c>
      <c r="T300" s="21" t="inlineStr">
        <is>
          <t>Ригели, балки, плита, С-1</t>
        </is>
      </c>
      <c r="U300" s="49" t="n">
        <v>0</v>
      </c>
      <c r="V300" s="72" t="inlineStr">
        <is>
          <t>П-сетка</t>
        </is>
      </c>
      <c r="W300" s="49" t="n">
        <v>1</v>
      </c>
    </row>
    <row r="301">
      <c r="A301" s="72" t="n">
        <v>292</v>
      </c>
      <c r="B301" s="21" t="inlineStr">
        <is>
          <t>1 этаж (отм. -0.050…+3.950)</t>
        </is>
      </c>
      <c r="C301" s="21" t="inlineStr">
        <is>
          <t>Плита перекрытия</t>
        </is>
      </c>
      <c r="D301" s="21" t="inlineStr">
        <is>
          <t>1–5 / А–Г</t>
        </is>
      </c>
      <c r="E301" s="21" t="inlineStr">
        <is>
          <t>ПМ-3.950</t>
        </is>
      </c>
      <c r="F301" s="72" t="inlineStr">
        <is>
          <t>НY</t>
        </is>
      </c>
      <c r="G301" s="21" t="inlineStr">
        <is>
          <t>Нижняя осн. сетка, направление Y (вдоль осей А–Г)</t>
        </is>
      </c>
      <c r="H301" s="51" t="n">
        <v>10</v>
      </c>
      <c r="I301" s="72" t="inlineStr">
        <is>
          <t>А500С</t>
        </is>
      </c>
      <c r="J301" s="72" t="n">
        <v>200</v>
      </c>
      <c r="K301" s="75" t="n">
        <v>1</v>
      </c>
      <c r="L301" s="51" t="n">
        <v>18</v>
      </c>
      <c r="M301" s="69" t="n">
        <v>4.15</v>
      </c>
      <c r="N301" s="70">
        <f>K301*L301*M301</f>
        <v/>
      </c>
      <c r="O301" s="37">
        <f>IFERROR(INDEX(Исходные!$B$19:$B$31,MATCH(H301,Исходные!$A$19:$A$31,0)),0)</f>
        <v/>
      </c>
      <c r="P301" s="76">
        <f>N301*O301</f>
        <v/>
      </c>
      <c r="Q301" s="21" t="inlineStr">
        <is>
          <t>АС-50/АС-51 «Осн. сетка Ø10 А500С ш.200×200»; контур — АС-47</t>
        </is>
      </c>
      <c r="R301" s="77" t="inlineStr">
        <is>
          <t>по геометрии чертежа</t>
        </is>
      </c>
      <c r="S301" s="21" t="inlineStr"/>
      <c r="T301" s="21" t="inlineStr">
        <is>
          <t>Ригели, балки, плита, С-1</t>
        </is>
      </c>
      <c r="U301" s="49" t="n">
        <v>0</v>
      </c>
      <c r="V301" s="72" t="inlineStr">
        <is>
          <t>П-сетка</t>
        </is>
      </c>
      <c r="W301" s="49" t="n">
        <v>1</v>
      </c>
    </row>
    <row r="302">
      <c r="A302" s="72" t="n">
        <v>293</v>
      </c>
      <c r="B302" s="21" t="inlineStr">
        <is>
          <t>1 этаж (отм. -0.050…+3.950)</t>
        </is>
      </c>
      <c r="C302" s="21" t="inlineStr">
        <is>
          <t>Плита перекрытия</t>
        </is>
      </c>
      <c r="D302" s="21" t="inlineStr">
        <is>
          <t>1–5 / А–Г</t>
        </is>
      </c>
      <c r="E302" s="21" t="inlineStr">
        <is>
          <t>ПМ-3.950</t>
        </is>
      </c>
      <c r="F302" s="72" t="inlineStr">
        <is>
          <t>НY</t>
        </is>
      </c>
      <c r="G302" s="21" t="inlineStr">
        <is>
          <t>Нижняя осн. сетка, направление Y (вдоль осей А–Г)</t>
        </is>
      </c>
      <c r="H302" s="51" t="n">
        <v>10</v>
      </c>
      <c r="I302" s="72" t="inlineStr">
        <is>
          <t>А500С</t>
        </is>
      </c>
      <c r="J302" s="72" t="n">
        <v>200</v>
      </c>
      <c r="K302" s="75" t="n">
        <v>1</v>
      </c>
      <c r="L302" s="51" t="n">
        <v>24</v>
      </c>
      <c r="M302" s="69" t="n">
        <v>0.62</v>
      </c>
      <c r="N302" s="70">
        <f>K302*L302*M302</f>
        <v/>
      </c>
      <c r="O302" s="37">
        <f>IFERROR(INDEX(Исходные!$B$19:$B$31,MATCH(H302,Исходные!$A$19:$A$31,0)),0)</f>
        <v/>
      </c>
      <c r="P302" s="76">
        <f>N302*O302</f>
        <v/>
      </c>
      <c r="Q302" s="21" t="inlineStr">
        <is>
          <t>АС-50/АС-51 «Осн. сетка Ø10 А500С ш.200×200»; контур — АС-47</t>
        </is>
      </c>
      <c r="R302" s="77" t="inlineStr">
        <is>
          <t>по геометрии чертежа</t>
        </is>
      </c>
      <c r="S302" s="21" t="inlineStr"/>
      <c r="T302" s="21" t="inlineStr">
        <is>
          <t>Ригели, балки, плита, С-1</t>
        </is>
      </c>
      <c r="U302" s="49" t="n">
        <v>0</v>
      </c>
      <c r="V302" s="72" t="inlineStr">
        <is>
          <t>П-сетка</t>
        </is>
      </c>
      <c r="W302" s="49" t="n">
        <v>1</v>
      </c>
    </row>
    <row r="303">
      <c r="A303" s="72" t="n">
        <v>294</v>
      </c>
      <c r="B303" s="21" t="inlineStr">
        <is>
          <t>1 этаж (отм. -0.050…+3.950)</t>
        </is>
      </c>
      <c r="C303" s="21" t="inlineStr">
        <is>
          <t>Плита перекрытия</t>
        </is>
      </c>
      <c r="D303" s="21" t="inlineStr">
        <is>
          <t>1–5 / А–Г</t>
        </is>
      </c>
      <c r="E303" s="21" t="inlineStr">
        <is>
          <t>ПМ-3.950</t>
        </is>
      </c>
      <c r="F303" s="72" t="inlineStr">
        <is>
          <t>ВX</t>
        </is>
      </c>
      <c r="G303" s="21" t="inlineStr">
        <is>
          <t>Верхняя осн. сетка, направление X (вдоль осей 1–5)</t>
        </is>
      </c>
      <c r="H303" s="51" t="n">
        <v>10</v>
      </c>
      <c r="I303" s="72" t="inlineStr">
        <is>
          <t>А500С</t>
        </is>
      </c>
      <c r="J303" s="72" t="n">
        <v>200</v>
      </c>
      <c r="K303" s="75" t="n">
        <v>1</v>
      </c>
      <c r="L303" s="51" t="n">
        <v>26</v>
      </c>
      <c r="M303" s="69" t="n">
        <v>27.35</v>
      </c>
      <c r="N303" s="70">
        <f>K303*L303*M303</f>
        <v/>
      </c>
      <c r="O303" s="37">
        <f>IFERROR(INDEX(Исходные!$B$19:$B$31,MATCH(H303,Исходные!$A$19:$A$31,0)),0)</f>
        <v/>
      </c>
      <c r="P303" s="76">
        <f>N303*O303</f>
        <v/>
      </c>
      <c r="Q303" s="21" t="inlineStr">
        <is>
          <t>АС-50/АС-51 «Осн. сетка Ø10 А500С ш.200×200»; контур — АС-47</t>
        </is>
      </c>
      <c r="R303" s="77" t="inlineStr">
        <is>
          <t>по геометрии чертежа</t>
        </is>
      </c>
      <c r="S303" s="21" t="inlineStr"/>
      <c r="T303" s="21" t="inlineStr">
        <is>
          <t>Ригели, балки, плита, С-1</t>
        </is>
      </c>
      <c r="U303" s="49" t="n">
        <v>0</v>
      </c>
      <c r="V303" s="72" t="inlineStr">
        <is>
          <t>П-сетка</t>
        </is>
      </c>
      <c r="W303" s="49" t="n">
        <v>1</v>
      </c>
    </row>
    <row r="304">
      <c r="A304" s="72" t="n">
        <v>295</v>
      </c>
      <c r="B304" s="21" t="inlineStr">
        <is>
          <t>1 этаж (отм. -0.050…+3.950)</t>
        </is>
      </c>
      <c r="C304" s="21" t="inlineStr">
        <is>
          <t>Плита перекрытия</t>
        </is>
      </c>
      <c r="D304" s="21" t="inlineStr">
        <is>
          <t>1–5 / А–Г</t>
        </is>
      </c>
      <c r="E304" s="21" t="inlineStr">
        <is>
          <t>ПМ-3.950</t>
        </is>
      </c>
      <c r="F304" s="72" t="inlineStr">
        <is>
          <t>ВX-нахл</t>
        </is>
      </c>
      <c r="G304" s="21" t="inlineStr">
        <is>
          <t>Нахлёсты стыков к поз. «Верхняя осн. сетка, направление X (вдоль осей 1–5)» (L=27.350 м &gt; 11,7 м): 3 куска, 2 стык(а) на стержень × 26 стерж.</t>
        </is>
      </c>
      <c r="H304" s="51" t="n">
        <v>10</v>
      </c>
      <c r="I304" s="72" t="inlineStr">
        <is>
          <t>А500С</t>
        </is>
      </c>
      <c r="J304" s="72" t="inlineStr">
        <is>
          <t>—</t>
        </is>
      </c>
      <c r="K304" s="75" t="n">
        <v>26</v>
      </c>
      <c r="L304" s="51" t="n">
        <v>2</v>
      </c>
      <c r="M304" s="69" t="n">
        <v>0.4</v>
      </c>
      <c r="N304" s="70">
        <f>K304*L304*M304</f>
        <v/>
      </c>
      <c r="O304" s="37">
        <f>IFERROR(INDEX(Исходные!$B$19:$B$31,MATCH(H304,Исходные!$A$19:$A$31,0)),0)</f>
        <v/>
      </c>
      <c r="P304" s="76">
        <f>N304*O304</f>
        <v/>
      </c>
      <c r="Q304" s="21" t="inlineStr">
        <is>
          <t>АС-58 «Деталь стыка арматуры армирования плиты»: нахлёст 400 мм для Ø10</t>
        </is>
      </c>
      <c r="R304" s="77" t="inlineStr">
        <is>
          <t>по проекту (стыковка прутков 11,7 м)</t>
        </is>
      </c>
      <c r="S304" s="21" t="inlineStr">
        <is>
          <t>Чистая длина 27.350 м; кусков 3; стыков 2; Lнахл=2×0.400=0.8 м на стержень</t>
        </is>
      </c>
      <c r="T304" s="21" t="inlineStr">
        <is>
          <t>Ригели, балки, плита, С-1</t>
        </is>
      </c>
      <c r="U304" s="49" t="n">
        <v>0</v>
      </c>
      <c r="V304" s="72" t="inlineStr">
        <is>
          <t>П-сетка</t>
        </is>
      </c>
      <c r="W304" s="49" t="n">
        <v>1</v>
      </c>
    </row>
    <row r="305">
      <c r="A305" s="72" t="n">
        <v>296</v>
      </c>
      <c r="B305" s="21" t="inlineStr">
        <is>
          <t>1 этаж (отм. -0.050…+3.950)</t>
        </is>
      </c>
      <c r="C305" s="21" t="inlineStr">
        <is>
          <t>Плита перекрытия</t>
        </is>
      </c>
      <c r="D305" s="21" t="inlineStr">
        <is>
          <t>1–5 / А–Г</t>
        </is>
      </c>
      <c r="E305" s="21" t="inlineStr">
        <is>
          <t>ПМ-3.950</t>
        </is>
      </c>
      <c r="F305" s="72" t="inlineStr">
        <is>
          <t>ВX</t>
        </is>
      </c>
      <c r="G305" s="21" t="inlineStr">
        <is>
          <t>Верхняя осн. сетка, направление X (вдоль осей 1–5)</t>
        </is>
      </c>
      <c r="H305" s="51" t="n">
        <v>10</v>
      </c>
      <c r="I305" s="72" t="inlineStr">
        <is>
          <t>А500С</t>
        </is>
      </c>
      <c r="J305" s="72" t="n">
        <v>200</v>
      </c>
      <c r="K305" s="75" t="n">
        <v>1</v>
      </c>
      <c r="L305" s="51" t="n">
        <v>49</v>
      </c>
      <c r="M305" s="69" t="n">
        <v>25.62</v>
      </c>
      <c r="N305" s="70">
        <f>K305*L305*M305</f>
        <v/>
      </c>
      <c r="O305" s="37">
        <f>IFERROR(INDEX(Исходные!$B$19:$B$31,MATCH(H305,Исходные!$A$19:$A$31,0)),0)</f>
        <v/>
      </c>
      <c r="P305" s="76">
        <f>N305*O305</f>
        <v/>
      </c>
      <c r="Q305" s="21" t="inlineStr">
        <is>
          <t>АС-50/АС-51 «Осн. сетка Ø10 А500С ш.200×200»; контур — АС-47</t>
        </is>
      </c>
      <c r="R305" s="77" t="inlineStr">
        <is>
          <t>по геометрии чертежа</t>
        </is>
      </c>
      <c r="S305" s="21" t="inlineStr"/>
      <c r="T305" s="21" t="inlineStr">
        <is>
          <t>Ригели, балки, плита, С-1</t>
        </is>
      </c>
      <c r="U305" s="49" t="n">
        <v>0</v>
      </c>
      <c r="V305" s="72" t="inlineStr">
        <is>
          <t>П-сетка</t>
        </is>
      </c>
      <c r="W305" s="49" t="n">
        <v>1</v>
      </c>
    </row>
    <row r="306">
      <c r="A306" s="72" t="n">
        <v>297</v>
      </c>
      <c r="B306" s="21" t="inlineStr">
        <is>
          <t>1 этаж (отм. -0.050…+3.950)</t>
        </is>
      </c>
      <c r="C306" s="21" t="inlineStr">
        <is>
          <t>Плита перекрытия</t>
        </is>
      </c>
      <c r="D306" s="21" t="inlineStr">
        <is>
          <t>1–5 / А–Г</t>
        </is>
      </c>
      <c r="E306" s="21" t="inlineStr">
        <is>
          <t>ПМ-3.950</t>
        </is>
      </c>
      <c r="F306" s="72" t="inlineStr">
        <is>
          <t>ВX-нахл</t>
        </is>
      </c>
      <c r="G306" s="21" t="inlineStr">
        <is>
          <t>Нахлёсты стыков к поз. «Верхняя осн. сетка, направление X (вдоль осей 1–5)» (L=25.620 м &gt; 11,7 м): 3 куска, 2 стык(а) на стержень × 49 стерж.</t>
        </is>
      </c>
      <c r="H306" s="51" t="n">
        <v>10</v>
      </c>
      <c r="I306" s="72" t="inlineStr">
        <is>
          <t>А500С</t>
        </is>
      </c>
      <c r="J306" s="72" t="inlineStr">
        <is>
          <t>—</t>
        </is>
      </c>
      <c r="K306" s="75" t="n">
        <v>49</v>
      </c>
      <c r="L306" s="51" t="n">
        <v>2</v>
      </c>
      <c r="M306" s="69" t="n">
        <v>0.4</v>
      </c>
      <c r="N306" s="70">
        <f>K306*L306*M306</f>
        <v/>
      </c>
      <c r="O306" s="37">
        <f>IFERROR(INDEX(Исходные!$B$19:$B$31,MATCH(H306,Исходные!$A$19:$A$31,0)),0)</f>
        <v/>
      </c>
      <c r="P306" s="76">
        <f>N306*O306</f>
        <v/>
      </c>
      <c r="Q306" s="21" t="inlineStr">
        <is>
          <t>АС-58 «Деталь стыка арматуры армирования плиты»: нахлёст 400 мм для Ø10</t>
        </is>
      </c>
      <c r="R306" s="77" t="inlineStr">
        <is>
          <t>по проекту (стыковка прутков 11,7 м)</t>
        </is>
      </c>
      <c r="S306" s="21" t="inlineStr">
        <is>
          <t>Чистая длина 25.620 м; кусков 3; стыков 2; Lнахл=2×0.400=0.8 м на стержень</t>
        </is>
      </c>
      <c r="T306" s="21" t="inlineStr">
        <is>
          <t>Ригели, балки, плита, С-1</t>
        </is>
      </c>
      <c r="U306" s="49" t="n">
        <v>0</v>
      </c>
      <c r="V306" s="72" t="inlineStr">
        <is>
          <t>П-сетка</t>
        </is>
      </c>
      <c r="W306" s="49" t="n">
        <v>1</v>
      </c>
    </row>
    <row r="307">
      <c r="A307" s="72" t="n">
        <v>298</v>
      </c>
      <c r="B307" s="21" t="inlineStr">
        <is>
          <t>1 этаж (отм. -0.050…+3.950)</t>
        </is>
      </c>
      <c r="C307" s="21" t="inlineStr">
        <is>
          <t>Плита перекрытия</t>
        </is>
      </c>
      <c r="D307" s="21" t="inlineStr">
        <is>
          <t>1–5 / А–Г</t>
        </is>
      </c>
      <c r="E307" s="21" t="inlineStr">
        <is>
          <t>ПМ-3.950</t>
        </is>
      </c>
      <c r="F307" s="72" t="inlineStr">
        <is>
          <t>ВX</t>
        </is>
      </c>
      <c r="G307" s="21" t="inlineStr">
        <is>
          <t>Верхняя осн. сетка, направление X (вдоль осей 1–5)</t>
        </is>
      </c>
      <c r="H307" s="51" t="n">
        <v>10</v>
      </c>
      <c r="I307" s="72" t="inlineStr">
        <is>
          <t>А500С</t>
        </is>
      </c>
      <c r="J307" s="72" t="n">
        <v>200</v>
      </c>
      <c r="K307" s="75" t="n">
        <v>1</v>
      </c>
      <c r="L307" s="51" t="n">
        <v>1</v>
      </c>
      <c r="M307" s="69" t="n">
        <v>22.2</v>
      </c>
      <c r="N307" s="70">
        <f>K307*L307*M307</f>
        <v/>
      </c>
      <c r="O307" s="37">
        <f>IFERROR(INDEX(Исходные!$B$19:$B$31,MATCH(H307,Исходные!$A$19:$A$31,0)),0)</f>
        <v/>
      </c>
      <c r="P307" s="76">
        <f>N307*O307</f>
        <v/>
      </c>
      <c r="Q307" s="21" t="inlineStr">
        <is>
          <t>АС-50/АС-51 «Осн. сетка Ø10 А500С ш.200×200»; контур — АС-47</t>
        </is>
      </c>
      <c r="R307" s="77" t="inlineStr">
        <is>
          <t>по геометрии чертежа</t>
        </is>
      </c>
      <c r="S307" s="21" t="inlineStr"/>
      <c r="T307" s="21" t="inlineStr">
        <is>
          <t>Ригели, балки, плита, С-1</t>
        </is>
      </c>
      <c r="U307" s="49" t="n">
        <v>0</v>
      </c>
      <c r="V307" s="72" t="inlineStr">
        <is>
          <t>П-сетка</t>
        </is>
      </c>
      <c r="W307" s="49" t="n">
        <v>1</v>
      </c>
    </row>
    <row r="308">
      <c r="A308" s="72" t="n">
        <v>299</v>
      </c>
      <c r="B308" s="21" t="inlineStr">
        <is>
          <t>1 этаж (отм. -0.050…+3.950)</t>
        </is>
      </c>
      <c r="C308" s="21" t="inlineStr">
        <is>
          <t>Плита перекрытия</t>
        </is>
      </c>
      <c r="D308" s="21" t="inlineStr">
        <is>
          <t>1–5 / А–Г</t>
        </is>
      </c>
      <c r="E308" s="21" t="inlineStr">
        <is>
          <t>ПМ-3.950</t>
        </is>
      </c>
      <c r="F308" s="72" t="inlineStr">
        <is>
          <t>ВX-нахл</t>
        </is>
      </c>
      <c r="G308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308" s="51" t="n">
        <v>10</v>
      </c>
      <c r="I308" s="72" t="inlineStr">
        <is>
          <t>А500С</t>
        </is>
      </c>
      <c r="J308" s="72" t="inlineStr">
        <is>
          <t>—</t>
        </is>
      </c>
      <c r="K308" s="75" t="n">
        <v>1</v>
      </c>
      <c r="L308" s="51" t="n">
        <v>1</v>
      </c>
      <c r="M308" s="69" t="n">
        <v>0.4</v>
      </c>
      <c r="N308" s="70">
        <f>K308*L308*M308</f>
        <v/>
      </c>
      <c r="O308" s="37">
        <f>IFERROR(INDEX(Исходные!$B$19:$B$31,MATCH(H308,Исходные!$A$19:$A$31,0)),0)</f>
        <v/>
      </c>
      <c r="P308" s="76">
        <f>N308*O308</f>
        <v/>
      </c>
      <c r="Q308" s="21" t="inlineStr">
        <is>
          <t>АС-58 «Деталь стыка арматуры армирования плиты»: нахлёст 400 мм для Ø10</t>
        </is>
      </c>
      <c r="R308" s="77" t="inlineStr">
        <is>
          <t>по проекту (стыковка прутков 11,7 м)</t>
        </is>
      </c>
      <c r="S308" s="21" t="inlineStr">
        <is>
          <t>Чистая длина 22.200 м; кусков 2; стыков 1; Lнахл=1×0.400=0.4 м на стержень</t>
        </is>
      </c>
      <c r="T308" s="21" t="inlineStr">
        <is>
          <t>Ригели, балки, плита, С-1</t>
        </is>
      </c>
      <c r="U308" s="49" t="n">
        <v>0</v>
      </c>
      <c r="V308" s="72" t="inlineStr">
        <is>
          <t>П-сетка</t>
        </is>
      </c>
      <c r="W308" s="49" t="n">
        <v>1</v>
      </c>
    </row>
    <row r="309">
      <c r="A309" s="72" t="n">
        <v>300</v>
      </c>
      <c r="B309" s="21" t="inlineStr">
        <is>
          <t>1 этаж (отм. -0.050…+3.950)</t>
        </is>
      </c>
      <c r="C309" s="21" t="inlineStr">
        <is>
          <t>Плита перекрытия</t>
        </is>
      </c>
      <c r="D309" s="21" t="inlineStr">
        <is>
          <t>1–5 / А–Г</t>
        </is>
      </c>
      <c r="E309" s="21" t="inlineStr">
        <is>
          <t>ПМ-3.950</t>
        </is>
      </c>
      <c r="F309" s="72" t="inlineStr">
        <is>
          <t>ВX</t>
        </is>
      </c>
      <c r="G309" s="21" t="inlineStr">
        <is>
          <t>Верхняя осн. сетка, направление X (вдоль осей 1–5)</t>
        </is>
      </c>
      <c r="H309" s="51" t="n">
        <v>10</v>
      </c>
      <c r="I309" s="72" t="inlineStr">
        <is>
          <t>А500С</t>
        </is>
      </c>
      <c r="J309" s="72" t="n">
        <v>200</v>
      </c>
      <c r="K309" s="75" t="n">
        <v>1</v>
      </c>
      <c r="L309" s="51" t="n">
        <v>16</v>
      </c>
      <c r="M309" s="69" t="n">
        <v>15.62</v>
      </c>
      <c r="N309" s="70">
        <f>K309*L309*M309</f>
        <v/>
      </c>
      <c r="O309" s="37">
        <f>IFERROR(INDEX(Исходные!$B$19:$B$31,MATCH(H309,Исходные!$A$19:$A$31,0)),0)</f>
        <v/>
      </c>
      <c r="P309" s="76">
        <f>N309*O309</f>
        <v/>
      </c>
      <c r="Q309" s="21" t="inlineStr">
        <is>
          <t>АС-50/АС-51 «Осн. сетка Ø10 А500С ш.200×200»; контур — АС-47</t>
        </is>
      </c>
      <c r="R309" s="77" t="inlineStr">
        <is>
          <t>по геометрии чертежа</t>
        </is>
      </c>
      <c r="S309" s="21" t="inlineStr"/>
      <c r="T309" s="21" t="inlineStr">
        <is>
          <t>Ригели, балки, плита, С-1</t>
        </is>
      </c>
      <c r="U309" s="49" t="n">
        <v>0</v>
      </c>
      <c r="V309" s="72" t="inlineStr">
        <is>
          <t>П-сетка</t>
        </is>
      </c>
      <c r="W309" s="49" t="n">
        <v>1</v>
      </c>
    </row>
    <row r="310">
      <c r="A310" s="72" t="n">
        <v>301</v>
      </c>
      <c r="B310" s="21" t="inlineStr">
        <is>
          <t>1 этаж (отм. -0.050…+3.950)</t>
        </is>
      </c>
      <c r="C310" s="21" t="inlineStr">
        <is>
          <t>Плита перекрытия</t>
        </is>
      </c>
      <c r="D310" s="21" t="inlineStr">
        <is>
          <t>1–5 / А–Г</t>
        </is>
      </c>
      <c r="E310" s="21" t="inlineStr">
        <is>
          <t>ПМ-3.950</t>
        </is>
      </c>
      <c r="F310" s="72" t="inlineStr">
        <is>
          <t>ВX-нахл</t>
        </is>
      </c>
      <c r="G310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310" s="51" t="n">
        <v>10</v>
      </c>
      <c r="I310" s="72" t="inlineStr">
        <is>
          <t>А500С</t>
        </is>
      </c>
      <c r="J310" s="72" t="inlineStr">
        <is>
          <t>—</t>
        </is>
      </c>
      <c r="K310" s="75" t="n">
        <v>16</v>
      </c>
      <c r="L310" s="51" t="n">
        <v>1</v>
      </c>
      <c r="M310" s="69" t="n">
        <v>0.4</v>
      </c>
      <c r="N310" s="70">
        <f>K310*L310*M310</f>
        <v/>
      </c>
      <c r="O310" s="37">
        <f>IFERROR(INDEX(Исходные!$B$19:$B$31,MATCH(H310,Исходные!$A$19:$A$31,0)),0)</f>
        <v/>
      </c>
      <c r="P310" s="76">
        <f>N310*O310</f>
        <v/>
      </c>
      <c r="Q310" s="21" t="inlineStr">
        <is>
          <t>АС-58 «Деталь стыка арматуры армирования плиты»: нахлёст 400 мм для Ø10</t>
        </is>
      </c>
      <c r="R310" s="77" t="inlineStr">
        <is>
          <t>по проекту (стыковка прутков 11,7 м)</t>
        </is>
      </c>
      <c r="S310" s="21" t="inlineStr">
        <is>
          <t>Чистая длина 15.620 м; кусков 2; стыков 1; Lнахл=1×0.400=0.4 м на стержень</t>
        </is>
      </c>
      <c r="T310" s="21" t="inlineStr">
        <is>
          <t>Ригели, балки, плита, С-1</t>
        </is>
      </c>
      <c r="U310" s="49" t="n">
        <v>0</v>
      </c>
      <c r="V310" s="72" t="inlineStr">
        <is>
          <t>П-сетка</t>
        </is>
      </c>
      <c r="W310" s="49" t="n">
        <v>1</v>
      </c>
    </row>
    <row r="311">
      <c r="A311" s="72" t="n">
        <v>302</v>
      </c>
      <c r="B311" s="21" t="inlineStr">
        <is>
          <t>1 этаж (отм. -0.050…+3.950)</t>
        </is>
      </c>
      <c r="C311" s="21" t="inlineStr">
        <is>
          <t>Плита перекрытия</t>
        </is>
      </c>
      <c r="D311" s="21" t="inlineStr">
        <is>
          <t>1–5 / А–Г</t>
        </is>
      </c>
      <c r="E311" s="21" t="inlineStr">
        <is>
          <t>ПМ-3.950</t>
        </is>
      </c>
      <c r="F311" s="72" t="inlineStr">
        <is>
          <t>ВX</t>
        </is>
      </c>
      <c r="G311" s="21" t="inlineStr">
        <is>
          <t>Верхняя осн. сетка, направление X (вдоль осей 1–5)</t>
        </is>
      </c>
      <c r="H311" s="51" t="n">
        <v>10</v>
      </c>
      <c r="I311" s="72" t="inlineStr">
        <is>
          <t>А500С</t>
        </is>
      </c>
      <c r="J311" s="72" t="n">
        <v>200</v>
      </c>
      <c r="K311" s="75" t="n">
        <v>1</v>
      </c>
      <c r="L311" s="51" t="n">
        <v>12</v>
      </c>
      <c r="M311" s="69" t="n">
        <v>13.9</v>
      </c>
      <c r="N311" s="70">
        <f>K311*L311*M311</f>
        <v/>
      </c>
      <c r="O311" s="37">
        <f>IFERROR(INDEX(Исходные!$B$19:$B$31,MATCH(H311,Исходные!$A$19:$A$31,0)),0)</f>
        <v/>
      </c>
      <c r="P311" s="76">
        <f>N311*O311</f>
        <v/>
      </c>
      <c r="Q311" s="21" t="inlineStr">
        <is>
          <t>АС-50/АС-51 «Осн. сетка Ø10 А500С ш.200×200»; контур — АС-47</t>
        </is>
      </c>
      <c r="R311" s="77" t="inlineStr">
        <is>
          <t>по геометрии чертежа</t>
        </is>
      </c>
      <c r="S311" s="21" t="inlineStr"/>
      <c r="T311" s="21" t="inlineStr">
        <is>
          <t>Ригели, балки, плита, С-1</t>
        </is>
      </c>
      <c r="U311" s="49" t="n">
        <v>0</v>
      </c>
      <c r="V311" s="72" t="inlineStr">
        <is>
          <t>П-сетка</t>
        </is>
      </c>
      <c r="W311" s="49" t="n">
        <v>1</v>
      </c>
    </row>
    <row r="312">
      <c r="A312" s="72" t="n">
        <v>303</v>
      </c>
      <c r="B312" s="21" t="inlineStr">
        <is>
          <t>1 этаж (отм. -0.050…+3.950)</t>
        </is>
      </c>
      <c r="C312" s="21" t="inlineStr">
        <is>
          <t>Плита перекрытия</t>
        </is>
      </c>
      <c r="D312" s="21" t="inlineStr">
        <is>
          <t>1–5 / А–Г</t>
        </is>
      </c>
      <c r="E312" s="21" t="inlineStr">
        <is>
          <t>ПМ-3.950</t>
        </is>
      </c>
      <c r="F312" s="72" t="inlineStr">
        <is>
          <t>ВX-нахл</t>
        </is>
      </c>
      <c r="G312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312" s="51" t="n">
        <v>10</v>
      </c>
      <c r="I312" s="72" t="inlineStr">
        <is>
          <t>А500С</t>
        </is>
      </c>
      <c r="J312" s="72" t="inlineStr">
        <is>
          <t>—</t>
        </is>
      </c>
      <c r="K312" s="75" t="n">
        <v>12</v>
      </c>
      <c r="L312" s="51" t="n">
        <v>1</v>
      </c>
      <c r="M312" s="69" t="n">
        <v>0.4</v>
      </c>
      <c r="N312" s="70">
        <f>K312*L312*M312</f>
        <v/>
      </c>
      <c r="O312" s="37">
        <f>IFERROR(INDEX(Исходные!$B$19:$B$31,MATCH(H312,Исходные!$A$19:$A$31,0)),0)</f>
        <v/>
      </c>
      <c r="P312" s="76">
        <f>N312*O312</f>
        <v/>
      </c>
      <c r="Q312" s="21" t="inlineStr">
        <is>
          <t>АС-58 «Деталь стыка арматуры армирования плиты»: нахлёст 400 мм для Ø10</t>
        </is>
      </c>
      <c r="R312" s="77" t="inlineStr">
        <is>
          <t>по проекту (стыковка прутков 11,7 м)</t>
        </is>
      </c>
      <c r="S312" s="21" t="inlineStr">
        <is>
          <t>Чистая длина 13.900 м; кусков 2; стыков 1; Lнахл=1×0.400=0.4 м на стержень</t>
        </is>
      </c>
      <c r="T312" s="21" t="inlineStr">
        <is>
          <t>Ригели, балки, плита, С-1</t>
        </is>
      </c>
      <c r="U312" s="49" t="n">
        <v>0</v>
      </c>
      <c r="V312" s="72" t="inlineStr">
        <is>
          <t>П-сетка</t>
        </is>
      </c>
      <c r="W312" s="49" t="n">
        <v>1</v>
      </c>
    </row>
    <row r="313">
      <c r="A313" s="72" t="n">
        <v>304</v>
      </c>
      <c r="B313" s="21" t="inlineStr">
        <is>
          <t>1 этаж (отм. -0.050…+3.950)</t>
        </is>
      </c>
      <c r="C313" s="21" t="inlineStr">
        <is>
          <t>Плита перекрытия</t>
        </is>
      </c>
      <c r="D313" s="21" t="inlineStr">
        <is>
          <t>1–5 / А–Г</t>
        </is>
      </c>
      <c r="E313" s="21" t="inlineStr">
        <is>
          <t>ПМ-3.950</t>
        </is>
      </c>
      <c r="F313" s="72" t="inlineStr">
        <is>
          <t>ВX</t>
        </is>
      </c>
      <c r="G313" s="21" t="inlineStr">
        <is>
          <t>Верхняя осн. сетка, направление X (вдоль осей 1–5)</t>
        </is>
      </c>
      <c r="H313" s="51" t="n">
        <v>10</v>
      </c>
      <c r="I313" s="72" t="inlineStr">
        <is>
          <t>А500С</t>
        </is>
      </c>
      <c r="J313" s="72" t="n">
        <v>200</v>
      </c>
      <c r="K313" s="75" t="n">
        <v>1</v>
      </c>
      <c r="L313" s="51" t="n">
        <v>1</v>
      </c>
      <c r="M313" s="69" t="n">
        <v>10.8</v>
      </c>
      <c r="N313" s="70">
        <f>K313*L313*M313</f>
        <v/>
      </c>
      <c r="O313" s="37">
        <f>IFERROR(INDEX(Исходные!$B$19:$B$31,MATCH(H313,Исходные!$A$19:$A$31,0)),0)</f>
        <v/>
      </c>
      <c r="P313" s="76">
        <f>N313*O313</f>
        <v/>
      </c>
      <c r="Q313" s="21" t="inlineStr">
        <is>
          <t>АС-50/АС-51 «Осн. сетка Ø10 А500С ш.200×200»; контур — АС-47</t>
        </is>
      </c>
      <c r="R313" s="77" t="inlineStr">
        <is>
          <t>по геометрии чертежа</t>
        </is>
      </c>
      <c r="S313" s="21" t="inlineStr"/>
      <c r="T313" s="21" t="inlineStr">
        <is>
          <t>Ригели, балки, плита, С-1</t>
        </is>
      </c>
      <c r="U313" s="49" t="n">
        <v>0</v>
      </c>
      <c r="V313" s="72" t="inlineStr">
        <is>
          <t>П-сетка</t>
        </is>
      </c>
      <c r="W313" s="49" t="n">
        <v>1</v>
      </c>
    </row>
    <row r="314">
      <c r="A314" s="72" t="n">
        <v>305</v>
      </c>
      <c r="B314" s="21" t="inlineStr">
        <is>
          <t>1 этаж (отм. -0.050…+3.950)</t>
        </is>
      </c>
      <c r="C314" s="21" t="inlineStr">
        <is>
          <t>Плита перекрытия</t>
        </is>
      </c>
      <c r="D314" s="21" t="inlineStr">
        <is>
          <t>1–5 / А–Г</t>
        </is>
      </c>
      <c r="E314" s="21" t="inlineStr">
        <is>
          <t>ПМ-3.950</t>
        </is>
      </c>
      <c r="F314" s="72" t="inlineStr">
        <is>
          <t>ВX</t>
        </is>
      </c>
      <c r="G314" s="21" t="inlineStr">
        <is>
          <t>Верхняя осн. сетка, направление X (вдоль осей 1–5)</t>
        </is>
      </c>
      <c r="H314" s="51" t="n">
        <v>10</v>
      </c>
      <c r="I314" s="72" t="inlineStr">
        <is>
          <t>А500С</t>
        </is>
      </c>
      <c r="J314" s="72" t="n">
        <v>200</v>
      </c>
      <c r="K314" s="75" t="n">
        <v>1</v>
      </c>
      <c r="L314" s="51" t="n">
        <v>14</v>
      </c>
      <c r="M314" s="69" t="n">
        <v>8</v>
      </c>
      <c r="N314" s="70">
        <f>K314*L314*M314</f>
        <v/>
      </c>
      <c r="O314" s="37">
        <f>IFERROR(INDEX(Исходные!$B$19:$B$31,MATCH(H314,Исходные!$A$19:$A$31,0)),0)</f>
        <v/>
      </c>
      <c r="P314" s="76">
        <f>N314*O314</f>
        <v/>
      </c>
      <c r="Q314" s="21" t="inlineStr">
        <is>
          <t>АС-50/АС-51 «Осн. сетка Ø10 А500С ш.200×200»; контур — АС-47</t>
        </is>
      </c>
      <c r="R314" s="77" t="inlineStr">
        <is>
          <t>по геометрии чертежа</t>
        </is>
      </c>
      <c r="S314" s="21" t="inlineStr"/>
      <c r="T314" s="21" t="inlineStr">
        <is>
          <t>Ригели, балки, плита, С-1</t>
        </is>
      </c>
      <c r="U314" s="49" t="n">
        <v>0</v>
      </c>
      <c r="V314" s="72" t="inlineStr">
        <is>
          <t>П-сетка</t>
        </is>
      </c>
      <c r="W314" s="49" t="n">
        <v>1</v>
      </c>
    </row>
    <row r="315">
      <c r="A315" s="72" t="n">
        <v>306</v>
      </c>
      <c r="B315" s="21" t="inlineStr">
        <is>
          <t>1 этаж (отм. -0.050…+3.950)</t>
        </is>
      </c>
      <c r="C315" s="21" t="inlineStr">
        <is>
          <t>Плита перекрытия</t>
        </is>
      </c>
      <c r="D315" s="21" t="inlineStr">
        <is>
          <t>1–5 / А–Г</t>
        </is>
      </c>
      <c r="E315" s="21" t="inlineStr">
        <is>
          <t>ПМ-3.950</t>
        </is>
      </c>
      <c r="F315" s="72" t="inlineStr">
        <is>
          <t>ВX</t>
        </is>
      </c>
      <c r="G315" s="21" t="inlineStr">
        <is>
          <t>Верхняя осн. сетка, направление X (вдоль осей 1–5)</t>
        </is>
      </c>
      <c r="H315" s="51" t="n">
        <v>10</v>
      </c>
      <c r="I315" s="72" t="inlineStr">
        <is>
          <t>А500С</t>
        </is>
      </c>
      <c r="J315" s="72" t="n">
        <v>200</v>
      </c>
      <c r="K315" s="75" t="n">
        <v>1</v>
      </c>
      <c r="L315" s="51" t="n">
        <v>9</v>
      </c>
      <c r="M315" s="69" t="n">
        <v>7.95</v>
      </c>
      <c r="N315" s="70">
        <f>K315*L315*M315</f>
        <v/>
      </c>
      <c r="O315" s="37">
        <f>IFERROR(INDEX(Исходные!$B$19:$B$31,MATCH(H315,Исходные!$A$19:$A$31,0)),0)</f>
        <v/>
      </c>
      <c r="P315" s="76">
        <f>N315*O315</f>
        <v/>
      </c>
      <c r="Q315" s="21" t="inlineStr">
        <is>
          <t>АС-50/АС-51 «Осн. сетка Ø10 А500С ш.200×200»; контур — АС-47</t>
        </is>
      </c>
      <c r="R315" s="77" t="inlineStr">
        <is>
          <t>по геометрии чертежа</t>
        </is>
      </c>
      <c r="S315" s="21" t="inlineStr"/>
      <c r="T315" s="21" t="inlineStr">
        <is>
          <t>Ригели, балки, плита, С-1</t>
        </is>
      </c>
      <c r="U315" s="49" t="n">
        <v>0</v>
      </c>
      <c r="V315" s="72" t="inlineStr">
        <is>
          <t>П-сетка</t>
        </is>
      </c>
      <c r="W315" s="49" t="n">
        <v>1</v>
      </c>
    </row>
    <row r="316">
      <c r="A316" s="72" t="n">
        <v>307</v>
      </c>
      <c r="B316" s="21" t="inlineStr">
        <is>
          <t>1 этаж (отм. -0.050…+3.950)</t>
        </is>
      </c>
      <c r="C316" s="21" t="inlineStr">
        <is>
          <t>Плита перекрытия</t>
        </is>
      </c>
      <c r="D316" s="21" t="inlineStr">
        <is>
          <t>1–5 / А–Г</t>
        </is>
      </c>
      <c r="E316" s="21" t="inlineStr">
        <is>
          <t>ПМ-3.950</t>
        </is>
      </c>
      <c r="F316" s="72" t="inlineStr">
        <is>
          <t>ВX</t>
        </is>
      </c>
      <c r="G316" s="21" t="inlineStr">
        <is>
          <t>Верхняя осн. сетка, направление X (вдоль осей 1–5)</t>
        </is>
      </c>
      <c r="H316" s="51" t="n">
        <v>10</v>
      </c>
      <c r="I316" s="72" t="inlineStr">
        <is>
          <t>А500С</t>
        </is>
      </c>
      <c r="J316" s="72" t="n">
        <v>200</v>
      </c>
      <c r="K316" s="75" t="n">
        <v>1</v>
      </c>
      <c r="L316" s="51" t="n">
        <v>13</v>
      </c>
      <c r="M316" s="69" t="n">
        <v>6.9</v>
      </c>
      <c r="N316" s="70">
        <f>K316*L316*M316</f>
        <v/>
      </c>
      <c r="O316" s="37">
        <f>IFERROR(INDEX(Исходные!$B$19:$B$31,MATCH(H316,Исходные!$A$19:$A$31,0)),0)</f>
        <v/>
      </c>
      <c r="P316" s="76">
        <f>N316*O316</f>
        <v/>
      </c>
      <c r="Q316" s="21" t="inlineStr">
        <is>
          <t>АС-50/АС-51 «Осн. сетка Ø10 А500С ш.200×200»; контур — АС-47</t>
        </is>
      </c>
      <c r="R316" s="77" t="inlineStr">
        <is>
          <t>по геометрии чертежа</t>
        </is>
      </c>
      <c r="S316" s="21" t="inlineStr"/>
      <c r="T316" s="21" t="inlineStr">
        <is>
          <t>Ригели, балки, плита, С-1</t>
        </is>
      </c>
      <c r="U316" s="49" t="n">
        <v>0</v>
      </c>
      <c r="V316" s="72" t="inlineStr">
        <is>
          <t>П-сетка</t>
        </is>
      </c>
      <c r="W316" s="49" t="n">
        <v>1</v>
      </c>
    </row>
    <row r="317">
      <c r="A317" s="72" t="n">
        <v>308</v>
      </c>
      <c r="B317" s="21" t="inlineStr">
        <is>
          <t>1 этаж (отм. -0.050…+3.950)</t>
        </is>
      </c>
      <c r="C317" s="21" t="inlineStr">
        <is>
          <t>Плита перекрытия</t>
        </is>
      </c>
      <c r="D317" s="21" t="inlineStr">
        <is>
          <t>1–5 / А–Г</t>
        </is>
      </c>
      <c r="E317" s="21" t="inlineStr">
        <is>
          <t>ПМ-3.950</t>
        </is>
      </c>
      <c r="F317" s="72" t="inlineStr">
        <is>
          <t>ВX</t>
        </is>
      </c>
      <c r="G317" s="21" t="inlineStr">
        <is>
          <t>Верхняя осн. сетка, направление X (вдоль осей 1–5)</t>
        </is>
      </c>
      <c r="H317" s="51" t="n">
        <v>10</v>
      </c>
      <c r="I317" s="72" t="inlineStr">
        <is>
          <t>А500С</t>
        </is>
      </c>
      <c r="J317" s="72" t="n">
        <v>200</v>
      </c>
      <c r="K317" s="75" t="n">
        <v>1</v>
      </c>
      <c r="L317" s="51" t="n">
        <v>9</v>
      </c>
      <c r="M317" s="69" t="n">
        <v>3.78</v>
      </c>
      <c r="N317" s="70">
        <f>K317*L317*M317</f>
        <v/>
      </c>
      <c r="O317" s="37">
        <f>IFERROR(INDEX(Исходные!$B$19:$B$31,MATCH(H317,Исходные!$A$19:$A$31,0)),0)</f>
        <v/>
      </c>
      <c r="P317" s="76">
        <f>N317*O317</f>
        <v/>
      </c>
      <c r="Q317" s="21" t="inlineStr">
        <is>
          <t>АС-50/АС-51 «Осн. сетка Ø10 А500С ш.200×200»; контур — АС-47</t>
        </is>
      </c>
      <c r="R317" s="77" t="inlineStr">
        <is>
          <t>по геометрии чертежа</t>
        </is>
      </c>
      <c r="S317" s="21" t="inlineStr"/>
      <c r="T317" s="21" t="inlineStr">
        <is>
          <t>Ригели, балки, плита, С-1</t>
        </is>
      </c>
      <c r="U317" s="49" t="n">
        <v>0</v>
      </c>
      <c r="V317" s="72" t="inlineStr">
        <is>
          <t>П-сетка</t>
        </is>
      </c>
      <c r="W317" s="49" t="n">
        <v>1</v>
      </c>
    </row>
    <row r="318">
      <c r="A318" s="72" t="n">
        <v>309</v>
      </c>
      <c r="B318" s="21" t="inlineStr">
        <is>
          <t>1 этаж (отм. -0.050…+3.950)</t>
        </is>
      </c>
      <c r="C318" s="21" t="inlineStr">
        <is>
          <t>Плита перекрытия</t>
        </is>
      </c>
      <c r="D318" s="21" t="inlineStr">
        <is>
          <t>1–5 / А–Г</t>
        </is>
      </c>
      <c r="E318" s="21" t="inlineStr">
        <is>
          <t>ПМ-3.950</t>
        </is>
      </c>
      <c r="F318" s="72" t="inlineStr">
        <is>
          <t>ВY</t>
        </is>
      </c>
      <c r="G318" s="21" t="inlineStr">
        <is>
          <t>Верхняя осн. сетка, направление Y (вдоль осей А–Г)</t>
        </is>
      </c>
      <c r="H318" s="51" t="n">
        <v>10</v>
      </c>
      <c r="I318" s="72" t="inlineStr">
        <is>
          <t>А500С</t>
        </is>
      </c>
      <c r="J318" s="72" t="n">
        <v>200</v>
      </c>
      <c r="K318" s="75" t="n">
        <v>1</v>
      </c>
      <c r="L318" s="51" t="n">
        <v>40</v>
      </c>
      <c r="M318" s="69" t="n">
        <v>22.35</v>
      </c>
      <c r="N318" s="70">
        <f>K318*L318*M318</f>
        <v/>
      </c>
      <c r="O318" s="37">
        <f>IFERROR(INDEX(Исходные!$B$19:$B$31,MATCH(H318,Исходные!$A$19:$A$31,0)),0)</f>
        <v/>
      </c>
      <c r="P318" s="76">
        <f>N318*O318</f>
        <v/>
      </c>
      <c r="Q318" s="21" t="inlineStr">
        <is>
          <t>АС-50/АС-51 «Осн. сетка Ø10 А500С ш.200×200»; контур — АС-47</t>
        </is>
      </c>
      <c r="R318" s="77" t="inlineStr">
        <is>
          <t>по геометрии чертежа</t>
        </is>
      </c>
      <c r="S318" s="21" t="inlineStr"/>
      <c r="T318" s="21" t="inlineStr">
        <is>
          <t>Ригели, балки, плита, С-1</t>
        </is>
      </c>
      <c r="U318" s="49" t="n">
        <v>0</v>
      </c>
      <c r="V318" s="72" t="inlineStr">
        <is>
          <t>П-сетка</t>
        </is>
      </c>
      <c r="W318" s="49" t="n">
        <v>1</v>
      </c>
    </row>
    <row r="319">
      <c r="A319" s="72" t="n">
        <v>310</v>
      </c>
      <c r="B319" s="21" t="inlineStr">
        <is>
          <t>1 этаж (отм. -0.050…+3.950)</t>
        </is>
      </c>
      <c r="C319" s="21" t="inlineStr">
        <is>
          <t>Плита перекрытия</t>
        </is>
      </c>
      <c r="D319" s="21" t="inlineStr">
        <is>
          <t>1–5 / А–Г</t>
        </is>
      </c>
      <c r="E319" s="21" t="inlineStr">
        <is>
          <t>ПМ-3.950</t>
        </is>
      </c>
      <c r="F319" s="72" t="inlineStr">
        <is>
          <t>ВY-нахл</t>
        </is>
      </c>
      <c r="G319" s="21" t="inlineStr">
        <is>
          <t>Нахлёсты стыков к поз. «Верхняя осн. сетка, направление Y (вдоль осей А–Г)» (L=22.350 м &gt; 11,7 м): 2 куска, 1 стык(а) на стержень × 40 стерж.</t>
        </is>
      </c>
      <c r="H319" s="51" t="n">
        <v>10</v>
      </c>
      <c r="I319" s="72" t="inlineStr">
        <is>
          <t>А500С</t>
        </is>
      </c>
      <c r="J319" s="72" t="inlineStr">
        <is>
          <t>—</t>
        </is>
      </c>
      <c r="K319" s="75" t="n">
        <v>40</v>
      </c>
      <c r="L319" s="51" t="n">
        <v>1</v>
      </c>
      <c r="M319" s="69" t="n">
        <v>0.4</v>
      </c>
      <c r="N319" s="70">
        <f>K319*L319*M319</f>
        <v/>
      </c>
      <c r="O319" s="37">
        <f>IFERROR(INDEX(Исходные!$B$19:$B$31,MATCH(H319,Исходные!$A$19:$A$31,0)),0)</f>
        <v/>
      </c>
      <c r="P319" s="76">
        <f>N319*O319</f>
        <v/>
      </c>
      <c r="Q319" s="21" t="inlineStr">
        <is>
          <t>АС-58 «Деталь стыка арматуры армирования плиты»: нахлёст 400 мм для Ø10</t>
        </is>
      </c>
      <c r="R319" s="77" t="inlineStr">
        <is>
          <t>по проекту (стыковка прутков 11,7 м)</t>
        </is>
      </c>
      <c r="S319" s="21" t="inlineStr">
        <is>
          <t>Чистая длина 22.350 м; кусков 2; стыков 1; Lнахл=1×0.400=0.4 м на стержень</t>
        </is>
      </c>
      <c r="T319" s="21" t="inlineStr">
        <is>
          <t>Ригели, балки, плита, С-1</t>
        </is>
      </c>
      <c r="U319" s="49" t="n">
        <v>0</v>
      </c>
      <c r="V319" s="72" t="inlineStr">
        <is>
          <t>П-сетка</t>
        </is>
      </c>
      <c r="W319" s="49" t="n">
        <v>1</v>
      </c>
    </row>
    <row r="320">
      <c r="A320" s="72" t="n">
        <v>311</v>
      </c>
      <c r="B320" s="21" t="inlineStr">
        <is>
          <t>1 этаж (отм. -0.050…+3.950)</t>
        </is>
      </c>
      <c r="C320" s="21" t="inlineStr">
        <is>
          <t>Плита перекрытия</t>
        </is>
      </c>
      <c r="D320" s="21" t="inlineStr">
        <is>
          <t>1–5 / А–Г</t>
        </is>
      </c>
      <c r="E320" s="21" t="inlineStr">
        <is>
          <t>ПМ-3.950</t>
        </is>
      </c>
      <c r="F320" s="72" t="inlineStr">
        <is>
          <t>ВY</t>
        </is>
      </c>
      <c r="G320" s="21" t="inlineStr">
        <is>
          <t>Верхняя осн. сетка, направление Y (вдоль осей А–Г)</t>
        </is>
      </c>
      <c r="H320" s="51" t="n">
        <v>10</v>
      </c>
      <c r="I320" s="72" t="inlineStr">
        <is>
          <t>А500С</t>
        </is>
      </c>
      <c r="J320" s="72" t="n">
        <v>200</v>
      </c>
      <c r="K320" s="75" t="n">
        <v>1</v>
      </c>
      <c r="L320" s="51" t="n">
        <v>39</v>
      </c>
      <c r="M320" s="69" t="n">
        <v>20.62</v>
      </c>
      <c r="N320" s="70">
        <f>K320*L320*M320</f>
        <v/>
      </c>
      <c r="O320" s="37">
        <f>IFERROR(INDEX(Исходные!$B$19:$B$31,MATCH(H320,Исходные!$A$19:$A$31,0)),0)</f>
        <v/>
      </c>
      <c r="P320" s="76">
        <f>N320*O320</f>
        <v/>
      </c>
      <c r="Q320" s="21" t="inlineStr">
        <is>
          <t>АС-50/АС-51 «Осн. сетка Ø10 А500С ш.200×200»; контур — АС-47</t>
        </is>
      </c>
      <c r="R320" s="77" t="inlineStr">
        <is>
          <t>по геометрии чертежа</t>
        </is>
      </c>
      <c r="S320" s="21" t="inlineStr"/>
      <c r="T320" s="21" t="inlineStr">
        <is>
          <t>Ригели, балки, плита, С-1</t>
        </is>
      </c>
      <c r="U320" s="49" t="n">
        <v>0</v>
      </c>
      <c r="V320" s="72" t="inlineStr">
        <is>
          <t>П-сетка</t>
        </is>
      </c>
      <c r="W320" s="49" t="n">
        <v>1</v>
      </c>
    </row>
    <row r="321">
      <c r="A321" s="72" t="n">
        <v>312</v>
      </c>
      <c r="B321" s="21" t="inlineStr">
        <is>
          <t>1 этаж (отм. -0.050…+3.950)</t>
        </is>
      </c>
      <c r="C321" s="21" t="inlineStr">
        <is>
          <t>Плита перекрытия</t>
        </is>
      </c>
      <c r="D321" s="21" t="inlineStr">
        <is>
          <t>1–5 / А–Г</t>
        </is>
      </c>
      <c r="E321" s="21" t="inlineStr">
        <is>
          <t>ПМ-3.950</t>
        </is>
      </c>
      <c r="F321" s="72" t="inlineStr">
        <is>
          <t>ВY-нахл</t>
        </is>
      </c>
      <c r="G321" s="21" t="inlineStr">
        <is>
          <t>Нахлёсты стыков к поз. «Верхняя осн. сетка, направление Y (вдоль осей А–Г)» (L=20.620 м &gt; 11,7 м): 2 куска, 1 стык(а) на стержень × 39 стерж.</t>
        </is>
      </c>
      <c r="H321" s="51" t="n">
        <v>10</v>
      </c>
      <c r="I321" s="72" t="inlineStr">
        <is>
          <t>А500С</t>
        </is>
      </c>
      <c r="J321" s="72" t="inlineStr">
        <is>
          <t>—</t>
        </is>
      </c>
      <c r="K321" s="75" t="n">
        <v>39</v>
      </c>
      <c r="L321" s="51" t="n">
        <v>1</v>
      </c>
      <c r="M321" s="69" t="n">
        <v>0.4</v>
      </c>
      <c r="N321" s="70">
        <f>K321*L321*M321</f>
        <v/>
      </c>
      <c r="O321" s="37">
        <f>IFERROR(INDEX(Исходные!$B$19:$B$31,MATCH(H321,Исходные!$A$19:$A$31,0)),0)</f>
        <v/>
      </c>
      <c r="P321" s="76">
        <f>N321*O321</f>
        <v/>
      </c>
      <c r="Q321" s="21" t="inlineStr">
        <is>
          <t>АС-58 «Деталь стыка арматуры армирования плиты»: нахлёст 400 мм для Ø10</t>
        </is>
      </c>
      <c r="R321" s="77" t="inlineStr">
        <is>
          <t>по проекту (стыковка прутков 11,7 м)</t>
        </is>
      </c>
      <c r="S321" s="21" t="inlineStr">
        <is>
          <t>Чистая длина 20.620 м; кусков 2; стыков 1; Lнахл=1×0.400=0.4 м на стержень</t>
        </is>
      </c>
      <c r="T321" s="21" t="inlineStr">
        <is>
          <t>Ригели, балки, плита, С-1</t>
        </is>
      </c>
      <c r="U321" s="49" t="n">
        <v>0</v>
      </c>
      <c r="V321" s="72" t="inlineStr">
        <is>
          <t>П-сетка</t>
        </is>
      </c>
      <c r="W321" s="49" t="n">
        <v>1</v>
      </c>
    </row>
    <row r="322">
      <c r="A322" s="72" t="n">
        <v>313</v>
      </c>
      <c r="B322" s="21" t="inlineStr">
        <is>
          <t>1 этаж (отм. -0.050…+3.950)</t>
        </is>
      </c>
      <c r="C322" s="21" t="inlineStr">
        <is>
          <t>Плита перекрытия</t>
        </is>
      </c>
      <c r="D322" s="21" t="inlineStr">
        <is>
          <t>1–5 / А–Г</t>
        </is>
      </c>
      <c r="E322" s="21" t="inlineStr">
        <is>
          <t>ПМ-3.950</t>
        </is>
      </c>
      <c r="F322" s="72" t="inlineStr">
        <is>
          <t>ВY</t>
        </is>
      </c>
      <c r="G322" s="21" t="inlineStr">
        <is>
          <t>Верхняя осн. сетка, направление Y (вдоль осей А–Г)</t>
        </is>
      </c>
      <c r="H322" s="51" t="n">
        <v>10</v>
      </c>
      <c r="I322" s="72" t="inlineStr">
        <is>
          <t>А500С</t>
        </is>
      </c>
      <c r="J322" s="72" t="n">
        <v>200</v>
      </c>
      <c r="K322" s="75" t="n">
        <v>1</v>
      </c>
      <c r="L322" s="51" t="n">
        <v>26</v>
      </c>
      <c r="M322" s="69" t="n">
        <v>20.48</v>
      </c>
      <c r="N322" s="70">
        <f>K322*L322*M322</f>
        <v/>
      </c>
      <c r="O322" s="37">
        <f>IFERROR(INDEX(Исходные!$B$19:$B$31,MATCH(H322,Исходные!$A$19:$A$31,0)),0)</f>
        <v/>
      </c>
      <c r="P322" s="76">
        <f>N322*O322</f>
        <v/>
      </c>
      <c r="Q322" s="21" t="inlineStr">
        <is>
          <t>АС-50/АС-51 «Осн. сетка Ø10 А500С ш.200×200»; контур — АС-47</t>
        </is>
      </c>
      <c r="R322" s="77" t="inlineStr">
        <is>
          <t>по геометрии чертежа</t>
        </is>
      </c>
      <c r="S322" s="21" t="inlineStr"/>
      <c r="T322" s="21" t="inlineStr">
        <is>
          <t>Ригели, балки, плита, С-1</t>
        </is>
      </c>
      <c r="U322" s="49" t="n">
        <v>0</v>
      </c>
      <c r="V322" s="72" t="inlineStr">
        <is>
          <t>П-сетка</t>
        </is>
      </c>
      <c r="W322" s="49" t="n">
        <v>1</v>
      </c>
    </row>
    <row r="323">
      <c r="A323" s="72" t="n">
        <v>314</v>
      </c>
      <c r="B323" s="21" t="inlineStr">
        <is>
          <t>1 этаж (отм. -0.050…+3.950)</t>
        </is>
      </c>
      <c r="C323" s="21" t="inlineStr">
        <is>
          <t>Плита перекрытия</t>
        </is>
      </c>
      <c r="D323" s="21" t="inlineStr">
        <is>
          <t>1–5 / А–Г</t>
        </is>
      </c>
      <c r="E323" s="21" t="inlineStr">
        <is>
          <t>ПМ-3.950</t>
        </is>
      </c>
      <c r="F323" s="72" t="inlineStr">
        <is>
          <t>ВY-нахл</t>
        </is>
      </c>
      <c r="G323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323" s="51" t="n">
        <v>10</v>
      </c>
      <c r="I323" s="72" t="inlineStr">
        <is>
          <t>А500С</t>
        </is>
      </c>
      <c r="J323" s="72" t="inlineStr">
        <is>
          <t>—</t>
        </is>
      </c>
      <c r="K323" s="75" t="n">
        <v>26</v>
      </c>
      <c r="L323" s="51" t="n">
        <v>1</v>
      </c>
      <c r="M323" s="69" t="n">
        <v>0.4</v>
      </c>
      <c r="N323" s="70">
        <f>K323*L323*M323</f>
        <v/>
      </c>
      <c r="O323" s="37">
        <f>IFERROR(INDEX(Исходные!$B$19:$B$31,MATCH(H323,Исходные!$A$19:$A$31,0)),0)</f>
        <v/>
      </c>
      <c r="P323" s="76">
        <f>N323*O323</f>
        <v/>
      </c>
      <c r="Q323" s="21" t="inlineStr">
        <is>
          <t>АС-58 «Деталь стыка арматуры армирования плиты»: нахлёст 400 мм для Ø10</t>
        </is>
      </c>
      <c r="R323" s="77" t="inlineStr">
        <is>
          <t>по проекту (стыковка прутков 11,7 м)</t>
        </is>
      </c>
      <c r="S323" s="21" t="inlineStr">
        <is>
          <t>Чистая длина 20.480 м; кусков 2; стыков 1; Lнахл=1×0.400=0.4 м на стержень</t>
        </is>
      </c>
      <c r="T323" s="21" t="inlineStr">
        <is>
          <t>Ригели, балки, плита, С-1</t>
        </is>
      </c>
      <c r="U323" s="49" t="n">
        <v>0</v>
      </c>
      <c r="V323" s="72" t="inlineStr">
        <is>
          <t>П-сетка</t>
        </is>
      </c>
      <c r="W323" s="49" t="n">
        <v>1</v>
      </c>
    </row>
    <row r="324">
      <c r="A324" s="72" t="n">
        <v>315</v>
      </c>
      <c r="B324" s="21" t="inlineStr">
        <is>
          <t>1 этаж (отм. -0.050…+3.950)</t>
        </is>
      </c>
      <c r="C324" s="21" t="inlineStr">
        <is>
          <t>Плита перекрытия</t>
        </is>
      </c>
      <c r="D324" s="21" t="inlineStr">
        <is>
          <t>1–5 / А–Г</t>
        </is>
      </c>
      <c r="E324" s="21" t="inlineStr">
        <is>
          <t>ПМ-3.950</t>
        </is>
      </c>
      <c r="F324" s="72" t="inlineStr">
        <is>
          <t>ВY</t>
        </is>
      </c>
      <c r="G324" s="21" t="inlineStr">
        <is>
          <t>Верхняя осн. сетка, направление Y (вдоль осей А–Г)</t>
        </is>
      </c>
      <c r="H324" s="51" t="n">
        <v>10</v>
      </c>
      <c r="I324" s="72" t="inlineStr">
        <is>
          <t>А500С</t>
        </is>
      </c>
      <c r="J324" s="72" t="n">
        <v>200</v>
      </c>
      <c r="K324" s="75" t="n">
        <v>1</v>
      </c>
      <c r="L324" s="51" t="n">
        <v>2</v>
      </c>
      <c r="M324" s="69" t="n">
        <v>19.01</v>
      </c>
      <c r="N324" s="70">
        <f>K324*L324*M324</f>
        <v/>
      </c>
      <c r="O324" s="37">
        <f>IFERROR(INDEX(Исходные!$B$19:$B$31,MATCH(H324,Исходные!$A$19:$A$31,0)),0)</f>
        <v/>
      </c>
      <c r="P324" s="76">
        <f>N324*O324</f>
        <v/>
      </c>
      <c r="Q324" s="21" t="inlineStr">
        <is>
          <t>АС-50/АС-51 «Осн. сетка Ø10 А500С ш.200×200»; контур — АС-47</t>
        </is>
      </c>
      <c r="R324" s="77" t="inlineStr">
        <is>
          <t>по геометрии чертежа</t>
        </is>
      </c>
      <c r="S324" s="21" t="inlineStr"/>
      <c r="T324" s="21" t="inlineStr">
        <is>
          <t>Ригели, балки, плита, С-1</t>
        </is>
      </c>
      <c r="U324" s="49" t="n">
        <v>0</v>
      </c>
      <c r="V324" s="72" t="inlineStr">
        <is>
          <t>П-сетка</t>
        </is>
      </c>
      <c r="W324" s="49" t="n">
        <v>1</v>
      </c>
    </row>
    <row r="325">
      <c r="A325" s="72" t="n">
        <v>316</v>
      </c>
      <c r="B325" s="21" t="inlineStr">
        <is>
          <t>1 этаж (отм. -0.050…+3.950)</t>
        </is>
      </c>
      <c r="C325" s="21" t="inlineStr">
        <is>
          <t>Плита перекрытия</t>
        </is>
      </c>
      <c r="D325" s="21" t="inlineStr">
        <is>
          <t>1–5 / А–Г</t>
        </is>
      </c>
      <c r="E325" s="21" t="inlineStr">
        <is>
          <t>ПМ-3.950</t>
        </is>
      </c>
      <c r="F325" s="72" t="inlineStr">
        <is>
          <t>ВY-нахл</t>
        </is>
      </c>
      <c r="G325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325" s="51" t="n">
        <v>10</v>
      </c>
      <c r="I325" s="72" t="inlineStr">
        <is>
          <t>А500С</t>
        </is>
      </c>
      <c r="J325" s="72" t="inlineStr">
        <is>
          <t>—</t>
        </is>
      </c>
      <c r="K325" s="75" t="n">
        <v>2</v>
      </c>
      <c r="L325" s="51" t="n">
        <v>1</v>
      </c>
      <c r="M325" s="69" t="n">
        <v>0.4</v>
      </c>
      <c r="N325" s="70">
        <f>K325*L325*M325</f>
        <v/>
      </c>
      <c r="O325" s="37">
        <f>IFERROR(INDEX(Исходные!$B$19:$B$31,MATCH(H325,Исходные!$A$19:$A$31,0)),0)</f>
        <v/>
      </c>
      <c r="P325" s="76">
        <f>N325*O325</f>
        <v/>
      </c>
      <c r="Q325" s="21" t="inlineStr">
        <is>
          <t>АС-58 «Деталь стыка арматуры армирования плиты»: нахлёст 400 мм для Ø10</t>
        </is>
      </c>
      <c r="R325" s="77" t="inlineStr">
        <is>
          <t>по проекту (стыковка прутков 11,7 м)</t>
        </is>
      </c>
      <c r="S325" s="21" t="inlineStr">
        <is>
          <t>Чистая длина 19.010 м; кусков 2; стыков 1; Lнахл=1×0.400=0.4 м на стержень</t>
        </is>
      </c>
      <c r="T325" s="21" t="inlineStr">
        <is>
          <t>Ригели, балки, плита, С-1</t>
        </is>
      </c>
      <c r="U325" s="49" t="n">
        <v>0</v>
      </c>
      <c r="V325" s="72" t="inlineStr">
        <is>
          <t>П-сетка</t>
        </is>
      </c>
      <c r="W325" s="49" t="n">
        <v>1</v>
      </c>
    </row>
    <row r="326">
      <c r="A326" s="72" t="n">
        <v>317</v>
      </c>
      <c r="B326" s="21" t="inlineStr">
        <is>
          <t>1 этаж (отм. -0.050…+3.950)</t>
        </is>
      </c>
      <c r="C326" s="21" t="inlineStr">
        <is>
          <t>Плита перекрытия</t>
        </is>
      </c>
      <c r="D326" s="21" t="inlineStr">
        <is>
          <t>1–5 / А–Г</t>
        </is>
      </c>
      <c r="E326" s="21" t="inlineStr">
        <is>
          <t>ПМ-3.950</t>
        </is>
      </c>
      <c r="F326" s="72" t="inlineStr">
        <is>
          <t>ВY</t>
        </is>
      </c>
      <c r="G326" s="21" t="inlineStr">
        <is>
          <t>Верхняя осн. сетка, направление Y (вдоль осей А–Г)</t>
        </is>
      </c>
      <c r="H326" s="51" t="n">
        <v>10</v>
      </c>
      <c r="I326" s="72" t="inlineStr">
        <is>
          <t>А500С</t>
        </is>
      </c>
      <c r="J326" s="72" t="n">
        <v>200</v>
      </c>
      <c r="K326" s="75" t="n">
        <v>1</v>
      </c>
      <c r="L326" s="51" t="n">
        <v>5</v>
      </c>
      <c r="M326" s="69" t="n">
        <v>17.28</v>
      </c>
      <c r="N326" s="70">
        <f>K326*L326*M326</f>
        <v/>
      </c>
      <c r="O326" s="37">
        <f>IFERROR(INDEX(Исходные!$B$19:$B$31,MATCH(H326,Исходные!$A$19:$A$31,0)),0)</f>
        <v/>
      </c>
      <c r="P326" s="76">
        <f>N326*O326</f>
        <v/>
      </c>
      <c r="Q326" s="21" t="inlineStr">
        <is>
          <t>АС-50/АС-51 «Осн. сетка Ø10 А500С ш.200×200»; контур — АС-47</t>
        </is>
      </c>
      <c r="R326" s="77" t="inlineStr">
        <is>
          <t>по геометрии чертежа</t>
        </is>
      </c>
      <c r="S326" s="21" t="inlineStr"/>
      <c r="T326" s="21" t="inlineStr">
        <is>
          <t>Ригели, балки, плита, С-1</t>
        </is>
      </c>
      <c r="U326" s="49" t="n">
        <v>0</v>
      </c>
      <c r="V326" s="72" t="inlineStr">
        <is>
          <t>П-сетка</t>
        </is>
      </c>
      <c r="W326" s="49" t="n">
        <v>1</v>
      </c>
    </row>
    <row r="327">
      <c r="A327" s="72" t="n">
        <v>318</v>
      </c>
      <c r="B327" s="21" t="inlineStr">
        <is>
          <t>1 этаж (отм. -0.050…+3.950)</t>
        </is>
      </c>
      <c r="C327" s="21" t="inlineStr">
        <is>
          <t>Плита перекрытия</t>
        </is>
      </c>
      <c r="D327" s="21" t="inlineStr">
        <is>
          <t>1–5 / А–Г</t>
        </is>
      </c>
      <c r="E327" s="21" t="inlineStr">
        <is>
          <t>ПМ-3.950</t>
        </is>
      </c>
      <c r="F327" s="72" t="inlineStr">
        <is>
          <t>ВY-нахл</t>
        </is>
      </c>
      <c r="G327" s="21" t="inlineStr">
        <is>
          <t>Нахлёсты стыков к поз. «Верхняя осн. сетка, направление Y (вдоль осей А–Г)» (L=17.280 м &gt; 11,7 м): 2 куска, 1 стык(а) на стержень × 5 стерж.</t>
        </is>
      </c>
      <c r="H327" s="51" t="n">
        <v>10</v>
      </c>
      <c r="I327" s="72" t="inlineStr">
        <is>
          <t>А500С</t>
        </is>
      </c>
      <c r="J327" s="72" t="inlineStr">
        <is>
          <t>—</t>
        </is>
      </c>
      <c r="K327" s="75" t="n">
        <v>5</v>
      </c>
      <c r="L327" s="51" t="n">
        <v>1</v>
      </c>
      <c r="M327" s="69" t="n">
        <v>0.4</v>
      </c>
      <c r="N327" s="70">
        <f>K327*L327*M327</f>
        <v/>
      </c>
      <c r="O327" s="37">
        <f>IFERROR(INDEX(Исходные!$B$19:$B$31,MATCH(H327,Исходные!$A$19:$A$31,0)),0)</f>
        <v/>
      </c>
      <c r="P327" s="76">
        <f>N327*O327</f>
        <v/>
      </c>
      <c r="Q327" s="21" t="inlineStr">
        <is>
          <t>АС-58 «Деталь стыка арматуры армирования плиты»: нахлёст 400 мм для Ø10</t>
        </is>
      </c>
      <c r="R327" s="77" t="inlineStr">
        <is>
          <t>по проекту (стыковка прутков 11,7 м)</t>
        </is>
      </c>
      <c r="S327" s="21" t="inlineStr">
        <is>
          <t>Чистая длина 17.280 м; кусков 2; стыков 1; Lнахл=1×0.400=0.4 м на стержень</t>
        </is>
      </c>
      <c r="T327" s="21" t="inlineStr">
        <is>
          <t>Ригели, балки, плита, С-1</t>
        </is>
      </c>
      <c r="U327" s="49" t="n">
        <v>0</v>
      </c>
      <c r="V327" s="72" t="inlineStr">
        <is>
          <t>П-сетка</t>
        </is>
      </c>
      <c r="W327" s="49" t="n">
        <v>1</v>
      </c>
    </row>
    <row r="328">
      <c r="A328" s="72" t="n">
        <v>319</v>
      </c>
      <c r="B328" s="21" t="inlineStr">
        <is>
          <t>1 этаж (отм. -0.050…+3.950)</t>
        </is>
      </c>
      <c r="C328" s="21" t="inlineStr">
        <is>
          <t>Плита перекрытия</t>
        </is>
      </c>
      <c r="D328" s="21" t="inlineStr">
        <is>
          <t>1–5 / А–Г</t>
        </is>
      </c>
      <c r="E328" s="21" t="inlineStr">
        <is>
          <t>ПМ-3.950</t>
        </is>
      </c>
      <c r="F328" s="72" t="inlineStr">
        <is>
          <t>ВY</t>
        </is>
      </c>
      <c r="G328" s="21" t="inlineStr">
        <is>
          <t>Верхняя осн. сетка, направление Y (вдоль осей А–Г)</t>
        </is>
      </c>
      <c r="H328" s="51" t="n">
        <v>10</v>
      </c>
      <c r="I328" s="72" t="inlineStr">
        <is>
          <t>А500С</t>
        </is>
      </c>
      <c r="J328" s="72" t="n">
        <v>200</v>
      </c>
      <c r="K328" s="75" t="n">
        <v>1</v>
      </c>
      <c r="L328" s="51" t="n">
        <v>17</v>
      </c>
      <c r="M328" s="69" t="n">
        <v>15.6</v>
      </c>
      <c r="N328" s="70">
        <f>K328*L328*M328</f>
        <v/>
      </c>
      <c r="O328" s="37">
        <f>IFERROR(INDEX(Исходные!$B$19:$B$31,MATCH(H328,Исходные!$A$19:$A$31,0)),0)</f>
        <v/>
      </c>
      <c r="P328" s="76">
        <f>N328*O328</f>
        <v/>
      </c>
      <c r="Q328" s="21" t="inlineStr">
        <is>
          <t>АС-50/АС-51 «Осн. сетка Ø10 А500С ш.200×200»; контур — АС-47</t>
        </is>
      </c>
      <c r="R328" s="77" t="inlineStr">
        <is>
          <t>по геометрии чертежа</t>
        </is>
      </c>
      <c r="S328" s="21" t="inlineStr"/>
      <c r="T328" s="21" t="inlineStr">
        <is>
          <t>Ригели, балки, плита, С-1</t>
        </is>
      </c>
      <c r="U328" s="49" t="n">
        <v>0</v>
      </c>
      <c r="V328" s="72" t="inlineStr">
        <is>
          <t>П-сетка</t>
        </is>
      </c>
      <c r="W328" s="49" t="n">
        <v>1</v>
      </c>
    </row>
    <row r="329">
      <c r="A329" s="72" t="n">
        <v>320</v>
      </c>
      <c r="B329" s="21" t="inlineStr">
        <is>
          <t>1 этаж (отм. -0.050…+3.950)</t>
        </is>
      </c>
      <c r="C329" s="21" t="inlineStr">
        <is>
          <t>Плита перекрытия</t>
        </is>
      </c>
      <c r="D329" s="21" t="inlineStr">
        <is>
          <t>1–5 / А–Г</t>
        </is>
      </c>
      <c r="E329" s="21" t="inlineStr">
        <is>
          <t>ПМ-3.950</t>
        </is>
      </c>
      <c r="F329" s="72" t="inlineStr">
        <is>
          <t>ВY-нахл</t>
        </is>
      </c>
      <c r="G329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329" s="51" t="n">
        <v>10</v>
      </c>
      <c r="I329" s="72" t="inlineStr">
        <is>
          <t>А500С</t>
        </is>
      </c>
      <c r="J329" s="72" t="inlineStr">
        <is>
          <t>—</t>
        </is>
      </c>
      <c r="K329" s="75" t="n">
        <v>17</v>
      </c>
      <c r="L329" s="51" t="n">
        <v>1</v>
      </c>
      <c r="M329" s="69" t="n">
        <v>0.4</v>
      </c>
      <c r="N329" s="70">
        <f>K329*L329*M329</f>
        <v/>
      </c>
      <c r="O329" s="37">
        <f>IFERROR(INDEX(Исходные!$B$19:$B$31,MATCH(H329,Исходные!$A$19:$A$31,0)),0)</f>
        <v/>
      </c>
      <c r="P329" s="76">
        <f>N329*O329</f>
        <v/>
      </c>
      <c r="Q329" s="21" t="inlineStr">
        <is>
          <t>АС-58 «Деталь стыка арматуры армирования плиты»: нахлёст 400 мм для Ø10</t>
        </is>
      </c>
      <c r="R329" s="77" t="inlineStr">
        <is>
          <t>по проекту (стыковка прутков 11,7 м)</t>
        </is>
      </c>
      <c r="S329" s="21" t="inlineStr">
        <is>
          <t>Чистая длина 15.600 м; кусков 2; стыков 1; Lнахл=1×0.400=0.4 м на стержень</t>
        </is>
      </c>
      <c r="T329" s="21" t="inlineStr">
        <is>
          <t>Ригели, балки, плита, С-1</t>
        </is>
      </c>
      <c r="U329" s="49" t="n">
        <v>0</v>
      </c>
      <c r="V329" s="72" t="inlineStr">
        <is>
          <t>П-сетка</t>
        </is>
      </c>
      <c r="W329" s="49" t="n">
        <v>1</v>
      </c>
    </row>
    <row r="330">
      <c r="A330" s="72" t="n">
        <v>321</v>
      </c>
      <c r="B330" s="21" t="inlineStr">
        <is>
          <t>1 этаж (отм. -0.050…+3.950)</t>
        </is>
      </c>
      <c r="C330" s="21" t="inlineStr">
        <is>
          <t>Плита перекрытия</t>
        </is>
      </c>
      <c r="D330" s="21" t="inlineStr">
        <is>
          <t>1–5 / А–Г</t>
        </is>
      </c>
      <c r="E330" s="21" t="inlineStr">
        <is>
          <t>ПМ-3.950</t>
        </is>
      </c>
      <c r="F330" s="72" t="inlineStr">
        <is>
          <t>ВY</t>
        </is>
      </c>
      <c r="G330" s="21" t="inlineStr">
        <is>
          <t>Верхняя осн. сетка, направление Y (вдоль осей А–Г)</t>
        </is>
      </c>
      <c r="H330" s="51" t="n">
        <v>10</v>
      </c>
      <c r="I330" s="72" t="inlineStr">
        <is>
          <t>А500С</t>
        </is>
      </c>
      <c r="J330" s="72" t="n">
        <v>200</v>
      </c>
      <c r="K330" s="75" t="n">
        <v>1</v>
      </c>
      <c r="L330" s="51" t="n">
        <v>18</v>
      </c>
      <c r="M330" s="69" t="n">
        <v>4.15</v>
      </c>
      <c r="N330" s="70">
        <f>K330*L330*M330</f>
        <v/>
      </c>
      <c r="O330" s="37">
        <f>IFERROR(INDEX(Исходные!$B$19:$B$31,MATCH(H330,Исходные!$A$19:$A$31,0)),0)</f>
        <v/>
      </c>
      <c r="P330" s="76">
        <f>N330*O330</f>
        <v/>
      </c>
      <c r="Q330" s="21" t="inlineStr">
        <is>
          <t>АС-50/АС-51 «Осн. сетка Ø10 А500С ш.200×200»; контур — АС-47</t>
        </is>
      </c>
      <c r="R330" s="77" t="inlineStr">
        <is>
          <t>по геометрии чертежа</t>
        </is>
      </c>
      <c r="S330" s="21" t="inlineStr"/>
      <c r="T330" s="21" t="inlineStr">
        <is>
          <t>Ригели, балки, плита, С-1</t>
        </is>
      </c>
      <c r="U330" s="49" t="n">
        <v>0</v>
      </c>
      <c r="V330" s="72" t="inlineStr">
        <is>
          <t>П-сетка</t>
        </is>
      </c>
      <c r="W330" s="49" t="n">
        <v>1</v>
      </c>
    </row>
    <row r="331">
      <c r="A331" s="72" t="n">
        <v>322</v>
      </c>
      <c r="B331" s="21" t="inlineStr">
        <is>
          <t>1 этаж (отм. -0.050…+3.950)</t>
        </is>
      </c>
      <c r="C331" s="21" t="inlineStr">
        <is>
          <t>Плита перекрытия</t>
        </is>
      </c>
      <c r="D331" s="21" t="inlineStr">
        <is>
          <t>1–5 / А–Г</t>
        </is>
      </c>
      <c r="E331" s="21" t="inlineStr">
        <is>
          <t>ПМ-3.950</t>
        </is>
      </c>
      <c r="F331" s="72" t="inlineStr">
        <is>
          <t>ВY</t>
        </is>
      </c>
      <c r="G331" s="21" t="inlineStr">
        <is>
          <t>Верхняя осн. сетка, направление Y (вдоль осей А–Г)</t>
        </is>
      </c>
      <c r="H331" s="51" t="n">
        <v>10</v>
      </c>
      <c r="I331" s="72" t="inlineStr">
        <is>
          <t>А500С</t>
        </is>
      </c>
      <c r="J331" s="72" t="n">
        <v>200</v>
      </c>
      <c r="K331" s="75" t="n">
        <v>1</v>
      </c>
      <c r="L331" s="51" t="n">
        <v>24</v>
      </c>
      <c r="M331" s="69" t="n">
        <v>0.62</v>
      </c>
      <c r="N331" s="70">
        <f>K331*L331*M331</f>
        <v/>
      </c>
      <c r="O331" s="37">
        <f>IFERROR(INDEX(Исходные!$B$19:$B$31,MATCH(H331,Исходные!$A$19:$A$31,0)),0)</f>
        <v/>
      </c>
      <c r="P331" s="76">
        <f>N331*O331</f>
        <v/>
      </c>
      <c r="Q331" s="21" t="inlineStr">
        <is>
          <t>АС-50/АС-51 «Осн. сетка Ø10 А500С ш.200×200»; контур — АС-47</t>
        </is>
      </c>
      <c r="R331" s="77" t="inlineStr">
        <is>
          <t>по геометрии чертежа</t>
        </is>
      </c>
      <c r="S331" s="21" t="inlineStr"/>
      <c r="T331" s="21" t="inlineStr">
        <is>
          <t>Ригели, балки, плита, С-1</t>
        </is>
      </c>
      <c r="U331" s="49" t="n">
        <v>0</v>
      </c>
      <c r="V331" s="72" t="inlineStr">
        <is>
          <t>П-сетка</t>
        </is>
      </c>
      <c r="W331" s="49" t="n">
        <v>1</v>
      </c>
    </row>
    <row r="332">
      <c r="A332" s="72" t="n">
        <v>323</v>
      </c>
      <c r="B332" s="21" t="inlineStr">
        <is>
          <t>1 этаж (отм. -0.050…+3.950)</t>
        </is>
      </c>
      <c r="C332" s="21" t="inlineStr">
        <is>
          <t>Плита перекрытия</t>
        </is>
      </c>
      <c r="D332" s="21" t="inlineStr">
        <is>
          <t>см. описание</t>
        </is>
      </c>
      <c r="E332" s="21" t="inlineStr">
        <is>
          <t>ПМ-3.950</t>
        </is>
      </c>
      <c r="F332" s="72" t="inlineStr">
        <is>
          <t>дн</t>
        </is>
      </c>
      <c r="G332" s="21" t="inlineStr">
        <is>
          <t>Доп. нижние, зона оси 2–3 / Б–В, вдоль X (7500…12550)</t>
        </is>
      </c>
      <c r="H332" s="51" t="n">
        <v>10</v>
      </c>
      <c r="I332" s="72" t="inlineStr">
        <is>
          <t>А500С</t>
        </is>
      </c>
      <c r="J332" s="72" t="n">
        <v>200</v>
      </c>
      <c r="K332" s="75" t="n">
        <v>1</v>
      </c>
      <c r="L332" s="51" t="n">
        <v>22</v>
      </c>
      <c r="M332" s="69" t="n">
        <v>5.05</v>
      </c>
      <c r="N332" s="70">
        <f>K332*L332*M332</f>
        <v/>
      </c>
      <c r="O332" s="37">
        <f>IFERROR(INDEX(Исходные!$B$19:$B$31,MATCH(H332,Исходные!$A$19:$A$31,0)),0)</f>
        <v/>
      </c>
      <c r="P332" s="76">
        <f>N332*O332</f>
        <v/>
      </c>
      <c r="Q332" s="21" t="inlineStr">
        <is>
          <t>АС-50 + прим. «неуказанные доп. стержни Ø10 А500С ш.200»</t>
        </is>
      </c>
      <c r="R332" s="77" t="inlineStr">
        <is>
          <t>по проекту</t>
        </is>
      </c>
      <c r="S332" s="21" t="inlineStr"/>
      <c r="T332" s="21" t="inlineStr">
        <is>
          <t>Ригели, балки, плита, С-1</t>
        </is>
      </c>
      <c r="U332" s="49" t="n">
        <v>0</v>
      </c>
      <c r="V332" s="72" t="inlineStr">
        <is>
          <t>П-доп-низ</t>
        </is>
      </c>
      <c r="W332" s="49" t="n">
        <v>1</v>
      </c>
    </row>
    <row r="333">
      <c r="A333" s="72" t="n">
        <v>324</v>
      </c>
      <c r="B333" s="21" t="inlineStr">
        <is>
          <t>1 этаж (отм. -0.050…+3.950)</t>
        </is>
      </c>
      <c r="C333" s="21" t="inlineStr">
        <is>
          <t>Плита перекрытия</t>
        </is>
      </c>
      <c r="D333" s="21" t="inlineStr">
        <is>
          <t>см. описание</t>
        </is>
      </c>
      <c r="E333" s="21" t="inlineStr">
        <is>
          <t>ПМ-3.950</t>
        </is>
      </c>
      <c r="F333" s="72" t="inlineStr">
        <is>
          <t>дн</t>
        </is>
      </c>
      <c r="G333" s="21" t="inlineStr">
        <is>
          <t>Доп. нижние, зона оси 2–3 / Б–В, вдоль Y (8000…12500)</t>
        </is>
      </c>
      <c r="H333" s="51" t="n">
        <v>10</v>
      </c>
      <c r="I333" s="72" t="inlineStr">
        <is>
          <t>А500С</t>
        </is>
      </c>
      <c r="J333" s="72" t="n">
        <v>200</v>
      </c>
      <c r="K333" s="75" t="n">
        <v>1</v>
      </c>
      <c r="L333" s="51" t="n">
        <v>25</v>
      </c>
      <c r="M333" s="69" t="n">
        <v>4.5</v>
      </c>
      <c r="N333" s="70">
        <f>K333*L333*M333</f>
        <v/>
      </c>
      <c r="O333" s="37">
        <f>IFERROR(INDEX(Исходные!$B$19:$B$31,MATCH(H333,Исходные!$A$19:$A$31,0)),0)</f>
        <v/>
      </c>
      <c r="P333" s="76">
        <f>N333*O333</f>
        <v/>
      </c>
      <c r="Q333" s="21" t="inlineStr">
        <is>
          <t>АС-50 + прим. «неуказанные доп. стержни Ø10 А500С ш.200»</t>
        </is>
      </c>
      <c r="R333" s="77" t="inlineStr">
        <is>
          <t>по проекту</t>
        </is>
      </c>
      <c r="S333" s="21" t="inlineStr"/>
      <c r="T333" s="21" t="inlineStr">
        <is>
          <t>Ригели, балки, плита, С-1</t>
        </is>
      </c>
      <c r="U333" s="49" t="n">
        <v>0</v>
      </c>
      <c r="V333" s="72" t="inlineStr">
        <is>
          <t>П-доп-низ</t>
        </is>
      </c>
      <c r="W333" s="49" t="n">
        <v>1</v>
      </c>
    </row>
    <row r="334">
      <c r="A334" s="72" t="n">
        <v>325</v>
      </c>
      <c r="B334" s="21" t="inlineStr">
        <is>
          <t>1 этаж (отм. -0.050…+3.950)</t>
        </is>
      </c>
      <c r="C334" s="21" t="inlineStr">
        <is>
          <t>Плита перекрытия</t>
        </is>
      </c>
      <c r="D334" s="21" t="inlineStr">
        <is>
          <t>см. описание</t>
        </is>
      </c>
      <c r="E334" s="21" t="inlineStr">
        <is>
          <t>ПМ-3.950</t>
        </is>
      </c>
      <c r="F334" s="72" t="inlineStr">
        <is>
          <t>дн</t>
        </is>
      </c>
      <c r="G334" s="21" t="inlineStr">
        <is>
          <t>Доп. нижние, зона оси 3–4 / Б–В, вдоль X (14800…18425)</t>
        </is>
      </c>
      <c r="H334" s="51" t="n">
        <v>10</v>
      </c>
      <c r="I334" s="72" t="inlineStr">
        <is>
          <t>А500С</t>
        </is>
      </c>
      <c r="J334" s="72" t="n">
        <v>200</v>
      </c>
      <c r="K334" s="75" t="n">
        <v>1</v>
      </c>
      <c r="L334" s="51" t="n">
        <v>20</v>
      </c>
      <c r="M334" s="69" t="n">
        <v>3.625</v>
      </c>
      <c r="N334" s="70">
        <f>K334*L334*M334</f>
        <v/>
      </c>
      <c r="O334" s="37">
        <f>IFERROR(INDEX(Исходные!$B$19:$B$31,MATCH(H334,Исходные!$A$19:$A$31,0)),0)</f>
        <v/>
      </c>
      <c r="P334" s="76">
        <f>N334*O334</f>
        <v/>
      </c>
      <c r="Q334" s="21" t="inlineStr">
        <is>
          <t>АС-50 + прим. «неуказанные доп. стержни Ø10 А500С ш.200»</t>
        </is>
      </c>
      <c r="R334" s="77" t="inlineStr">
        <is>
          <t>по проекту</t>
        </is>
      </c>
      <c r="S334" s="21" t="inlineStr"/>
      <c r="T334" s="21" t="inlineStr">
        <is>
          <t>Ригели, балки, плита, С-1</t>
        </is>
      </c>
      <c r="U334" s="49" t="n">
        <v>0</v>
      </c>
      <c r="V334" s="72" t="inlineStr">
        <is>
          <t>П-доп-низ</t>
        </is>
      </c>
      <c r="W334" s="49" t="n">
        <v>1</v>
      </c>
    </row>
    <row r="335">
      <c r="A335" s="72" t="n">
        <v>326</v>
      </c>
      <c r="B335" s="21" t="inlineStr">
        <is>
          <t>1 этаж (отм. -0.050…+3.950)</t>
        </is>
      </c>
      <c r="C335" s="21" t="inlineStr">
        <is>
          <t>Плита перекрытия</t>
        </is>
      </c>
      <c r="D335" s="21" t="inlineStr">
        <is>
          <t>см. описание</t>
        </is>
      </c>
      <c r="E335" s="21" t="inlineStr">
        <is>
          <t>ПМ-3.950</t>
        </is>
      </c>
      <c r="F335" s="72" t="inlineStr">
        <is>
          <t>дн</t>
        </is>
      </c>
      <c r="G335" s="21" t="inlineStr">
        <is>
          <t>Доп. нижние, зона оси 3–4 / Б–В, вдоль Y (8000…12500)</t>
        </is>
      </c>
      <c r="H335" s="51" t="n">
        <v>10</v>
      </c>
      <c r="I335" s="72" t="inlineStr">
        <is>
          <t>А500С</t>
        </is>
      </c>
      <c r="J335" s="72" t="n">
        <v>200</v>
      </c>
      <c r="K335" s="75" t="n">
        <v>1</v>
      </c>
      <c r="L335" s="51" t="n">
        <v>17</v>
      </c>
      <c r="M335" s="69" t="n">
        <v>4.5</v>
      </c>
      <c r="N335" s="70">
        <f>K335*L335*M335</f>
        <v/>
      </c>
      <c r="O335" s="37">
        <f>IFERROR(INDEX(Исходные!$B$19:$B$31,MATCH(H335,Исходные!$A$19:$A$31,0)),0)</f>
        <v/>
      </c>
      <c r="P335" s="76">
        <f>N335*O335</f>
        <v/>
      </c>
      <c r="Q335" s="21" t="inlineStr">
        <is>
          <t>АС-50 + прим. «неуказанные доп. стержни Ø10 А500С ш.200»</t>
        </is>
      </c>
      <c r="R335" s="77" t="inlineStr">
        <is>
          <t>по проекту</t>
        </is>
      </c>
      <c r="S335" s="21" t="inlineStr"/>
      <c r="T335" s="21" t="inlineStr">
        <is>
          <t>Ригели, балки, плита, С-1</t>
        </is>
      </c>
      <c r="U335" s="49" t="n">
        <v>0</v>
      </c>
      <c r="V335" s="72" t="inlineStr">
        <is>
          <t>П-доп-низ</t>
        </is>
      </c>
      <c r="W335" s="49" t="n">
        <v>1</v>
      </c>
    </row>
    <row r="336">
      <c r="A336" s="72" t="n">
        <v>327</v>
      </c>
      <c r="B336" s="21" t="inlineStr">
        <is>
          <t>1 этаж (отм. -0.050…+3.950)</t>
        </is>
      </c>
      <c r="C336" s="21" t="inlineStr">
        <is>
          <t>Плита перекрытия</t>
        </is>
      </c>
      <c r="D336" s="21" t="inlineStr">
        <is>
          <t>см. описание</t>
        </is>
      </c>
      <c r="E336" s="21" t="inlineStr">
        <is>
          <t>ПМ-3.950</t>
        </is>
      </c>
      <c r="F336" s="72" t="inlineStr">
        <is>
          <t>дн</t>
        </is>
      </c>
      <c r="G336" s="21" t="inlineStr">
        <is>
          <t>Доп. нижние, эркер у оси А (оси 1–2), вдоль Y (−1000…+200)</t>
        </is>
      </c>
      <c r="H336" s="51" t="n">
        <v>10</v>
      </c>
      <c r="I336" s="72" t="inlineStr">
        <is>
          <t>А500С</t>
        </is>
      </c>
      <c r="J336" s="72" t="n">
        <v>200</v>
      </c>
      <c r="K336" s="75" t="n">
        <v>1</v>
      </c>
      <c r="L336" s="51" t="n">
        <v>17</v>
      </c>
      <c r="M336" s="69" t="n">
        <v>1.2</v>
      </c>
      <c r="N336" s="70">
        <f>K336*L336*M336</f>
        <v/>
      </c>
      <c r="O336" s="37">
        <f>IFERROR(INDEX(Исходные!$B$19:$B$31,MATCH(H336,Исходные!$A$19:$A$31,0)),0)</f>
        <v/>
      </c>
      <c r="P336" s="76">
        <f>N336*O336</f>
        <v/>
      </c>
      <c r="Q336" s="21" t="inlineStr">
        <is>
          <t>АС-50 + прим. «неуказанные доп. стержни Ø10 А500С ш.200»</t>
        </is>
      </c>
      <c r="R336" s="77" t="inlineStr">
        <is>
          <t>по проекту</t>
        </is>
      </c>
      <c r="S336" s="21" t="inlineStr"/>
      <c r="T336" s="21" t="inlineStr">
        <is>
          <t>Ригели, балки, плита, С-1</t>
        </is>
      </c>
      <c r="U336" s="49" t="n">
        <v>0</v>
      </c>
      <c r="V336" s="72" t="inlineStr">
        <is>
          <t>П-доп-низ</t>
        </is>
      </c>
      <c r="W336" s="49" t="n">
        <v>1</v>
      </c>
    </row>
    <row r="337">
      <c r="A337" s="72" t="n">
        <v>328</v>
      </c>
      <c r="B337" s="21" t="inlineStr">
        <is>
          <t>1 этаж (отм. -0.050…+3.950)</t>
        </is>
      </c>
      <c r="C337" s="21" t="inlineStr">
        <is>
          <t>Плита перекрытия</t>
        </is>
      </c>
      <c r="D337" s="21" t="inlineStr">
        <is>
          <t>см. описание</t>
        </is>
      </c>
      <c r="E337" s="21" t="inlineStr">
        <is>
          <t>ПМ-3.950</t>
        </is>
      </c>
      <c r="F337" s="72" t="inlineStr">
        <is>
          <t>дв</t>
        </is>
      </c>
      <c r="G337" s="21" t="inlineStr">
        <is>
          <t>Доп. верхние, эркер у оси 1 (Г–В), вдоль X, −1000…+200</t>
        </is>
      </c>
      <c r="H337" s="51" t="n">
        <v>10</v>
      </c>
      <c r="I337" s="72" t="inlineStr">
        <is>
          <t>А500С</t>
        </is>
      </c>
      <c r="J337" s="72" t="n">
        <v>200</v>
      </c>
      <c r="K337" s="75" t="n">
        <v>1</v>
      </c>
      <c r="L337" s="51" t="n">
        <v>18</v>
      </c>
      <c r="M337" s="69" t="n">
        <v>1.2</v>
      </c>
      <c r="N337" s="70">
        <f>K337*L337*M337</f>
        <v/>
      </c>
      <c r="O337" s="37">
        <f>IFERROR(INDEX(Исходные!$B$19:$B$31,MATCH(H337,Исходные!$A$19:$A$31,0)),0)</f>
        <v/>
      </c>
      <c r="P337" s="76">
        <f>N337*O337</f>
        <v/>
      </c>
      <c r="Q337" s="21" t="inlineStr">
        <is>
          <t>АС-51 (число стержней — по штриховке, шаг 200); прим. «неуказанные Ø10 ш.200»</t>
        </is>
      </c>
      <c r="R337" s="77" t="inlineStr">
        <is>
          <t>по проекту</t>
        </is>
      </c>
      <c r="S337" s="21" t="inlineStr"/>
      <c r="T337" s="21" t="inlineStr">
        <is>
          <t>Ригели, балки, плита, С-1</t>
        </is>
      </c>
      <c r="U337" s="49" t="n">
        <v>0</v>
      </c>
      <c r="V337" s="72" t="inlineStr">
        <is>
          <t>П-доп-верх</t>
        </is>
      </c>
      <c r="W337" s="49" t="n">
        <v>1</v>
      </c>
    </row>
    <row r="338">
      <c r="A338" s="72" t="n">
        <v>329</v>
      </c>
      <c r="B338" s="21" t="inlineStr">
        <is>
          <t>1 этаж (отм. -0.050…+3.950)</t>
        </is>
      </c>
      <c r="C338" s="21" t="inlineStr">
        <is>
          <t>Плита перекрытия</t>
        </is>
      </c>
      <c r="D338" s="21" t="inlineStr">
        <is>
          <t>см. описание</t>
        </is>
      </c>
      <c r="E338" s="21" t="inlineStr">
        <is>
          <t>ПМ-3.950</t>
        </is>
      </c>
      <c r="F338" s="72" t="inlineStr">
        <is>
          <t>дв</t>
        </is>
      </c>
      <c r="G338" s="21" t="inlineStr">
        <is>
          <t>Доп. верхние, ригель оси 2 (Г–В), вдоль X, 6300…7500</t>
        </is>
      </c>
      <c r="H338" s="51" t="n">
        <v>10</v>
      </c>
      <c r="I338" s="72" t="inlineStr">
        <is>
          <t>А500С</t>
        </is>
      </c>
      <c r="J338" s="72" t="n">
        <v>200</v>
      </c>
      <c r="K338" s="75" t="n">
        <v>1</v>
      </c>
      <c r="L338" s="51" t="n">
        <v>11</v>
      </c>
      <c r="M338" s="69" t="n">
        <v>1.2</v>
      </c>
      <c r="N338" s="70">
        <f>K338*L338*M338</f>
        <v/>
      </c>
      <c r="O338" s="37">
        <f>IFERROR(INDEX(Исходные!$B$19:$B$31,MATCH(H338,Исходные!$A$19:$A$31,0)),0)</f>
        <v/>
      </c>
      <c r="P338" s="76">
        <f>N338*O338</f>
        <v/>
      </c>
      <c r="Q338" s="21" t="inlineStr">
        <is>
          <t>АС-51 (число стержней — по штриховке, шаг 200); прим. «неуказанные Ø10 ш.200»</t>
        </is>
      </c>
      <c r="R338" s="77" t="inlineStr">
        <is>
          <t>по проекту</t>
        </is>
      </c>
      <c r="S338" s="21" t="inlineStr"/>
      <c r="T338" s="21" t="inlineStr">
        <is>
          <t>Ригели, балки, плита, С-1</t>
        </is>
      </c>
      <c r="U338" s="49" t="n">
        <v>0</v>
      </c>
      <c r="V338" s="72" t="inlineStr">
        <is>
          <t>П-доп-верх</t>
        </is>
      </c>
      <c r="W338" s="49" t="n">
        <v>1</v>
      </c>
    </row>
    <row r="339">
      <c r="A339" s="72" t="n">
        <v>330</v>
      </c>
      <c r="B339" s="21" t="inlineStr">
        <is>
          <t>1 этаж (отм. -0.050…+3.950)</t>
        </is>
      </c>
      <c r="C339" s="21" t="inlineStr">
        <is>
          <t>Плита перекрытия</t>
        </is>
      </c>
      <c r="D339" s="21" t="inlineStr">
        <is>
          <t>см. описание</t>
        </is>
      </c>
      <c r="E339" s="21" t="inlineStr">
        <is>
          <t>ПМ-3.950</t>
        </is>
      </c>
      <c r="F339" s="72" t="inlineStr">
        <is>
          <t>дв</t>
        </is>
      </c>
      <c r="G339" s="21" t="inlineStr">
        <is>
          <t>Доп. верхние, эркер у оси 1 (В–Б), вдоль X, −1000…+200</t>
        </is>
      </c>
      <c r="H339" s="51" t="n">
        <v>10</v>
      </c>
      <c r="I339" s="72" t="inlineStr">
        <is>
          <t>А500С</t>
        </is>
      </c>
      <c r="J339" s="72" t="n">
        <v>200</v>
      </c>
      <c r="K339" s="75" t="n">
        <v>1</v>
      </c>
      <c r="L339" s="51" t="n">
        <v>18</v>
      </c>
      <c r="M339" s="69" t="n">
        <v>1.2</v>
      </c>
      <c r="N339" s="70">
        <f>K339*L339*M339</f>
        <v/>
      </c>
      <c r="O339" s="37">
        <f>IFERROR(INDEX(Исходные!$B$19:$B$31,MATCH(H339,Исходные!$A$19:$A$31,0)),0)</f>
        <v/>
      </c>
      <c r="P339" s="76">
        <f>N339*O339</f>
        <v/>
      </c>
      <c r="Q339" s="21" t="inlineStr">
        <is>
          <t>АС-51 (число стержней — по штриховке, шаг 200); прим. «неуказанные Ø10 ш.200»</t>
        </is>
      </c>
      <c r="R339" s="77" t="inlineStr">
        <is>
          <t>по проекту</t>
        </is>
      </c>
      <c r="S339" s="21" t="inlineStr"/>
      <c r="T339" s="21" t="inlineStr">
        <is>
          <t>Ригели, балки, плита, С-1</t>
        </is>
      </c>
      <c r="U339" s="49" t="n">
        <v>0</v>
      </c>
      <c r="V339" s="72" t="inlineStr">
        <is>
          <t>П-доп-верх</t>
        </is>
      </c>
      <c r="W339" s="49" t="n">
        <v>1</v>
      </c>
    </row>
    <row r="340">
      <c r="A340" s="72" t="n">
        <v>331</v>
      </c>
      <c r="B340" s="21" t="inlineStr">
        <is>
          <t>1 этаж (отм. -0.050…+3.950)</t>
        </is>
      </c>
      <c r="C340" s="21" t="inlineStr">
        <is>
          <t>Плита перекрытия</t>
        </is>
      </c>
      <c r="D340" s="21" t="inlineStr">
        <is>
          <t>см. описание</t>
        </is>
      </c>
      <c r="E340" s="21" t="inlineStr">
        <is>
          <t>ПМ-3.950</t>
        </is>
      </c>
      <c r="F340" s="72" t="inlineStr">
        <is>
          <t>дв</t>
        </is>
      </c>
      <c r="G340" s="21" t="inlineStr">
        <is>
          <t>Доп. верхние, ригель оси 2 (В–Б), вдоль X, 6300…7700 — Ø12 (выноска «Ø12 А500С ш.200», Y 10260…12620)</t>
        </is>
      </c>
      <c r="H340" s="51" t="n">
        <v>12</v>
      </c>
      <c r="I340" s="72" t="inlineStr">
        <is>
          <t>А500С</t>
        </is>
      </c>
      <c r="J340" s="72" t="n">
        <v>200</v>
      </c>
      <c r="K340" s="75" t="n">
        <v>1</v>
      </c>
      <c r="L340" s="51" t="n">
        <v>12</v>
      </c>
      <c r="M340" s="69" t="n">
        <v>1.4</v>
      </c>
      <c r="N340" s="70">
        <f>K340*L340*M340</f>
        <v/>
      </c>
      <c r="O340" s="37">
        <f>IFERROR(INDEX(Исходные!$B$19:$B$31,MATCH(H340,Исходные!$A$19:$A$31,0)),0)</f>
        <v/>
      </c>
      <c r="P340" s="76">
        <f>N340*O340</f>
        <v/>
      </c>
      <c r="Q340" s="21" t="inlineStr">
        <is>
          <t>АС-51 (число стержней — по штриховке, шаг 200); прим. «неуказанные Ø10 ш.200»</t>
        </is>
      </c>
      <c r="R340" s="77" t="inlineStr">
        <is>
          <t>по проекту</t>
        </is>
      </c>
      <c r="S340" s="21" t="inlineStr"/>
      <c r="T340" s="21" t="inlineStr">
        <is>
          <t>Ригели, балки, плита, С-1</t>
        </is>
      </c>
      <c r="U340" s="49" t="n">
        <v>0</v>
      </c>
      <c r="V340" s="72" t="inlineStr">
        <is>
          <t>П-доп-верх</t>
        </is>
      </c>
      <c r="W340" s="49" t="n">
        <v>1</v>
      </c>
    </row>
    <row r="341">
      <c r="A341" s="72" t="n">
        <v>332</v>
      </c>
      <c r="B341" s="21" t="inlineStr">
        <is>
          <t>1 этаж (отм. -0.050…+3.950)</t>
        </is>
      </c>
      <c r="C341" s="21" t="inlineStr">
        <is>
          <t>Плита перекрытия</t>
        </is>
      </c>
      <c r="D341" s="21" t="inlineStr">
        <is>
          <t>см. описание</t>
        </is>
      </c>
      <c r="E341" s="21" t="inlineStr">
        <is>
          <t>ПМ-3.950</t>
        </is>
      </c>
      <c r="F341" s="72" t="inlineStr">
        <is>
          <t>дв</t>
        </is>
      </c>
      <c r="G341" s="21" t="inlineStr">
        <is>
          <t>Доп. верхние, ригель оси 2 (В–Б), вдоль X, 6300…7700 — остальные</t>
        </is>
      </c>
      <c r="H341" s="51" t="n">
        <v>10</v>
      </c>
      <c r="I341" s="72" t="inlineStr">
        <is>
          <t>А500С</t>
        </is>
      </c>
      <c r="J341" s="72" t="n">
        <v>200</v>
      </c>
      <c r="K341" s="75" t="n">
        <v>1</v>
      </c>
      <c r="L341" s="51" t="n">
        <v>18</v>
      </c>
      <c r="M341" s="69" t="n">
        <v>1.4</v>
      </c>
      <c r="N341" s="70">
        <f>K341*L341*M341</f>
        <v/>
      </c>
      <c r="O341" s="37">
        <f>IFERROR(INDEX(Исходные!$B$19:$B$31,MATCH(H341,Исходные!$A$19:$A$31,0)),0)</f>
        <v/>
      </c>
      <c r="P341" s="76">
        <f>N341*O341</f>
        <v/>
      </c>
      <c r="Q341" s="21" t="inlineStr">
        <is>
          <t>АС-51 (число стержней — по штриховке, шаг 200); прим. «неуказанные Ø10 ш.200»</t>
        </is>
      </c>
      <c r="R341" s="77" t="inlineStr">
        <is>
          <t>по проекту</t>
        </is>
      </c>
      <c r="S341" s="21" t="inlineStr"/>
      <c r="T341" s="21" t="inlineStr">
        <is>
          <t>Ригели, балки, плита, С-1</t>
        </is>
      </c>
      <c r="U341" s="49" t="n">
        <v>0</v>
      </c>
      <c r="V341" s="72" t="inlineStr">
        <is>
          <t>П-доп-верх</t>
        </is>
      </c>
      <c r="W341" s="49" t="n">
        <v>1</v>
      </c>
    </row>
    <row r="342">
      <c r="A342" s="72" t="n">
        <v>333</v>
      </c>
      <c r="B342" s="21" t="inlineStr">
        <is>
          <t>1 этаж (отм. -0.050…+3.950)</t>
        </is>
      </c>
      <c r="C342" s="21" t="inlineStr">
        <is>
          <t>Плита перекрытия</t>
        </is>
      </c>
      <c r="D342" s="21" t="inlineStr">
        <is>
          <t>см. описание</t>
        </is>
      </c>
      <c r="E342" s="21" t="inlineStr">
        <is>
          <t>ПМ-3.950</t>
        </is>
      </c>
      <c r="F342" s="72" t="inlineStr">
        <is>
          <t>дв</t>
        </is>
      </c>
      <c r="G342" s="21" t="inlineStr">
        <is>
          <t>Доп. верхние, ригель оси 3 (В–Б), вдоль X, 12300…14500 — Ø12 (выноска «Ø12»)</t>
        </is>
      </c>
      <c r="H342" s="51" t="n">
        <v>12</v>
      </c>
      <c r="I342" s="72" t="inlineStr">
        <is>
          <t>А500С</t>
        </is>
      </c>
      <c r="J342" s="72" t="n">
        <v>200</v>
      </c>
      <c r="K342" s="75" t="n">
        <v>1</v>
      </c>
      <c r="L342" s="51" t="n">
        <v>12</v>
      </c>
      <c r="M342" s="69" t="n">
        <v>2.2</v>
      </c>
      <c r="N342" s="70">
        <f>K342*L342*M342</f>
        <v/>
      </c>
      <c r="O342" s="37">
        <f>IFERROR(INDEX(Исходные!$B$19:$B$31,MATCH(H342,Исходные!$A$19:$A$31,0)),0)</f>
        <v/>
      </c>
      <c r="P342" s="76">
        <f>N342*O342</f>
        <v/>
      </c>
      <c r="Q342" s="21" t="inlineStr">
        <is>
          <t>АС-51 (число стержней — по штриховке, шаг 200); прим. «неуказанные Ø10 ш.200»</t>
        </is>
      </c>
      <c r="R342" s="77" t="inlineStr">
        <is>
          <t>по проекту</t>
        </is>
      </c>
      <c r="S342" s="21" t="inlineStr"/>
      <c r="T342" s="21" t="inlineStr">
        <is>
          <t>Ригели, балки, плита, С-1</t>
        </is>
      </c>
      <c r="U342" s="49" t="n">
        <v>0</v>
      </c>
      <c r="V342" s="72" t="inlineStr">
        <is>
          <t>П-доп-верх</t>
        </is>
      </c>
      <c r="W342" s="49" t="n">
        <v>1</v>
      </c>
    </row>
    <row r="343">
      <c r="A343" s="72" t="n">
        <v>334</v>
      </c>
      <c r="B343" s="21" t="inlineStr">
        <is>
          <t>1 этаж (отм. -0.050…+3.950)</t>
        </is>
      </c>
      <c r="C343" s="21" t="inlineStr">
        <is>
          <t>Плита перекрытия</t>
        </is>
      </c>
      <c r="D343" s="21" t="inlineStr">
        <is>
          <t>см. описание</t>
        </is>
      </c>
      <c r="E343" s="21" t="inlineStr">
        <is>
          <t>ПМ-3.950</t>
        </is>
      </c>
      <c r="F343" s="72" t="inlineStr">
        <is>
          <t>дв</t>
        </is>
      </c>
      <c r="G343" s="21" t="inlineStr">
        <is>
          <t>Доп. верхние, ригель оси 3 (В–Б), вдоль X, 12300…14500 — остальные</t>
        </is>
      </c>
      <c r="H343" s="51" t="n">
        <v>10</v>
      </c>
      <c r="I343" s="72" t="inlineStr">
        <is>
          <t>А500С</t>
        </is>
      </c>
      <c r="J343" s="72" t="n">
        <v>200</v>
      </c>
      <c r="K343" s="75" t="n">
        <v>1</v>
      </c>
      <c r="L343" s="51" t="n">
        <v>18</v>
      </c>
      <c r="M343" s="69" t="n">
        <v>2.2</v>
      </c>
      <c r="N343" s="70">
        <f>K343*L343*M343</f>
        <v/>
      </c>
      <c r="O343" s="37">
        <f>IFERROR(INDEX(Исходные!$B$19:$B$31,MATCH(H343,Исходные!$A$19:$A$31,0)),0)</f>
        <v/>
      </c>
      <c r="P343" s="76">
        <f>N343*O343</f>
        <v/>
      </c>
      <c r="Q343" s="21" t="inlineStr">
        <is>
          <t>АС-51 (число стержней — по штриховке, шаг 200); прим. «неуказанные Ø10 ш.200»</t>
        </is>
      </c>
      <c r="R343" s="77" t="inlineStr">
        <is>
          <t>по проекту</t>
        </is>
      </c>
      <c r="S343" s="21" t="inlineStr"/>
      <c r="T343" s="21" t="inlineStr">
        <is>
          <t>Ригели, балки, плита, С-1</t>
        </is>
      </c>
      <c r="U343" s="49" t="n">
        <v>0</v>
      </c>
      <c r="V343" s="72" t="inlineStr">
        <is>
          <t>П-доп-верх</t>
        </is>
      </c>
      <c r="W343" s="49" t="n">
        <v>1</v>
      </c>
    </row>
    <row r="344">
      <c r="A344" s="72" t="n">
        <v>335</v>
      </c>
      <c r="B344" s="21" t="inlineStr">
        <is>
          <t>1 этаж (отм. -0.050…+3.950)</t>
        </is>
      </c>
      <c r="C344" s="21" t="inlineStr">
        <is>
          <t>Плита перекрытия</t>
        </is>
      </c>
      <c r="D344" s="21" t="inlineStr">
        <is>
          <t>см. описание</t>
        </is>
      </c>
      <c r="E344" s="21" t="inlineStr">
        <is>
          <t>ПМ-3.950</t>
        </is>
      </c>
      <c r="F344" s="72" t="inlineStr">
        <is>
          <t>дв</t>
        </is>
      </c>
      <c r="G344" s="21" t="inlineStr">
        <is>
          <t>Доп. верхние, ригель оси 4 (В–Б), вдоль X, 19000…20200</t>
        </is>
      </c>
      <c r="H344" s="51" t="n">
        <v>10</v>
      </c>
      <c r="I344" s="72" t="inlineStr">
        <is>
          <t>А500С</t>
        </is>
      </c>
      <c r="J344" s="72" t="n">
        <v>200</v>
      </c>
      <c r="K344" s="75" t="n">
        <v>1</v>
      </c>
      <c r="L344" s="51" t="n">
        <v>24</v>
      </c>
      <c r="M344" s="69" t="n">
        <v>1.2</v>
      </c>
      <c r="N344" s="70">
        <f>K344*L344*M344</f>
        <v/>
      </c>
      <c r="O344" s="37">
        <f>IFERROR(INDEX(Исходные!$B$19:$B$31,MATCH(H344,Исходные!$A$19:$A$31,0)),0)</f>
        <v/>
      </c>
      <c r="P344" s="76">
        <f>N344*O344</f>
        <v/>
      </c>
      <c r="Q344" s="21" t="inlineStr">
        <is>
          <t>АС-51 (число стержней — по штриховке, шаг 200); прим. «неуказанные Ø10 ш.200»</t>
        </is>
      </c>
      <c r="R344" s="77" t="inlineStr">
        <is>
          <t>по проекту</t>
        </is>
      </c>
      <c r="S344" s="21" t="inlineStr"/>
      <c r="T344" s="21" t="inlineStr">
        <is>
          <t>Ригели, балки, плита, С-1</t>
        </is>
      </c>
      <c r="U344" s="49" t="n">
        <v>0</v>
      </c>
      <c r="V344" s="72" t="inlineStr">
        <is>
          <t>П-доп-верх</t>
        </is>
      </c>
      <c r="W344" s="49" t="n">
        <v>1</v>
      </c>
    </row>
    <row r="345">
      <c r="A345" s="72" t="n">
        <v>336</v>
      </c>
      <c r="B345" s="21" t="inlineStr">
        <is>
          <t>1 этаж (отм. -0.050…+3.950)</t>
        </is>
      </c>
      <c r="C345" s="21" t="inlineStr">
        <is>
          <t>Плита перекрытия</t>
        </is>
      </c>
      <c r="D345" s="21" t="inlineStr">
        <is>
          <t>см. описание</t>
        </is>
      </c>
      <c r="E345" s="21" t="inlineStr">
        <is>
          <t>ПМ-3.950</t>
        </is>
      </c>
      <c r="F345" s="72" t="inlineStr">
        <is>
          <t>дв</t>
        </is>
      </c>
      <c r="G345" s="21" t="inlineStr">
        <is>
          <t>Доп. верхние, ригель оси 2 (Б–А), вдоль X, 5500…7500</t>
        </is>
      </c>
      <c r="H345" s="51" t="n">
        <v>10</v>
      </c>
      <c r="I345" s="72" t="inlineStr">
        <is>
          <t>А500С</t>
        </is>
      </c>
      <c r="J345" s="72" t="n">
        <v>200</v>
      </c>
      <c r="K345" s="75" t="n">
        <v>1</v>
      </c>
      <c r="L345" s="51" t="n">
        <v>25</v>
      </c>
      <c r="M345" s="69" t="n">
        <v>2</v>
      </c>
      <c r="N345" s="70">
        <f>K345*L345*M345</f>
        <v/>
      </c>
      <c r="O345" s="37">
        <f>IFERROR(INDEX(Исходные!$B$19:$B$31,MATCH(H345,Исходные!$A$19:$A$31,0)),0)</f>
        <v/>
      </c>
      <c r="P345" s="76">
        <f>N345*O345</f>
        <v/>
      </c>
      <c r="Q345" s="21" t="inlineStr">
        <is>
          <t>АС-51 (число стержней — по штриховке, шаг 200); прим. «неуказанные Ø10 ш.200»</t>
        </is>
      </c>
      <c r="R345" s="77" t="inlineStr">
        <is>
          <t>по проекту</t>
        </is>
      </c>
      <c r="S345" s="21" t="inlineStr"/>
      <c r="T345" s="21" t="inlineStr">
        <is>
          <t>Ригели, балки, плита, С-1</t>
        </is>
      </c>
      <c r="U345" s="49" t="n">
        <v>0</v>
      </c>
      <c r="V345" s="72" t="inlineStr">
        <is>
          <t>П-доп-верх</t>
        </is>
      </c>
      <c r="W345" s="49" t="n">
        <v>1</v>
      </c>
    </row>
    <row r="346">
      <c r="A346" s="72" t="n">
        <v>337</v>
      </c>
      <c r="B346" s="21" t="inlineStr">
        <is>
          <t>1 этаж (отм. -0.050…+3.950)</t>
        </is>
      </c>
      <c r="C346" s="21" t="inlineStr">
        <is>
          <t>Плита перекрытия</t>
        </is>
      </c>
      <c r="D346" s="21" t="inlineStr">
        <is>
          <t>см. описание</t>
        </is>
      </c>
      <c r="E346" s="21" t="inlineStr">
        <is>
          <t>ПМ-3.950</t>
        </is>
      </c>
      <c r="F346" s="72" t="inlineStr">
        <is>
          <t>дв</t>
        </is>
      </c>
      <c r="G346" s="21" t="inlineStr">
        <is>
          <t>Доп. верхние, ригель оси 4 (Б–А), вдоль X, 19000…20200</t>
        </is>
      </c>
      <c r="H346" s="51" t="n">
        <v>10</v>
      </c>
      <c r="I346" s="72" t="inlineStr">
        <is>
          <t>А500С</t>
        </is>
      </c>
      <c r="J346" s="72" t="n">
        <v>200</v>
      </c>
      <c r="K346" s="75" t="n">
        <v>1</v>
      </c>
      <c r="L346" s="51" t="n">
        <v>25</v>
      </c>
      <c r="M346" s="69" t="n">
        <v>1.2</v>
      </c>
      <c r="N346" s="70">
        <f>K346*L346*M346</f>
        <v/>
      </c>
      <c r="O346" s="37">
        <f>IFERROR(INDEX(Исходные!$B$19:$B$31,MATCH(H346,Исходные!$A$19:$A$31,0)),0)</f>
        <v/>
      </c>
      <c r="P346" s="76">
        <f>N346*O346</f>
        <v/>
      </c>
      <c r="Q346" s="21" t="inlineStr">
        <is>
          <t>АС-51 (число стержней — по штриховке, шаг 200); прим. «неуказанные Ø10 ш.200»</t>
        </is>
      </c>
      <c r="R346" s="77" t="inlineStr">
        <is>
          <t>по проекту</t>
        </is>
      </c>
      <c r="S346" s="21" t="inlineStr"/>
      <c r="T346" s="21" t="inlineStr">
        <is>
          <t>Ригели, балки, плита, С-1</t>
        </is>
      </c>
      <c r="U346" s="49" t="n">
        <v>0</v>
      </c>
      <c r="V346" s="72" t="inlineStr">
        <is>
          <t>П-доп-верх</t>
        </is>
      </c>
      <c r="W346" s="49" t="n">
        <v>1</v>
      </c>
    </row>
    <row r="347">
      <c r="A347" s="72" t="n">
        <v>338</v>
      </c>
      <c r="B347" s="21" t="inlineStr">
        <is>
          <t>1 этаж (отм. -0.050…+3.950)</t>
        </is>
      </c>
      <c r="C347" s="21" t="inlineStr">
        <is>
          <t>Плита перекрытия</t>
        </is>
      </c>
      <c r="D347" s="21" t="inlineStr">
        <is>
          <t>см. описание</t>
        </is>
      </c>
      <c r="E347" s="21" t="inlineStr">
        <is>
          <t>ПМ-3.950</t>
        </is>
      </c>
      <c r="F347" s="72" t="inlineStr">
        <is>
          <t>дв</t>
        </is>
      </c>
      <c r="G347" s="21" t="inlineStr">
        <is>
          <t>Доп. верхние, эркер у оси А (1–2), вдоль Y, −1000…+200</t>
        </is>
      </c>
      <c r="H347" s="51" t="n">
        <v>10</v>
      </c>
      <c r="I347" s="72" t="inlineStr">
        <is>
          <t>А500С</t>
        </is>
      </c>
      <c r="J347" s="72" t="n">
        <v>200</v>
      </c>
      <c r="K347" s="75" t="n">
        <v>1</v>
      </c>
      <c r="L347" s="51" t="n">
        <v>17</v>
      </c>
      <c r="M347" s="69" t="n">
        <v>1.2</v>
      </c>
      <c r="N347" s="70">
        <f>K347*L347*M347</f>
        <v/>
      </c>
      <c r="O347" s="37">
        <f>IFERROR(INDEX(Исходные!$B$19:$B$31,MATCH(H347,Исходные!$A$19:$A$31,0)),0)</f>
        <v/>
      </c>
      <c r="P347" s="76">
        <f>N347*O347</f>
        <v/>
      </c>
      <c r="Q347" s="21" t="inlineStr">
        <is>
          <t>АС-51 (число стержней — по штриховке, шаг 200); прим. «неуказанные Ø10 ш.200»</t>
        </is>
      </c>
      <c r="R347" s="77" t="inlineStr">
        <is>
          <t>по проекту</t>
        </is>
      </c>
      <c r="S347" s="21" t="inlineStr"/>
      <c r="T347" s="21" t="inlineStr">
        <is>
          <t>Ригели, балки, плита, С-1</t>
        </is>
      </c>
      <c r="U347" s="49" t="n">
        <v>0</v>
      </c>
      <c r="V347" s="72" t="inlineStr">
        <is>
          <t>П-доп-верх</t>
        </is>
      </c>
      <c r="W347" s="49" t="n">
        <v>1</v>
      </c>
    </row>
    <row r="348">
      <c r="A348" s="72" t="n">
        <v>339</v>
      </c>
      <c r="B348" s="21" t="inlineStr">
        <is>
          <t>1 этаж (отм. -0.050…+3.950)</t>
        </is>
      </c>
      <c r="C348" s="21" t="inlineStr">
        <is>
          <t>Плита перекрытия</t>
        </is>
      </c>
      <c r="D348" s="21" t="inlineStr">
        <is>
          <t>см. описание</t>
        </is>
      </c>
      <c r="E348" s="21" t="inlineStr">
        <is>
          <t>ПМ-3.950</t>
        </is>
      </c>
      <c r="F348" s="72" t="inlineStr">
        <is>
          <t>дв</t>
        </is>
      </c>
      <c r="G348" s="21" t="inlineStr">
        <is>
          <t>Доп. верхние, эркер у оси А (2–4), вдоль Y, −1000…+200</t>
        </is>
      </c>
      <c r="H348" s="51" t="n">
        <v>10</v>
      </c>
      <c r="I348" s="72" t="inlineStr">
        <is>
          <t>А500С</t>
        </is>
      </c>
      <c r="J348" s="72" t="n">
        <v>200</v>
      </c>
      <c r="K348" s="75" t="n">
        <v>1</v>
      </c>
      <c r="L348" s="51" t="n">
        <v>36</v>
      </c>
      <c r="M348" s="69" t="n">
        <v>1.2</v>
      </c>
      <c r="N348" s="70">
        <f>K348*L348*M348</f>
        <v/>
      </c>
      <c r="O348" s="37">
        <f>IFERROR(INDEX(Исходные!$B$19:$B$31,MATCH(H348,Исходные!$A$19:$A$31,0)),0)</f>
        <v/>
      </c>
      <c r="P348" s="76">
        <f>N348*O348</f>
        <v/>
      </c>
      <c r="Q348" s="21" t="inlineStr">
        <is>
          <t>АС-51 (число стержней — по штриховке, шаг 200); прим. «неуказанные Ø10 ш.200»</t>
        </is>
      </c>
      <c r="R348" s="77" t="inlineStr">
        <is>
          <t>по проекту</t>
        </is>
      </c>
      <c r="S348" s="21" t="inlineStr"/>
      <c r="T348" s="21" t="inlineStr">
        <is>
          <t>Ригели, балки, плита, С-1</t>
        </is>
      </c>
      <c r="U348" s="49" t="n">
        <v>0</v>
      </c>
      <c r="V348" s="72" t="inlineStr">
        <is>
          <t>П-доп-верх</t>
        </is>
      </c>
      <c r="W348" s="49" t="n">
        <v>1</v>
      </c>
    </row>
    <row r="349">
      <c r="A349" s="72" t="n">
        <v>340</v>
      </c>
      <c r="B349" s="21" t="inlineStr">
        <is>
          <t>1 этаж (отм. -0.050…+3.950)</t>
        </is>
      </c>
      <c r="C349" s="21" t="inlineStr">
        <is>
          <t>Плита перекрытия</t>
        </is>
      </c>
      <c r="D349" s="21" t="inlineStr">
        <is>
          <t>см. описание</t>
        </is>
      </c>
      <c r="E349" s="21" t="inlineStr">
        <is>
          <t>ПМ-3.950</t>
        </is>
      </c>
      <c r="F349" s="72" t="inlineStr">
        <is>
          <t>дв</t>
        </is>
      </c>
      <c r="G349" s="21" t="inlineStr">
        <is>
          <t>Доп. верхние, ригель оси В, вдоль Y, 12300…13700 (оси 2–3 лев. часть)</t>
        </is>
      </c>
      <c r="H349" s="51" t="n">
        <v>10</v>
      </c>
      <c r="I349" s="72" t="inlineStr">
        <is>
          <t>А500С</t>
        </is>
      </c>
      <c r="J349" s="72" t="n">
        <v>200</v>
      </c>
      <c r="K349" s="75" t="n">
        <v>1</v>
      </c>
      <c r="L349" s="51" t="n">
        <v>15</v>
      </c>
      <c r="M349" s="69" t="n">
        <v>1.4</v>
      </c>
      <c r="N349" s="70">
        <f>K349*L349*M349</f>
        <v/>
      </c>
      <c r="O349" s="37">
        <f>IFERROR(INDEX(Исходные!$B$19:$B$31,MATCH(H349,Исходные!$A$19:$A$31,0)),0)</f>
        <v/>
      </c>
      <c r="P349" s="76">
        <f>N349*O349</f>
        <v/>
      </c>
      <c r="Q349" s="21" t="inlineStr">
        <is>
          <t>АС-51 (число стержней — по штриховке, шаг 200); прим. «неуказанные Ø10 ш.200»</t>
        </is>
      </c>
      <c r="R349" s="77" t="inlineStr">
        <is>
          <t>по проекту</t>
        </is>
      </c>
      <c r="S349" s="21" t="inlineStr"/>
      <c r="T349" s="21" t="inlineStr">
        <is>
          <t>Ригели, балки, плита, С-1</t>
        </is>
      </c>
      <c r="U349" s="49" t="n">
        <v>0</v>
      </c>
      <c r="V349" s="72" t="inlineStr">
        <is>
          <t>П-доп-верх</t>
        </is>
      </c>
      <c r="W349" s="49" t="n">
        <v>1</v>
      </c>
    </row>
    <row r="350">
      <c r="A350" s="72" t="n">
        <v>341</v>
      </c>
      <c r="B350" s="21" t="inlineStr">
        <is>
          <t>1 этаж (отм. -0.050…+3.950)</t>
        </is>
      </c>
      <c r="C350" s="21" t="inlineStr">
        <is>
          <t>Плита перекрытия</t>
        </is>
      </c>
      <c r="D350" s="21" t="inlineStr">
        <is>
          <t>см. описание</t>
        </is>
      </c>
      <c r="E350" s="21" t="inlineStr">
        <is>
          <t>ПМ-3.950</t>
        </is>
      </c>
      <c r="F350" s="72" t="inlineStr">
        <is>
          <t>дв</t>
        </is>
      </c>
      <c r="G350" s="21" t="inlineStr">
        <is>
          <t>Доп. верхние, ригель оси В, вдоль Y, 12300…14500 (оси 2–3 прав. часть)</t>
        </is>
      </c>
      <c r="H350" s="51" t="n">
        <v>10</v>
      </c>
      <c r="I350" s="72" t="inlineStr">
        <is>
          <t>А500С</t>
        </is>
      </c>
      <c r="J350" s="72" t="n">
        <v>200</v>
      </c>
      <c r="K350" s="75" t="n">
        <v>1</v>
      </c>
      <c r="L350" s="51" t="n">
        <v>17</v>
      </c>
      <c r="M350" s="69" t="n">
        <v>2.2</v>
      </c>
      <c r="N350" s="70">
        <f>K350*L350*M350</f>
        <v/>
      </c>
      <c r="O350" s="37">
        <f>IFERROR(INDEX(Исходные!$B$19:$B$31,MATCH(H350,Исходные!$A$19:$A$31,0)),0)</f>
        <v/>
      </c>
      <c r="P350" s="76">
        <f>N350*O350</f>
        <v/>
      </c>
      <c r="Q350" s="21" t="inlineStr">
        <is>
          <t>АС-51 (число стержней — по штриховке, шаг 200); прим. «неуказанные Ø10 ш.200»</t>
        </is>
      </c>
      <c r="R350" s="77" t="inlineStr">
        <is>
          <t>по проекту</t>
        </is>
      </c>
      <c r="S350" s="21" t="inlineStr"/>
      <c r="T350" s="21" t="inlineStr">
        <is>
          <t>Ригели, балки, плита, С-1</t>
        </is>
      </c>
      <c r="U350" s="49" t="n">
        <v>0</v>
      </c>
      <c r="V350" s="72" t="inlineStr">
        <is>
          <t>П-доп-верх</t>
        </is>
      </c>
      <c r="W350" s="49" t="n">
        <v>1</v>
      </c>
    </row>
    <row r="351">
      <c r="A351" s="72" t="n">
        <v>342</v>
      </c>
      <c r="B351" s="21" t="inlineStr">
        <is>
          <t>1 этаж (отм. -0.050…+3.950)</t>
        </is>
      </c>
      <c r="C351" s="21" t="inlineStr">
        <is>
          <t>Плита перекрытия</t>
        </is>
      </c>
      <c r="D351" s="21" t="inlineStr">
        <is>
          <t>см. описание</t>
        </is>
      </c>
      <c r="E351" s="21" t="inlineStr">
        <is>
          <t>ПМ-3.950</t>
        </is>
      </c>
      <c r="F351" s="72" t="inlineStr">
        <is>
          <t>дв</t>
        </is>
      </c>
      <c r="G351" s="21" t="inlineStr">
        <is>
          <t>Доп. верхние, ригель оси В, вдоль Y, 12300…13700 (оси 3–4)</t>
        </is>
      </c>
      <c r="H351" s="51" t="n">
        <v>10</v>
      </c>
      <c r="I351" s="72" t="inlineStr">
        <is>
          <t>А500С</t>
        </is>
      </c>
      <c r="J351" s="72" t="n">
        <v>200</v>
      </c>
      <c r="K351" s="75" t="n">
        <v>1</v>
      </c>
      <c r="L351" s="51" t="n">
        <v>29</v>
      </c>
      <c r="M351" s="69" t="n">
        <v>1.4</v>
      </c>
      <c r="N351" s="70">
        <f>K351*L351*M351</f>
        <v/>
      </c>
      <c r="O351" s="37">
        <f>IFERROR(INDEX(Исходные!$B$19:$B$31,MATCH(H351,Исходные!$A$19:$A$31,0)),0)</f>
        <v/>
      </c>
      <c r="P351" s="76">
        <f>N351*O351</f>
        <v/>
      </c>
      <c r="Q351" s="21" t="inlineStr">
        <is>
          <t>АС-51 (число стержней — по штриховке, шаг 200); прим. «неуказанные Ø10 ш.200»</t>
        </is>
      </c>
      <c r="R351" s="77" t="inlineStr">
        <is>
          <t>по проекту</t>
        </is>
      </c>
      <c r="S351" s="21" t="inlineStr"/>
      <c r="T351" s="21" t="inlineStr">
        <is>
          <t>Ригели, балки, плита, С-1</t>
        </is>
      </c>
      <c r="U351" s="49" t="n">
        <v>0</v>
      </c>
      <c r="V351" s="72" t="inlineStr">
        <is>
          <t>П-доп-верх</t>
        </is>
      </c>
      <c r="W351" s="49" t="n">
        <v>1</v>
      </c>
    </row>
    <row r="352">
      <c r="A352" s="72" t="n">
        <v>343</v>
      </c>
      <c r="B352" s="21" t="inlineStr">
        <is>
          <t>1 этаж (отм. -0.050…+3.950)</t>
        </is>
      </c>
      <c r="C352" s="21" t="inlineStr">
        <is>
          <t>Плита перекрытия</t>
        </is>
      </c>
      <c r="D352" s="21" t="inlineStr">
        <is>
          <t>см. описание</t>
        </is>
      </c>
      <c r="E352" s="21" t="inlineStr">
        <is>
          <t>ПМ-3.950</t>
        </is>
      </c>
      <c r="F352" s="72" t="inlineStr">
        <is>
          <t>дв</t>
        </is>
      </c>
      <c r="G352" s="21" t="inlineStr">
        <is>
          <t>Доп. верхние, ригель оси Б, вдоль Y, 5500…7700 (оси 2–4)</t>
        </is>
      </c>
      <c r="H352" s="51" t="n">
        <v>10</v>
      </c>
      <c r="I352" s="72" t="inlineStr">
        <is>
          <t>А500С</t>
        </is>
      </c>
      <c r="J352" s="72" t="n">
        <v>200</v>
      </c>
      <c r="K352" s="75" t="n">
        <v>1</v>
      </c>
      <c r="L352" s="51" t="n">
        <v>62</v>
      </c>
      <c r="M352" s="69" t="n">
        <v>2.2</v>
      </c>
      <c r="N352" s="70">
        <f>K352*L352*M352</f>
        <v/>
      </c>
      <c r="O352" s="37">
        <f>IFERROR(INDEX(Исходные!$B$19:$B$31,MATCH(H352,Исходные!$A$19:$A$31,0)),0)</f>
        <v/>
      </c>
      <c r="P352" s="76">
        <f>N352*O352</f>
        <v/>
      </c>
      <c r="Q352" s="21" t="inlineStr">
        <is>
          <t>АС-51 (число стержней — по штриховке, шаг 200); прим. «неуказанные Ø10 ш.200»</t>
        </is>
      </c>
      <c r="R352" s="77" t="inlineStr">
        <is>
          <t>по проекту</t>
        </is>
      </c>
      <c r="S352" s="21" t="inlineStr"/>
      <c r="T352" s="21" t="inlineStr">
        <is>
          <t>Ригели, балки, плита, С-1</t>
        </is>
      </c>
      <c r="U352" s="49" t="n">
        <v>0</v>
      </c>
      <c r="V352" s="72" t="inlineStr">
        <is>
          <t>П-доп-верх</t>
        </is>
      </c>
      <c r="W352" s="49" t="n">
        <v>1</v>
      </c>
    </row>
    <row r="353">
      <c r="A353" s="72" t="n">
        <v>344</v>
      </c>
      <c r="B353" s="21" t="inlineStr">
        <is>
          <t>1 этаж (отм. -0.050…+3.950)</t>
        </is>
      </c>
      <c r="C353" s="21" t="inlineStr">
        <is>
          <t>Плита перекрытия</t>
        </is>
      </c>
      <c r="D353" s="21" t="inlineStr">
        <is>
          <t>В,Б × оси 2,3 (4 места)</t>
        </is>
      </c>
      <c r="E353" s="21" t="inlineStr">
        <is>
          <t>ПМ-3.950</t>
        </is>
      </c>
      <c r="F353" s="72" t="inlineStr">
        <is>
          <t>дв</t>
        </is>
      </c>
      <c r="G353" s="21" t="inlineStr">
        <is>
          <t>Доп. стержень в верхней зоне балки над ригелем 1Ø20 L=3000</t>
        </is>
      </c>
      <c r="H353" s="51" t="n">
        <v>20</v>
      </c>
      <c r="I353" s="72" t="inlineStr">
        <is>
          <t>А500С</t>
        </is>
      </c>
      <c r="J353" s="72" t="inlineStr">
        <is>
          <t>—</t>
        </is>
      </c>
      <c r="K353" s="75" t="n">
        <v>4</v>
      </c>
      <c r="L353" s="51" t="n">
        <v>1</v>
      </c>
      <c r="M353" s="69" t="n">
        <v>3</v>
      </c>
      <c r="N353" s="70">
        <f>K353*L353*M353</f>
        <v/>
      </c>
      <c r="O353" s="37">
        <f>IFERROR(INDEX(Исходные!$B$19:$B$31,MATCH(H353,Исходные!$A$19:$A$31,0)),0)</f>
        <v/>
      </c>
      <c r="P353" s="76">
        <f>N353*O353</f>
        <v/>
      </c>
      <c r="Q353" s="21" t="inlineStr">
        <is>
          <t>АС-47 выноски (4 шт.)</t>
        </is>
      </c>
      <c r="R353" s="77" t="inlineStr">
        <is>
          <t>по проекту</t>
        </is>
      </c>
      <c r="S353" s="21" t="inlineStr"/>
      <c r="T353" s="21" t="inlineStr">
        <is>
          <t>Ригели, балки, плита, С-1</t>
        </is>
      </c>
      <c r="U353" s="49" t="n">
        <v>0</v>
      </c>
      <c r="V353" s="72" t="inlineStr">
        <is>
          <t>П-доп-верх</t>
        </is>
      </c>
      <c r="W353" s="49" t="n">
        <v>1</v>
      </c>
    </row>
    <row r="354">
      <c r="A354" s="72" t="n">
        <v>345</v>
      </c>
      <c r="B354" s="21" t="inlineStr">
        <is>
          <t>1 этаж (отм. -0.050…+3.950)</t>
        </is>
      </c>
      <c r="C354" s="21" t="inlineStr">
        <is>
          <t>Плита перекрытия</t>
        </is>
      </c>
      <c r="D354" s="21" t="inlineStr">
        <is>
          <t>край по оси Г и оси 5</t>
        </is>
      </c>
      <c r="E354" s="21" t="inlineStr">
        <is>
          <t>ПМ-3.950</t>
        </is>
      </c>
      <c r="F354" s="72" t="inlineStr">
        <is>
          <t>8</t>
        </is>
      </c>
      <c r="G354" s="21" t="inlineStr">
        <is>
          <t>Торцевой стержень края плиты (сеч.6-6) 2Ø14, по оси Г</t>
        </is>
      </c>
      <c r="H354" s="51" t="n">
        <v>14</v>
      </c>
      <c r="I354" s="72" t="inlineStr">
        <is>
          <t>А500С</t>
        </is>
      </c>
      <c r="J354" s="72" t="inlineStr">
        <is>
          <t>—</t>
        </is>
      </c>
      <c r="K354" s="75" t="n">
        <v>1</v>
      </c>
      <c r="L354" s="51" t="n">
        <v>2</v>
      </c>
      <c r="M354" s="69" t="n">
        <v>25.825</v>
      </c>
      <c r="N354" s="70">
        <f>K354*L354*M354</f>
        <v/>
      </c>
      <c r="O354" s="37">
        <f>IFERROR(INDEX(Исходные!$B$19:$B$31,MATCH(H354,Исходные!$A$19:$A$31,0)),0)</f>
        <v/>
      </c>
      <c r="P354" s="76">
        <f>N354*O354</f>
        <v/>
      </c>
      <c r="Q354" s="21" t="inlineStr">
        <is>
          <t>АС-55 сеч.6-6 поз.8; длина края по АС-47</t>
        </is>
      </c>
      <c r="R354" s="77" t="inlineStr">
        <is>
          <t>по геометрии чертежа</t>
        </is>
      </c>
      <c r="S354" s="21" t="inlineStr"/>
      <c r="T354" s="21" t="inlineStr">
        <is>
          <t>Ригели, балки, плита, С-1</t>
        </is>
      </c>
      <c r="U354" s="49" t="n">
        <v>0</v>
      </c>
      <c r="V354" s="72" t="inlineStr">
        <is>
          <t>П-край</t>
        </is>
      </c>
      <c r="W354" s="49" t="n">
        <v>1</v>
      </c>
    </row>
    <row r="355">
      <c r="A355" s="72" t="n">
        <v>346</v>
      </c>
      <c r="B355" s="21" t="inlineStr">
        <is>
          <t>1 этаж (отм. -0.050…+3.950)</t>
        </is>
      </c>
      <c r="C355" s="21" t="inlineStr">
        <is>
          <t>Плита перекрытия</t>
        </is>
      </c>
      <c r="D355" s="21" t="inlineStr">
        <is>
          <t>край по оси Г и оси 5</t>
        </is>
      </c>
      <c r="E355" s="21" t="inlineStr">
        <is>
          <t>ПМ-3.950</t>
        </is>
      </c>
      <c r="F355" s="72" t="inlineStr">
        <is>
          <t>8-нахл</t>
        </is>
      </c>
      <c r="G355" s="21" t="inlineStr">
        <is>
          <t>Нахлёсты стыков к поз. «Торцевой стержень края плиты (сеч.6-6) 2Ø14, по оси Г» (L=25.825 м &gt; 11,7 м): 3 куска, 2 стык(а) на стержень × 2 стерж.</t>
        </is>
      </c>
      <c r="H355" s="51" t="n">
        <v>14</v>
      </c>
      <c r="I355" s="72" t="inlineStr">
        <is>
          <t>А500С</t>
        </is>
      </c>
      <c r="J355" s="72" t="inlineStr">
        <is>
          <t>—</t>
        </is>
      </c>
      <c r="K355" s="75" t="n">
        <v>2</v>
      </c>
      <c r="L355" s="51" t="n">
        <v>2</v>
      </c>
      <c r="M355" s="69" t="n">
        <v>0.5600000000000001</v>
      </c>
      <c r="N355" s="70">
        <f>K355*L355*M355</f>
        <v/>
      </c>
      <c r="O355" s="37">
        <f>IFERROR(INDEX(Исходные!$B$19:$B$31,MATCH(H355,Исходные!$A$19:$A$31,0)),0)</f>
        <v/>
      </c>
      <c r="P355" s="76">
        <f>N355*O355</f>
        <v/>
      </c>
      <c r="Q355" s="21" t="inlineStr">
        <is>
          <t>АС-58 «Деталь стыка арматуры армирования плиты»: нахлёст 560 мм для Ø14</t>
        </is>
      </c>
      <c r="R355" s="77" t="inlineStr">
        <is>
          <t>по проекту (стыковка прутков 11,7 м)</t>
        </is>
      </c>
      <c r="S355" s="21" t="inlineStr">
        <is>
          <t>Чистая длина 25.825 м; кусков 3; стыков 2; Lнахл=2×0.560=1.12 м на стержень</t>
        </is>
      </c>
      <c r="T355" s="21" t="inlineStr">
        <is>
          <t>Ригели, балки, плита, С-1</t>
        </is>
      </c>
      <c r="U355" s="49" t="n">
        <v>0</v>
      </c>
      <c r="V355" s="72" t="inlineStr">
        <is>
          <t>П-край</t>
        </is>
      </c>
      <c r="W355" s="49" t="n">
        <v>1</v>
      </c>
    </row>
    <row r="356">
      <c r="A356" s="72" t="n">
        <v>347</v>
      </c>
      <c r="B356" s="21" t="inlineStr">
        <is>
          <t>1 этаж (отм. -0.050…+3.950)</t>
        </is>
      </c>
      <c r="C356" s="21" t="inlineStr">
        <is>
          <t>Плита перекрытия</t>
        </is>
      </c>
      <c r="D356" s="21" t="inlineStr">
        <is>
          <t>край по оси Г и оси 5</t>
        </is>
      </c>
      <c r="E356" s="21" t="inlineStr">
        <is>
          <t>ПМ-3.950</t>
        </is>
      </c>
      <c r="F356" s="72" t="inlineStr">
        <is>
          <t>8</t>
        </is>
      </c>
      <c r="G356" s="21" t="inlineStr">
        <is>
          <t>Торцевой стержень края плиты (сеч.6-6) 2Ø14, по оси 5</t>
        </is>
      </c>
      <c r="H356" s="51" t="n">
        <v>14</v>
      </c>
      <c r="I356" s="72" t="inlineStr">
        <is>
          <t>А500С</t>
        </is>
      </c>
      <c r="J356" s="72" t="inlineStr">
        <is>
          <t>—</t>
        </is>
      </c>
      <c r="K356" s="75" t="n">
        <v>1</v>
      </c>
      <c r="L356" s="51" t="n">
        <v>2</v>
      </c>
      <c r="M356" s="69" t="n">
        <v>20.525</v>
      </c>
      <c r="N356" s="70">
        <f>K356*L356*M356</f>
        <v/>
      </c>
      <c r="O356" s="37">
        <f>IFERROR(INDEX(Исходные!$B$19:$B$31,MATCH(H356,Исходные!$A$19:$A$31,0)),0)</f>
        <v/>
      </c>
      <c r="P356" s="76">
        <f>N356*O356</f>
        <v/>
      </c>
      <c r="Q356" s="21" t="inlineStr">
        <is>
          <t>АС-55 сеч.6-6 поз.8</t>
        </is>
      </c>
      <c r="R356" s="77" t="inlineStr">
        <is>
          <t>по геометрии чертежа</t>
        </is>
      </c>
      <c r="S356" s="21" t="inlineStr"/>
      <c r="T356" s="21" t="inlineStr">
        <is>
          <t>Ригели, балки, плита, С-1</t>
        </is>
      </c>
      <c r="U356" s="49" t="n">
        <v>0</v>
      </c>
      <c r="V356" s="72" t="inlineStr">
        <is>
          <t>П-край</t>
        </is>
      </c>
      <c r="W356" s="49" t="n">
        <v>1</v>
      </c>
    </row>
    <row r="357">
      <c r="A357" s="72" t="n">
        <v>348</v>
      </c>
      <c r="B357" s="21" t="inlineStr">
        <is>
          <t>1 этаж (отм. -0.050…+3.950)</t>
        </is>
      </c>
      <c r="C357" s="21" t="inlineStr">
        <is>
          <t>Плита перекрытия</t>
        </is>
      </c>
      <c r="D357" s="21" t="inlineStr">
        <is>
          <t>край по оси Г и оси 5</t>
        </is>
      </c>
      <c r="E357" s="21" t="inlineStr">
        <is>
          <t>ПМ-3.950</t>
        </is>
      </c>
      <c r="F357" s="72" t="inlineStr">
        <is>
          <t>8-нахл</t>
        </is>
      </c>
      <c r="G357" s="21" t="inlineStr">
        <is>
          <t>Нахлёсты стыков к поз. «Торцевой стержень края плиты (сеч.6-6) 2Ø14, по оси 5» (L=20.525 м &gt; 11,7 м): 2 куска, 1 стык(а) на стержень × 2 стерж.</t>
        </is>
      </c>
      <c r="H357" s="51" t="n">
        <v>14</v>
      </c>
      <c r="I357" s="72" t="inlineStr">
        <is>
          <t>А500С</t>
        </is>
      </c>
      <c r="J357" s="72" t="inlineStr">
        <is>
          <t>—</t>
        </is>
      </c>
      <c r="K357" s="75" t="n">
        <v>2</v>
      </c>
      <c r="L357" s="51" t="n">
        <v>1</v>
      </c>
      <c r="M357" s="69" t="n">
        <v>0.5600000000000001</v>
      </c>
      <c r="N357" s="70">
        <f>K357*L357*M357</f>
        <v/>
      </c>
      <c r="O357" s="37">
        <f>IFERROR(INDEX(Исходные!$B$19:$B$31,MATCH(H357,Исходные!$A$19:$A$31,0)),0)</f>
        <v/>
      </c>
      <c r="P357" s="76">
        <f>N357*O357</f>
        <v/>
      </c>
      <c r="Q357" s="21" t="inlineStr">
        <is>
          <t>АС-58 «Деталь стыка арматуры армирования плиты»: нахлёст 560 мм для Ø14</t>
        </is>
      </c>
      <c r="R357" s="77" t="inlineStr">
        <is>
          <t>по проекту (стыковка прутков 11,7 м)</t>
        </is>
      </c>
      <c r="S357" s="21" t="inlineStr">
        <is>
          <t>Чистая длина 20.525 м; кусков 2; стыков 1; Lнахл=1×0.560=0.56 м на стержень</t>
        </is>
      </c>
      <c r="T357" s="21" t="inlineStr">
        <is>
          <t>Ригели, балки, плита, С-1</t>
        </is>
      </c>
      <c r="U357" s="49" t="n">
        <v>0</v>
      </c>
      <c r="V357" s="72" t="inlineStr">
        <is>
          <t>П-край</t>
        </is>
      </c>
      <c r="W357" s="49" t="n">
        <v>1</v>
      </c>
    </row>
    <row r="358">
      <c r="A358" s="72" t="n">
        <v>349</v>
      </c>
      <c r="B358" s="21" t="inlineStr">
        <is>
          <t>1 этаж (отм. -0.050…+3.950)</t>
        </is>
      </c>
      <c r="C358" s="21" t="inlineStr">
        <is>
          <t>Плита перекрытия</t>
        </is>
      </c>
      <c r="D358" s="21" t="inlineStr">
        <is>
          <t>край по оси Г и оси 5</t>
        </is>
      </c>
      <c r="E358" s="21" t="inlineStr">
        <is>
          <t>ПМ-3.950</t>
        </is>
      </c>
      <c r="F358" s="72" t="inlineStr">
        <is>
          <t>14</t>
        </is>
      </c>
      <c r="G358" s="21" t="inlineStr">
        <is>
          <t>Пешка (П-образная) края плиты ш.400: 25825/400+1=66 + 20525/400+1=53</t>
        </is>
      </c>
      <c r="H358" s="51" t="n">
        <v>10</v>
      </c>
      <c r="I358" s="72" t="inlineStr">
        <is>
          <t>А240</t>
        </is>
      </c>
      <c r="J358" s="72" t="n">
        <v>400</v>
      </c>
      <c r="K358" s="75" t="n">
        <v>1</v>
      </c>
      <c r="L358" s="51" t="n">
        <v>119</v>
      </c>
      <c r="M358" s="69" t="n">
        <v>0.7</v>
      </c>
      <c r="N358" s="70">
        <f>K358*L358*M358</f>
        <v/>
      </c>
      <c r="O358" s="37">
        <f>IFERROR(INDEX(Исходные!$B$19:$B$31,MATCH(H358,Исходные!$A$19:$A$31,0)),0)</f>
        <v/>
      </c>
      <c r="P358" s="76">
        <f>N358*O358</f>
        <v/>
      </c>
      <c r="Q358" s="21" t="inlineStr">
        <is>
          <t>АС-55 сеч.6-6 поз.14; АС-58 поз.14 L=700</t>
        </is>
      </c>
      <c r="R358" s="77" t="inlineStr">
        <is>
          <t>по проекту</t>
        </is>
      </c>
      <c r="S358" s="21" t="inlineStr"/>
      <c r="T358" s="21" t="inlineStr">
        <is>
          <t>Ригели, балки, плита, С-1</t>
        </is>
      </c>
      <c r="U358" s="49" t="n">
        <v>0</v>
      </c>
      <c r="V358" s="72" t="inlineStr">
        <is>
          <t>П-край</t>
        </is>
      </c>
      <c r="W358" s="49" t="n">
        <v>1</v>
      </c>
    </row>
    <row r="359">
      <c r="A359" s="72" t="n">
        <v>350</v>
      </c>
      <c r="B359" s="21" t="inlineStr">
        <is>
          <t>1 этаж (отм. -0.050…+3.950)</t>
        </is>
      </c>
      <c r="C359" s="21" t="inlineStr">
        <is>
          <t>Плита перекрытия</t>
        </is>
      </c>
      <c r="D359" s="21" t="inlineStr">
        <is>
          <t>вся плита</t>
        </is>
      </c>
      <c r="E359" s="21" t="inlineStr">
        <is>
          <t>Ф-1</t>
        </is>
      </c>
      <c r="F359" s="72" t="inlineStr">
        <is>
          <t>Ф-1</t>
        </is>
      </c>
      <c r="G359" s="21" t="inlineStr">
        <is>
          <t>Фиксатор верхней сетки Ø10 ш.800×800 шахм.: 542.0 м² / 0,64 = 847 шт</t>
        </is>
      </c>
      <c r="H359" s="51" t="n">
        <v>10</v>
      </c>
      <c r="I359" s="72" t="inlineStr">
        <is>
          <t>А240</t>
        </is>
      </c>
      <c r="J359" s="72" t="inlineStr">
        <is>
          <t>800×800</t>
        </is>
      </c>
      <c r="K359" s="75" t="n">
        <v>1</v>
      </c>
      <c r="L359" s="51" t="n">
        <v>847</v>
      </c>
      <c r="M359" s="69" t="n">
        <v>0.42</v>
      </c>
      <c r="N359" s="70">
        <f>K359*L359*M359</f>
        <v/>
      </c>
      <c r="O359" s="37">
        <f>IFERROR(INDEX(Исходные!$B$19:$B$31,MATCH(H359,Исходные!$A$19:$A$31,0)),0)</f>
        <v/>
      </c>
      <c r="P359" s="76">
        <f>N359*O359</f>
        <v/>
      </c>
      <c r="Q359" s="21" t="inlineStr">
        <is>
          <t>АС-55 «Фиксатор» (длина в проекте не указана)</t>
        </is>
      </c>
      <c r="R359" s="79" t="inlineStr">
        <is>
          <t>ДЛИНА ПРИНЯТА (уточнить)</t>
        </is>
      </c>
      <c r="S359" s="21" t="inlineStr"/>
      <c r="T359" s="21" t="inlineStr">
        <is>
          <t>Ригели, балки, плита, С-1</t>
        </is>
      </c>
      <c r="U359" s="49" t="n">
        <v>1</v>
      </c>
      <c r="V359" s="72" t="inlineStr">
        <is>
          <t>П-фикс</t>
        </is>
      </c>
      <c r="W359" s="49" t="n">
        <v>1</v>
      </c>
    </row>
    <row r="360">
      <c r="A360" s="72" t="n">
        <v>351</v>
      </c>
      <c r="B360" s="21" t="inlineStr">
        <is>
          <t>1 этаж (отм. -0.050…+3.950)</t>
        </is>
      </c>
      <c r="C360" s="21" t="inlineStr">
        <is>
          <t>Плита перекрытия</t>
        </is>
      </c>
      <c r="D360" s="21" t="inlineStr">
        <is>
          <t>вся плита</t>
        </is>
      </c>
      <c r="E360" s="21" t="inlineStr">
        <is>
          <t>шп</t>
        </is>
      </c>
      <c r="F360" s="72" t="inlineStr">
        <is>
          <t>шп</t>
        </is>
      </c>
      <c r="G360" s="21" t="inlineStr">
        <is>
          <t>Шпилька Ø8 ш.800 шахм. между сетками: 847 шт</t>
        </is>
      </c>
      <c r="H360" s="51" t="n">
        <v>8</v>
      </c>
      <c r="I360" s="72" t="inlineStr">
        <is>
          <t>А240</t>
        </is>
      </c>
      <c r="J360" s="72" t="inlineStr">
        <is>
          <t>800</t>
        </is>
      </c>
      <c r="K360" s="75" t="n">
        <v>1</v>
      </c>
      <c r="L360" s="51" t="n">
        <v>847</v>
      </c>
      <c r="M360" s="69" t="n">
        <v>0.22</v>
      </c>
      <c r="N360" s="70">
        <f>K360*L360*M360</f>
        <v/>
      </c>
      <c r="O360" s="37">
        <f>IFERROR(INDEX(Исходные!$B$19:$B$31,MATCH(H360,Исходные!$A$19:$A$31,0)),0)</f>
        <v/>
      </c>
      <c r="P360" s="76">
        <f>N360*O360</f>
        <v/>
      </c>
      <c r="Q360" s="21" t="inlineStr">
        <is>
          <t>АС-55 «Фрагмент армирования перекрытия» (длина в проекте не указана)</t>
        </is>
      </c>
      <c r="R360" s="79" t="inlineStr">
        <is>
          <t>ДЛИНА ПРИНЯТА (уточнить)</t>
        </is>
      </c>
      <c r="S360" s="21" t="inlineStr"/>
      <c r="T360" s="21" t="inlineStr">
        <is>
          <t>Ригели, балки, плита, С-1</t>
        </is>
      </c>
      <c r="U360" s="49" t="n">
        <v>1</v>
      </c>
      <c r="V360" s="72" t="inlineStr">
        <is>
          <t>П-фикс</t>
        </is>
      </c>
      <c r="W360" s="49" t="n">
        <v>1</v>
      </c>
    </row>
    <row r="361">
      <c r="A361" s="74" t="inlineStr">
        <is>
          <t>1.5. БАЛКИ МОНОЛИТНОЙ ПЛИТЫ (сеч. 1-1…5-5) — отм. +3.950</t>
        </is>
      </c>
      <c r="B361" s="33" t="n"/>
      <c r="C361" s="33" t="n"/>
      <c r="D361" s="33" t="n"/>
      <c r="E361" s="33" t="n"/>
      <c r="F361" s="33" t="n"/>
      <c r="G361" s="33" t="n"/>
      <c r="H361" s="33" t="n"/>
      <c r="I361" s="33" t="n"/>
      <c r="J361" s="33" t="n"/>
      <c r="K361" s="33" t="n"/>
      <c r="L361" s="33" t="n"/>
      <c r="M361" s="33" t="n"/>
      <c r="N361" s="33" t="n"/>
      <c r="O361" s="33" t="n"/>
      <c r="P361" s="33" t="n"/>
      <c r="Q361" s="33" t="n"/>
      <c r="R361" s="33" t="n"/>
      <c r="S361" s="33" t="n"/>
      <c r="T361" s="33" t="n"/>
      <c r="U361" s="33" t="n"/>
      <c r="V361" s="33" t="n"/>
      <c r="W361" s="34" t="n"/>
    </row>
    <row r="362">
      <c r="A362" s="72" t="n">
        <v>352</v>
      </c>
      <c r="B362" s="21" t="inlineStr">
        <is>
          <t>1 этаж (отм. -0.050…+3.950)</t>
        </is>
      </c>
      <c r="C362" s="21" t="inlineStr">
        <is>
          <t>Плита перекрытия — балки</t>
        </is>
      </c>
      <c r="D362" s="21" t="inlineStr">
        <is>
          <t>ось ~3250, А–Г</t>
        </is>
      </c>
      <c r="E362" s="21" t="inlineStr">
        <is>
          <t>Б-1 (1-1)</t>
        </is>
      </c>
      <c r="F362" s="72" t="inlineStr">
        <is>
          <t>3</t>
        </is>
      </c>
      <c r="G362" s="21" t="inlineStr">
        <is>
          <t>Балка VB1: продольные 2Ø25 верх + 2Ø25 низ</t>
        </is>
      </c>
      <c r="H362" s="51" t="n">
        <v>25</v>
      </c>
      <c r="I362" s="72" t="inlineStr">
        <is>
          <t>А500С</t>
        </is>
      </c>
      <c r="J362" s="72" t="inlineStr">
        <is>
          <t>—</t>
        </is>
      </c>
      <c r="K362" s="75" t="n">
        <v>1</v>
      </c>
      <c r="L362" s="51" t="n">
        <v>4</v>
      </c>
      <c r="M362" s="69" t="n">
        <v>20.4</v>
      </c>
      <c r="N362" s="70">
        <f>K362*L362*M362</f>
        <v/>
      </c>
      <c r="O362" s="37">
        <f>IFERROR(INDEX(Исходные!$B$19:$B$31,MATCH(H362,Исходные!$A$19:$A$31,0)),0)</f>
        <v/>
      </c>
      <c r="P362" s="76">
        <f>N362*O362</f>
        <v/>
      </c>
      <c r="Q362" s="21" t="inlineStr">
        <is>
          <t>АС-55 сеч.1-1; АС-57 узлы «1»,«2» (до наружной грани ригеля, Аш)</t>
        </is>
      </c>
      <c r="R362" s="77" t="inlineStr">
        <is>
          <t>по геометрии чертежа</t>
        </is>
      </c>
      <c r="S362" s="21" t="inlineStr">
        <is>
          <t>Стыки ванной сваркой без нахлёста: 1 на стержень (всего 4).</t>
        </is>
      </c>
      <c r="T362" s="21" t="inlineStr">
        <is>
          <t>Ригели, балки, плита, С-1</t>
        </is>
      </c>
      <c r="U362" s="49" t="n">
        <v>0</v>
      </c>
      <c r="V362" s="72" t="inlineStr">
        <is>
          <t>Б-основная</t>
        </is>
      </c>
      <c r="W362" s="49" t="n">
        <v>1</v>
      </c>
    </row>
    <row r="363">
      <c r="A363" s="72" t="n">
        <v>353</v>
      </c>
      <c r="B363" s="21" t="inlineStr">
        <is>
          <t>1 этаж (отм. -0.050…+3.950)</t>
        </is>
      </c>
      <c r="C363" s="21" t="inlineStr">
        <is>
          <t>Плита перекрытия — балки</t>
        </is>
      </c>
      <c r="D363" s="21" t="inlineStr">
        <is>
          <t>ось ~9800, А–Г</t>
        </is>
      </c>
      <c r="E363" s="21" t="inlineStr">
        <is>
          <t>Б-1 (1-1)</t>
        </is>
      </c>
      <c r="F363" s="72" t="inlineStr">
        <is>
          <t>3</t>
        </is>
      </c>
      <c r="G363" s="21" t="inlineStr">
        <is>
          <t>Балка VB2: продольные 2Ø25 верх + 2Ø25 низ</t>
        </is>
      </c>
      <c r="H363" s="51" t="n">
        <v>25</v>
      </c>
      <c r="I363" s="72" t="inlineStr">
        <is>
          <t>А500С</t>
        </is>
      </c>
      <c r="J363" s="72" t="inlineStr">
        <is>
          <t>—</t>
        </is>
      </c>
      <c r="K363" s="75" t="n">
        <v>1</v>
      </c>
      <c r="L363" s="51" t="n">
        <v>4</v>
      </c>
      <c r="M363" s="69" t="n">
        <v>20.4</v>
      </c>
      <c r="N363" s="70">
        <f>K363*L363*M363</f>
        <v/>
      </c>
      <c r="O363" s="37">
        <f>IFERROR(INDEX(Исходные!$B$19:$B$31,MATCH(H363,Исходные!$A$19:$A$31,0)),0)</f>
        <v/>
      </c>
      <c r="P363" s="76">
        <f>N363*O363</f>
        <v/>
      </c>
      <c r="Q363" s="21" t="inlineStr">
        <is>
          <t>АС-55 сеч.1-1; АС-57 узлы «1»,«2» (до наружной грани ригеля, Аш)</t>
        </is>
      </c>
      <c r="R363" s="77" t="inlineStr">
        <is>
          <t>по геометрии чертежа</t>
        </is>
      </c>
      <c r="S363" s="21" t="inlineStr">
        <is>
          <t>Стыки ванной сваркой без нахлёста: 1 на стержень (всего 4).</t>
        </is>
      </c>
      <c r="T363" s="21" t="inlineStr">
        <is>
          <t>Ригели, балки, плита, С-1</t>
        </is>
      </c>
      <c r="U363" s="49" t="n">
        <v>0</v>
      </c>
      <c r="V363" s="72" t="inlineStr">
        <is>
          <t>Б-основная</t>
        </is>
      </c>
      <c r="W363" s="49" t="n">
        <v>1</v>
      </c>
    </row>
    <row r="364">
      <c r="A364" s="72" t="n">
        <v>354</v>
      </c>
      <c r="B364" s="21" t="inlineStr">
        <is>
          <t>1 этаж (отм. -0.050…+3.950)</t>
        </is>
      </c>
      <c r="C364" s="21" t="inlineStr">
        <is>
          <t>Плита перекрытия — балки</t>
        </is>
      </c>
      <c r="D364" s="21" t="inlineStr">
        <is>
          <t>ось ~17275, А–В</t>
        </is>
      </c>
      <c r="E364" s="21" t="inlineStr">
        <is>
          <t>Б-1 (1-1)</t>
        </is>
      </c>
      <c r="F364" s="72" t="inlineStr">
        <is>
          <t>3</t>
        </is>
      </c>
      <c r="G364" s="21" t="inlineStr">
        <is>
          <t>Балка VB3: продольные 2Ø25 верх + 2Ø25 низ</t>
        </is>
      </c>
      <c r="H364" s="51" t="n">
        <v>25</v>
      </c>
      <c r="I364" s="72" t="inlineStr">
        <is>
          <t>А500С</t>
        </is>
      </c>
      <c r="J364" s="72" t="inlineStr">
        <is>
          <t>—</t>
        </is>
      </c>
      <c r="K364" s="75" t="n">
        <v>1</v>
      </c>
      <c r="L364" s="51" t="n">
        <v>4</v>
      </c>
      <c r="M364" s="69" t="n">
        <v>13.9</v>
      </c>
      <c r="N364" s="70">
        <f>K364*L364*M364</f>
        <v/>
      </c>
      <c r="O364" s="37">
        <f>IFERROR(INDEX(Исходные!$B$19:$B$31,MATCH(H364,Исходные!$A$19:$A$31,0)),0)</f>
        <v/>
      </c>
      <c r="P364" s="76">
        <f>N364*O364</f>
        <v/>
      </c>
      <c r="Q364" s="21" t="inlineStr">
        <is>
          <t>АС-55 сеч.1-1; АС-57 узлы «1»,«2» (до наружной грани ригеля, Аш)</t>
        </is>
      </c>
      <c r="R364" s="77" t="inlineStr">
        <is>
          <t>по геометрии чертежа</t>
        </is>
      </c>
      <c r="S364" s="21" t="inlineStr">
        <is>
          <t>Стыки ванной сваркой без нахлёста: 1 на стержень (всего 4).</t>
        </is>
      </c>
      <c r="T364" s="21" t="inlineStr">
        <is>
          <t>Ригели, балки, плита, С-1</t>
        </is>
      </c>
      <c r="U364" s="49" t="n">
        <v>0</v>
      </c>
      <c r="V364" s="72" t="inlineStr">
        <is>
          <t>Б-основная</t>
        </is>
      </c>
      <c r="W364" s="49" t="n">
        <v>1</v>
      </c>
    </row>
    <row r="365">
      <c r="A365" s="72" t="n">
        <v>355</v>
      </c>
      <c r="B365" s="21" t="inlineStr">
        <is>
          <t>1 этаж (отм. -0.050…+3.950)</t>
        </is>
      </c>
      <c r="C365" s="21" t="inlineStr">
        <is>
          <t>Плита перекрытия — балки</t>
        </is>
      </c>
      <c r="D365" s="21" t="inlineStr">
        <is>
          <t>ось ~22000, А–Г</t>
        </is>
      </c>
      <c r="E365" s="21" t="inlineStr">
        <is>
          <t>Б-1 (1-1)</t>
        </is>
      </c>
      <c r="F365" s="72" t="inlineStr">
        <is>
          <t>3</t>
        </is>
      </c>
      <c r="G365" s="21" t="inlineStr">
        <is>
          <t>Балка VB4: продольные 2Ø25 верх + 2Ø25 низ</t>
        </is>
      </c>
      <c r="H365" s="51" t="n">
        <v>25</v>
      </c>
      <c r="I365" s="72" t="inlineStr">
        <is>
          <t>А500С</t>
        </is>
      </c>
      <c r="J365" s="72" t="inlineStr">
        <is>
          <t>—</t>
        </is>
      </c>
      <c r="K365" s="75" t="n">
        <v>1</v>
      </c>
      <c r="L365" s="51" t="n">
        <v>4</v>
      </c>
      <c r="M365" s="69" t="n">
        <v>20.4</v>
      </c>
      <c r="N365" s="70">
        <f>K365*L365*M365</f>
        <v/>
      </c>
      <c r="O365" s="37">
        <f>IFERROR(INDEX(Исходные!$B$19:$B$31,MATCH(H365,Исходные!$A$19:$A$31,0)),0)</f>
        <v/>
      </c>
      <c r="P365" s="76">
        <f>N365*O365</f>
        <v/>
      </c>
      <c r="Q365" s="21" t="inlineStr">
        <is>
          <t>АС-55 сеч.1-1; АС-57 узлы «1»,«2» (до наружной грани ригеля, Аш)</t>
        </is>
      </c>
      <c r="R365" s="77" t="inlineStr">
        <is>
          <t>по геометрии чертежа</t>
        </is>
      </c>
      <c r="S365" s="21" t="inlineStr">
        <is>
          <t>Стыки ванной сваркой без нахлёста: 1 на стержень (всего 4).</t>
        </is>
      </c>
      <c r="T365" s="21" t="inlineStr">
        <is>
          <t>Ригели, балки, плита, С-1</t>
        </is>
      </c>
      <c r="U365" s="49" t="n">
        <v>0</v>
      </c>
      <c r="V365" s="72" t="inlineStr">
        <is>
          <t>Б-основная</t>
        </is>
      </c>
      <c r="W365" s="49" t="n">
        <v>1</v>
      </c>
    </row>
    <row r="366">
      <c r="A366" s="72" t="n">
        <v>356</v>
      </c>
      <c r="B366" s="21" t="inlineStr">
        <is>
          <t>1 этаж (отм. -0.050…+3.950)</t>
        </is>
      </c>
      <c r="C366" s="21" t="inlineStr">
        <is>
          <t>Плита перекрытия — балки</t>
        </is>
      </c>
      <c r="D366" s="21" t="inlineStr">
        <is>
          <t>Y≈3250, оси 1–5</t>
        </is>
      </c>
      <c r="E366" s="21" t="inlineStr">
        <is>
          <t>Б-1 (1-1)</t>
        </is>
      </c>
      <c r="F366" s="72" t="inlineStr">
        <is>
          <t>3</t>
        </is>
      </c>
      <c r="G366" s="21" t="inlineStr">
        <is>
          <t>Балка HB1: продольные 2Ø25 верх + 2Ø25 низ</t>
        </is>
      </c>
      <c r="H366" s="51" t="n">
        <v>25</v>
      </c>
      <c r="I366" s="72" t="inlineStr">
        <is>
          <t>А500С</t>
        </is>
      </c>
      <c r="J366" s="72" t="inlineStr">
        <is>
          <t>—</t>
        </is>
      </c>
      <c r="K366" s="75" t="n">
        <v>1</v>
      </c>
      <c r="L366" s="51" t="n">
        <v>4</v>
      </c>
      <c r="M366" s="69" t="n">
        <v>25.4</v>
      </c>
      <c r="N366" s="70">
        <f>K366*L366*M366</f>
        <v/>
      </c>
      <c r="O366" s="37">
        <f>IFERROR(INDEX(Исходные!$B$19:$B$31,MATCH(H366,Исходные!$A$19:$A$31,0)),0)</f>
        <v/>
      </c>
      <c r="P366" s="76">
        <f>N366*O366</f>
        <v/>
      </c>
      <c r="Q366" s="21" t="inlineStr">
        <is>
          <t>АС-55 сеч.1-1; АС-57 узлы «1»,«2» (до наружной грани ригеля, Аш)</t>
        </is>
      </c>
      <c r="R366" s="77" t="inlineStr">
        <is>
          <t>по геометрии чертежа</t>
        </is>
      </c>
      <c r="S366" s="21" t="inlineStr">
        <is>
          <t>Стыки ванной сваркой без нахлёста: 2 на стержень (всего 8).</t>
        </is>
      </c>
      <c r="T366" s="21" t="inlineStr">
        <is>
          <t>Ригели, балки, плита, С-1</t>
        </is>
      </c>
      <c r="U366" s="49" t="n">
        <v>0</v>
      </c>
      <c r="V366" s="72" t="inlineStr">
        <is>
          <t>Б-основная</t>
        </is>
      </c>
      <c r="W366" s="49" t="n">
        <v>1</v>
      </c>
    </row>
    <row r="367">
      <c r="A367" s="72" t="n">
        <v>357</v>
      </c>
      <c r="B367" s="21" t="inlineStr">
        <is>
          <t>1 этаж (отм. -0.050…+3.950)</t>
        </is>
      </c>
      <c r="C367" s="21" t="inlineStr">
        <is>
          <t>Плита перекрытия — балки</t>
        </is>
      </c>
      <c r="D367" s="21" t="inlineStr">
        <is>
          <t>Y≈10000, оси 1–5</t>
        </is>
      </c>
      <c r="E367" s="21" t="inlineStr">
        <is>
          <t>Б-1 (1-1)</t>
        </is>
      </c>
      <c r="F367" s="72" t="inlineStr">
        <is>
          <t>3</t>
        </is>
      </c>
      <c r="G367" s="21" t="inlineStr">
        <is>
          <t>Балка HB2: продольные 2Ø25 верх + 2Ø25 низ</t>
        </is>
      </c>
      <c r="H367" s="51" t="n">
        <v>25</v>
      </c>
      <c r="I367" s="72" t="inlineStr">
        <is>
          <t>А500С</t>
        </is>
      </c>
      <c r="J367" s="72" t="inlineStr">
        <is>
          <t>—</t>
        </is>
      </c>
      <c r="K367" s="75" t="n">
        <v>1</v>
      </c>
      <c r="L367" s="51" t="n">
        <v>4</v>
      </c>
      <c r="M367" s="69" t="n">
        <v>25.4</v>
      </c>
      <c r="N367" s="70">
        <f>K367*L367*M367</f>
        <v/>
      </c>
      <c r="O367" s="37">
        <f>IFERROR(INDEX(Исходные!$B$19:$B$31,MATCH(H367,Исходные!$A$19:$A$31,0)),0)</f>
        <v/>
      </c>
      <c r="P367" s="76">
        <f>N367*O367</f>
        <v/>
      </c>
      <c r="Q367" s="21" t="inlineStr">
        <is>
          <t>АС-55 сеч.1-1; АС-57 узлы «1»,«2» (до наружной грани ригеля, Аш)</t>
        </is>
      </c>
      <c r="R367" s="77" t="inlineStr">
        <is>
          <t>по геометрии чертежа</t>
        </is>
      </c>
      <c r="S367" s="21" t="inlineStr">
        <is>
          <t>Стыки ванной сваркой без нахлёста: 2 на стержень (всего 8).</t>
        </is>
      </c>
      <c r="T367" s="21" t="inlineStr">
        <is>
          <t>Ригели, балки, плита, С-1</t>
        </is>
      </c>
      <c r="U367" s="49" t="n">
        <v>0</v>
      </c>
      <c r="V367" s="72" t="inlineStr">
        <is>
          <t>Б-основная</t>
        </is>
      </c>
      <c r="W367" s="49" t="n">
        <v>1</v>
      </c>
    </row>
    <row r="368">
      <c r="A368" s="72" t="n">
        <v>358</v>
      </c>
      <c r="B368" s="21" t="inlineStr">
        <is>
          <t>1 этаж (отм. -0.050…+3.950)</t>
        </is>
      </c>
      <c r="C368" s="21" t="inlineStr">
        <is>
          <t>Плита перекрытия — балки</t>
        </is>
      </c>
      <c r="D368" s="21" t="inlineStr">
        <is>
          <t>Y≈16750, оси 1–3</t>
        </is>
      </c>
      <c r="E368" s="21" t="inlineStr">
        <is>
          <t>Б-1 (1-1)</t>
        </is>
      </c>
      <c r="F368" s="72" t="inlineStr">
        <is>
          <t>3</t>
        </is>
      </c>
      <c r="G368" s="21" t="inlineStr">
        <is>
          <t>Балка HB3a: продольные 2Ø25 верх + 2Ø25 низ</t>
        </is>
      </c>
      <c r="H368" s="51" t="n">
        <v>25</v>
      </c>
      <c r="I368" s="72" t="inlineStr">
        <is>
          <t>А500С</t>
        </is>
      </c>
      <c r="J368" s="72" t="inlineStr">
        <is>
          <t>—</t>
        </is>
      </c>
      <c r="K368" s="75" t="n">
        <v>1</v>
      </c>
      <c r="L368" s="51" t="n">
        <v>4</v>
      </c>
      <c r="M368" s="69" t="n">
        <v>13.9</v>
      </c>
      <c r="N368" s="70">
        <f>K368*L368*M368</f>
        <v/>
      </c>
      <c r="O368" s="37">
        <f>IFERROR(INDEX(Исходные!$B$19:$B$31,MATCH(H368,Исходные!$A$19:$A$31,0)),0)</f>
        <v/>
      </c>
      <c r="P368" s="76">
        <f>N368*O368</f>
        <v/>
      </c>
      <c r="Q368" s="21" t="inlineStr">
        <is>
          <t>АС-55 сеч.1-1; АС-57 узлы «1»,«2» (до наружной грани ригеля, Аш)</t>
        </is>
      </c>
      <c r="R368" s="77" t="inlineStr">
        <is>
          <t>по геометрии чертежа</t>
        </is>
      </c>
      <c r="S368" s="21" t="inlineStr">
        <is>
          <t>Стыки ванной сваркой без нахлёста: 1 на стержень (всего 4).</t>
        </is>
      </c>
      <c r="T368" s="21" t="inlineStr">
        <is>
          <t>Ригели, балки, плита, С-1</t>
        </is>
      </c>
      <c r="U368" s="49" t="n">
        <v>0</v>
      </c>
      <c r="V368" s="72" t="inlineStr">
        <is>
          <t>Б-основная</t>
        </is>
      </c>
      <c r="W368" s="49" t="n">
        <v>1</v>
      </c>
    </row>
    <row r="369">
      <c r="A369" s="72" t="n">
        <v>359</v>
      </c>
      <c r="B369" s="21" t="inlineStr">
        <is>
          <t>1 этаж (отм. -0.050…+3.950)</t>
        </is>
      </c>
      <c r="C369" s="21" t="inlineStr">
        <is>
          <t>Плита перекрытия — балки</t>
        </is>
      </c>
      <c r="D369" s="21" t="inlineStr">
        <is>
          <t>Y≈16960, оси 3–5</t>
        </is>
      </c>
      <c r="E369" s="21" t="inlineStr">
        <is>
          <t>Б-5 (5-5)+Б-1</t>
        </is>
      </c>
      <c r="F369" s="72" t="inlineStr">
        <is>
          <t>3</t>
        </is>
      </c>
      <c r="G369" s="21" t="inlineStr">
        <is>
          <t>Балка HB3b: продольные 2Ø25 верх + 2Ø25 низ</t>
        </is>
      </c>
      <c r="H369" s="51" t="n">
        <v>25</v>
      </c>
      <c r="I369" s="72" t="inlineStr">
        <is>
          <t>А500С</t>
        </is>
      </c>
      <c r="J369" s="72" t="inlineStr">
        <is>
          <t>—</t>
        </is>
      </c>
      <c r="K369" s="75" t="n">
        <v>1</v>
      </c>
      <c r="L369" s="51" t="n">
        <v>4</v>
      </c>
      <c r="M369" s="69" t="n">
        <v>11.9</v>
      </c>
      <c r="N369" s="70">
        <f>K369*L369*M369</f>
        <v/>
      </c>
      <c r="O369" s="37">
        <f>IFERROR(INDEX(Исходные!$B$19:$B$31,MATCH(H369,Исходные!$A$19:$A$31,0)),0)</f>
        <v/>
      </c>
      <c r="P369" s="76">
        <f>N369*O369</f>
        <v/>
      </c>
      <c r="Q369" s="21" t="inlineStr">
        <is>
          <t>АС-55 сеч.5-5; АС-57 узлы «1»,«2» (до наружной грани ригеля, Аш)</t>
        </is>
      </c>
      <c r="R369" s="77" t="inlineStr">
        <is>
          <t>по геометрии чертежа</t>
        </is>
      </c>
      <c r="S369" s="21" t="inlineStr">
        <is>
          <t>Стыки ванной сваркой без нахлёста: 1 на стержень (всего 4).</t>
        </is>
      </c>
      <c r="T369" s="21" t="inlineStr">
        <is>
          <t>Ригели, балки, плита, С-1</t>
        </is>
      </c>
      <c r="U369" s="49" t="n">
        <v>0</v>
      </c>
      <c r="V369" s="72" t="inlineStr">
        <is>
          <t>Б-основная</t>
        </is>
      </c>
      <c r="W369" s="49" t="n">
        <v>1</v>
      </c>
    </row>
    <row r="370">
      <c r="A370" s="72" t="n">
        <v>360</v>
      </c>
      <c r="B370" s="21" t="inlineStr">
        <is>
          <t>1 этаж (отм. -0.050…+3.950)</t>
        </is>
      </c>
      <c r="C370" s="21" t="inlineStr">
        <is>
          <t>Плита перекрытия — балки</t>
        </is>
      </c>
      <c r="D370" s="21" t="inlineStr">
        <is>
          <t>X≈17550, В–балка 5-5</t>
        </is>
      </c>
      <c r="E370" s="21" t="inlineStr">
        <is>
          <t>Б-2 (2-2)</t>
        </is>
      </c>
      <c r="F370" s="72" t="inlineStr">
        <is>
          <t>3</t>
        </is>
      </c>
      <c r="G370" s="21" t="inlineStr">
        <is>
          <t>Балка B2a: продольные 2Ø25 верх + 2Ø25 низ</t>
        </is>
      </c>
      <c r="H370" s="51" t="n">
        <v>25</v>
      </c>
      <c r="I370" s="72" t="inlineStr">
        <is>
          <t>А500С</t>
        </is>
      </c>
      <c r="J370" s="72" t="inlineStr">
        <is>
          <t>—</t>
        </is>
      </c>
      <c r="K370" s="75" t="n">
        <v>1</v>
      </c>
      <c r="L370" s="51" t="n">
        <v>4</v>
      </c>
      <c r="M370" s="69" t="n">
        <v>3.785</v>
      </c>
      <c r="N370" s="70">
        <f>K370*L370*M370</f>
        <v/>
      </c>
      <c r="O370" s="37">
        <f>IFERROR(INDEX(Исходные!$B$19:$B$31,MATCH(H370,Исходные!$A$19:$A$31,0)),0)</f>
        <v/>
      </c>
      <c r="P370" s="76">
        <f>N370*O370</f>
        <v/>
      </c>
      <c r="Q370" s="21" t="inlineStr">
        <is>
          <t>АС-55 сеч.2-2; АС-57 узлы «1»,«2» (до наружной грани ригеля, Аш)</t>
        </is>
      </c>
      <c r="R370" s="77" t="inlineStr">
        <is>
          <t>по геометрии чертежа</t>
        </is>
      </c>
      <c r="S370" s="21" t="inlineStr"/>
      <c r="T370" s="21" t="inlineStr">
        <is>
          <t>Ригели, балки, плита, С-1</t>
        </is>
      </c>
      <c r="U370" s="49" t="n">
        <v>0</v>
      </c>
      <c r="V370" s="72" t="inlineStr">
        <is>
          <t>Б-основная</t>
        </is>
      </c>
      <c r="W370" s="49" t="n">
        <v>1</v>
      </c>
    </row>
    <row r="371">
      <c r="A371" s="72" t="n">
        <v>361</v>
      </c>
      <c r="B371" s="21" t="inlineStr">
        <is>
          <t>1 этаж (отм. -0.050…+3.950)</t>
        </is>
      </c>
      <c r="C371" s="21" t="inlineStr">
        <is>
          <t>Плита перекрытия — балки</t>
        </is>
      </c>
      <c r="D371" s="21" t="inlineStr">
        <is>
          <t>X≈18650, балка 5-5–Г</t>
        </is>
      </c>
      <c r="E371" s="21" t="inlineStr">
        <is>
          <t>Б-2 (2-2)</t>
        </is>
      </c>
      <c r="F371" s="72" t="inlineStr">
        <is>
          <t>3</t>
        </is>
      </c>
      <c r="G371" s="21" t="inlineStr">
        <is>
          <t>Балка B2b: продольные 2Ø25 верх + 2Ø25 низ</t>
        </is>
      </c>
      <c r="H371" s="51" t="n">
        <v>25</v>
      </c>
      <c r="I371" s="72" t="inlineStr">
        <is>
          <t>А500С</t>
        </is>
      </c>
      <c r="J371" s="72" t="inlineStr">
        <is>
          <t>—</t>
        </is>
      </c>
      <c r="K371" s="75" t="n">
        <v>1</v>
      </c>
      <c r="L371" s="51" t="n">
        <v>4</v>
      </c>
      <c r="M371" s="69" t="n">
        <v>3.365</v>
      </c>
      <c r="N371" s="70">
        <f>K371*L371*M371</f>
        <v/>
      </c>
      <c r="O371" s="37">
        <f>IFERROR(INDEX(Исходные!$B$19:$B$31,MATCH(H371,Исходные!$A$19:$A$31,0)),0)</f>
        <v/>
      </c>
      <c r="P371" s="76">
        <f>N371*O371</f>
        <v/>
      </c>
      <c r="Q371" s="21" t="inlineStr">
        <is>
          <t>АС-55 сеч.2-2; АС-57 узлы «1»,«2» (до наружной грани ригеля, Аш)</t>
        </is>
      </c>
      <c r="R371" s="77" t="inlineStr">
        <is>
          <t>по геометрии чертежа</t>
        </is>
      </c>
      <c r="S371" s="21" t="inlineStr"/>
      <c r="T371" s="21" t="inlineStr">
        <is>
          <t>Ригели, балки, плита, С-1</t>
        </is>
      </c>
      <c r="U371" s="49" t="n">
        <v>0</v>
      </c>
      <c r="V371" s="72" t="inlineStr">
        <is>
          <t>Б-основная</t>
        </is>
      </c>
      <c r="W371" s="49" t="n">
        <v>1</v>
      </c>
    </row>
    <row r="372">
      <c r="A372" s="72" t="n">
        <v>362</v>
      </c>
      <c r="B372" s="21" t="inlineStr">
        <is>
          <t>1 этаж (отм. -0.050…+3.950)</t>
        </is>
      </c>
      <c r="C372" s="21" t="inlineStr">
        <is>
          <t>Плита перекрытия — балки</t>
        </is>
      </c>
      <c r="D372" s="21" t="inlineStr">
        <is>
          <t>Y≈14310, 14800…17400</t>
        </is>
      </c>
      <c r="E372" s="21" t="inlineStr">
        <is>
          <t>Б-4 (4-4)</t>
        </is>
      </c>
      <c r="F372" s="72" t="inlineStr">
        <is>
          <t>5</t>
        </is>
      </c>
      <c r="G372" s="21" t="inlineStr">
        <is>
          <t>Балка B4a: продольные 2Ø20 верх + 2Ø20 низ</t>
        </is>
      </c>
      <c r="H372" s="51" t="n">
        <v>20</v>
      </c>
      <c r="I372" s="72" t="inlineStr">
        <is>
          <t>А500С</t>
        </is>
      </c>
      <c r="J372" s="72" t="inlineStr">
        <is>
          <t>—</t>
        </is>
      </c>
      <c r="K372" s="75" t="n">
        <v>1</v>
      </c>
      <c r="L372" s="51" t="n">
        <v>4</v>
      </c>
      <c r="M372" s="69" t="n">
        <v>3.05</v>
      </c>
      <c r="N372" s="70">
        <f>K372*L372*M372</f>
        <v/>
      </c>
      <c r="O372" s="37">
        <f>IFERROR(INDEX(Исходные!$B$19:$B$31,MATCH(H372,Исходные!$A$19:$A$31,0)),0)</f>
        <v/>
      </c>
      <c r="P372" s="76">
        <f>N372*O372</f>
        <v/>
      </c>
      <c r="Q372" s="21" t="inlineStr">
        <is>
          <t>АС-55 сеч.4-4; АС-57 узлы «1»,«2» (до наружной грани ригеля, Аш)</t>
        </is>
      </c>
      <c r="R372" s="77" t="inlineStr">
        <is>
          <t>по геометрии чертежа</t>
        </is>
      </c>
      <c r="S372" s="21" t="inlineStr"/>
      <c r="T372" s="21" t="inlineStr">
        <is>
          <t>Ригели, балки, плита, С-1</t>
        </is>
      </c>
      <c r="U372" s="49" t="n">
        <v>0</v>
      </c>
      <c r="V372" s="72" t="inlineStr">
        <is>
          <t>Б-основная</t>
        </is>
      </c>
      <c r="W372" s="49" t="n">
        <v>1</v>
      </c>
    </row>
    <row r="373">
      <c r="A373" s="72" t="n">
        <v>363</v>
      </c>
      <c r="B373" s="21" t="inlineStr">
        <is>
          <t>1 этаж (отм. -0.050…+3.950)</t>
        </is>
      </c>
      <c r="C373" s="21" t="inlineStr">
        <is>
          <t>Плита перекрытия — балки</t>
        </is>
      </c>
      <c r="D373" s="21" t="inlineStr">
        <is>
          <t>X≈14700, В–балка 5-5</t>
        </is>
      </c>
      <c r="E373" s="21" t="inlineStr">
        <is>
          <t>Б-4 (4-4)</t>
        </is>
      </c>
      <c r="F373" s="72" t="inlineStr">
        <is>
          <t>5</t>
        </is>
      </c>
      <c r="G373" s="21" t="inlineStr">
        <is>
          <t>Балка B4b: продольные 2Ø20 верх + 2Ø20 низ</t>
        </is>
      </c>
      <c r="H373" s="51" t="n">
        <v>20</v>
      </c>
      <c r="I373" s="72" t="inlineStr">
        <is>
          <t>А500С</t>
        </is>
      </c>
      <c r="J373" s="72" t="inlineStr">
        <is>
          <t>—</t>
        </is>
      </c>
      <c r="K373" s="75" t="n">
        <v>1</v>
      </c>
      <c r="L373" s="51" t="n">
        <v>4</v>
      </c>
      <c r="M373" s="69" t="n">
        <v>3.785</v>
      </c>
      <c r="N373" s="70">
        <f>K373*L373*M373</f>
        <v/>
      </c>
      <c r="O373" s="37">
        <f>IFERROR(INDEX(Исходные!$B$19:$B$31,MATCH(H373,Исходные!$A$19:$A$31,0)),0)</f>
        <v/>
      </c>
      <c r="P373" s="76">
        <f>N373*O373</f>
        <v/>
      </c>
      <c r="Q373" s="21" t="inlineStr">
        <is>
          <t>АС-55 сеч.4-4; АС-57 узлы «1»,«2» (до наружной грани ригеля, Аш)</t>
        </is>
      </c>
      <c r="R373" s="77" t="inlineStr">
        <is>
          <t>по геометрии чертежа</t>
        </is>
      </c>
      <c r="S373" s="21" t="inlineStr"/>
      <c r="T373" s="21" t="inlineStr">
        <is>
          <t>Ригели, балки, плита, С-1</t>
        </is>
      </c>
      <c r="U373" s="49" t="n">
        <v>0</v>
      </c>
      <c r="V373" s="72" t="inlineStr">
        <is>
          <t>Б-основная</t>
        </is>
      </c>
      <c r="W373" s="49" t="n">
        <v>1</v>
      </c>
    </row>
    <row r="374">
      <c r="A374" s="72" t="n">
        <v>364</v>
      </c>
      <c r="B374" s="21" t="inlineStr">
        <is>
          <t>1 этаж (отм. -0.050…+3.950)</t>
        </is>
      </c>
      <c r="C374" s="21" t="inlineStr">
        <is>
          <t>Плита перекрытия — балки</t>
        </is>
      </c>
      <c r="D374" s="21" t="inlineStr">
        <is>
          <t>Y≈12965, 13725…17125</t>
        </is>
      </c>
      <c r="E374" s="21" t="inlineStr">
        <is>
          <t>Б-4 (4-4)</t>
        </is>
      </c>
      <c r="F374" s="72" t="inlineStr">
        <is>
          <t>5</t>
        </is>
      </c>
      <c r="G374" s="21" t="inlineStr">
        <is>
          <t>Балка B4c: продольные 2Ø20 верх + 2Ø20 низ</t>
        </is>
      </c>
      <c r="H374" s="51" t="n">
        <v>20</v>
      </c>
      <c r="I374" s="72" t="inlineStr">
        <is>
          <t>А500С</t>
        </is>
      </c>
      <c r="J374" s="72" t="inlineStr">
        <is>
          <t>—</t>
        </is>
      </c>
      <c r="K374" s="75" t="n">
        <v>1</v>
      </c>
      <c r="L374" s="51" t="n">
        <v>4</v>
      </c>
      <c r="M374" s="69" t="n">
        <v>4.1</v>
      </c>
      <c r="N374" s="70">
        <f>K374*L374*M374</f>
        <v/>
      </c>
      <c r="O374" s="37">
        <f>IFERROR(INDEX(Исходные!$B$19:$B$31,MATCH(H374,Исходные!$A$19:$A$31,0)),0)</f>
        <v/>
      </c>
      <c r="P374" s="76">
        <f>N374*O374</f>
        <v/>
      </c>
      <c r="Q374" s="21" t="inlineStr">
        <is>
          <t>АС-55 сеч.4-4; АС-57 узлы «1»,«2» (до наружной грани ригеля, Аш)</t>
        </is>
      </c>
      <c r="R374" s="77" t="inlineStr">
        <is>
          <t>по геометрии чертежа</t>
        </is>
      </c>
      <c r="S374" s="21" t="inlineStr"/>
      <c r="T374" s="21" t="inlineStr">
        <is>
          <t>Ригели, балки, плита, С-1</t>
        </is>
      </c>
      <c r="U374" s="49" t="n">
        <v>0</v>
      </c>
      <c r="V374" s="72" t="inlineStr">
        <is>
          <t>Б-основная</t>
        </is>
      </c>
      <c r="W374" s="49" t="n">
        <v>1</v>
      </c>
    </row>
    <row r="375">
      <c r="A375" s="72" t="n">
        <v>365</v>
      </c>
      <c r="B375" s="21" t="inlineStr">
        <is>
          <t>1 этаж (отм. -0.050…+3.950)</t>
        </is>
      </c>
      <c r="C375" s="21" t="inlineStr">
        <is>
          <t>Плита перекрытия — балки</t>
        </is>
      </c>
      <c r="D375" s="21" t="inlineStr">
        <is>
          <t>Y≈8940, 22150…24775</t>
        </is>
      </c>
      <c r="E375" s="21" t="inlineStr">
        <is>
          <t>Б-4 (4-4)</t>
        </is>
      </c>
      <c r="F375" s="72" t="inlineStr">
        <is>
          <t>5</t>
        </is>
      </c>
      <c r="G375" s="21" t="inlineStr">
        <is>
          <t>Балка B4d: продольные 2Ø20 верх + 2Ø20 низ</t>
        </is>
      </c>
      <c r="H375" s="51" t="n">
        <v>20</v>
      </c>
      <c r="I375" s="72" t="inlineStr">
        <is>
          <t>А500С</t>
        </is>
      </c>
      <c r="J375" s="72" t="inlineStr">
        <is>
          <t>—</t>
        </is>
      </c>
      <c r="K375" s="75" t="n">
        <v>1</v>
      </c>
      <c r="L375" s="51" t="n">
        <v>4</v>
      </c>
      <c r="M375" s="69" t="n">
        <v>3.325</v>
      </c>
      <c r="N375" s="70">
        <f>K375*L375*M375</f>
        <v/>
      </c>
      <c r="O375" s="37">
        <f>IFERROR(INDEX(Исходные!$B$19:$B$31,MATCH(H375,Исходные!$A$19:$A$31,0)),0)</f>
        <v/>
      </c>
      <c r="P375" s="76">
        <f>N375*O375</f>
        <v/>
      </c>
      <c r="Q375" s="21" t="inlineStr">
        <is>
          <t>АС-55 сеч.4-4; АС-57 узлы «1»,«2» (до наружной грани ригеля, Аш)</t>
        </is>
      </c>
      <c r="R375" s="77" t="inlineStr">
        <is>
          <t>по геометрии чертежа</t>
        </is>
      </c>
      <c r="S375" s="21" t="inlineStr"/>
      <c r="T375" s="21" t="inlineStr">
        <is>
          <t>Ригели, балки, плита, С-1</t>
        </is>
      </c>
      <c r="U375" s="49" t="n">
        <v>0</v>
      </c>
      <c r="V375" s="72" t="inlineStr">
        <is>
          <t>Б-основная</t>
        </is>
      </c>
      <c r="W375" s="49" t="n">
        <v>1</v>
      </c>
    </row>
    <row r="376">
      <c r="A376" s="72" t="n">
        <v>366</v>
      </c>
      <c r="B376" s="21" t="inlineStr">
        <is>
          <t>1 этаж (отм. -0.050…+3.950)</t>
        </is>
      </c>
      <c r="C376" s="21" t="inlineStr">
        <is>
          <t>Плита перекрытия — балки</t>
        </is>
      </c>
      <c r="D376" s="21" t="inlineStr">
        <is>
          <t>Э1 (эркер у оси 1, Г–В)</t>
        </is>
      </c>
      <c r="E376" s="21" t="inlineStr">
        <is>
          <t>Б-3 (3-3)</t>
        </is>
      </c>
      <c r="F376" s="72" t="inlineStr">
        <is>
          <t>4</t>
        </is>
      </c>
      <c r="G376" s="21" t="inlineStr">
        <is>
          <t>Краевая балка эркера, участок 1: 4Ø22 (2 верх + 2 низ)</t>
        </is>
      </c>
      <c r="H376" s="51" t="n">
        <v>22</v>
      </c>
      <c r="I376" s="72" t="inlineStr">
        <is>
          <t>А500С</t>
        </is>
      </c>
      <c r="J376" s="72" t="inlineStr">
        <is>
          <t>—</t>
        </is>
      </c>
      <c r="K376" s="75" t="n">
        <v>1</v>
      </c>
      <c r="L376" s="51" t="n">
        <v>4</v>
      </c>
      <c r="M376" s="69" t="n">
        <v>2.175</v>
      </c>
      <c r="N376" s="70">
        <f>K376*L376*M376</f>
        <v/>
      </c>
      <c r="O376" s="37">
        <f>IFERROR(INDEX(Исходные!$B$19:$B$31,MATCH(H376,Исходные!$A$19:$A$31,0)),0)</f>
        <v/>
      </c>
      <c r="P376" s="76">
        <f>N376*O376</f>
        <v/>
      </c>
      <c r="Q376" s="21" t="inlineStr">
        <is>
          <t>АС-55 сеч.3-3 поз.4; контур АС-47</t>
        </is>
      </c>
      <c r="R376" s="77" t="inlineStr">
        <is>
          <t>по геометрии чертежа</t>
        </is>
      </c>
      <c r="S376" s="21" t="inlineStr"/>
      <c r="T376" s="21" t="inlineStr">
        <is>
          <t>Ригели, балки, плита, С-1</t>
        </is>
      </c>
      <c r="U376" s="49" t="n">
        <v>0</v>
      </c>
      <c r="V376" s="72" t="inlineStr">
        <is>
          <t>Б-основная</t>
        </is>
      </c>
      <c r="W376" s="49" t="n">
        <v>1</v>
      </c>
    </row>
    <row r="377">
      <c r="A377" s="72" t="n">
        <v>367</v>
      </c>
      <c r="B377" s="21" t="inlineStr">
        <is>
          <t>1 этаж (отм. -0.050…+3.950)</t>
        </is>
      </c>
      <c r="C377" s="21" t="inlineStr">
        <is>
          <t>Плита перекрытия — балки</t>
        </is>
      </c>
      <c r="D377" s="21" t="inlineStr">
        <is>
          <t>Э1 (эркер у оси 1, Г–В)</t>
        </is>
      </c>
      <c r="E377" s="21" t="inlineStr">
        <is>
          <t>Б-3 (3-3)</t>
        </is>
      </c>
      <c r="F377" s="72" t="inlineStr">
        <is>
          <t>4</t>
        </is>
      </c>
      <c r="G377" s="21" t="inlineStr">
        <is>
          <t>Краевая балка эркера, участок 2: 4Ø22 (2 верх + 2 низ)</t>
        </is>
      </c>
      <c r="H377" s="51" t="n">
        <v>22</v>
      </c>
      <c r="I377" s="72" t="inlineStr">
        <is>
          <t>А500С</t>
        </is>
      </c>
      <c r="J377" s="72" t="inlineStr">
        <is>
          <t>—</t>
        </is>
      </c>
      <c r="K377" s="75" t="n">
        <v>1</v>
      </c>
      <c r="L377" s="51" t="n">
        <v>4</v>
      </c>
      <c r="M377" s="69" t="n">
        <v>4.15</v>
      </c>
      <c r="N377" s="70">
        <f>K377*L377*M377</f>
        <v/>
      </c>
      <c r="O377" s="37">
        <f>IFERROR(INDEX(Исходные!$B$19:$B$31,MATCH(H377,Исходные!$A$19:$A$31,0)),0)</f>
        <v/>
      </c>
      <c r="P377" s="76">
        <f>N377*O377</f>
        <v/>
      </c>
      <c r="Q377" s="21" t="inlineStr">
        <is>
          <t>АС-55 сеч.3-3 поз.4; контур АС-47</t>
        </is>
      </c>
      <c r="R377" s="77" t="inlineStr">
        <is>
          <t>по геометрии чертежа</t>
        </is>
      </c>
      <c r="S377" s="21" t="inlineStr"/>
      <c r="T377" s="21" t="inlineStr">
        <is>
          <t>Ригели, балки, плита, С-1</t>
        </is>
      </c>
      <c r="U377" s="49" t="n">
        <v>0</v>
      </c>
      <c r="V377" s="72" t="inlineStr">
        <is>
          <t>Б-основная</t>
        </is>
      </c>
      <c r="W377" s="49" t="n">
        <v>1</v>
      </c>
    </row>
    <row r="378">
      <c r="A378" s="72" t="n">
        <v>368</v>
      </c>
      <c r="B378" s="21" t="inlineStr">
        <is>
          <t>1 этаж (отм. -0.050…+3.950)</t>
        </is>
      </c>
      <c r="C378" s="21" t="inlineStr">
        <is>
          <t>Плита перекрытия — балки</t>
        </is>
      </c>
      <c r="D378" s="21" t="inlineStr">
        <is>
          <t>Э1 (эркер у оси 1, Г–В)</t>
        </is>
      </c>
      <c r="E378" s="21" t="inlineStr">
        <is>
          <t>Б-3 (3-3)</t>
        </is>
      </c>
      <c r="F378" s="72" t="inlineStr">
        <is>
          <t>4</t>
        </is>
      </c>
      <c r="G378" s="21" t="inlineStr">
        <is>
          <t>Краевая балка эркера, участок 3: 4Ø22 (2 верх + 2 низ)</t>
        </is>
      </c>
      <c r="H378" s="51" t="n">
        <v>22</v>
      </c>
      <c r="I378" s="72" t="inlineStr">
        <is>
          <t>А500С</t>
        </is>
      </c>
      <c r="J378" s="72" t="inlineStr">
        <is>
          <t>—</t>
        </is>
      </c>
      <c r="K378" s="75" t="n">
        <v>1</v>
      </c>
      <c r="L378" s="51" t="n">
        <v>4</v>
      </c>
      <c r="M378" s="69" t="n">
        <v>2.175</v>
      </c>
      <c r="N378" s="70">
        <f>K378*L378*M378</f>
        <v/>
      </c>
      <c r="O378" s="37">
        <f>IFERROR(INDEX(Исходные!$B$19:$B$31,MATCH(H378,Исходные!$A$19:$A$31,0)),0)</f>
        <v/>
      </c>
      <c r="P378" s="76">
        <f>N378*O378</f>
        <v/>
      </c>
      <c r="Q378" s="21" t="inlineStr">
        <is>
          <t>АС-55 сеч.3-3 поз.4; контур АС-47</t>
        </is>
      </c>
      <c r="R378" s="77" t="inlineStr">
        <is>
          <t>по геометрии чертежа</t>
        </is>
      </c>
      <c r="S378" s="21" t="inlineStr"/>
      <c r="T378" s="21" t="inlineStr">
        <is>
          <t>Ригели, балки, плита, С-1</t>
        </is>
      </c>
      <c r="U378" s="49" t="n">
        <v>0</v>
      </c>
      <c r="V378" s="72" t="inlineStr">
        <is>
          <t>Б-основная</t>
        </is>
      </c>
      <c r="W378" s="49" t="n">
        <v>1</v>
      </c>
    </row>
    <row r="379">
      <c r="A379" s="72" t="n">
        <v>369</v>
      </c>
      <c r="B379" s="21" t="inlineStr">
        <is>
          <t>1 этаж (отм. -0.050…+3.950)</t>
        </is>
      </c>
      <c r="C379" s="21" t="inlineStr">
        <is>
          <t>Плита перекрытия — балки</t>
        </is>
      </c>
      <c r="D379" s="21" t="inlineStr">
        <is>
          <t>Э2 (эркер у оси 1, В–Б)</t>
        </is>
      </c>
      <c r="E379" s="21" t="inlineStr">
        <is>
          <t>Б-3 (3-3)</t>
        </is>
      </c>
      <c r="F379" s="72" t="inlineStr">
        <is>
          <t>4</t>
        </is>
      </c>
      <c r="G379" s="21" t="inlineStr">
        <is>
          <t>Краевая балка эркера, участок 1: 4Ø22 (2 верх + 2 низ)</t>
        </is>
      </c>
      <c r="H379" s="51" t="n">
        <v>22</v>
      </c>
      <c r="I379" s="72" t="inlineStr">
        <is>
          <t>А500С</t>
        </is>
      </c>
      <c r="J379" s="72" t="inlineStr">
        <is>
          <t>—</t>
        </is>
      </c>
      <c r="K379" s="75" t="n">
        <v>1</v>
      </c>
      <c r="L379" s="51" t="n">
        <v>4</v>
      </c>
      <c r="M379" s="69" t="n">
        <v>2.175</v>
      </c>
      <c r="N379" s="70">
        <f>K379*L379*M379</f>
        <v/>
      </c>
      <c r="O379" s="37">
        <f>IFERROR(INDEX(Исходные!$B$19:$B$31,MATCH(H379,Исходные!$A$19:$A$31,0)),0)</f>
        <v/>
      </c>
      <c r="P379" s="76">
        <f>N379*O379</f>
        <v/>
      </c>
      <c r="Q379" s="21" t="inlineStr">
        <is>
          <t>АС-55 сеч.3-3 поз.4; контур АС-47</t>
        </is>
      </c>
      <c r="R379" s="77" t="inlineStr">
        <is>
          <t>по геометрии чертежа</t>
        </is>
      </c>
      <c r="S379" s="21" t="inlineStr"/>
      <c r="T379" s="21" t="inlineStr">
        <is>
          <t>Ригели, балки, плита, С-1</t>
        </is>
      </c>
      <c r="U379" s="49" t="n">
        <v>0</v>
      </c>
      <c r="V379" s="72" t="inlineStr">
        <is>
          <t>Б-основная</t>
        </is>
      </c>
      <c r="W379" s="49" t="n">
        <v>1</v>
      </c>
    </row>
    <row r="380">
      <c r="A380" s="72" t="n">
        <v>370</v>
      </c>
      <c r="B380" s="21" t="inlineStr">
        <is>
          <t>1 этаж (отм. -0.050…+3.950)</t>
        </is>
      </c>
      <c r="C380" s="21" t="inlineStr">
        <is>
          <t>Плита перекрытия — балки</t>
        </is>
      </c>
      <c r="D380" s="21" t="inlineStr">
        <is>
          <t>Э2 (эркер у оси 1, В–Б)</t>
        </is>
      </c>
      <c r="E380" s="21" t="inlineStr">
        <is>
          <t>Б-3 (3-3)</t>
        </is>
      </c>
      <c r="F380" s="72" t="inlineStr">
        <is>
          <t>4</t>
        </is>
      </c>
      <c r="G380" s="21" t="inlineStr">
        <is>
          <t>Краевая балка эркера, участок 2: 4Ø22 (2 верх + 2 низ)</t>
        </is>
      </c>
      <c r="H380" s="51" t="n">
        <v>22</v>
      </c>
      <c r="I380" s="72" t="inlineStr">
        <is>
          <t>А500С</t>
        </is>
      </c>
      <c r="J380" s="72" t="inlineStr">
        <is>
          <t>—</t>
        </is>
      </c>
      <c r="K380" s="75" t="n">
        <v>1</v>
      </c>
      <c r="L380" s="51" t="n">
        <v>4</v>
      </c>
      <c r="M380" s="69" t="n">
        <v>4.15</v>
      </c>
      <c r="N380" s="70">
        <f>K380*L380*M380</f>
        <v/>
      </c>
      <c r="O380" s="37">
        <f>IFERROR(INDEX(Исходные!$B$19:$B$31,MATCH(H380,Исходные!$A$19:$A$31,0)),0)</f>
        <v/>
      </c>
      <c r="P380" s="76">
        <f>N380*O380</f>
        <v/>
      </c>
      <c r="Q380" s="21" t="inlineStr">
        <is>
          <t>АС-55 сеч.3-3 поз.4; контур АС-47</t>
        </is>
      </c>
      <c r="R380" s="77" t="inlineStr">
        <is>
          <t>по геометрии чертежа</t>
        </is>
      </c>
      <c r="S380" s="21" t="inlineStr"/>
      <c r="T380" s="21" t="inlineStr">
        <is>
          <t>Ригели, балки, плита, С-1</t>
        </is>
      </c>
      <c r="U380" s="49" t="n">
        <v>0</v>
      </c>
      <c r="V380" s="72" t="inlineStr">
        <is>
          <t>Б-основная</t>
        </is>
      </c>
      <c r="W380" s="49" t="n">
        <v>1</v>
      </c>
    </row>
    <row r="381">
      <c r="A381" s="72" t="n">
        <v>371</v>
      </c>
      <c r="B381" s="21" t="inlineStr">
        <is>
          <t>1 этаж (отм. -0.050…+3.950)</t>
        </is>
      </c>
      <c r="C381" s="21" t="inlineStr">
        <is>
          <t>Плита перекрытия — балки</t>
        </is>
      </c>
      <c r="D381" s="21" t="inlineStr">
        <is>
          <t>Э2 (эркер у оси 1, В–Б)</t>
        </is>
      </c>
      <c r="E381" s="21" t="inlineStr">
        <is>
          <t>Б-3 (3-3)</t>
        </is>
      </c>
      <c r="F381" s="72" t="inlineStr">
        <is>
          <t>4</t>
        </is>
      </c>
      <c r="G381" s="21" t="inlineStr">
        <is>
          <t>Краевая балка эркера, участок 3: 4Ø22 (2 верх + 2 низ)</t>
        </is>
      </c>
      <c r="H381" s="51" t="n">
        <v>22</v>
      </c>
      <c r="I381" s="72" t="inlineStr">
        <is>
          <t>А500С</t>
        </is>
      </c>
      <c r="J381" s="72" t="inlineStr">
        <is>
          <t>—</t>
        </is>
      </c>
      <c r="K381" s="75" t="n">
        <v>1</v>
      </c>
      <c r="L381" s="51" t="n">
        <v>4</v>
      </c>
      <c r="M381" s="69" t="n">
        <v>2.175</v>
      </c>
      <c r="N381" s="70">
        <f>K381*L381*M381</f>
        <v/>
      </c>
      <c r="O381" s="37">
        <f>IFERROR(INDEX(Исходные!$B$19:$B$31,MATCH(H381,Исходные!$A$19:$A$31,0)),0)</f>
        <v/>
      </c>
      <c r="P381" s="76">
        <f>N381*O381</f>
        <v/>
      </c>
      <c r="Q381" s="21" t="inlineStr">
        <is>
          <t>АС-55 сеч.3-3 поз.4; контур АС-47</t>
        </is>
      </c>
      <c r="R381" s="77" t="inlineStr">
        <is>
          <t>по геометрии чертежа</t>
        </is>
      </c>
      <c r="S381" s="21" t="inlineStr"/>
      <c r="T381" s="21" t="inlineStr">
        <is>
          <t>Ригели, балки, плита, С-1</t>
        </is>
      </c>
      <c r="U381" s="49" t="n">
        <v>0</v>
      </c>
      <c r="V381" s="72" t="inlineStr">
        <is>
          <t>Б-основная</t>
        </is>
      </c>
      <c r="W381" s="49" t="n">
        <v>1</v>
      </c>
    </row>
    <row r="382">
      <c r="A382" s="72" t="n">
        <v>372</v>
      </c>
      <c r="B382" s="21" t="inlineStr">
        <is>
          <t>1 этаж (отм. -0.050…+3.950)</t>
        </is>
      </c>
      <c r="C382" s="21" t="inlineStr">
        <is>
          <t>Плита перекрытия — балки</t>
        </is>
      </c>
      <c r="D382" s="21" t="inlineStr">
        <is>
          <t>Э3 (эркер у оси А, 1–2)</t>
        </is>
      </c>
      <c r="E382" s="21" t="inlineStr">
        <is>
          <t>Б-3 (3-3)</t>
        </is>
      </c>
      <c r="F382" s="72" t="inlineStr">
        <is>
          <t>4</t>
        </is>
      </c>
      <c r="G382" s="21" t="inlineStr">
        <is>
          <t>Краевая балка эркера, участок 1: 4Ø22 (2 верх + 2 низ)</t>
        </is>
      </c>
      <c r="H382" s="51" t="n">
        <v>22</v>
      </c>
      <c r="I382" s="72" t="inlineStr">
        <is>
          <t>А500С</t>
        </is>
      </c>
      <c r="J382" s="72" t="inlineStr">
        <is>
          <t>—</t>
        </is>
      </c>
      <c r="K382" s="75" t="n">
        <v>1</v>
      </c>
      <c r="L382" s="51" t="n">
        <v>4</v>
      </c>
      <c r="M382" s="69" t="n">
        <v>2.15</v>
      </c>
      <c r="N382" s="70">
        <f>K382*L382*M382</f>
        <v/>
      </c>
      <c r="O382" s="37">
        <f>IFERROR(INDEX(Исходные!$B$19:$B$31,MATCH(H382,Исходные!$A$19:$A$31,0)),0)</f>
        <v/>
      </c>
      <c r="P382" s="76">
        <f>N382*O382</f>
        <v/>
      </c>
      <c r="Q382" s="21" t="inlineStr">
        <is>
          <t>АС-55 сеч.3-3 поз.4; контур АС-47</t>
        </is>
      </c>
      <c r="R382" s="77" t="inlineStr">
        <is>
          <t>по геометрии чертежа</t>
        </is>
      </c>
      <c r="S382" s="21" t="inlineStr"/>
      <c r="T382" s="21" t="inlineStr">
        <is>
          <t>Ригели, балки, плита, С-1</t>
        </is>
      </c>
      <c r="U382" s="49" t="n">
        <v>0</v>
      </c>
      <c r="V382" s="72" t="inlineStr">
        <is>
          <t>Б-основная</t>
        </is>
      </c>
      <c r="W382" s="49" t="n">
        <v>1</v>
      </c>
    </row>
    <row r="383">
      <c r="A383" s="72" t="n">
        <v>373</v>
      </c>
      <c r="B383" s="21" t="inlineStr">
        <is>
          <t>1 этаж (отм. -0.050…+3.950)</t>
        </is>
      </c>
      <c r="C383" s="21" t="inlineStr">
        <is>
          <t>Плита перекрытия — балки</t>
        </is>
      </c>
      <c r="D383" s="21" t="inlineStr">
        <is>
          <t>Э3 (эркер у оси А, 1–2)</t>
        </is>
      </c>
      <c r="E383" s="21" t="inlineStr">
        <is>
          <t>Б-3 (3-3)</t>
        </is>
      </c>
      <c r="F383" s="72" t="inlineStr">
        <is>
          <t>4</t>
        </is>
      </c>
      <c r="G383" s="21" t="inlineStr">
        <is>
          <t>Краевая балка эркера, участок 2: 4Ø22 (2 верх + 2 низ)</t>
        </is>
      </c>
      <c r="H383" s="51" t="n">
        <v>22</v>
      </c>
      <c r="I383" s="72" t="inlineStr">
        <is>
          <t>А500С</t>
        </is>
      </c>
      <c r="J383" s="72" t="inlineStr">
        <is>
          <t>—</t>
        </is>
      </c>
      <c r="K383" s="75" t="n">
        <v>1</v>
      </c>
      <c r="L383" s="51" t="n">
        <v>4</v>
      </c>
      <c r="M383" s="69" t="n">
        <v>3.775</v>
      </c>
      <c r="N383" s="70">
        <f>K383*L383*M383</f>
        <v/>
      </c>
      <c r="O383" s="37">
        <f>IFERROR(INDEX(Исходные!$B$19:$B$31,MATCH(H383,Исходные!$A$19:$A$31,0)),0)</f>
        <v/>
      </c>
      <c r="P383" s="76">
        <f>N383*O383</f>
        <v/>
      </c>
      <c r="Q383" s="21" t="inlineStr">
        <is>
          <t>АС-55 сеч.3-3 поз.4; контур АС-47</t>
        </is>
      </c>
      <c r="R383" s="77" t="inlineStr">
        <is>
          <t>по геометрии чертежа</t>
        </is>
      </c>
      <c r="S383" s="21" t="inlineStr"/>
      <c r="T383" s="21" t="inlineStr">
        <is>
          <t>Ригели, балки, плита, С-1</t>
        </is>
      </c>
      <c r="U383" s="49" t="n">
        <v>0</v>
      </c>
      <c r="V383" s="72" t="inlineStr">
        <is>
          <t>Б-основная</t>
        </is>
      </c>
      <c r="W383" s="49" t="n">
        <v>1</v>
      </c>
    </row>
    <row r="384">
      <c r="A384" s="72" t="n">
        <v>374</v>
      </c>
      <c r="B384" s="21" t="inlineStr">
        <is>
          <t>1 этаж (отм. -0.050…+3.950)</t>
        </is>
      </c>
      <c r="C384" s="21" t="inlineStr">
        <is>
          <t>Плита перекрытия — балки</t>
        </is>
      </c>
      <c r="D384" s="21" t="inlineStr">
        <is>
          <t>Э3 (эркер у оси А, 1–2)</t>
        </is>
      </c>
      <c r="E384" s="21" t="inlineStr">
        <is>
          <t>Б-3 (3-3)</t>
        </is>
      </c>
      <c r="F384" s="72" t="inlineStr">
        <is>
          <t>4</t>
        </is>
      </c>
      <c r="G384" s="21" t="inlineStr">
        <is>
          <t>Краевая балка эркера, участок 3: 4Ø22 (2 верх + 2 низ)</t>
        </is>
      </c>
      <c r="H384" s="51" t="n">
        <v>22</v>
      </c>
      <c r="I384" s="72" t="inlineStr">
        <is>
          <t>А500С</t>
        </is>
      </c>
      <c r="J384" s="72" t="inlineStr">
        <is>
          <t>—</t>
        </is>
      </c>
      <c r="K384" s="75" t="n">
        <v>1</v>
      </c>
      <c r="L384" s="51" t="n">
        <v>4</v>
      </c>
      <c r="M384" s="69" t="n">
        <v>2.15</v>
      </c>
      <c r="N384" s="70">
        <f>K384*L384*M384</f>
        <v/>
      </c>
      <c r="O384" s="37">
        <f>IFERROR(INDEX(Исходные!$B$19:$B$31,MATCH(H384,Исходные!$A$19:$A$31,0)),0)</f>
        <v/>
      </c>
      <c r="P384" s="76">
        <f>N384*O384</f>
        <v/>
      </c>
      <c r="Q384" s="21" t="inlineStr">
        <is>
          <t>АС-55 сеч.3-3 поз.4; контур АС-47</t>
        </is>
      </c>
      <c r="R384" s="77" t="inlineStr">
        <is>
          <t>по геометрии чертежа</t>
        </is>
      </c>
      <c r="S384" s="21" t="inlineStr"/>
      <c r="T384" s="21" t="inlineStr">
        <is>
          <t>Ригели, балки, плита, С-1</t>
        </is>
      </c>
      <c r="U384" s="49" t="n">
        <v>0</v>
      </c>
      <c r="V384" s="72" t="inlineStr">
        <is>
          <t>Б-основная</t>
        </is>
      </c>
      <c r="W384" s="49" t="n">
        <v>1</v>
      </c>
    </row>
    <row r="385">
      <c r="A385" s="72" t="n">
        <v>375</v>
      </c>
      <c r="B385" s="21" t="inlineStr">
        <is>
          <t>1 этаж (отм. -0.050…+3.950)</t>
        </is>
      </c>
      <c r="C385" s="21" t="inlineStr">
        <is>
          <t>Плита перекрытия — балки</t>
        </is>
      </c>
      <c r="D385" s="21" t="inlineStr">
        <is>
          <t>Э4 (эркер у оси А, 2–4)</t>
        </is>
      </c>
      <c r="E385" s="21" t="inlineStr">
        <is>
          <t>Б-3 (3-3)</t>
        </is>
      </c>
      <c r="F385" s="72" t="inlineStr">
        <is>
          <t>4</t>
        </is>
      </c>
      <c r="G385" s="21" t="inlineStr">
        <is>
          <t>Краевая балка эркера, участок 1: 4Ø22 (2 верх + 2 низ)</t>
        </is>
      </c>
      <c r="H385" s="51" t="n">
        <v>22</v>
      </c>
      <c r="I385" s="72" t="inlineStr">
        <is>
          <t>А500С</t>
        </is>
      </c>
      <c r="J385" s="72" t="inlineStr">
        <is>
          <t>—</t>
        </is>
      </c>
      <c r="K385" s="75" t="n">
        <v>1</v>
      </c>
      <c r="L385" s="51" t="n">
        <v>4</v>
      </c>
      <c r="M385" s="69" t="n">
        <v>2.15</v>
      </c>
      <c r="N385" s="70">
        <f>K385*L385*M385</f>
        <v/>
      </c>
      <c r="O385" s="37">
        <f>IFERROR(INDEX(Исходные!$B$19:$B$31,MATCH(H385,Исходные!$A$19:$A$31,0)),0)</f>
        <v/>
      </c>
      <c r="P385" s="76">
        <f>N385*O385</f>
        <v/>
      </c>
      <c r="Q385" s="21" t="inlineStr">
        <is>
          <t>АС-55 сеч.3-3 поз.4; контур АС-47</t>
        </is>
      </c>
      <c r="R385" s="77" t="inlineStr">
        <is>
          <t>по геометрии чертежа</t>
        </is>
      </c>
      <c r="S385" s="21" t="inlineStr"/>
      <c r="T385" s="21" t="inlineStr">
        <is>
          <t>Ригели, балки, плита, С-1</t>
        </is>
      </c>
      <c r="U385" s="49" t="n">
        <v>0</v>
      </c>
      <c r="V385" s="72" t="inlineStr">
        <is>
          <t>Б-основная</t>
        </is>
      </c>
      <c r="W385" s="49" t="n">
        <v>1</v>
      </c>
    </row>
    <row r="386">
      <c r="A386" s="72" t="n">
        <v>376</v>
      </c>
      <c r="B386" s="21" t="inlineStr">
        <is>
          <t>1 этаж (отм. -0.050…+3.950)</t>
        </is>
      </c>
      <c r="C386" s="21" t="inlineStr">
        <is>
          <t>Плита перекрытия — балки</t>
        </is>
      </c>
      <c r="D386" s="21" t="inlineStr">
        <is>
          <t>Э4 (эркер у оси А, 2–4)</t>
        </is>
      </c>
      <c r="E386" s="21" t="inlineStr">
        <is>
          <t>Б-3 (3-3)</t>
        </is>
      </c>
      <c r="F386" s="72" t="inlineStr">
        <is>
          <t>4</t>
        </is>
      </c>
      <c r="G386" s="21" t="inlineStr">
        <is>
          <t>Краевая балка эркера, участок 2: 4Ø22 (2 верх + 2 низ)</t>
        </is>
      </c>
      <c r="H386" s="51" t="n">
        <v>22</v>
      </c>
      <c r="I386" s="72" t="inlineStr">
        <is>
          <t>А500С</t>
        </is>
      </c>
      <c r="J386" s="72" t="inlineStr">
        <is>
          <t>—</t>
        </is>
      </c>
      <c r="K386" s="75" t="n">
        <v>1</v>
      </c>
      <c r="L386" s="51" t="n">
        <v>4</v>
      </c>
      <c r="M386" s="69" t="n">
        <v>7.95</v>
      </c>
      <c r="N386" s="70">
        <f>K386*L386*M386</f>
        <v/>
      </c>
      <c r="O386" s="37">
        <f>IFERROR(INDEX(Исходные!$B$19:$B$31,MATCH(H386,Исходные!$A$19:$A$31,0)),0)</f>
        <v/>
      </c>
      <c r="P386" s="76">
        <f>N386*O386</f>
        <v/>
      </c>
      <c r="Q386" s="21" t="inlineStr">
        <is>
          <t>АС-55 сеч.3-3 поз.4; контур АС-47</t>
        </is>
      </c>
      <c r="R386" s="77" t="inlineStr">
        <is>
          <t>по геометрии чертежа</t>
        </is>
      </c>
      <c r="S386" s="21" t="inlineStr"/>
      <c r="T386" s="21" t="inlineStr">
        <is>
          <t>Ригели, балки, плита, С-1</t>
        </is>
      </c>
      <c r="U386" s="49" t="n">
        <v>0</v>
      </c>
      <c r="V386" s="72" t="inlineStr">
        <is>
          <t>Б-основная</t>
        </is>
      </c>
      <c r="W386" s="49" t="n">
        <v>1</v>
      </c>
    </row>
    <row r="387">
      <c r="A387" s="72" t="n">
        <v>377</v>
      </c>
      <c r="B387" s="21" t="inlineStr">
        <is>
          <t>1 этаж (отм. -0.050…+3.950)</t>
        </is>
      </c>
      <c r="C387" s="21" t="inlineStr">
        <is>
          <t>Плита перекрытия — балки</t>
        </is>
      </c>
      <c r="D387" s="21" t="inlineStr">
        <is>
          <t>Э4 (эркер у оси А, 2–4)</t>
        </is>
      </c>
      <c r="E387" s="21" t="inlineStr">
        <is>
          <t>Б-3 (3-3)</t>
        </is>
      </c>
      <c r="F387" s="72" t="inlineStr">
        <is>
          <t>4</t>
        </is>
      </c>
      <c r="G387" s="21" t="inlineStr">
        <is>
          <t>Краевая балка эркера, участок 3: 4Ø22 (2 верх + 2 низ)</t>
        </is>
      </c>
      <c r="H387" s="51" t="n">
        <v>22</v>
      </c>
      <c r="I387" s="72" t="inlineStr">
        <is>
          <t>А500С</t>
        </is>
      </c>
      <c r="J387" s="72" t="inlineStr">
        <is>
          <t>—</t>
        </is>
      </c>
      <c r="K387" s="75" t="n">
        <v>1</v>
      </c>
      <c r="L387" s="51" t="n">
        <v>4</v>
      </c>
      <c r="M387" s="69" t="n">
        <v>2.15</v>
      </c>
      <c r="N387" s="70">
        <f>K387*L387*M387</f>
        <v/>
      </c>
      <c r="O387" s="37">
        <f>IFERROR(INDEX(Исходные!$B$19:$B$31,MATCH(H387,Исходные!$A$19:$A$31,0)),0)</f>
        <v/>
      </c>
      <c r="P387" s="76">
        <f>N387*O387</f>
        <v/>
      </c>
      <c r="Q387" s="21" t="inlineStr">
        <is>
          <t>АС-55 сеч.3-3 поз.4; контур АС-47</t>
        </is>
      </c>
      <c r="R387" s="77" t="inlineStr">
        <is>
          <t>по геометрии чертежа</t>
        </is>
      </c>
      <c r="S387" s="21" t="inlineStr"/>
      <c r="T387" s="21" t="inlineStr">
        <is>
          <t>Ригели, балки, плита, С-1</t>
        </is>
      </c>
      <c r="U387" s="49" t="n">
        <v>0</v>
      </c>
      <c r="V387" s="72" t="inlineStr">
        <is>
          <t>Б-основная</t>
        </is>
      </c>
      <c r="W387" s="49" t="n">
        <v>1</v>
      </c>
    </row>
    <row r="388">
      <c r="A388" s="72" t="n">
        <v>378</v>
      </c>
      <c r="B388" s="21" t="inlineStr">
        <is>
          <t>1 этаж (отм. -0.050…+3.950)</t>
        </is>
      </c>
      <c r="C388" s="21" t="inlineStr">
        <is>
          <t>Плита перекрытия — балки</t>
        </is>
      </c>
      <c r="D388" s="21" t="inlineStr">
        <is>
          <t>Э4 (эркер у оси А, 2–4)</t>
        </is>
      </c>
      <c r="E388" s="21" t="inlineStr">
        <is>
          <t>Б-3 (3-3)</t>
        </is>
      </c>
      <c r="F388" s="72" t="inlineStr">
        <is>
          <t>4</t>
        </is>
      </c>
      <c r="G388" s="21" t="inlineStr">
        <is>
          <t>Краевая балка эркера, участок 4: 4Ø22 (2 верх + 2 низ)</t>
        </is>
      </c>
      <c r="H388" s="51" t="n">
        <v>22</v>
      </c>
      <c r="I388" s="72" t="inlineStr">
        <is>
          <t>А500С</t>
        </is>
      </c>
      <c r="J388" s="72" t="inlineStr">
        <is>
          <t>—</t>
        </is>
      </c>
      <c r="K388" s="75" t="n">
        <v>1</v>
      </c>
      <c r="L388" s="51" t="n">
        <v>4</v>
      </c>
      <c r="M388" s="69" t="n">
        <v>2.375</v>
      </c>
      <c r="N388" s="70">
        <f>K388*L388*M388</f>
        <v/>
      </c>
      <c r="O388" s="37">
        <f>IFERROR(INDEX(Исходные!$B$19:$B$31,MATCH(H388,Исходные!$A$19:$A$31,0)),0)</f>
        <v/>
      </c>
      <c r="P388" s="76">
        <f>N388*O388</f>
        <v/>
      </c>
      <c r="Q388" s="21" t="inlineStr">
        <is>
          <t>АС-55 сеч.3-3 поз.4; контур АС-47</t>
        </is>
      </c>
      <c r="R388" s="77" t="inlineStr">
        <is>
          <t>по геометрии чертежа</t>
        </is>
      </c>
      <c r="S388" s="21" t="inlineStr"/>
      <c r="T388" s="21" t="inlineStr">
        <is>
          <t>Ригели, балки, плита, С-1</t>
        </is>
      </c>
      <c r="U388" s="49" t="n">
        <v>0</v>
      </c>
      <c r="V388" s="72" t="inlineStr">
        <is>
          <t>Б-основная</t>
        </is>
      </c>
      <c r="W388" s="49" t="n">
        <v>1</v>
      </c>
    </row>
    <row r="389">
      <c r="A389" s="72" t="n">
        <v>379</v>
      </c>
      <c r="B389" s="21" t="inlineStr">
        <is>
          <t>1 этаж (отм. -0.050…+3.950)</t>
        </is>
      </c>
      <c r="C389" s="21" t="inlineStr">
        <is>
          <t>Плита перекрытия — балки</t>
        </is>
      </c>
      <c r="D389" s="21" t="inlineStr">
        <is>
          <t>углы эркеров, концы балок</t>
        </is>
      </c>
      <c r="E389" s="21" t="inlineStr">
        <is>
          <t>узлы «Б»,«В»,«Г»</t>
        </is>
      </c>
      <c r="F389" s="72" t="inlineStr">
        <is>
          <t>—</t>
        </is>
      </c>
      <c r="G389" s="21" t="inlineStr">
        <is>
          <t>Угловой Г-образный стержень Ø18 L=1200 (узлы Б×11, Г×8 по 2 шт.; В×1 по 4 шт.)</t>
        </is>
      </c>
      <c r="H389" s="51" t="n">
        <v>18</v>
      </c>
      <c r="I389" s="72" t="inlineStr">
        <is>
          <t>А500С</t>
        </is>
      </c>
      <c r="J389" s="72" t="inlineStr">
        <is>
          <t>—</t>
        </is>
      </c>
      <c r="K389" s="75" t="n">
        <v>1</v>
      </c>
      <c r="L389" s="51" t="n">
        <v>42</v>
      </c>
      <c r="M389" s="69" t="n">
        <v>1.2</v>
      </c>
      <c r="N389" s="70">
        <f>K389*L389*M389</f>
        <v/>
      </c>
      <c r="O389" s="37">
        <f>IFERROR(INDEX(Исходные!$B$19:$B$31,MATCH(H389,Исходные!$A$19:$A$31,0)),0)</f>
        <v/>
      </c>
      <c r="P389" s="76">
        <f>N389*O389</f>
        <v/>
      </c>
      <c r="Q389" s="21" t="inlineStr">
        <is>
          <t>АС-56 узлы «Б»,«В»; АС-57 узел «Г»</t>
        </is>
      </c>
      <c r="R389" s="78" t="inlineStr">
        <is>
          <t>принято (уточнить)</t>
        </is>
      </c>
      <c r="S389" s="21" t="inlineStr"/>
      <c r="T389" s="21" t="inlineStr">
        <is>
          <t>Ригели, балки, плита, С-1</t>
        </is>
      </c>
      <c r="U389" s="49" t="n">
        <v>1</v>
      </c>
      <c r="V389" s="72" t="inlineStr">
        <is>
          <t>Б-допник</t>
        </is>
      </c>
      <c r="W389" s="49" t="n">
        <v>1</v>
      </c>
    </row>
    <row r="390">
      <c r="A390" s="72" t="n">
        <v>380</v>
      </c>
      <c r="B390" s="21" t="inlineStr">
        <is>
          <t>1 этаж (отм. -0.050…+3.950)</t>
        </is>
      </c>
      <c r="C390" s="21" t="inlineStr">
        <is>
          <t>Плита перекрытия — балки</t>
        </is>
      </c>
      <c r="D390" s="21" t="inlineStr">
        <is>
          <t>все балки сечения 1-1</t>
        </is>
      </c>
      <c r="E390" s="21" t="inlineStr">
        <is>
          <t>Б (1-1)</t>
        </is>
      </c>
      <c r="F390" s="72" t="inlineStr">
        <is>
          <t>10</t>
        </is>
      </c>
      <c r="G390" s="21" t="inlineStr">
        <is>
          <t>Хомуты балок сеч.1-1: хом.Ø8 L=1240 (поз.10); шаг 100 у опор (×10 при L&gt;6 м, ×7 при L&lt;6 м) и ×3 у пересечений, 200 в пролёте</t>
        </is>
      </c>
      <c r="H390" s="51" t="n">
        <v>8</v>
      </c>
      <c r="I390" s="72" t="inlineStr">
        <is>
          <t>А240</t>
        </is>
      </c>
      <c r="J390" s="72" t="inlineStr">
        <is>
          <t>100/200</t>
        </is>
      </c>
      <c r="K390" s="75" t="n">
        <v>1</v>
      </c>
      <c r="L390" s="51" t="n">
        <v>925</v>
      </c>
      <c r="M390" s="69" t="n">
        <v>1.24</v>
      </c>
      <c r="N390" s="70">
        <f>K390*L390*M390</f>
        <v/>
      </c>
      <c r="O390" s="37">
        <f>IFERROR(INDEX(Исходные!$B$19:$B$31,MATCH(H390,Исходные!$A$19:$A$31,0)),0)</f>
        <v/>
      </c>
      <c r="P390" s="76">
        <f>N390*O390</f>
        <v/>
      </c>
      <c r="Q390" s="21" t="inlineStr">
        <is>
          <t>АС-55 сеч.1-1; АС-57 «Шаг хомутов»; АС-56/57 узел «Д»; АС-58 ведомость</t>
        </is>
      </c>
      <c r="R390" s="77" t="inlineStr">
        <is>
          <t>по проекту</t>
        </is>
      </c>
      <c r="S390" s="21" t="inlineStr"/>
      <c r="T390" s="21" t="inlineStr">
        <is>
          <t>Ригели, балки, плита, С-1</t>
        </is>
      </c>
      <c r="U390" s="49" t="n">
        <v>0</v>
      </c>
      <c r="V390" s="72" t="inlineStr">
        <is>
          <t>Б-хомуты</t>
        </is>
      </c>
      <c r="W390" s="49" t="n">
        <v>1</v>
      </c>
    </row>
    <row r="391">
      <c r="A391" s="72" t="n">
        <v>381</v>
      </c>
      <c r="B391" s="21" t="inlineStr">
        <is>
          <t>1 этаж (отм. -0.050…+3.950)</t>
        </is>
      </c>
      <c r="C391" s="21" t="inlineStr">
        <is>
          <t>Плита перекрытия — балки</t>
        </is>
      </c>
      <c r="D391" s="21" t="inlineStr">
        <is>
          <t>все балки сечения 2-2</t>
        </is>
      </c>
      <c r="E391" s="21" t="inlineStr">
        <is>
          <t>Б (2-2)</t>
        </is>
      </c>
      <c r="F391" s="72" t="inlineStr">
        <is>
          <t>10</t>
        </is>
      </c>
      <c r="G391" s="21" t="inlineStr">
        <is>
          <t>Хомуты балок сеч.2-2: хом.Ø8 L=1240 (поз.10); шаг 100 у опор (×10 при L&gt;6 м, ×7 при L&lt;6 м) и ×3 у пересечений, 200 в пролёте</t>
        </is>
      </c>
      <c r="H391" s="51" t="n">
        <v>8</v>
      </c>
      <c r="I391" s="72" t="inlineStr">
        <is>
          <t>А240</t>
        </is>
      </c>
      <c r="J391" s="72" t="inlineStr">
        <is>
          <t>100/200</t>
        </is>
      </c>
      <c r="K391" s="75" t="n">
        <v>1</v>
      </c>
      <c r="L391" s="51" t="n">
        <v>44</v>
      </c>
      <c r="M391" s="69" t="n">
        <v>1.24</v>
      </c>
      <c r="N391" s="70">
        <f>K391*L391*M391</f>
        <v/>
      </c>
      <c r="O391" s="37">
        <f>IFERROR(INDEX(Исходные!$B$19:$B$31,MATCH(H391,Исходные!$A$19:$A$31,0)),0)</f>
        <v/>
      </c>
      <c r="P391" s="76">
        <f>N391*O391</f>
        <v/>
      </c>
      <c r="Q391" s="21" t="inlineStr">
        <is>
          <t>АС-55 сеч.2-2; АС-57 «Шаг хомутов»; АС-56/57 узел «Д»; АС-58 ведомость</t>
        </is>
      </c>
      <c r="R391" s="77" t="inlineStr">
        <is>
          <t>по проекту</t>
        </is>
      </c>
      <c r="S391" s="21" t="inlineStr"/>
      <c r="T391" s="21" t="inlineStr">
        <is>
          <t>Ригели, балки, плита, С-1</t>
        </is>
      </c>
      <c r="U391" s="49" t="n">
        <v>0</v>
      </c>
      <c r="V391" s="72" t="inlineStr">
        <is>
          <t>Б-хомуты</t>
        </is>
      </c>
      <c r="W391" s="49" t="n">
        <v>1</v>
      </c>
    </row>
    <row r="392">
      <c r="A392" s="72" t="n">
        <v>382</v>
      </c>
      <c r="B392" s="21" t="inlineStr">
        <is>
          <t>1 этаж (отм. -0.050…+3.950)</t>
        </is>
      </c>
      <c r="C392" s="21" t="inlineStr">
        <is>
          <t>Плита перекрытия — балки</t>
        </is>
      </c>
      <c r="D392" s="21" t="inlineStr">
        <is>
          <t>все балки сечения 5-5</t>
        </is>
      </c>
      <c r="E392" s="21" t="inlineStr">
        <is>
          <t>Б (5-5)</t>
        </is>
      </c>
      <c r="F392" s="72" t="inlineStr">
        <is>
          <t>12</t>
        </is>
      </c>
      <c r="G392" s="21" t="inlineStr">
        <is>
          <t>Хомуты балок сеч.5-5: хом.Ø8 L=1440 (поз.12); шаг 100 у опор (×10 при L&gt;6 м, ×7 при L&lt;6 м) и ×3 у пересечений, 200 в пролёте</t>
        </is>
      </c>
      <c r="H392" s="51" t="n">
        <v>8</v>
      </c>
      <c r="I392" s="72" t="inlineStr">
        <is>
          <t>А240</t>
        </is>
      </c>
      <c r="J392" s="72" t="inlineStr">
        <is>
          <t>100/200</t>
        </is>
      </c>
      <c r="K392" s="75" t="n">
        <v>1</v>
      </c>
      <c r="L392" s="51" t="n">
        <v>44</v>
      </c>
      <c r="M392" s="69" t="n">
        <v>1.44</v>
      </c>
      <c r="N392" s="70">
        <f>K392*L392*M392</f>
        <v/>
      </c>
      <c r="O392" s="37">
        <f>IFERROR(INDEX(Исходные!$B$19:$B$31,MATCH(H392,Исходные!$A$19:$A$31,0)),0)</f>
        <v/>
      </c>
      <c r="P392" s="76">
        <f>N392*O392</f>
        <v/>
      </c>
      <c r="Q392" s="21" t="inlineStr">
        <is>
          <t>АС-55 сеч.5-5; АС-57 «Шаг хомутов»; АС-56/57 узел «Д»; АС-58 ведомость</t>
        </is>
      </c>
      <c r="R392" s="77" t="inlineStr">
        <is>
          <t>по проекту</t>
        </is>
      </c>
      <c r="S392" s="21" t="inlineStr"/>
      <c r="T392" s="21" t="inlineStr">
        <is>
          <t>Ригели, балки, плита, С-1</t>
        </is>
      </c>
      <c r="U392" s="49" t="n">
        <v>0</v>
      </c>
      <c r="V392" s="72" t="inlineStr">
        <is>
          <t>Б-хомуты</t>
        </is>
      </c>
      <c r="W392" s="49" t="n">
        <v>1</v>
      </c>
    </row>
    <row r="393">
      <c r="A393" s="72" t="n">
        <v>383</v>
      </c>
      <c r="B393" s="21" t="inlineStr">
        <is>
          <t>1 этаж (отм. -0.050…+3.950)</t>
        </is>
      </c>
      <c r="C393" s="21" t="inlineStr">
        <is>
          <t>Плита перекрытия — балки</t>
        </is>
      </c>
      <c r="D393" s="21" t="inlineStr">
        <is>
          <t>все балки сечения 4-4</t>
        </is>
      </c>
      <c r="E393" s="21" t="inlineStr">
        <is>
          <t>Б (4-4)</t>
        </is>
      </c>
      <c r="F393" s="72" t="inlineStr">
        <is>
          <t>13</t>
        </is>
      </c>
      <c r="G393" s="21" t="inlineStr">
        <is>
          <t>Хомуты балок сеч.4-4: хом.Ø8 L=1040 (поз.13); шаг 100 у опор (×10 при L&gt;6 м, ×7 при L&lt;6 м) и ×3 у пересечений, 200 в пролёте</t>
        </is>
      </c>
      <c r="H393" s="51" t="n">
        <v>8</v>
      </c>
      <c r="I393" s="72" t="inlineStr">
        <is>
          <t>А240</t>
        </is>
      </c>
      <c r="J393" s="72" t="inlineStr">
        <is>
          <t>100/200</t>
        </is>
      </c>
      <c r="K393" s="75" t="n">
        <v>1</v>
      </c>
      <c r="L393" s="51" t="n">
        <v>88</v>
      </c>
      <c r="M393" s="69" t="n">
        <v>1.04</v>
      </c>
      <c r="N393" s="70">
        <f>K393*L393*M393</f>
        <v/>
      </c>
      <c r="O393" s="37">
        <f>IFERROR(INDEX(Исходные!$B$19:$B$31,MATCH(H393,Исходные!$A$19:$A$31,0)),0)</f>
        <v/>
      </c>
      <c r="P393" s="76">
        <f>N393*O393</f>
        <v/>
      </c>
      <c r="Q393" s="21" t="inlineStr">
        <is>
          <t>АС-55 сеч.4-4; АС-57 «Шаг хомутов»; АС-56/57 узел «Д»; АС-58 ведомость</t>
        </is>
      </c>
      <c r="R393" s="77" t="inlineStr">
        <is>
          <t>по проекту</t>
        </is>
      </c>
      <c r="S393" s="21" t="inlineStr"/>
      <c r="T393" s="21" t="inlineStr">
        <is>
          <t>Ригели, балки, плита, С-1</t>
        </is>
      </c>
      <c r="U393" s="49" t="n">
        <v>0</v>
      </c>
      <c r="V393" s="72" t="inlineStr">
        <is>
          <t>Б-хомуты</t>
        </is>
      </c>
      <c r="W393" s="49" t="n">
        <v>1</v>
      </c>
    </row>
    <row r="394">
      <c r="A394" s="72" t="n">
        <v>384</v>
      </c>
      <c r="B394" s="21" t="inlineStr">
        <is>
          <t>1 этаж (отм. -0.050…+3.950)</t>
        </is>
      </c>
      <c r="C394" s="21" t="inlineStr">
        <is>
          <t>Плита перекрытия — балки</t>
        </is>
      </c>
      <c r="D394" s="21" t="inlineStr">
        <is>
          <t>все балки сечения 3-3</t>
        </is>
      </c>
      <c r="E394" s="21" t="inlineStr">
        <is>
          <t>Б (3-3)</t>
        </is>
      </c>
      <c r="F394" s="72" t="inlineStr">
        <is>
          <t>11</t>
        </is>
      </c>
      <c r="G394" s="21" t="inlineStr">
        <is>
          <t>Хомуты балок сеч.3-3: хом.Ø8 L=1140 (поз.11); шаг 100 у опор (×10 при L&gt;6 м, ×7 при L&lt;6 м) и ×3 у пересечений, 200 в пролёте</t>
        </is>
      </c>
      <c r="H394" s="51" t="n">
        <v>8</v>
      </c>
      <c r="I394" s="72" t="inlineStr">
        <is>
          <t>А240</t>
        </is>
      </c>
      <c r="J394" s="72" t="inlineStr">
        <is>
          <t>100/200</t>
        </is>
      </c>
      <c r="K394" s="75" t="n">
        <v>1</v>
      </c>
      <c r="L394" s="51" t="n">
        <v>272</v>
      </c>
      <c r="M394" s="69" t="n">
        <v>1.14</v>
      </c>
      <c r="N394" s="70">
        <f>K394*L394*M394</f>
        <v/>
      </c>
      <c r="O394" s="37">
        <f>IFERROR(INDEX(Исходные!$B$19:$B$31,MATCH(H394,Исходные!$A$19:$A$31,0)),0)</f>
        <v/>
      </c>
      <c r="P394" s="76">
        <f>N394*O394</f>
        <v/>
      </c>
      <c r="Q394" s="21" t="inlineStr">
        <is>
          <t>АС-55 сеч.3-3; АС-57 «Шаг хомутов»; АС-56/57 узел «Д»; АС-58 ведомость</t>
        </is>
      </c>
      <c r="R394" s="77" t="inlineStr">
        <is>
          <t>по проекту</t>
        </is>
      </c>
      <c r="S394" s="21" t="inlineStr"/>
      <c r="T394" s="21" t="inlineStr">
        <is>
          <t>Ригели, балки, плита, С-1</t>
        </is>
      </c>
      <c r="U394" s="49" t="n">
        <v>0</v>
      </c>
      <c r="V394" s="72" t="inlineStr">
        <is>
          <t>Б-хомуты</t>
        </is>
      </c>
      <c r="W394" s="49" t="n">
        <v>1</v>
      </c>
    </row>
    <row r="395">
      <c r="A395" s="74" t="inlineStr">
        <is>
          <t>1.6. СЕТКИ-ГРЕБЁНКИ С-1 в узлах колонна–ригель — отм. +3.950</t>
        </is>
      </c>
      <c r="B395" s="33" t="n"/>
      <c r="C395" s="33" t="n"/>
      <c r="D395" s="33" t="n"/>
      <c r="E395" s="33" t="n"/>
      <c r="F395" s="33" t="n"/>
      <c r="G395" s="33" t="n"/>
      <c r="H395" s="33" t="n"/>
      <c r="I395" s="33" t="n"/>
      <c r="J395" s="33" t="n"/>
      <c r="K395" s="33" t="n"/>
      <c r="L395" s="33" t="n"/>
      <c r="M395" s="33" t="n"/>
      <c r="N395" s="33" t="n"/>
      <c r="O395" s="33" t="n"/>
      <c r="P395" s="33" t="n"/>
      <c r="Q395" s="33" t="n"/>
      <c r="R395" s="33" t="n"/>
      <c r="S395" s="33" t="n"/>
      <c r="T395" s="33" t="n"/>
      <c r="U395" s="33" t="n"/>
      <c r="V395" s="33" t="n"/>
      <c r="W395" s="34" t="n"/>
    </row>
    <row r="396">
      <c r="A396" s="72" t="n">
        <v>385</v>
      </c>
      <c r="B396" s="21" t="inlineStr">
        <is>
          <t>1 этаж (отм. -0.050…+3.950)</t>
        </is>
      </c>
      <c r="C396" s="21" t="inlineStr">
        <is>
          <t>Сетки-гребёнки С-1</t>
        </is>
      </c>
      <c r="D396" s="21" t="inlineStr">
        <is>
          <t>узлы колонна–ригель, отм. +3.950 (20 узлов)</t>
        </is>
      </c>
      <c r="E396" s="21" t="inlineStr">
        <is>
          <t>С-1</t>
        </is>
      </c>
      <c r="F396" s="72" t="inlineStr">
        <is>
          <t>1</t>
        </is>
      </c>
      <c r="G396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396" s="51" t="n">
        <v>10</v>
      </c>
      <c r="I396" s="72" t="inlineStr">
        <is>
          <t>А500С</t>
        </is>
      </c>
      <c r="J396" s="72" t="n">
        <v>90</v>
      </c>
      <c r="K396" s="75" t="n">
        <v>200</v>
      </c>
      <c r="L396" s="51" t="n">
        <v>7</v>
      </c>
      <c r="M396" s="69" t="n">
        <v>0.57</v>
      </c>
      <c r="N396" s="70">
        <f>K396*L396*M396</f>
        <v/>
      </c>
      <c r="O396" s="37">
        <f>IFERROR(INDEX(Исходные!$B$19:$B$31,MATCH(H396,Исходные!$A$19:$A$31,0)),0)</f>
        <v/>
      </c>
      <c r="P396" s="76">
        <f>N396*O396</f>
        <v/>
      </c>
      <c r="Q396" s="21" t="inlineStr">
        <is>
          <t>АС-30 «Сетка гребенка С-1»; АС-29 узел «2»: в зоне узла 630 нарисовано 5 рядов С-1 с выноской «установить попарно шаг 90»; АС-30/31 узлы «5»,«6»,«7»</t>
        </is>
      </c>
      <c r="R396" s="78" t="inlineStr">
        <is>
          <t>принято (уточнить)</t>
        </is>
      </c>
      <c r="S396" s="21" t="inlineStr"/>
      <c r="T396" s="21" t="inlineStr">
        <is>
          <t>Ригели, балки, плита, С-1</t>
        </is>
      </c>
      <c r="U396" s="49" t="n">
        <v>1</v>
      </c>
      <c r="V396" s="72" t="inlineStr">
        <is>
          <t>С-1</t>
        </is>
      </c>
      <c r="W396" s="49" t="n">
        <v>1</v>
      </c>
    </row>
    <row r="397">
      <c r="A397" s="74" t="inlineStr">
        <is>
          <t>1.7. ЛЕСТНИЦА ЛВ-1 и рама Лрм — марш 1 0.000→1.920, марш 2 1.920→4.000, площадка 1.920, Лрм-1</t>
        </is>
      </c>
      <c r="B397" s="33" t="n"/>
      <c r="C397" s="33" t="n"/>
      <c r="D397" s="33" t="n"/>
      <c r="E397" s="33" t="n"/>
      <c r="F397" s="33" t="n"/>
      <c r="G397" s="33" t="n"/>
      <c r="H397" s="33" t="n"/>
      <c r="I397" s="33" t="n"/>
      <c r="J397" s="33" t="n"/>
      <c r="K397" s="33" t="n"/>
      <c r="L397" s="33" t="n"/>
      <c r="M397" s="33" t="n"/>
      <c r="N397" s="33" t="n"/>
      <c r="O397" s="33" t="n"/>
      <c r="P397" s="33" t="n"/>
      <c r="Q397" s="33" t="n"/>
      <c r="R397" s="33" t="n"/>
      <c r="S397" s="33" t="n"/>
      <c r="T397" s="33" t="n"/>
      <c r="U397" s="33" t="n"/>
      <c r="V397" s="33" t="n"/>
      <c r="W397" s="34" t="n"/>
    </row>
    <row r="398">
      <c r="A398" s="72" t="n">
        <v>386</v>
      </c>
      <c r="B398" s="21" t="inlineStr">
        <is>
          <t>1 этаж (отм. -0.050…+3.950)</t>
        </is>
      </c>
      <c r="C398" s="21" t="inlineStr">
        <is>
          <t>Лестница ЛВ-1</t>
        </is>
      </c>
      <c r="D398" s="21" t="inlineStr">
        <is>
          <t>оси 3–4 / Г (А-А АС-67)</t>
        </is>
      </c>
      <c r="E398" s="21" t="inlineStr">
        <is>
          <t>ЛВ-1 марш 1</t>
        </is>
      </c>
      <c r="F398" s="72" t="inlineStr">
        <is>
          <t>1</t>
        </is>
      </c>
      <c r="G398" s="21" t="inlineStr">
        <is>
          <t>Рабочие продольные 18Ø18 ш.150 (9 верх + 9 низ), марш 1 (0.000→1.920), 12×160 / 12×300; сквозные через площадку 1.920 до Лрм-1</t>
        </is>
      </c>
      <c r="H398" s="51" t="n">
        <v>18</v>
      </c>
      <c r="I398" s="72" t="inlineStr">
        <is>
          <t>А500С</t>
        </is>
      </c>
      <c r="J398" s="72" t="n">
        <v>150</v>
      </c>
      <c r="K398" s="75" t="n">
        <v>1</v>
      </c>
      <c r="L398" s="51" t="n">
        <v>18</v>
      </c>
      <c r="M398" s="69" t="n">
        <v>5.93</v>
      </c>
      <c r="N398" s="70">
        <f>K398*L398*M398</f>
        <v/>
      </c>
      <c r="O398" s="37">
        <f>IFERROR(INDEX(Исходные!$B$19:$B$31,MATCH(H398,Исходные!$A$19:$A$31,0)),0)</f>
        <v/>
      </c>
      <c r="P398" s="76">
        <f>N398*O398</f>
        <v/>
      </c>
      <c r="Q398" s="21" t="inlineStr">
        <is>
          <t>АС-68 сеч.а-а «18Ø18 А500С ш.150», узлы «2»–«6»; АС-67 разрез</t>
        </is>
      </c>
      <c r="R398" s="78" t="inlineStr">
        <is>
          <t>по геометрии (уточнить)</t>
        </is>
      </c>
      <c r="S398" s="21" t="inlineStr">
        <is>
          <t>L = 0.50 (узел «2» АС-68: заход в ж/б балку перекрытия (принято 0,50 м)) + 4.080 (наклон √(3.6²+1.92²)) + 1.35 (площадка до Лрм-1)</t>
        </is>
      </c>
      <c r="T398" s="21" t="inlineStr">
        <is>
          <t>Лестницы</t>
        </is>
      </c>
      <c r="U398" s="49" t="n">
        <v>1</v>
      </c>
      <c r="V398" s="72" t="inlineStr">
        <is>
          <t>Л1</t>
        </is>
      </c>
      <c r="W398" s="49" t="n">
        <v>1</v>
      </c>
    </row>
    <row r="399">
      <c r="A399" s="72" t="n">
        <v>387</v>
      </c>
      <c r="B399" s="21" t="inlineStr">
        <is>
          <t>1 этаж (отм. -0.050…+3.950)</t>
        </is>
      </c>
      <c r="C399" s="21" t="inlineStr">
        <is>
          <t>Лестница ЛВ-1</t>
        </is>
      </c>
      <c r="D399" s="21" t="inlineStr">
        <is>
          <t>оси 3–4 / Г</t>
        </is>
      </c>
      <c r="E399" s="21" t="inlineStr">
        <is>
          <t>ЛВ-1 марш 1</t>
        </is>
      </c>
      <c r="F399" s="72" t="inlineStr">
        <is>
          <t>2</t>
        </is>
      </c>
      <c r="G399" s="21" t="inlineStr">
        <is>
          <t>Поперечные Ø10 А500С ш.50/100/200 (2 ряда), L=1250−2×30</t>
        </is>
      </c>
      <c r="H399" s="51" t="n">
        <v>10</v>
      </c>
      <c r="I399" s="72" t="inlineStr">
        <is>
          <t>А500С</t>
        </is>
      </c>
      <c r="J399" s="72" t="inlineStr">
        <is>
          <t>50/100/200</t>
        </is>
      </c>
      <c r="K399" s="75" t="n">
        <v>1</v>
      </c>
      <c r="L399" s="51" t="n">
        <v>62</v>
      </c>
      <c r="M399" s="69" t="n">
        <v>1.19</v>
      </c>
      <c r="N399" s="70">
        <f>K399*L399*M399</f>
        <v/>
      </c>
      <c r="O399" s="37">
        <f>IFERROR(INDEX(Исходные!$B$19:$B$31,MATCH(H399,Исходные!$A$19:$A$31,0)),0)</f>
        <v/>
      </c>
      <c r="P399" s="76">
        <f>N399*O399</f>
        <v/>
      </c>
      <c r="Q399" s="21" t="inlineStr">
        <is>
          <t>АС-68 сеч.а-а поз.2; узлы «2»–«6» «50×4, 100×4, 200×n» от каждого конца марша</t>
        </is>
      </c>
      <c r="R399" s="77" t="inlineStr">
        <is>
          <t>по проекту</t>
        </is>
      </c>
      <c r="S399" s="21" t="inlineStr">
        <is>
          <t>31 шт в ряду × 2 ряда; длина марша по наклону 4.080 м</t>
        </is>
      </c>
      <c r="T399" s="21" t="inlineStr">
        <is>
          <t>Лестницы</t>
        </is>
      </c>
      <c r="U399" s="49" t="n">
        <v>0</v>
      </c>
      <c r="V399" s="72" t="inlineStr">
        <is>
          <t>Л1</t>
        </is>
      </c>
      <c r="W399" s="49" t="n">
        <v>1</v>
      </c>
    </row>
    <row r="400">
      <c r="A400" s="72" t="n">
        <v>388</v>
      </c>
      <c r="B400" s="21" t="inlineStr">
        <is>
          <t>1 этаж (отм. -0.050…+3.950)</t>
        </is>
      </c>
      <c r="C400" s="21" t="inlineStr">
        <is>
          <t>Лестница ЛВ-1</t>
        </is>
      </c>
      <c r="D400" s="21" t="inlineStr">
        <is>
          <t>оси 3–4 / Г</t>
        </is>
      </c>
      <c r="E400" s="21" t="inlineStr">
        <is>
          <t>ЛВ-1 марш 1</t>
        </is>
      </c>
      <c r="F400" s="72" t="inlineStr">
        <is>
          <t>4</t>
        </is>
      </c>
      <c r="G400" s="21" t="inlineStr">
        <is>
          <t>П-образный Ø10 А240 L=520 по двум продольным краям марша, ш.50/100/200</t>
        </is>
      </c>
      <c r="H400" s="51" t="n">
        <v>10</v>
      </c>
      <c r="I400" s="72" t="inlineStr">
        <is>
          <t>А240</t>
        </is>
      </c>
      <c r="J400" s="72" t="inlineStr">
        <is>
          <t>50/100/200</t>
        </is>
      </c>
      <c r="K400" s="75" t="n">
        <v>1</v>
      </c>
      <c r="L400" s="51" t="n">
        <v>62</v>
      </c>
      <c r="M400" s="69" t="n">
        <v>0.52</v>
      </c>
      <c r="N400" s="70">
        <f>K400*L400*M400</f>
        <v/>
      </c>
      <c r="O400" s="37">
        <f>IFERROR(INDEX(Исходные!$B$19:$B$31,MATCH(H400,Исходные!$A$19:$A$31,0)),0)</f>
        <v/>
      </c>
      <c r="P400" s="76">
        <f>N400*O400</f>
        <v/>
      </c>
      <c r="Q400" s="21" t="inlineStr">
        <is>
          <t>АС-68 сеч.а-а поз.4 «Ø10 А240 ш.50,100,200 L=520»; АС-67 «П-образный Ø10 А240 L=520»</t>
        </is>
      </c>
      <c r="R400" s="77" t="inlineStr">
        <is>
          <t>по проекту</t>
        </is>
      </c>
      <c r="S400" s="21" t="inlineStr"/>
      <c r="T400" s="21" t="inlineStr">
        <is>
          <t>Лестницы</t>
        </is>
      </c>
      <c r="U400" s="49" t="n">
        <v>0</v>
      </c>
      <c r="V400" s="72" t="inlineStr">
        <is>
          <t>Л1</t>
        </is>
      </c>
      <c r="W400" s="49" t="n">
        <v>1</v>
      </c>
    </row>
    <row r="401">
      <c r="A401" s="72" t="n">
        <v>389</v>
      </c>
      <c r="B401" s="21" t="inlineStr">
        <is>
          <t>1 этаж (отм. -0.050…+3.950)</t>
        </is>
      </c>
      <c r="C401" s="21" t="inlineStr">
        <is>
          <t>Лестница ЛВ-1</t>
        </is>
      </c>
      <c r="D401" s="21" t="inlineStr">
        <is>
          <t>оси 3–4 / Г</t>
        </is>
      </c>
      <c r="E401" s="21" t="inlineStr">
        <is>
          <t>ЛВ-1 марш 1</t>
        </is>
      </c>
      <c r="F401" s="72" t="inlineStr">
        <is>
          <t>3</t>
        </is>
      </c>
      <c r="G401" s="21" t="inlineStr">
        <is>
          <t>Шпилька Ø6 А240 L=280 ш.300 в шахматном порядке</t>
        </is>
      </c>
      <c r="H401" s="51" t="n">
        <v>6</v>
      </c>
      <c r="I401" s="72" t="inlineStr">
        <is>
          <t>А240</t>
        </is>
      </c>
      <c r="J401" s="72" t="inlineStr">
        <is>
          <t>300 шахм.</t>
        </is>
      </c>
      <c r="K401" s="75" t="n">
        <v>1</v>
      </c>
      <c r="L401" s="51" t="n">
        <v>41</v>
      </c>
      <c r="M401" s="69" t="n">
        <v>0.28</v>
      </c>
      <c r="N401" s="70">
        <f>K401*L401*M401</f>
        <v/>
      </c>
      <c r="O401" s="37">
        <f>IFERROR(INDEX(Исходные!$B$19:$B$31,MATCH(H401,Исходные!$A$19:$A$31,0)),0)</f>
        <v/>
      </c>
      <c r="P401" s="76">
        <f>N401*O401</f>
        <v/>
      </c>
      <c r="Q401" s="21" t="inlineStr">
        <is>
          <t>АС-68 сеч.а-а поз.3 «Ø6 А240 L=280 шаг 300 в шахм. порядке»</t>
        </is>
      </c>
      <c r="R401" s="78" t="inlineStr">
        <is>
          <t>принято (уточнить)</t>
        </is>
      </c>
      <c r="S401" s="21" t="inlineStr">
        <is>
          <t>По площади: 4.080 × 0,90 (между краевыми каркасами) / 0,09 м² = 41 шт</t>
        </is>
      </c>
      <c r="T401" s="21" t="inlineStr">
        <is>
          <t>Лестницы</t>
        </is>
      </c>
      <c r="U401" s="49" t="n">
        <v>1</v>
      </c>
      <c r="V401" s="72" t="inlineStr">
        <is>
          <t>Л1</t>
        </is>
      </c>
      <c r="W401" s="49" t="n">
        <v>1</v>
      </c>
    </row>
    <row r="402">
      <c r="A402" s="72" t="n">
        <v>390</v>
      </c>
      <c r="B402" s="21" t="inlineStr">
        <is>
          <t>1 этаж (отм. -0.050…+3.950)</t>
        </is>
      </c>
      <c r="C402" s="21" t="inlineStr">
        <is>
          <t>Лестница ЛВ-1</t>
        </is>
      </c>
      <c r="D402" s="21" t="inlineStr">
        <is>
          <t>оси 3–4 / Г</t>
        </is>
      </c>
      <c r="E402" s="21" t="inlineStr">
        <is>
          <t>ЛВ-1 марш 1</t>
        </is>
      </c>
      <c r="F402" s="72" t="inlineStr">
        <is>
          <t>С-1</t>
        </is>
      </c>
      <c r="G402" s="21" t="inlineStr">
        <is>
          <t>Сетка С-1 5/5/100/100 (Ø5 Вр-I, яч. 100×100) по ступеням: проволока 20 м на 1 м²</t>
        </is>
      </c>
      <c r="H402" s="51" t="n">
        <v>5</v>
      </c>
      <c r="I402" s="72" t="inlineStr">
        <is>
          <t>Вр-I</t>
        </is>
      </c>
      <c r="J402" s="72" t="inlineStr">
        <is>
          <t>100×100</t>
        </is>
      </c>
      <c r="K402" s="75" t="n">
        <v>6.9</v>
      </c>
      <c r="L402" s="51" t="n">
        <v>20</v>
      </c>
      <c r="M402" s="69" t="n">
        <v>1</v>
      </c>
      <c r="N402" s="70">
        <f>K402*L402*M402</f>
        <v/>
      </c>
      <c r="O402" s="37">
        <f>IFERROR(INDEX(Исходные!$B$19:$B$31,MATCH(H402,Исходные!$A$19:$A$31,0)),0)</f>
        <v/>
      </c>
      <c r="P402" s="76">
        <f>N402*O402</f>
        <v/>
      </c>
      <c r="Q402" s="21" t="inlineStr">
        <is>
          <t>АС-68 узлы «2»–«6» «Сетка С-1 5/5/100/100»</t>
        </is>
      </c>
      <c r="R402" s="78" t="inlineStr">
        <is>
          <t>по геометрии (уточнить)</t>
        </is>
      </c>
      <c r="S402" s="21" t="inlineStr">
        <is>
          <t>Площадь = развёртка ступеней (12×0,16 + 12×0,30 = 5.52 м) × 1,25 = 6.9 м²; масса 20 м/м² × 0,154 = 3,08 кг/м²</t>
        </is>
      </c>
      <c r="T402" s="21" t="inlineStr">
        <is>
          <t>Лестницы</t>
        </is>
      </c>
      <c r="U402" s="49" t="n">
        <v>1</v>
      </c>
      <c r="V402" s="72" t="inlineStr">
        <is>
          <t>Л1</t>
        </is>
      </c>
      <c r="W402" s="49" t="n">
        <v>1</v>
      </c>
    </row>
    <row r="403">
      <c r="A403" s="72" t="n">
        <v>391</v>
      </c>
      <c r="B403" s="21" t="inlineStr">
        <is>
          <t>1 этаж (отм. -0.050…+3.950)</t>
        </is>
      </c>
      <c r="C403" s="21" t="inlineStr">
        <is>
          <t>Лестница ЛВ-1</t>
        </is>
      </c>
      <c r="D403" s="21" t="inlineStr">
        <is>
          <t>оси 3–4 / Г (А-А АС-67)</t>
        </is>
      </c>
      <c r="E403" s="21" t="inlineStr">
        <is>
          <t>ЛВ-1 марш 2</t>
        </is>
      </c>
      <c r="F403" s="72" t="inlineStr">
        <is>
          <t>1</t>
        </is>
      </c>
      <c r="G403" s="21" t="inlineStr">
        <is>
          <t>Рабочие продольные 18Ø18 ш.150 (9 верх + 9 низ), марш 2 (1.920→4.000), 13×160 / 12×300; сквозные через площадку 1.920 до Лрм-1</t>
        </is>
      </c>
      <c r="H403" s="51" t="n">
        <v>18</v>
      </c>
      <c r="I403" s="72" t="inlineStr">
        <is>
          <t>А500С</t>
        </is>
      </c>
      <c r="J403" s="72" t="n">
        <v>150</v>
      </c>
      <c r="K403" s="75" t="n">
        <v>1</v>
      </c>
      <c r="L403" s="51" t="n">
        <v>18</v>
      </c>
      <c r="M403" s="69" t="n">
        <v>6.508</v>
      </c>
      <c r="N403" s="70">
        <f>K403*L403*M403</f>
        <v/>
      </c>
      <c r="O403" s="37">
        <f>IFERROR(INDEX(Исходные!$B$19:$B$31,MATCH(H403,Исходные!$A$19:$A$31,0)),0)</f>
        <v/>
      </c>
      <c r="P403" s="76">
        <f>N403*O403</f>
        <v/>
      </c>
      <c r="Q403" s="21" t="inlineStr">
        <is>
          <t>АС-68 сеч.а-а «18Ø18 А500С ш.150», узлы «2»–«6»; АС-67 разрез</t>
        </is>
      </c>
      <c r="R403" s="78" t="inlineStr">
        <is>
          <t>по геометрии (уточнить)</t>
        </is>
      </c>
      <c r="S403" s="21" t="inlineStr">
        <is>
          <t>L = 1.00 (узлы «3», «4» АС-68: заход в плиту перекрытия 1000 мм) + 4.158 (наклон √(3.6²+2.08²)) + 1.35 (площадка до Лрм-1)</t>
        </is>
      </c>
      <c r="T403" s="21" t="inlineStr">
        <is>
          <t>Лестницы</t>
        </is>
      </c>
      <c r="U403" s="49" t="n">
        <v>1</v>
      </c>
      <c r="V403" s="72" t="inlineStr">
        <is>
          <t>Л2</t>
        </is>
      </c>
      <c r="W403" s="49" t="n">
        <v>1</v>
      </c>
    </row>
    <row r="404">
      <c r="A404" s="72" t="n">
        <v>392</v>
      </c>
      <c r="B404" s="21" t="inlineStr">
        <is>
          <t>1 этаж (отм. -0.050…+3.950)</t>
        </is>
      </c>
      <c r="C404" s="21" t="inlineStr">
        <is>
          <t>Лестница ЛВ-1</t>
        </is>
      </c>
      <c r="D404" s="21" t="inlineStr">
        <is>
          <t>оси 3–4 / Г</t>
        </is>
      </c>
      <c r="E404" s="21" t="inlineStr">
        <is>
          <t>ЛВ-1 марш 2</t>
        </is>
      </c>
      <c r="F404" s="72" t="inlineStr">
        <is>
          <t>2</t>
        </is>
      </c>
      <c r="G404" s="21" t="inlineStr">
        <is>
          <t>Поперечные Ø10 А500С ш.50/100/200 (2 ряда), L=1250−2×30</t>
        </is>
      </c>
      <c r="H404" s="51" t="n">
        <v>10</v>
      </c>
      <c r="I404" s="72" t="inlineStr">
        <is>
          <t>А500С</t>
        </is>
      </c>
      <c r="J404" s="72" t="inlineStr">
        <is>
          <t>50/100/200</t>
        </is>
      </c>
      <c r="K404" s="75" t="n">
        <v>1</v>
      </c>
      <c r="L404" s="51" t="n">
        <v>64</v>
      </c>
      <c r="M404" s="69" t="n">
        <v>1.19</v>
      </c>
      <c r="N404" s="70">
        <f>K404*L404*M404</f>
        <v/>
      </c>
      <c r="O404" s="37">
        <f>IFERROR(INDEX(Исходные!$B$19:$B$31,MATCH(H404,Исходные!$A$19:$A$31,0)),0)</f>
        <v/>
      </c>
      <c r="P404" s="76">
        <f>N404*O404</f>
        <v/>
      </c>
      <c r="Q404" s="21" t="inlineStr">
        <is>
          <t>АС-68 сеч.а-а поз.2; узлы «2»–«6» «50×4, 100×4, 200×n» от каждого конца марша</t>
        </is>
      </c>
      <c r="R404" s="77" t="inlineStr">
        <is>
          <t>по проекту</t>
        </is>
      </c>
      <c r="S404" s="21" t="inlineStr">
        <is>
          <t>32 шт в ряду × 2 ряда; длина марша по наклону 4.158 м</t>
        </is>
      </c>
      <c r="T404" s="21" t="inlineStr">
        <is>
          <t>Лестницы</t>
        </is>
      </c>
      <c r="U404" s="49" t="n">
        <v>0</v>
      </c>
      <c r="V404" s="72" t="inlineStr">
        <is>
          <t>Л2</t>
        </is>
      </c>
      <c r="W404" s="49" t="n">
        <v>1</v>
      </c>
    </row>
    <row r="405">
      <c r="A405" s="72" t="n">
        <v>393</v>
      </c>
      <c r="B405" s="21" t="inlineStr">
        <is>
          <t>1 этаж (отм. -0.050…+3.950)</t>
        </is>
      </c>
      <c r="C405" s="21" t="inlineStr">
        <is>
          <t>Лестница ЛВ-1</t>
        </is>
      </c>
      <c r="D405" s="21" t="inlineStr">
        <is>
          <t>оси 3–4 / Г</t>
        </is>
      </c>
      <c r="E405" s="21" t="inlineStr">
        <is>
          <t>ЛВ-1 марш 2</t>
        </is>
      </c>
      <c r="F405" s="72" t="inlineStr">
        <is>
          <t>4</t>
        </is>
      </c>
      <c r="G405" s="21" t="inlineStr">
        <is>
          <t>П-образный Ø10 А240 L=520 по двум продольным краям марша, ш.50/100/200</t>
        </is>
      </c>
      <c r="H405" s="51" t="n">
        <v>10</v>
      </c>
      <c r="I405" s="72" t="inlineStr">
        <is>
          <t>А240</t>
        </is>
      </c>
      <c r="J405" s="72" t="inlineStr">
        <is>
          <t>50/100/200</t>
        </is>
      </c>
      <c r="K405" s="75" t="n">
        <v>1</v>
      </c>
      <c r="L405" s="51" t="n">
        <v>64</v>
      </c>
      <c r="M405" s="69" t="n">
        <v>0.52</v>
      </c>
      <c r="N405" s="70">
        <f>K405*L405*M405</f>
        <v/>
      </c>
      <c r="O405" s="37">
        <f>IFERROR(INDEX(Исходные!$B$19:$B$31,MATCH(H405,Исходные!$A$19:$A$31,0)),0)</f>
        <v/>
      </c>
      <c r="P405" s="76">
        <f>N405*O405</f>
        <v/>
      </c>
      <c r="Q405" s="21" t="inlineStr">
        <is>
          <t>АС-68 сеч.а-а поз.4 «Ø10 А240 ш.50,100,200 L=520»; АС-67 «П-образный Ø10 А240 L=520»</t>
        </is>
      </c>
      <c r="R405" s="77" t="inlineStr">
        <is>
          <t>по проекту</t>
        </is>
      </c>
      <c r="S405" s="21" t="inlineStr"/>
      <c r="T405" s="21" t="inlineStr">
        <is>
          <t>Лестницы</t>
        </is>
      </c>
      <c r="U405" s="49" t="n">
        <v>0</v>
      </c>
      <c r="V405" s="72" t="inlineStr">
        <is>
          <t>Л2</t>
        </is>
      </c>
      <c r="W405" s="49" t="n">
        <v>1</v>
      </c>
    </row>
    <row r="406">
      <c r="A406" s="72" t="n">
        <v>394</v>
      </c>
      <c r="B406" s="21" t="inlineStr">
        <is>
          <t>1 этаж (отм. -0.050…+3.950)</t>
        </is>
      </c>
      <c r="C406" s="21" t="inlineStr">
        <is>
          <t>Лестница ЛВ-1</t>
        </is>
      </c>
      <c r="D406" s="21" t="inlineStr">
        <is>
          <t>оси 3–4 / Г</t>
        </is>
      </c>
      <c r="E406" s="21" t="inlineStr">
        <is>
          <t>ЛВ-1 марш 2</t>
        </is>
      </c>
      <c r="F406" s="72" t="inlineStr">
        <is>
          <t>3</t>
        </is>
      </c>
      <c r="G406" s="21" t="inlineStr">
        <is>
          <t>Шпилька Ø6 А240 L=280 ш.300 в шахматном порядке</t>
        </is>
      </c>
      <c r="H406" s="51" t="n">
        <v>6</v>
      </c>
      <c r="I406" s="72" t="inlineStr">
        <is>
          <t>А240</t>
        </is>
      </c>
      <c r="J406" s="72" t="inlineStr">
        <is>
          <t>300 шахм.</t>
        </is>
      </c>
      <c r="K406" s="75" t="n">
        <v>1</v>
      </c>
      <c r="L406" s="51" t="n">
        <v>42</v>
      </c>
      <c r="M406" s="69" t="n">
        <v>0.28</v>
      </c>
      <c r="N406" s="70">
        <f>K406*L406*M406</f>
        <v/>
      </c>
      <c r="O406" s="37">
        <f>IFERROR(INDEX(Исходные!$B$19:$B$31,MATCH(H406,Исходные!$A$19:$A$31,0)),0)</f>
        <v/>
      </c>
      <c r="P406" s="76">
        <f>N406*O406</f>
        <v/>
      </c>
      <c r="Q406" s="21" t="inlineStr">
        <is>
          <t>АС-68 сеч.а-а поз.3 «Ø6 А240 L=280 шаг 300 в шахм. порядке»</t>
        </is>
      </c>
      <c r="R406" s="78" t="inlineStr">
        <is>
          <t>принято (уточнить)</t>
        </is>
      </c>
      <c r="S406" s="21" t="inlineStr">
        <is>
          <t>По площади: 4.158 × 0,90 (между краевыми каркасами) / 0,09 м² = 42 шт</t>
        </is>
      </c>
      <c r="T406" s="21" t="inlineStr">
        <is>
          <t>Лестницы</t>
        </is>
      </c>
      <c r="U406" s="49" t="n">
        <v>1</v>
      </c>
      <c r="V406" s="72" t="inlineStr">
        <is>
          <t>Л2</t>
        </is>
      </c>
      <c r="W406" s="49" t="n">
        <v>1</v>
      </c>
    </row>
    <row r="407">
      <c r="A407" s="72" t="n">
        <v>395</v>
      </c>
      <c r="B407" s="21" t="inlineStr">
        <is>
          <t>1 этаж (отм. -0.050…+3.950)</t>
        </is>
      </c>
      <c r="C407" s="21" t="inlineStr">
        <is>
          <t>Лестница ЛВ-1</t>
        </is>
      </c>
      <c r="D407" s="21" t="inlineStr">
        <is>
          <t>оси 3–4 / Г</t>
        </is>
      </c>
      <c r="E407" s="21" t="inlineStr">
        <is>
          <t>ЛВ-1 марш 2</t>
        </is>
      </c>
      <c r="F407" s="72" t="inlineStr">
        <is>
          <t>С-1</t>
        </is>
      </c>
      <c r="G407" s="21" t="inlineStr">
        <is>
          <t>Сетка С-1 5/5/100/100 (Ø5 Вр-I, яч. 100×100) по ступеням: проволока 20 м на 1 м²</t>
        </is>
      </c>
      <c r="H407" s="51" t="n">
        <v>5</v>
      </c>
      <c r="I407" s="72" t="inlineStr">
        <is>
          <t>Вр-I</t>
        </is>
      </c>
      <c r="J407" s="72" t="inlineStr">
        <is>
          <t>100×100</t>
        </is>
      </c>
      <c r="K407" s="75" t="n">
        <v>7.1</v>
      </c>
      <c r="L407" s="51" t="n">
        <v>20</v>
      </c>
      <c r="M407" s="69" t="n">
        <v>1</v>
      </c>
      <c r="N407" s="70">
        <f>K407*L407*M407</f>
        <v/>
      </c>
      <c r="O407" s="37">
        <f>IFERROR(INDEX(Исходные!$B$19:$B$31,MATCH(H407,Исходные!$A$19:$A$31,0)),0)</f>
        <v/>
      </c>
      <c r="P407" s="76">
        <f>N407*O407</f>
        <v/>
      </c>
      <c r="Q407" s="21" t="inlineStr">
        <is>
          <t>АС-68 узлы «2»–«6» «Сетка С-1 5/5/100/100»</t>
        </is>
      </c>
      <c r="R407" s="78" t="inlineStr">
        <is>
          <t>по геометрии (уточнить)</t>
        </is>
      </c>
      <c r="S407" s="21" t="inlineStr">
        <is>
          <t>Площадь = развёртка ступеней (13×0,16 + 12×0,30 = 5.68 м) × 1,25 = 7.1 м²; масса 20 м/м² × 0,154 = 3,08 кг/м²</t>
        </is>
      </c>
      <c r="T407" s="21" t="inlineStr">
        <is>
          <t>Лестницы</t>
        </is>
      </c>
      <c r="U407" s="49" t="n">
        <v>1</v>
      </c>
      <c r="V407" s="72" t="inlineStr">
        <is>
          <t>Л2</t>
        </is>
      </c>
      <c r="W407" s="49" t="n">
        <v>1</v>
      </c>
    </row>
    <row r="408">
      <c r="A408" s="72" t="n">
        <v>396</v>
      </c>
      <c r="B408" s="21" t="inlineStr">
        <is>
          <t>1 этаж (отм. -0.050…+3.950)</t>
        </is>
      </c>
      <c r="C408" s="21" t="inlineStr">
        <is>
          <t>Лестница ЛВ-1</t>
        </is>
      </c>
      <c r="D408" s="21" t="inlineStr">
        <is>
          <t>ось 3 / Г, отм. 1.920</t>
        </is>
      </c>
      <c r="E408" s="21" t="inlineStr">
        <is>
          <t>ЛВ-1 площадка</t>
        </is>
      </c>
      <c r="F408" s="72" t="inlineStr">
        <is>
          <t>2</t>
        </is>
      </c>
      <c r="G408" s="21" t="inlineStr">
        <is>
          <t>Поперечные Ø10 А500С ш.100 в площадке (2 полосы × 2 ряда), L=1190</t>
        </is>
      </c>
      <c r="H408" s="51" t="n">
        <v>10</v>
      </c>
      <c r="I408" s="72" t="inlineStr">
        <is>
          <t>А500С</t>
        </is>
      </c>
      <c r="J408" s="72" t="n">
        <v>100</v>
      </c>
      <c r="K408" s="75" t="n">
        <v>2</v>
      </c>
      <c r="L408" s="51" t="n">
        <v>28</v>
      </c>
      <c r="M408" s="69" t="n">
        <v>1.19</v>
      </c>
      <c r="N408" s="70">
        <f>K408*L408*M408</f>
        <v/>
      </c>
      <c r="O408" s="37">
        <f>IFERROR(INDEX(Исходные!$B$19:$B$31,MATCH(H408,Исходные!$A$19:$A$31,0)),0)</f>
        <v/>
      </c>
      <c r="P408" s="76">
        <f>N408*O408</f>
        <v/>
      </c>
      <c r="Q408" s="21" t="inlineStr">
        <is>
          <t>АС-68 сеч.б-б поз.2; узлы «5», «6» «100×n»</t>
        </is>
      </c>
      <c r="R408" s="77" t="inlineStr">
        <is>
          <t>по проекту</t>
        </is>
      </c>
      <c r="S408" s="21" t="inlineStr">
        <is>
          <t>14 шт в ряду на длине 1.35 м</t>
        </is>
      </c>
      <c r="T408" s="21" t="inlineStr">
        <is>
          <t>Лестницы</t>
        </is>
      </c>
      <c r="U408" s="49" t="n">
        <v>0</v>
      </c>
      <c r="V408" s="72" t="inlineStr">
        <is>
          <t>Л-пл</t>
        </is>
      </c>
      <c r="W408" s="49" t="n">
        <v>1</v>
      </c>
    </row>
    <row r="409">
      <c r="A409" s="72" t="n">
        <v>397</v>
      </c>
      <c r="B409" s="21" t="inlineStr">
        <is>
          <t>1 этаж (отм. -0.050…+3.950)</t>
        </is>
      </c>
      <c r="C409" s="21" t="inlineStr">
        <is>
          <t>Лестница ЛВ-1</t>
        </is>
      </c>
      <c r="D409" s="21" t="inlineStr">
        <is>
          <t>ось 3 / Г, отм. 1.920</t>
        </is>
      </c>
      <c r="E409" s="21" t="inlineStr">
        <is>
          <t>ЛВ-1 площадка</t>
        </is>
      </c>
      <c r="F409" s="72" t="inlineStr">
        <is>
          <t>4</t>
        </is>
      </c>
      <c r="G409" s="21" t="inlineStr">
        <is>
          <t>П-образный Ø10 А240 L=520 по краям полос площадки</t>
        </is>
      </c>
      <c r="H409" s="51" t="n">
        <v>10</v>
      </c>
      <c r="I409" s="72" t="inlineStr">
        <is>
          <t>А240</t>
        </is>
      </c>
      <c r="J409" s="72" t="n">
        <v>100</v>
      </c>
      <c r="K409" s="75" t="n">
        <v>2</v>
      </c>
      <c r="L409" s="51" t="n">
        <v>28</v>
      </c>
      <c r="M409" s="69" t="n">
        <v>0.52</v>
      </c>
      <c r="N409" s="70">
        <f>K409*L409*M409</f>
        <v/>
      </c>
      <c r="O409" s="37">
        <f>IFERROR(INDEX(Исходные!$B$19:$B$31,MATCH(H409,Исходные!$A$19:$A$31,0)),0)</f>
        <v/>
      </c>
      <c r="P409" s="76">
        <f>N409*O409</f>
        <v/>
      </c>
      <c r="Q409" s="21" t="inlineStr">
        <is>
          <t>АС-68 сеч.б-б поз.4</t>
        </is>
      </c>
      <c r="R409" s="77" t="inlineStr">
        <is>
          <t>по проекту</t>
        </is>
      </c>
      <c r="S409" s="21" t="inlineStr"/>
      <c r="T409" s="21" t="inlineStr">
        <is>
          <t>Лестницы</t>
        </is>
      </c>
      <c r="U409" s="49" t="n">
        <v>0</v>
      </c>
      <c r="V409" s="72" t="inlineStr">
        <is>
          <t>Л-пл</t>
        </is>
      </c>
      <c r="W409" s="49" t="n">
        <v>1</v>
      </c>
    </row>
    <row r="410">
      <c r="A410" s="72" t="n">
        <v>398</v>
      </c>
      <c r="B410" s="21" t="inlineStr">
        <is>
          <t>1 этаж (отм. -0.050…+3.950)</t>
        </is>
      </c>
      <c r="C410" s="21" t="inlineStr">
        <is>
          <t>Лестница ЛВ-1</t>
        </is>
      </c>
      <c r="D410" s="21" t="inlineStr">
        <is>
          <t>ось 3 / Г, отм. 1.920</t>
        </is>
      </c>
      <c r="E410" s="21" t="inlineStr">
        <is>
          <t>ЛВ-1 площадка</t>
        </is>
      </c>
      <c r="F410" s="72" t="inlineStr">
        <is>
          <t>5</t>
        </is>
      </c>
      <c r="G410" s="21" t="inlineStr">
        <is>
          <t>Связь полос Ø10 А500С ш.100 L=600 (верх и низ) через шов 130 мм</t>
        </is>
      </c>
      <c r="H410" s="51" t="n">
        <v>10</v>
      </c>
      <c r="I410" s="72" t="inlineStr">
        <is>
          <t>А500С</t>
        </is>
      </c>
      <c r="J410" s="72" t="n">
        <v>100</v>
      </c>
      <c r="K410" s="75" t="n">
        <v>1</v>
      </c>
      <c r="L410" s="51" t="n">
        <v>28</v>
      </c>
      <c r="M410" s="69" t="n">
        <v>0.6</v>
      </c>
      <c r="N410" s="70">
        <f>K410*L410*M410</f>
        <v/>
      </c>
      <c r="O410" s="37">
        <f>IFERROR(INDEX(Исходные!$B$19:$B$31,MATCH(H410,Исходные!$A$19:$A$31,0)),0)</f>
        <v/>
      </c>
      <c r="P410" s="76">
        <f>N410*O410</f>
        <v/>
      </c>
      <c r="Q410" s="21" t="inlineStr">
        <is>
          <t>АС-68 сеч.б-б поз.5 «Ø10 А500С ш.100 L=600»</t>
        </is>
      </c>
      <c r="R410" s="77" t="inlineStr">
        <is>
          <t>по проекту</t>
        </is>
      </c>
      <c r="S410" s="21" t="inlineStr"/>
      <c r="T410" s="21" t="inlineStr">
        <is>
          <t>Лестницы</t>
        </is>
      </c>
      <c r="U410" s="49" t="n">
        <v>0</v>
      </c>
      <c r="V410" s="72" t="inlineStr">
        <is>
          <t>Л-пл</t>
        </is>
      </c>
      <c r="W410" s="49" t="n">
        <v>1</v>
      </c>
    </row>
    <row r="411">
      <c r="A411" s="72" t="n">
        <v>399</v>
      </c>
      <c r="B411" s="21" t="inlineStr">
        <is>
          <t>1 этаж (отм. -0.050…+3.950)</t>
        </is>
      </c>
      <c r="C411" s="21" t="inlineStr">
        <is>
          <t>Лестница ЛВ-1</t>
        </is>
      </c>
      <c r="D411" s="21" t="inlineStr">
        <is>
          <t>ось 3 / Г, отм. 1.920</t>
        </is>
      </c>
      <c r="E411" s="21" t="inlineStr">
        <is>
          <t>ЛВ-1 площадка</t>
        </is>
      </c>
      <c r="F411" s="72" t="inlineStr">
        <is>
          <t>3</t>
        </is>
      </c>
      <c r="G411" s="21" t="inlineStr">
        <is>
          <t>Шпилька Ø6 А240 L=280 ш.300 в шахм. порядке</t>
        </is>
      </c>
      <c r="H411" s="51" t="n">
        <v>6</v>
      </c>
      <c r="I411" s="72" t="inlineStr">
        <is>
          <t>А240</t>
        </is>
      </c>
      <c r="J411" s="72" t="inlineStr">
        <is>
          <t>300 шахм.</t>
        </is>
      </c>
      <c r="K411" s="75" t="n">
        <v>1</v>
      </c>
      <c r="L411" s="51" t="n">
        <v>28</v>
      </c>
      <c r="M411" s="69" t="n">
        <v>0.28</v>
      </c>
      <c r="N411" s="70">
        <f>K411*L411*M411</f>
        <v/>
      </c>
      <c r="O411" s="37">
        <f>IFERROR(INDEX(Исходные!$B$19:$B$31,MATCH(H411,Исходные!$A$19:$A$31,0)),0)</f>
        <v/>
      </c>
      <c r="P411" s="76">
        <f>N411*O411</f>
        <v/>
      </c>
      <c r="Q411" s="21" t="inlineStr">
        <is>
          <t>АС-68 сеч.б-б поз.3</t>
        </is>
      </c>
      <c r="R411" s="78" t="inlineStr">
        <is>
          <t>принято (уточнить)</t>
        </is>
      </c>
      <c r="S411" s="21" t="inlineStr">
        <is>
          <t>2 × 1.35 × 0,90 / 0,09 = 28 шт</t>
        </is>
      </c>
      <c r="T411" s="21" t="inlineStr">
        <is>
          <t>Лестницы</t>
        </is>
      </c>
      <c r="U411" s="49" t="n">
        <v>1</v>
      </c>
      <c r="V411" s="72" t="inlineStr">
        <is>
          <t>Л-пл</t>
        </is>
      </c>
      <c r="W411" s="49" t="n">
        <v>1</v>
      </c>
    </row>
    <row r="412">
      <c r="A412" s="72" t="n">
        <v>400</v>
      </c>
      <c r="B412" s="21" t="inlineStr">
        <is>
          <t>1 этаж (отм. -0.050…+3.950)</t>
        </is>
      </c>
      <c r="C412" s="21" t="inlineStr">
        <is>
          <t>Лестница ЛВ-1</t>
        </is>
      </c>
      <c r="D412" s="21" t="inlineStr">
        <is>
          <t>ось 3 / Г, отм. 1.920</t>
        </is>
      </c>
      <c r="E412" s="21" t="inlineStr">
        <is>
          <t>ЛВ-1 площадка</t>
        </is>
      </c>
      <c r="F412" s="72" t="inlineStr">
        <is>
          <t>Зд-1</t>
        </is>
      </c>
      <c r="G412" s="21" t="inlineStr">
        <is>
          <t>Анкеры закладной Зд-1: 2Ø10 + 2Ø10 А500С L=480 на 1 Зд-1, Зд-1 — 2 шт</t>
        </is>
      </c>
      <c r="H412" s="51" t="n">
        <v>10</v>
      </c>
      <c r="I412" s="72" t="inlineStr">
        <is>
          <t>А500С</t>
        </is>
      </c>
      <c r="J412" s="72" t="inlineStr">
        <is>
          <t>—</t>
        </is>
      </c>
      <c r="K412" s="75" t="n">
        <v>2</v>
      </c>
      <c r="L412" s="51" t="n">
        <v>4</v>
      </c>
      <c r="M412" s="69" t="n">
        <v>0.48</v>
      </c>
      <c r="N412" s="70">
        <f>K412*L412*M412</f>
        <v/>
      </c>
      <c r="O412" s="37">
        <f>IFERROR(INDEX(Исходные!$B$19:$B$31,MATCH(H412,Исходные!$A$19:$A$31,0)),0)</f>
        <v/>
      </c>
      <c r="P412" s="76">
        <f>N412*O412</f>
        <v/>
      </c>
      <c r="Q412" s="21" t="inlineStr">
        <is>
          <t>АС-67 узел «1», «Зд-1» поз.2</t>
        </is>
      </c>
      <c r="R412" s="78" t="inlineStr">
        <is>
          <t>принято (уточнить)</t>
        </is>
      </c>
      <c r="S412" s="21" t="inlineStr">
        <is>
          <t>Кол-во Зд-1 принято по числу анкеров А-1 (привязка «Анкер А-1» на АС-69).</t>
        </is>
      </c>
      <c r="T412" s="21" t="inlineStr">
        <is>
          <t>Лестницы</t>
        </is>
      </c>
      <c r="U412" s="49" t="n">
        <v>1</v>
      </c>
      <c r="V412" s="72" t="inlineStr">
        <is>
          <t>Л-пл</t>
        </is>
      </c>
      <c r="W412" s="49" t="n">
        <v>1</v>
      </c>
    </row>
    <row r="413">
      <c r="A413" s="72" t="n">
        <v>401</v>
      </c>
      <c r="B413" s="21" t="inlineStr">
        <is>
          <t>1 этаж (отм. -0.050…+3.950)</t>
        </is>
      </c>
      <c r="C413" s="21" t="inlineStr">
        <is>
          <t>Лестница ЛВ-1</t>
        </is>
      </c>
      <c r="D413" s="21" t="inlineStr">
        <is>
          <t>ось 3, от оси Г 2855</t>
        </is>
      </c>
      <c r="E413" s="21" t="inlineStr">
        <is>
          <t>Лрм-1</t>
        </is>
      </c>
      <c r="F413" s="72" t="inlineStr">
        <is>
          <t>1</t>
        </is>
      </c>
      <c r="G413" s="21" t="inlineStr">
        <is>
          <t>Ригель рамы 300×300: 4Ø25 (концы с Аш-6)</t>
        </is>
      </c>
      <c r="H413" s="51" t="n">
        <v>25</v>
      </c>
      <c r="I413" s="72" t="inlineStr">
        <is>
          <t>А500С</t>
        </is>
      </c>
      <c r="J413" s="72" t="inlineStr">
        <is>
          <t>—</t>
        </is>
      </c>
      <c r="K413" s="75" t="n">
        <v>1</v>
      </c>
      <c r="L413" s="51" t="n">
        <v>4</v>
      </c>
      <c r="M413" s="69" t="n">
        <v>3.065</v>
      </c>
      <c r="N413" s="70">
        <f>K413*L413*M413</f>
        <v/>
      </c>
      <c r="O413" s="37">
        <f>IFERROR(INDEX(Исходные!$B$19:$B$31,MATCH(H413,Исходные!$A$19:$A$31,0)),0)</f>
        <v/>
      </c>
      <c r="P413" s="76">
        <f>N413*O413</f>
        <v/>
      </c>
      <c r="Q413" s="21" t="inlineStr">
        <is>
          <t>АС-69 «Рама Лрм-1», сеч.2-2 поз.1 «4Ø25 А500С»</t>
        </is>
      </c>
      <c r="R413" s="78" t="inlineStr">
        <is>
          <t>по геометрии (уточнить)</t>
        </is>
      </c>
      <c r="S413" s="21" t="inlineStr">
        <is>
          <t>L = 2855 − 40 (защ. слой у стойки) + 250 (заход в ригель/колонну по оси Г до Аш-6)</t>
        </is>
      </c>
      <c r="T413" s="21" t="inlineStr">
        <is>
          <t>Лестницы</t>
        </is>
      </c>
      <c r="U413" s="49" t="n">
        <v>1</v>
      </c>
      <c r="V413" s="72" t="inlineStr">
        <is>
          <t>Л-рама</t>
        </is>
      </c>
      <c r="W413" s="49" t="n">
        <v>1</v>
      </c>
    </row>
    <row r="414">
      <c r="A414" s="72" t="n">
        <v>402</v>
      </c>
      <c r="B414" s="21" t="inlineStr">
        <is>
          <t>1 этаж (отм. -0.050…+3.950)</t>
        </is>
      </c>
      <c r="C414" s="21" t="inlineStr">
        <is>
          <t>Лестница ЛВ-1</t>
        </is>
      </c>
      <c r="D414" s="21" t="inlineStr">
        <is>
          <t>ось 3, от оси Г 2855</t>
        </is>
      </c>
      <c r="E414" s="21" t="inlineStr">
        <is>
          <t>Лрм-1</t>
        </is>
      </c>
      <c r="F414" s="72" t="inlineStr">
        <is>
          <t>1</t>
        </is>
      </c>
      <c r="G414" s="21" t="inlineStr">
        <is>
          <t>Стойка рамы 300×300: 4Ø25 (низ — 550 ниже -0.050 с Аш-6)</t>
        </is>
      </c>
      <c r="H414" s="51" t="n">
        <v>25</v>
      </c>
      <c r="I414" s="72" t="inlineStr">
        <is>
          <t>А500С</t>
        </is>
      </c>
      <c r="J414" s="72" t="inlineStr">
        <is>
          <t>—</t>
        </is>
      </c>
      <c r="K414" s="75" t="n">
        <v>1</v>
      </c>
      <c r="L414" s="51" t="n">
        <v>4</v>
      </c>
      <c r="M414" s="69" t="n">
        <v>2.28</v>
      </c>
      <c r="N414" s="70">
        <f>K414*L414*M414</f>
        <v/>
      </c>
      <c r="O414" s="37">
        <f>IFERROR(INDEX(Исходные!$B$19:$B$31,MATCH(H414,Исходные!$A$19:$A$31,0)),0)</f>
        <v/>
      </c>
      <c r="P414" s="76">
        <f>N414*O414</f>
        <v/>
      </c>
      <c r="Q414" s="21" t="inlineStr">
        <is>
          <t>АС-69 сеч.1-1 поз.1 «4Ø25 А500С»; «550» ниже отм. -0.050</t>
        </is>
      </c>
      <c r="R414" s="78" t="inlineStr">
        <is>
          <t>по геометрии (уточнить)</t>
        </is>
      </c>
      <c r="S414" s="21" t="inlineStr">
        <is>
          <t>L = 500 (ниже -0.050, до Аш-6) + 1820 (-0.050…1.770) − 40 (защ. слой)</t>
        </is>
      </c>
      <c r="T414" s="21" t="inlineStr">
        <is>
          <t>Лестницы</t>
        </is>
      </c>
      <c r="U414" s="49" t="n">
        <v>1</v>
      </c>
      <c r="V414" s="72" t="inlineStr">
        <is>
          <t>Л-рама</t>
        </is>
      </c>
      <c r="W414" s="49" t="n">
        <v>1</v>
      </c>
    </row>
    <row r="415">
      <c r="A415" s="72" t="n">
        <v>403</v>
      </c>
      <c r="B415" s="21" t="inlineStr">
        <is>
          <t>1 этаж (отм. -0.050…+3.950)</t>
        </is>
      </c>
      <c r="C415" s="21" t="inlineStr">
        <is>
          <t>Лестница ЛВ-1</t>
        </is>
      </c>
      <c r="D415" s="21" t="inlineStr">
        <is>
          <t>ось 3</t>
        </is>
      </c>
      <c r="E415" s="21" t="inlineStr">
        <is>
          <t>Лрм-1</t>
        </is>
      </c>
      <c r="F415" s="72" t="inlineStr">
        <is>
          <t>1 (хом.)</t>
        </is>
      </c>
      <c r="G415" s="21" t="inlineStr">
        <is>
          <t>Хомут стойки Ø8 А240 L=1280 ш.100 (50 + 100×n + 50 на высоту 1520)</t>
        </is>
      </c>
      <c r="H415" s="51" t="n">
        <v>8</v>
      </c>
      <c r="I415" s="72" t="inlineStr">
        <is>
          <t>А240</t>
        </is>
      </c>
      <c r="J415" s="72" t="n">
        <v>100</v>
      </c>
      <c r="K415" s="75" t="n">
        <v>1</v>
      </c>
      <c r="L415" s="51" t="n">
        <v>15</v>
      </c>
      <c r="M415" s="69" t="n">
        <v>1.28</v>
      </c>
      <c r="N415" s="70">
        <f>K415*L415*M415</f>
        <v/>
      </c>
      <c r="O415" s="37">
        <f>IFERROR(INDEX(Исходные!$B$19:$B$31,MATCH(H415,Исходные!$A$19:$A$31,0)),0)</f>
        <v/>
      </c>
      <c r="P415" s="76">
        <f>N415*O415</f>
        <v/>
      </c>
      <c r="Q415" s="21" t="inlineStr">
        <is>
          <t>АС-69 сеч.1-1, «Позиция 1 L=1280»</t>
        </is>
      </c>
      <c r="R415" s="77" t="inlineStr">
        <is>
          <t>по проекту</t>
        </is>
      </c>
      <c r="S415" s="21" t="inlineStr"/>
      <c r="T415" s="21" t="inlineStr">
        <is>
          <t>Лестницы</t>
        </is>
      </c>
      <c r="U415" s="49" t="n">
        <v>0</v>
      </c>
      <c r="V415" s="72" t="inlineStr">
        <is>
          <t>Л-рама</t>
        </is>
      </c>
      <c r="W415" s="49" t="n">
        <v>1</v>
      </c>
    </row>
    <row r="416">
      <c r="A416" s="72" t="n">
        <v>404</v>
      </c>
      <c r="B416" s="21" t="inlineStr">
        <is>
          <t>1 этаж (отм. -0.050…+3.950)</t>
        </is>
      </c>
      <c r="C416" s="21" t="inlineStr">
        <is>
          <t>Лестница ЛВ-1</t>
        </is>
      </c>
      <c r="D416" s="21" t="inlineStr">
        <is>
          <t>ось 3</t>
        </is>
      </c>
      <c r="E416" s="21" t="inlineStr">
        <is>
          <t>Лрм-1</t>
        </is>
      </c>
      <c r="F416" s="72" t="inlineStr">
        <is>
          <t>2 (хом.)</t>
        </is>
      </c>
      <c r="G416" s="21" t="inlineStr">
        <is>
          <t>Хомут ригеля Ø8 А240 L=1160 ш.100 (50 + 100×n + 50 на пролёте 2225)</t>
        </is>
      </c>
      <c r="H416" s="51" t="n">
        <v>8</v>
      </c>
      <c r="I416" s="72" t="inlineStr">
        <is>
          <t>А240</t>
        </is>
      </c>
      <c r="J416" s="72" t="n">
        <v>100</v>
      </c>
      <c r="K416" s="75" t="n">
        <v>1</v>
      </c>
      <c r="L416" s="51" t="n">
        <v>22</v>
      </c>
      <c r="M416" s="69" t="n">
        <v>1.16</v>
      </c>
      <c r="N416" s="70">
        <f>K416*L416*M416</f>
        <v/>
      </c>
      <c r="O416" s="37">
        <f>IFERROR(INDEX(Исходные!$B$19:$B$31,MATCH(H416,Исходные!$A$19:$A$31,0)),0)</f>
        <v/>
      </c>
      <c r="P416" s="76">
        <f>N416*O416</f>
        <v/>
      </c>
      <c r="Q416" s="21" t="inlineStr">
        <is>
          <t>АС-69 сеч.2-2, «Позиция 2 L=1160»</t>
        </is>
      </c>
      <c r="R416" s="77" t="inlineStr">
        <is>
          <t>по проекту</t>
        </is>
      </c>
      <c r="S416" s="21" t="inlineStr"/>
      <c r="T416" s="21" t="inlineStr">
        <is>
          <t>Лестницы</t>
        </is>
      </c>
      <c r="U416" s="49" t="n">
        <v>0</v>
      </c>
      <c r="V416" s="72" t="inlineStr">
        <is>
          <t>Л-рама</t>
        </is>
      </c>
      <c r="W416" s="49" t="n">
        <v>1</v>
      </c>
    </row>
    <row r="417">
      <c r="A417" s="72" t="n">
        <v>405</v>
      </c>
      <c r="B417" s="21" t="inlineStr">
        <is>
          <t>1 этаж (отм. -0.050…+3.950)</t>
        </is>
      </c>
      <c r="C417" s="21" t="inlineStr">
        <is>
          <t>Лестница ЛВ-1</t>
        </is>
      </c>
      <c r="D417" s="21" t="inlineStr">
        <is>
          <t>ось 3</t>
        </is>
      </c>
      <c r="E417" s="21" t="inlineStr">
        <is>
          <t>Лрм-1</t>
        </is>
      </c>
      <c r="F417" s="72" t="inlineStr">
        <is>
          <t>А-1</t>
        </is>
      </c>
      <c r="G417" s="21" t="inlineStr">
        <is>
          <t>Анкер А-1 Ø16 А240 L=420 (опора площадки на Лрм)</t>
        </is>
      </c>
      <c r="H417" s="51" t="n">
        <v>16</v>
      </c>
      <c r="I417" s="72" t="inlineStr">
        <is>
          <t>А240</t>
        </is>
      </c>
      <c r="J417" s="72" t="inlineStr">
        <is>
          <t>—</t>
        </is>
      </c>
      <c r="K417" s="75" t="n">
        <v>1</v>
      </c>
      <c r="L417" s="51" t="n">
        <v>2</v>
      </c>
      <c r="M417" s="69" t="n">
        <v>0.42</v>
      </c>
      <c r="N417" s="70">
        <f>K417*L417*M417</f>
        <v/>
      </c>
      <c r="O417" s="37">
        <f>IFERROR(INDEX(Исходные!$B$19:$B$31,MATCH(H417,Исходные!$A$19:$A$31,0)),0)</f>
        <v/>
      </c>
      <c r="P417" s="76">
        <f>N417*O417</f>
        <v/>
      </c>
      <c r="Q417" s="21" t="inlineStr">
        <is>
          <t>АС-67 узел «1» и «Вид в-в» «Анкер А-1 Ø16 А240 L=420»; привязка на АС-69</t>
        </is>
      </c>
      <c r="R417" s="78" t="inlineStr">
        <is>
          <t>принято (уточнить)</t>
        </is>
      </c>
      <c r="S417" s="21" t="inlineStr">
        <is>
          <t>На АС-69 сеч.2-2 этот стержень подписан «Ø16 А240 L=310» — противоречие, принято 420 по узлу «1».</t>
        </is>
      </c>
      <c r="T417" s="21" t="inlineStr">
        <is>
          <t>Лестницы</t>
        </is>
      </c>
      <c r="U417" s="49" t="n">
        <v>1</v>
      </c>
      <c r="V417" s="72" t="inlineStr">
        <is>
          <t>Л-рама</t>
        </is>
      </c>
      <c r="W417" s="49" t="n">
        <v>1</v>
      </c>
    </row>
    <row r="418">
      <c r="A418" s="73" t="inlineStr">
        <is>
          <t>2 ЭТАЖ (+3.950…+7.550)</t>
        </is>
      </c>
      <c r="B418" s="33" t="n"/>
      <c r="C418" s="33" t="n"/>
      <c r="D418" s="33" t="n"/>
      <c r="E418" s="33" t="n"/>
      <c r="F418" s="33" t="n"/>
      <c r="G418" s="33" t="n"/>
      <c r="H418" s="33" t="n"/>
      <c r="I418" s="33" t="n"/>
      <c r="J418" s="33" t="n"/>
      <c r="K418" s="33" t="n"/>
      <c r="L418" s="33" t="n"/>
      <c r="M418" s="33" t="n"/>
      <c r="N418" s="33" t="n"/>
      <c r="O418" s="33" t="n"/>
      <c r="P418" s="33" t="n"/>
      <c r="Q418" s="33" t="n"/>
      <c r="R418" s="33" t="n"/>
      <c r="S418" s="33" t="n"/>
      <c r="T418" s="33" t="n"/>
      <c r="U418" s="33" t="n"/>
      <c r="V418" s="33" t="n"/>
      <c r="W418" s="34" t="n"/>
    </row>
    <row r="419">
      <c r="A419" s="74" t="inlineStr">
        <is>
          <t>2.1. ДИАФРАГМЫ Дм-1…Дм-5 — отм. +3.950…+7.550, сечения 2-2 / 3-3 «2 этаж»</t>
        </is>
      </c>
      <c r="B419" s="33" t="n"/>
      <c r="C419" s="33" t="n"/>
      <c r="D419" s="33" t="n"/>
      <c r="E419" s="33" t="n"/>
      <c r="F419" s="33" t="n"/>
      <c r="G419" s="33" t="n"/>
      <c r="H419" s="33" t="n"/>
      <c r="I419" s="33" t="n"/>
      <c r="J419" s="33" t="n"/>
      <c r="K419" s="33" t="n"/>
      <c r="L419" s="33" t="n"/>
      <c r="M419" s="33" t="n"/>
      <c r="N419" s="33" t="n"/>
      <c r="O419" s="33" t="n"/>
      <c r="P419" s="33" t="n"/>
      <c r="Q419" s="33" t="n"/>
      <c r="R419" s="33" t="n"/>
      <c r="S419" s="33" t="n"/>
      <c r="T419" s="33" t="n"/>
      <c r="U419" s="33" t="n"/>
      <c r="V419" s="33" t="n"/>
      <c r="W419" s="34" t="n"/>
    </row>
    <row r="420">
      <c r="A420" s="72" t="n">
        <v>406</v>
      </c>
      <c r="B420" s="21" t="inlineStr">
        <is>
          <t>2 этаж (отм. +3.950…+7.550)</t>
        </is>
      </c>
      <c r="C420" s="21" t="inlineStr">
        <is>
          <t>Диафрагмы</t>
        </is>
      </c>
      <c r="D420" s="21" t="inlineStr">
        <is>
          <t>А/4</t>
        </is>
      </c>
      <c r="E420" s="21" t="inlineStr">
        <is>
          <t>Дм-1</t>
        </is>
      </c>
      <c r="F420" s="72" t="inlineStr">
        <is>
          <t>2</t>
        </is>
      </c>
      <c r="G420" s="21" t="inlineStr">
        <is>
          <t>Вертикальные: колонна, угловые 4Ø28</t>
        </is>
      </c>
      <c r="H420" s="51" t="n">
        <v>28</v>
      </c>
      <c r="I420" s="72" t="inlineStr">
        <is>
          <t>А500С</t>
        </is>
      </c>
      <c r="J420" s="72" t="inlineStr">
        <is>
          <t>—</t>
        </is>
      </c>
      <c r="K420" s="75" t="n">
        <v>1</v>
      </c>
      <c r="L420" s="51" t="n">
        <v>4</v>
      </c>
      <c r="M420" s="69" t="n">
        <v>3.6</v>
      </c>
      <c r="N420" s="70">
        <f>K420*L420*M420</f>
        <v/>
      </c>
      <c r="O420" s="37">
        <f>IFERROR(INDEX(Исходные!$B$19:$B$31,MATCH(H420,Исходные!$A$19:$A$31,0)),0)</f>
        <v/>
      </c>
      <c r="P420" s="76">
        <f>N420*O420</f>
        <v/>
      </c>
      <c r="Q420" s="21" t="inlineStr">
        <is>
          <t>АС-35 сеч.2-2 «2 этаж»; прим.1,3</t>
        </is>
      </c>
      <c r="R420" s="77" t="inlineStr">
        <is>
          <t>по проекту</t>
        </is>
      </c>
      <c r="S420" s="21" t="inlineStr">
        <is>
          <t>стык ванной сваркой (Ø≥20), длина = высота этажа 3,6 м. поз.2 4Ø28</t>
        </is>
      </c>
      <c r="T420" s="21" t="inlineStr">
        <is>
          <t>Колонны, диафрагмы</t>
        </is>
      </c>
      <c r="U420" s="49" t="n">
        <v>0</v>
      </c>
      <c r="V420" s="72" t="inlineStr">
        <is>
          <t>Дм-1</t>
        </is>
      </c>
      <c r="W420" s="49" t="n">
        <v>2</v>
      </c>
    </row>
    <row r="421">
      <c r="A421" s="72" t="n">
        <v>407</v>
      </c>
      <c r="B421" s="21" t="inlineStr">
        <is>
          <t>2 этаж (отм. +3.950…+7.550)</t>
        </is>
      </c>
      <c r="C421" s="21" t="inlineStr">
        <is>
          <t>Диафрагмы</t>
        </is>
      </c>
      <c r="D421" s="21" t="inlineStr">
        <is>
          <t>А/4</t>
        </is>
      </c>
      <c r="E421" s="21" t="inlineStr">
        <is>
          <t>Дм-1</t>
        </is>
      </c>
      <c r="F421" s="72" t="inlineStr">
        <is>
          <t>5</t>
        </is>
      </c>
      <c r="G421" s="21" t="inlineStr">
        <is>
          <t>Вертикальные: колонна 8Ø20</t>
        </is>
      </c>
      <c r="H421" s="51" t="n">
        <v>20</v>
      </c>
      <c r="I421" s="72" t="inlineStr">
        <is>
          <t>А500С</t>
        </is>
      </c>
      <c r="J421" s="72" t="inlineStr">
        <is>
          <t>—</t>
        </is>
      </c>
      <c r="K421" s="75" t="n">
        <v>1</v>
      </c>
      <c r="L421" s="51" t="n">
        <v>8</v>
      </c>
      <c r="M421" s="69" t="n">
        <v>3.6</v>
      </c>
      <c r="N421" s="70">
        <f>K421*L421*M421</f>
        <v/>
      </c>
      <c r="O421" s="37">
        <f>IFERROR(INDEX(Исходные!$B$19:$B$31,MATCH(H421,Исходные!$A$19:$A$31,0)),0)</f>
        <v/>
      </c>
      <c r="P421" s="76">
        <f>N421*O421</f>
        <v/>
      </c>
      <c r="Q421" s="21" t="inlineStr">
        <is>
          <t>АС-35 сеч.2-2 «2 этаж»; прим.1,3</t>
        </is>
      </c>
      <c r="R421" s="77" t="inlineStr">
        <is>
          <t>по проекту</t>
        </is>
      </c>
      <c r="S421" s="21" t="inlineStr">
        <is>
          <t>стык ванной сваркой (Ø≥20), длина = высота этажа 3,6 м. поз.5 8Ø20</t>
        </is>
      </c>
      <c r="T421" s="21" t="inlineStr">
        <is>
          <t>Колонны, диафрагмы</t>
        </is>
      </c>
      <c r="U421" s="49" t="n">
        <v>0</v>
      </c>
      <c r="V421" s="72" t="inlineStr">
        <is>
          <t>Дм-1</t>
        </is>
      </c>
      <c r="W421" s="49" t="n">
        <v>2</v>
      </c>
    </row>
    <row r="422">
      <c r="A422" s="72" t="n">
        <v>408</v>
      </c>
      <c r="B422" s="21" t="inlineStr">
        <is>
          <t>2 этаж (отм. +3.950…+7.550)</t>
        </is>
      </c>
      <c r="C422" s="21" t="inlineStr">
        <is>
          <t>Диафрагмы</t>
        </is>
      </c>
      <c r="D422" s="21" t="inlineStr">
        <is>
          <t>А/4</t>
        </is>
      </c>
      <c r="E422" s="21" t="inlineStr">
        <is>
          <t>Дм-1</t>
        </is>
      </c>
      <c r="F422" s="72" t="inlineStr">
        <is>
          <t>3</t>
        </is>
      </c>
      <c r="G422" s="21" t="inlineStr">
        <is>
          <t>Вертикальные: полка: 2 торцевых эл-та по 6 (выноски «3Ø25» + 3 симметр.)</t>
        </is>
      </c>
      <c r="H422" s="51" t="n">
        <v>25</v>
      </c>
      <c r="I422" s="72" t="inlineStr">
        <is>
          <t>А500С</t>
        </is>
      </c>
      <c r="J422" s="72" t="inlineStr">
        <is>
          <t>—</t>
        </is>
      </c>
      <c r="K422" s="75" t="n">
        <v>1</v>
      </c>
      <c r="L422" s="51" t="n">
        <v>12</v>
      </c>
      <c r="M422" s="69" t="n">
        <v>3.6</v>
      </c>
      <c r="N422" s="70">
        <f>K422*L422*M422</f>
        <v/>
      </c>
      <c r="O422" s="37">
        <f>IFERROR(INDEX(Исходные!$B$19:$B$31,MATCH(H422,Исходные!$A$19:$A$31,0)),0)</f>
        <v/>
      </c>
      <c r="P422" s="76">
        <f>N422*O422</f>
        <v/>
      </c>
      <c r="Q422" s="21" t="inlineStr">
        <is>
          <t>АС-35 сеч.2-2 «2 этаж»; прим.1,3</t>
        </is>
      </c>
      <c r="R422" s="77" t="inlineStr">
        <is>
          <t>по проекту</t>
        </is>
      </c>
      <c r="S422" s="21" t="inlineStr">
        <is>
          <t>стык ванной сваркой (Ø≥20), длина = высота этажа 3,6 м. выноски «3Ø25» на нижний ряд + верхний ряд симметрично</t>
        </is>
      </c>
      <c r="T422" s="21" t="inlineStr">
        <is>
          <t>Колонны, диафрагмы</t>
        </is>
      </c>
      <c r="U422" s="49" t="n">
        <v>0</v>
      </c>
      <c r="V422" s="72" t="inlineStr">
        <is>
          <t>Дм-1</t>
        </is>
      </c>
      <c r="W422" s="49" t="n">
        <v>2</v>
      </c>
    </row>
    <row r="423">
      <c r="A423" s="72" t="n">
        <v>409</v>
      </c>
      <c r="B423" s="21" t="inlineStr">
        <is>
          <t>2 этаж (отм. +3.950…+7.550)</t>
        </is>
      </c>
      <c r="C423" s="21" t="inlineStr">
        <is>
          <t>Диафрагмы</t>
        </is>
      </c>
      <c r="D423" s="21" t="inlineStr">
        <is>
          <t>А/4</t>
        </is>
      </c>
      <c r="E423" s="21" t="inlineStr">
        <is>
          <t>Дм-1</t>
        </is>
      </c>
      <c r="F423" s="72" t="inlineStr">
        <is>
          <t>6</t>
        </is>
      </c>
      <c r="G423" s="21" t="inlineStr">
        <is>
          <t>Вертикальные: полка, стенка (выноски «2Ø16» + 2 симметр., ×2 стороны)</t>
        </is>
      </c>
      <c r="H423" s="51" t="n">
        <v>16</v>
      </c>
      <c r="I423" s="72" t="inlineStr">
        <is>
          <t>А500С</t>
        </is>
      </c>
      <c r="J423" s="72" t="inlineStr">
        <is>
          <t>—</t>
        </is>
      </c>
      <c r="K423" s="75" t="n">
        <v>1</v>
      </c>
      <c r="L423" s="51" t="n">
        <v>8</v>
      </c>
      <c r="M423" s="69" t="n">
        <v>3.728</v>
      </c>
      <c r="N423" s="70">
        <f>K423*L423*M423</f>
        <v/>
      </c>
      <c r="O423" s="37">
        <f>IFERROR(INDEX(Исходные!$B$19:$B$31,MATCH(H423,Исходные!$A$19:$A$31,0)),0)</f>
        <v/>
      </c>
      <c r="P423" s="76">
        <f>N423*O423</f>
        <v/>
      </c>
      <c r="Q423" s="21" t="inlineStr">
        <is>
          <t>АС-35 сеч.2-2 «2 этаж»; прим.1,3</t>
        </is>
      </c>
      <c r="R423" s="77" t="inlineStr">
        <is>
          <t>по проекту</t>
        </is>
      </c>
      <c r="S423" s="21" t="inlineStr">
        <is>
          <t>нахлёст 8d со сваркой (Ø≤18), учтён в длине. «6 2Ø16» ×2</t>
        </is>
      </c>
      <c r="T423" s="21" t="inlineStr">
        <is>
          <t>Колонны, диафрагмы</t>
        </is>
      </c>
      <c r="U423" s="49" t="n">
        <v>0</v>
      </c>
      <c r="V423" s="72" t="inlineStr">
        <is>
          <t>Дм-1</t>
        </is>
      </c>
      <c r="W423" s="49" t="n">
        <v>2</v>
      </c>
    </row>
    <row r="424">
      <c r="A424" s="72" t="n">
        <v>410</v>
      </c>
      <c r="B424" s="21" t="inlineStr">
        <is>
          <t>2 этаж (отм. +3.950…+7.550)</t>
        </is>
      </c>
      <c r="C424" s="21" t="inlineStr">
        <is>
          <t>Диафрагмы</t>
        </is>
      </c>
      <c r="D424" s="21" t="inlineStr">
        <is>
          <t>А/4</t>
        </is>
      </c>
      <c r="E424" s="21" t="inlineStr">
        <is>
          <t>Дм-1</t>
        </is>
      </c>
      <c r="F424" s="72" t="inlineStr">
        <is>
          <t>3</t>
        </is>
      </c>
      <c r="G424" s="21" t="inlineStr">
        <is>
          <t>Вертикальные: ребро, торцевой эл-т (выноска «3Ø25» + 3 симметр.)</t>
        </is>
      </c>
      <c r="H424" s="51" t="n">
        <v>25</v>
      </c>
      <c r="I424" s="72" t="inlineStr">
        <is>
          <t>А500С</t>
        </is>
      </c>
      <c r="J424" s="72" t="inlineStr">
        <is>
          <t>—</t>
        </is>
      </c>
      <c r="K424" s="75" t="n">
        <v>1</v>
      </c>
      <c r="L424" s="51" t="n">
        <v>6</v>
      </c>
      <c r="M424" s="69" t="n">
        <v>3.6</v>
      </c>
      <c r="N424" s="70">
        <f>K424*L424*M424</f>
        <v/>
      </c>
      <c r="O424" s="37">
        <f>IFERROR(INDEX(Исходные!$B$19:$B$31,MATCH(H424,Исходные!$A$19:$A$31,0)),0)</f>
        <v/>
      </c>
      <c r="P424" s="76">
        <f>N424*O424</f>
        <v/>
      </c>
      <c r="Q424" s="21" t="inlineStr">
        <is>
          <t>АС-35 сеч.2-2 «2 этаж»; прим.1,3</t>
        </is>
      </c>
      <c r="R424" s="77" t="inlineStr">
        <is>
          <t>по проекту</t>
        </is>
      </c>
      <c r="S424" s="21" t="inlineStr">
        <is>
          <t>стык ванной сваркой (Ø≥20), длина = высота этажа 3,6 м. «3 3Ø25»</t>
        </is>
      </c>
      <c r="T424" s="21" t="inlineStr">
        <is>
          <t>Колонны, диафрагмы</t>
        </is>
      </c>
      <c r="U424" s="49" t="n">
        <v>0</v>
      </c>
      <c r="V424" s="72" t="inlineStr">
        <is>
          <t>Дм-1</t>
        </is>
      </c>
      <c r="W424" s="49" t="n">
        <v>2</v>
      </c>
    </row>
    <row r="425">
      <c r="A425" s="72" t="n">
        <v>411</v>
      </c>
      <c r="B425" s="21" t="inlineStr">
        <is>
          <t>2 этаж (отм. +3.950…+7.550)</t>
        </is>
      </c>
      <c r="C425" s="21" t="inlineStr">
        <is>
          <t>Диафрагмы</t>
        </is>
      </c>
      <c r="D425" s="21" t="inlineStr">
        <is>
          <t>А/4</t>
        </is>
      </c>
      <c r="E425" s="21" t="inlineStr">
        <is>
          <t>Дм-1</t>
        </is>
      </c>
      <c r="F425" s="72" t="inlineStr">
        <is>
          <t>6</t>
        </is>
      </c>
      <c r="G425" s="21" t="inlineStr">
        <is>
          <t>Вертикальные: ребро, стенка (выноска «2Ø16» + 2 симметр.)</t>
        </is>
      </c>
      <c r="H425" s="51" t="n">
        <v>16</v>
      </c>
      <c r="I425" s="72" t="inlineStr">
        <is>
          <t>А500С</t>
        </is>
      </c>
      <c r="J425" s="72" t="inlineStr">
        <is>
          <t>—</t>
        </is>
      </c>
      <c r="K425" s="75" t="n">
        <v>1</v>
      </c>
      <c r="L425" s="51" t="n">
        <v>4</v>
      </c>
      <c r="M425" s="69" t="n">
        <v>3.728</v>
      </c>
      <c r="N425" s="70">
        <f>K425*L425*M425</f>
        <v/>
      </c>
      <c r="O425" s="37">
        <f>IFERROR(INDEX(Исходные!$B$19:$B$31,MATCH(H425,Исходные!$A$19:$A$31,0)),0)</f>
        <v/>
      </c>
      <c r="P425" s="76">
        <f>N425*O425</f>
        <v/>
      </c>
      <c r="Q425" s="21" t="inlineStr">
        <is>
          <t>АС-35 сеч.2-2 «2 этаж»; прим.1,3</t>
        </is>
      </c>
      <c r="R425" s="77" t="inlineStr">
        <is>
          <t>по проекту</t>
        </is>
      </c>
      <c r="S425" s="21" t="inlineStr">
        <is>
          <t>нахлёст 8d со сваркой (Ø≤18), учтён в длине. «6 2Ø16»</t>
        </is>
      </c>
      <c r="T425" s="21" t="inlineStr">
        <is>
          <t>Колонны, диафрагмы</t>
        </is>
      </c>
      <c r="U425" s="49" t="n">
        <v>0</v>
      </c>
      <c r="V425" s="72" t="inlineStr">
        <is>
          <t>Дм-1</t>
        </is>
      </c>
      <c r="W425" s="49" t="n">
        <v>2</v>
      </c>
    </row>
    <row r="426">
      <c r="A426" s="72" t="n">
        <v>412</v>
      </c>
      <c r="B426" s="21" t="inlineStr">
        <is>
          <t>2 этаж (отм. +3.950…+7.550)</t>
        </is>
      </c>
      <c r="C426" s="21" t="inlineStr">
        <is>
          <t>Диафрагмы</t>
        </is>
      </c>
      <c r="D426" s="21" t="inlineStr">
        <is>
          <t>А/4</t>
        </is>
      </c>
      <c r="E426" s="21" t="inlineStr">
        <is>
          <t>Дм-1</t>
        </is>
      </c>
      <c r="F426" s="72" t="inlineStr">
        <is>
          <t>7</t>
        </is>
      </c>
      <c r="G426" s="21" t="inlineStr">
        <is>
          <t>Вертикальные: ребро, стенка (выноска «4Ø14» + 4 симметр.)</t>
        </is>
      </c>
      <c r="H426" s="51" t="n">
        <v>14</v>
      </c>
      <c r="I426" s="72" t="inlineStr">
        <is>
          <t>А500С</t>
        </is>
      </c>
      <c r="J426" s="72" t="inlineStr">
        <is>
          <t>—</t>
        </is>
      </c>
      <c r="K426" s="75" t="n">
        <v>1</v>
      </c>
      <c r="L426" s="51" t="n">
        <v>8</v>
      </c>
      <c r="M426" s="69" t="n">
        <v>3.712</v>
      </c>
      <c r="N426" s="70">
        <f>K426*L426*M426</f>
        <v/>
      </c>
      <c r="O426" s="37">
        <f>IFERROR(INDEX(Исходные!$B$19:$B$31,MATCH(H426,Исходные!$A$19:$A$31,0)),0)</f>
        <v/>
      </c>
      <c r="P426" s="76">
        <f>N426*O426</f>
        <v/>
      </c>
      <c r="Q426" s="21" t="inlineStr">
        <is>
          <t>АС-35 сеч.2-2 «2 этаж»; прим.1,3</t>
        </is>
      </c>
      <c r="R426" s="77" t="inlineStr">
        <is>
          <t>по проекту</t>
        </is>
      </c>
      <c r="S426" s="21" t="inlineStr">
        <is>
          <t>нахлёст 8d со сваркой (Ø≤18), учтён в длине. «7 4Ø14»</t>
        </is>
      </c>
      <c r="T426" s="21" t="inlineStr">
        <is>
          <t>Колонны, диафрагмы</t>
        </is>
      </c>
      <c r="U426" s="49" t="n">
        <v>0</v>
      </c>
      <c r="V426" s="72" t="inlineStr">
        <is>
          <t>Дм-1</t>
        </is>
      </c>
      <c r="W426" s="49" t="n">
        <v>2</v>
      </c>
    </row>
    <row r="427">
      <c r="A427" s="72" t="n">
        <v>413</v>
      </c>
      <c r="B427" s="21" t="inlineStr">
        <is>
          <t>2 этаж (отм. +3.950…+7.550)</t>
        </is>
      </c>
      <c r="C427" s="21" t="inlineStr">
        <is>
          <t>Диафрагмы</t>
        </is>
      </c>
      <c r="D427" s="21" t="inlineStr">
        <is>
          <t>А/4</t>
        </is>
      </c>
      <c r="E427" s="21" t="inlineStr">
        <is>
          <t>Дм-1</t>
        </is>
      </c>
      <c r="F427" s="72" t="inlineStr">
        <is>
          <t>гор.</t>
        </is>
      </c>
      <c r="G427" s="21" t="inlineStr">
        <is>
          <t>Горизонтальные «Осн. стержни»: полка вдоль оси А, L=2000-2×25</t>
        </is>
      </c>
      <c r="H427" s="51" t="n">
        <v>14</v>
      </c>
      <c r="I427" s="72" t="inlineStr">
        <is>
          <t>А500С</t>
        </is>
      </c>
      <c r="J427" s="72" t="n">
        <v>200</v>
      </c>
      <c r="K427" s="75" t="n">
        <v>1</v>
      </c>
      <c r="L427" s="51" t="n">
        <v>32</v>
      </c>
      <c r="M427" s="69" t="n">
        <v>1.95</v>
      </c>
      <c r="N427" s="70">
        <f>K427*L427*M427</f>
        <v/>
      </c>
      <c r="O427" s="37">
        <f>IFERROR(INDEX(Исходные!$B$19:$B$31,MATCH(H427,Исходные!$A$19:$A$31,0)),0)</f>
        <v/>
      </c>
      <c r="P427" s="76">
        <f>N427*O427</f>
        <v/>
      </c>
      <c r="Q427" s="21" t="inlineStr">
        <is>
          <t>АС-35 развертка 2 этажа, шаг 200x14+100 (16 рядов × 2 грани)</t>
        </is>
      </c>
      <c r="R427" s="78" t="inlineStr">
        <is>
          <t>по геометрии (уточнить)</t>
        </is>
      </c>
      <c r="S427" s="21" t="inlineStr">
        <is>
          <t>развертка «Осн. стержни Ø14» (2 этаж)</t>
        </is>
      </c>
      <c r="T427" s="21" t="inlineStr">
        <is>
          <t>Колонны, диафрагмы</t>
        </is>
      </c>
      <c r="U427" s="49" t="n">
        <v>1</v>
      </c>
      <c r="V427" s="72" t="inlineStr">
        <is>
          <t>Дм-1</t>
        </is>
      </c>
      <c r="W427" s="49" t="n">
        <v>2</v>
      </c>
    </row>
    <row r="428">
      <c r="A428" s="72" t="n">
        <v>414</v>
      </c>
      <c r="B428" s="21" t="inlineStr">
        <is>
          <t>2 этаж (отм. +3.950…+7.550)</t>
        </is>
      </c>
      <c r="C428" s="21" t="inlineStr">
        <is>
          <t>Диафрагмы</t>
        </is>
      </c>
      <c r="D428" s="21" t="inlineStr">
        <is>
          <t>А/4</t>
        </is>
      </c>
      <c r="E428" s="21" t="inlineStr">
        <is>
          <t>Дм-1</t>
        </is>
      </c>
      <c r="F428" s="72" t="inlineStr">
        <is>
          <t>гор.</t>
        </is>
      </c>
      <c r="G428" s="21" t="inlineStr">
        <is>
          <t>Горизонтальные «Осн. стержни»: ребро вдоль оси 4, L=2300-2×25</t>
        </is>
      </c>
      <c r="H428" s="51" t="n">
        <v>16</v>
      </c>
      <c r="I428" s="72" t="inlineStr">
        <is>
          <t>А500С</t>
        </is>
      </c>
      <c r="J428" s="72" t="n">
        <v>200</v>
      </c>
      <c r="K428" s="75" t="n">
        <v>1</v>
      </c>
      <c r="L428" s="51" t="n">
        <v>32</v>
      </c>
      <c r="M428" s="69" t="n">
        <v>2.25</v>
      </c>
      <c r="N428" s="70">
        <f>K428*L428*M428</f>
        <v/>
      </c>
      <c r="O428" s="37">
        <f>IFERROR(INDEX(Исходные!$B$19:$B$31,MATCH(H428,Исходные!$A$19:$A$31,0)),0)</f>
        <v/>
      </c>
      <c r="P428" s="76">
        <f>N428*O428</f>
        <v/>
      </c>
      <c r="Q428" s="21" t="inlineStr">
        <is>
          <t>АС-35 развертка 2 этажа, шаг 200x14+100 (16 рядов × 2 грани)</t>
        </is>
      </c>
      <c r="R428" s="78" t="inlineStr">
        <is>
          <t>по геометрии (уточнить)</t>
        </is>
      </c>
      <c r="S428" s="21" t="inlineStr">
        <is>
          <t>развертка «Осн. стержни Ø16» (2 этаж)</t>
        </is>
      </c>
      <c r="T428" s="21" t="inlineStr">
        <is>
          <t>Колонны, диафрагмы</t>
        </is>
      </c>
      <c r="U428" s="49" t="n">
        <v>1</v>
      </c>
      <c r="V428" s="72" t="inlineStr">
        <is>
          <t>Дм-1</t>
        </is>
      </c>
      <c r="W428" s="49" t="n">
        <v>2</v>
      </c>
    </row>
    <row r="429">
      <c r="A429" s="72" t="n">
        <v>415</v>
      </c>
      <c r="B429" s="21" t="inlineStr">
        <is>
          <t>2 этаж (отм. +3.950…+7.550)</t>
        </is>
      </c>
      <c r="C429" s="21" t="inlineStr">
        <is>
          <t>Диафрагмы</t>
        </is>
      </c>
      <c r="D429" s="21" t="inlineStr">
        <is>
          <t>А/4</t>
        </is>
      </c>
      <c r="E429" s="21" t="inlineStr">
        <is>
          <t>Дм-1</t>
        </is>
      </c>
      <c r="F429" s="72" t="inlineStr">
        <is>
          <t>доп.</t>
        </is>
      </c>
      <c r="G429" s="21" t="inlineStr">
        <is>
          <t>Доп. стержни: ось А над +3.950, 10Ø14 L=1950</t>
        </is>
      </c>
      <c r="H429" s="51" t="n">
        <v>14</v>
      </c>
      <c r="I429" s="72" t="inlineStr">
        <is>
          <t>А500С</t>
        </is>
      </c>
      <c r="J429" s="72" t="n">
        <v>200</v>
      </c>
      <c r="K429" s="75" t="n">
        <v>1</v>
      </c>
      <c r="L429" s="51" t="n">
        <v>10</v>
      </c>
      <c r="M429" s="69" t="n">
        <v>1.95</v>
      </c>
      <c r="N429" s="70">
        <f>K429*L429*M429</f>
        <v/>
      </c>
      <c r="O429" s="37">
        <f>IFERROR(INDEX(Исходные!$B$19:$B$31,MATCH(H429,Исходные!$A$19:$A$31,0)),0)</f>
        <v/>
      </c>
      <c r="P429" s="76">
        <f>N429*O429</f>
        <v/>
      </c>
      <c r="Q429" s="21" t="inlineStr">
        <is>
          <t>АС-35 развертка, выноска «Доп. стержень»</t>
        </is>
      </c>
      <c r="R429" s="77" t="inlineStr">
        <is>
          <t>по проекту</t>
        </is>
      </c>
      <c r="S429" s="21" t="inlineStr"/>
      <c r="T429" s="21" t="inlineStr">
        <is>
          <t>Колонны, диафрагмы</t>
        </is>
      </c>
      <c r="U429" s="49" t="n">
        <v>0</v>
      </c>
      <c r="V429" s="72" t="inlineStr">
        <is>
          <t>Дм-1</t>
        </is>
      </c>
      <c r="W429" s="49" t="n">
        <v>2</v>
      </c>
    </row>
    <row r="430">
      <c r="A430" s="72" t="n">
        <v>416</v>
      </c>
      <c r="B430" s="21" t="inlineStr">
        <is>
          <t>2 этаж (отм. +3.950…+7.550)</t>
        </is>
      </c>
      <c r="C430" s="21" t="inlineStr">
        <is>
          <t>Диафрагмы</t>
        </is>
      </c>
      <c r="D430" s="21" t="inlineStr">
        <is>
          <t>А/4</t>
        </is>
      </c>
      <c r="E430" s="21" t="inlineStr">
        <is>
          <t>Дм-1</t>
        </is>
      </c>
      <c r="F430" s="72" t="inlineStr">
        <is>
          <t>доп.</t>
        </is>
      </c>
      <c r="G430" s="21" t="inlineStr">
        <is>
          <t>Доп. стержни: ось А под ригелем +7.550, 14Ø12 L=1950</t>
        </is>
      </c>
      <c r="H430" s="51" t="n">
        <v>12</v>
      </c>
      <c r="I430" s="72" t="inlineStr">
        <is>
          <t>А500С</t>
        </is>
      </c>
      <c r="J430" s="72" t="n">
        <v>200</v>
      </c>
      <c r="K430" s="75" t="n">
        <v>1</v>
      </c>
      <c r="L430" s="51" t="n">
        <v>14</v>
      </c>
      <c r="M430" s="69" t="n">
        <v>1.95</v>
      </c>
      <c r="N430" s="70">
        <f>K430*L430*M430</f>
        <v/>
      </c>
      <c r="O430" s="37">
        <f>IFERROR(INDEX(Исходные!$B$19:$B$31,MATCH(H430,Исходные!$A$19:$A$31,0)),0)</f>
        <v/>
      </c>
      <c r="P430" s="76">
        <f>N430*O430</f>
        <v/>
      </c>
      <c r="Q430" s="21" t="inlineStr">
        <is>
          <t>АС-35 развертка, выноска «Доп. стержень»</t>
        </is>
      </c>
      <c r="R430" s="77" t="inlineStr">
        <is>
          <t>по проекту</t>
        </is>
      </c>
      <c r="S430" s="21" t="inlineStr"/>
      <c r="T430" s="21" t="inlineStr">
        <is>
          <t>Колонны, диафрагмы</t>
        </is>
      </c>
      <c r="U430" s="49" t="n">
        <v>0</v>
      </c>
      <c r="V430" s="72" t="inlineStr">
        <is>
          <t>Дм-1</t>
        </is>
      </c>
      <c r="W430" s="49" t="n">
        <v>2</v>
      </c>
    </row>
    <row r="431">
      <c r="A431" s="72" t="n">
        <v>417</v>
      </c>
      <c r="B431" s="21" t="inlineStr">
        <is>
          <t>2 этаж (отм. +3.950…+7.550)</t>
        </is>
      </c>
      <c r="C431" s="21" t="inlineStr">
        <is>
          <t>Диафрагмы</t>
        </is>
      </c>
      <c r="D431" s="21" t="inlineStr">
        <is>
          <t>А/4</t>
        </is>
      </c>
      <c r="E431" s="21" t="inlineStr">
        <is>
          <t>Дм-1</t>
        </is>
      </c>
      <c r="F431" s="72" t="inlineStr">
        <is>
          <t>доп.</t>
        </is>
      </c>
      <c r="G431" s="21" t="inlineStr">
        <is>
          <t>Доп. стержни: ось 4 над +3.950, 6Ø14 L=1200</t>
        </is>
      </c>
      <c r="H431" s="51" t="n">
        <v>14</v>
      </c>
      <c r="I431" s="72" t="inlineStr">
        <is>
          <t>А500С</t>
        </is>
      </c>
      <c r="J431" s="72" t="n">
        <v>200</v>
      </c>
      <c r="K431" s="75" t="n">
        <v>1</v>
      </c>
      <c r="L431" s="51" t="n">
        <v>6</v>
      </c>
      <c r="M431" s="69" t="n">
        <v>1.2</v>
      </c>
      <c r="N431" s="70">
        <f>K431*L431*M431</f>
        <v/>
      </c>
      <c r="O431" s="37">
        <f>IFERROR(INDEX(Исходные!$B$19:$B$31,MATCH(H431,Исходные!$A$19:$A$31,0)),0)</f>
        <v/>
      </c>
      <c r="P431" s="76">
        <f>N431*O431</f>
        <v/>
      </c>
      <c r="Q431" s="21" t="inlineStr">
        <is>
          <t>АС-35 развертка, выноска «Доп. стержень»</t>
        </is>
      </c>
      <c r="R431" s="77" t="inlineStr">
        <is>
          <t>по проекту</t>
        </is>
      </c>
      <c r="S431" s="21" t="inlineStr"/>
      <c r="T431" s="21" t="inlineStr">
        <is>
          <t>Колонны, диафрагмы</t>
        </is>
      </c>
      <c r="U431" s="49" t="n">
        <v>0</v>
      </c>
      <c r="V431" s="72" t="inlineStr">
        <is>
          <t>Дм-1</t>
        </is>
      </c>
      <c r="W431" s="49" t="n">
        <v>2</v>
      </c>
    </row>
    <row r="432">
      <c r="A432" s="72" t="n">
        <v>418</v>
      </c>
      <c r="B432" s="21" t="inlineStr">
        <is>
          <t>2 этаж (отм. +3.950…+7.550)</t>
        </is>
      </c>
      <c r="C432" s="21" t="inlineStr">
        <is>
          <t>Диафрагмы</t>
        </is>
      </c>
      <c r="D432" s="21" t="inlineStr">
        <is>
          <t>А/4</t>
        </is>
      </c>
      <c r="E432" s="21" t="inlineStr">
        <is>
          <t>Дм-1</t>
        </is>
      </c>
      <c r="F432" s="72" t="inlineStr">
        <is>
          <t>доп.</t>
        </is>
      </c>
      <c r="G432" s="21" t="inlineStr">
        <is>
          <t>Доп. стержни: ось 4 под ригелем +7.550, 6Ø14 L=1200</t>
        </is>
      </c>
      <c r="H432" s="51" t="n">
        <v>14</v>
      </c>
      <c r="I432" s="72" t="inlineStr">
        <is>
          <t>А500С</t>
        </is>
      </c>
      <c r="J432" s="72" t="n">
        <v>200</v>
      </c>
      <c r="K432" s="75" t="n">
        <v>1</v>
      </c>
      <c r="L432" s="51" t="n">
        <v>6</v>
      </c>
      <c r="M432" s="69" t="n">
        <v>1.2</v>
      </c>
      <c r="N432" s="70">
        <f>K432*L432*M432</f>
        <v/>
      </c>
      <c r="O432" s="37">
        <f>IFERROR(INDEX(Исходные!$B$19:$B$31,MATCH(H432,Исходные!$A$19:$A$31,0)),0)</f>
        <v/>
      </c>
      <c r="P432" s="76">
        <f>N432*O432</f>
        <v/>
      </c>
      <c r="Q432" s="21" t="inlineStr">
        <is>
          <t>АС-35 развертка, выноска «Доп. стержень»</t>
        </is>
      </c>
      <c r="R432" s="77" t="inlineStr">
        <is>
          <t>по проекту</t>
        </is>
      </c>
      <c r="S432" s="21" t="inlineStr"/>
      <c r="T432" s="21" t="inlineStr">
        <is>
          <t>Колонны, диафрагмы</t>
        </is>
      </c>
      <c r="U432" s="49" t="n">
        <v>0</v>
      </c>
      <c r="V432" s="72" t="inlineStr">
        <is>
          <t>Дм-1</t>
        </is>
      </c>
      <c r="W432" s="49" t="n">
        <v>2</v>
      </c>
    </row>
    <row r="433">
      <c r="A433" s="72" t="n">
        <v>419</v>
      </c>
      <c r="B433" s="21" t="inlineStr">
        <is>
          <t>2 этаж (отм. +3.950…+7.550)</t>
        </is>
      </c>
      <c r="C433" s="21" t="inlineStr">
        <is>
          <t>Диафрагмы</t>
        </is>
      </c>
      <c r="D433" s="21" t="inlineStr">
        <is>
          <t>А/4</t>
        </is>
      </c>
      <c r="E433" s="21" t="inlineStr">
        <is>
          <t>Дм-1</t>
        </is>
      </c>
      <c r="F433" s="72" t="inlineStr">
        <is>
          <t>14</t>
        </is>
      </c>
      <c r="G433" s="21" t="inlineStr">
        <is>
          <t>П-образный стержень на торцах: 3 шт/ряд × 16 рядов</t>
        </is>
      </c>
      <c r="H433" s="51" t="n">
        <v>10</v>
      </c>
      <c r="I433" s="72" t="inlineStr">
        <is>
          <t>А240</t>
        </is>
      </c>
      <c r="J433" s="72" t="inlineStr">
        <is>
          <t>200</t>
        </is>
      </c>
      <c r="K433" s="75" t="n">
        <v>1</v>
      </c>
      <c r="L433" s="51" t="n">
        <v>48</v>
      </c>
      <c r="M433" s="69" t="n">
        <v>1.33</v>
      </c>
      <c r="N433" s="70">
        <f>K433*L433*M433</f>
        <v/>
      </c>
      <c r="O433" s="37">
        <f>IFERROR(INDEX(Исходные!$B$19:$B$31,MATCH(H433,Исходные!$A$19:$A$31,0)),0)</f>
        <v/>
      </c>
      <c r="P433" s="76">
        <f>N433*O433</f>
        <v/>
      </c>
      <c r="Q433" s="21" t="inlineStr">
        <is>
          <t>сечение 2-2; АС-42 ведомость деталей поз.14 L=1330</t>
        </is>
      </c>
      <c r="R433" s="77" t="inlineStr">
        <is>
          <t>по проекту</t>
        </is>
      </c>
      <c r="S433" s="21" t="inlineStr"/>
      <c r="T433" s="21" t="inlineStr">
        <is>
          <t>Колонны, диафрагмы</t>
        </is>
      </c>
      <c r="U433" s="49" t="n">
        <v>0</v>
      </c>
      <c r="V433" s="72" t="inlineStr">
        <is>
          <t>Дм-1</t>
        </is>
      </c>
      <c r="W433" s="49" t="n">
        <v>2</v>
      </c>
    </row>
    <row r="434">
      <c r="A434" s="72" t="n">
        <v>420</v>
      </c>
      <c r="B434" s="21" t="inlineStr">
        <is>
          <t>2 этаж (отм. +3.950…+7.550)</t>
        </is>
      </c>
      <c r="C434" s="21" t="inlineStr">
        <is>
          <t>Диафрагмы</t>
        </is>
      </c>
      <c r="D434" s="21" t="inlineStr">
        <is>
          <t>А/4</t>
        </is>
      </c>
      <c r="E434" s="21" t="inlineStr">
        <is>
          <t>Дм-1</t>
        </is>
      </c>
      <c r="F434" s="72" t="inlineStr">
        <is>
          <t>12</t>
        </is>
      </c>
      <c r="G434" s="21" t="inlineStr">
        <is>
          <t>Хомут торцевого элемента полки Ø8: 2 шт/ряд × 16</t>
        </is>
      </c>
      <c r="H434" s="51" t="n">
        <v>8</v>
      </c>
      <c r="I434" s="72" t="inlineStr">
        <is>
          <t>А240</t>
        </is>
      </c>
      <c r="J434" s="72" t="inlineStr">
        <is>
          <t>200</t>
        </is>
      </c>
      <c r="K434" s="75" t="n">
        <v>1</v>
      </c>
      <c r="L434" s="51" t="n">
        <v>32</v>
      </c>
      <c r="M434" s="69" t="n">
        <v>1.56</v>
      </c>
      <c r="N434" s="70">
        <f>K434*L434*M434</f>
        <v/>
      </c>
      <c r="O434" s="37">
        <f>IFERROR(INDEX(Исходные!$B$19:$B$31,MATCH(H434,Исходные!$A$19:$A$31,0)),0)</f>
        <v/>
      </c>
      <c r="P434" s="76">
        <f>N434*O434</f>
        <v/>
      </c>
      <c r="Q434" s="21" t="inlineStr">
        <is>
          <t>сечение 2-2 «12 хом.Ø8 ш.200»; АС-42 ведомость деталей поз.12 L=1560</t>
        </is>
      </c>
      <c r="R434" s="77" t="inlineStr">
        <is>
          <t>по проекту</t>
        </is>
      </c>
      <c r="S434" s="21" t="inlineStr"/>
      <c r="T434" s="21" t="inlineStr">
        <is>
          <t>Колонны, диафрагмы</t>
        </is>
      </c>
      <c r="U434" s="49" t="n">
        <v>0</v>
      </c>
      <c r="V434" s="72" t="inlineStr">
        <is>
          <t>Дм-1</t>
        </is>
      </c>
      <c r="W434" s="49" t="n">
        <v>2</v>
      </c>
    </row>
    <row r="435">
      <c r="A435" s="72" t="n">
        <v>421</v>
      </c>
      <c r="B435" s="21" t="inlineStr">
        <is>
          <t>2 этаж (отм. +3.950…+7.550)</t>
        </is>
      </c>
      <c r="C435" s="21" t="inlineStr">
        <is>
          <t>Диафрагмы</t>
        </is>
      </c>
      <c r="D435" s="21" t="inlineStr">
        <is>
          <t>А/4</t>
        </is>
      </c>
      <c r="E435" s="21" t="inlineStr">
        <is>
          <t>Дм-1</t>
        </is>
      </c>
      <c r="F435" s="72" t="inlineStr">
        <is>
          <t>15</t>
        </is>
      </c>
      <c r="G435" s="21" t="inlineStr">
        <is>
          <t>Хомут торцевого элемента Ø8: 1 шт/ряд × 16</t>
        </is>
      </c>
      <c r="H435" s="51" t="n">
        <v>8</v>
      </c>
      <c r="I435" s="72" t="inlineStr">
        <is>
          <t>А240</t>
        </is>
      </c>
      <c r="J435" s="72" t="inlineStr">
        <is>
          <t>200</t>
        </is>
      </c>
      <c r="K435" s="75" t="n">
        <v>1</v>
      </c>
      <c r="L435" s="51" t="n">
        <v>16</v>
      </c>
      <c r="M435" s="69" t="n">
        <v>1.76</v>
      </c>
      <c r="N435" s="70">
        <f>K435*L435*M435</f>
        <v/>
      </c>
      <c r="O435" s="37">
        <f>IFERROR(INDEX(Исходные!$B$19:$B$31,MATCH(H435,Исходные!$A$19:$A$31,0)),0)</f>
        <v/>
      </c>
      <c r="P435" s="76">
        <f>N435*O435</f>
        <v/>
      </c>
      <c r="Q435" s="21" t="inlineStr">
        <is>
          <t>сечение 2-2 «15 хом.Ø8 ш.200»; АС-42 ведомость деталей поз.15 L=1760</t>
        </is>
      </c>
      <c r="R435" s="77" t="inlineStr">
        <is>
          <t>по проекту</t>
        </is>
      </c>
      <c r="S435" s="21" t="inlineStr"/>
      <c r="T435" s="21" t="inlineStr">
        <is>
          <t>Колонны, диафрагмы</t>
        </is>
      </c>
      <c r="U435" s="49" t="n">
        <v>0</v>
      </c>
      <c r="V435" s="72" t="inlineStr">
        <is>
          <t>Дм-1</t>
        </is>
      </c>
      <c r="W435" s="49" t="n">
        <v>2</v>
      </c>
    </row>
    <row r="436">
      <c r="A436" s="72" t="n">
        <v>422</v>
      </c>
      <c r="B436" s="21" t="inlineStr">
        <is>
          <t>2 этаж (отм. +3.950…+7.550)</t>
        </is>
      </c>
      <c r="C436" s="21" t="inlineStr">
        <is>
          <t>Диафрагмы</t>
        </is>
      </c>
      <c r="D436" s="21" t="inlineStr">
        <is>
          <t>А/4</t>
        </is>
      </c>
      <c r="E436" s="21" t="inlineStr">
        <is>
          <t>Дм-1</t>
        </is>
      </c>
      <c r="F436" s="72" t="inlineStr">
        <is>
          <t>10</t>
        </is>
      </c>
      <c r="G436" s="21" t="inlineStr">
        <is>
          <t>Хомут колонны наружный (100×12 у опор, 200 в середине) — 28 шт</t>
        </is>
      </c>
      <c r="H436" s="51" t="n">
        <v>8</v>
      </c>
      <c r="I436" s="72" t="inlineStr">
        <is>
          <t>А240</t>
        </is>
      </c>
      <c r="J436" s="72" t="inlineStr">
        <is>
          <t>200</t>
        </is>
      </c>
      <c r="K436" s="75" t="n">
        <v>1</v>
      </c>
      <c r="L436" s="51" t="n">
        <v>28</v>
      </c>
      <c r="M436" s="69" t="n">
        <v>2.44</v>
      </c>
      <c r="N436" s="70">
        <f>K436*L436*M436</f>
        <v/>
      </c>
      <c r="O436" s="37">
        <f>IFERROR(INDEX(Исходные!$B$19:$B$31,MATCH(H436,Исходные!$A$19:$A$31,0)),0)</f>
        <v/>
      </c>
      <c r="P436" s="76">
        <f>N436*O436</f>
        <v/>
      </c>
      <c r="Q436" s="21" t="inlineStr">
        <is>
          <t>АС-32 (2÷4 этаж: 50+100×12+200×n+100×12+50+600); АС-42 ведомость деталей поз.10 L=2440</t>
        </is>
      </c>
      <c r="R436" s="77" t="inlineStr">
        <is>
          <t>по проекту</t>
        </is>
      </c>
      <c r="S436" s="21" t="inlineStr"/>
      <c r="T436" s="21" t="inlineStr">
        <is>
          <t>Колонны, диафрагмы</t>
        </is>
      </c>
      <c r="U436" s="49" t="n">
        <v>0</v>
      </c>
      <c r="V436" s="72" t="inlineStr">
        <is>
          <t>Дм-1</t>
        </is>
      </c>
      <c r="W436" s="49" t="n">
        <v>2</v>
      </c>
    </row>
    <row r="437">
      <c r="A437" s="72" t="n">
        <v>423</v>
      </c>
      <c r="B437" s="21" t="inlineStr">
        <is>
          <t>2 этаж (отм. +3.950…+7.550)</t>
        </is>
      </c>
      <c r="C437" s="21" t="inlineStr">
        <is>
          <t>Диафрагмы</t>
        </is>
      </c>
      <c r="D437" s="21" t="inlineStr">
        <is>
          <t>А/4</t>
        </is>
      </c>
      <c r="E437" s="21" t="inlineStr">
        <is>
          <t>Дм-1</t>
        </is>
      </c>
      <c r="F437" s="72" t="inlineStr">
        <is>
          <t>11</t>
        </is>
      </c>
      <c r="G437" s="21" t="inlineStr">
        <is>
          <t>Хомут колонны внутренний: 2 шт/ряд × 16</t>
        </is>
      </c>
      <c r="H437" s="51" t="n">
        <v>8</v>
      </c>
      <c r="I437" s="72" t="inlineStr">
        <is>
          <t>А240</t>
        </is>
      </c>
      <c r="J437" s="72" t="inlineStr">
        <is>
          <t>200</t>
        </is>
      </c>
      <c r="K437" s="75" t="n">
        <v>1</v>
      </c>
      <c r="L437" s="51" t="n">
        <v>32</v>
      </c>
      <c r="M437" s="69" t="n">
        <v>1.96</v>
      </c>
      <c r="N437" s="70">
        <f>K437*L437*M437</f>
        <v/>
      </c>
      <c r="O437" s="37">
        <f>IFERROR(INDEX(Исходные!$B$19:$B$31,MATCH(H437,Исходные!$A$19:$A$31,0)),0)</f>
        <v/>
      </c>
      <c r="P437" s="76">
        <f>N437*O437</f>
        <v/>
      </c>
      <c r="Q437" s="21" t="inlineStr">
        <is>
          <t>сечение 2-2 «ш.200»; АС-42 ведомость деталей поз.11 L=1960</t>
        </is>
      </c>
      <c r="R437" s="77" t="inlineStr">
        <is>
          <t>по проекту</t>
        </is>
      </c>
      <c r="S437" s="21" t="inlineStr"/>
      <c r="T437" s="21" t="inlineStr">
        <is>
          <t>Колонны, диафрагмы</t>
        </is>
      </c>
      <c r="U437" s="49" t="n">
        <v>0</v>
      </c>
      <c r="V437" s="72" t="inlineStr">
        <is>
          <t>Дм-1</t>
        </is>
      </c>
      <c r="W437" s="49" t="n">
        <v>2</v>
      </c>
    </row>
    <row r="438">
      <c r="A438" s="72" t="n">
        <v>424</v>
      </c>
      <c r="B438" s="21" t="inlineStr">
        <is>
          <t>2 этаж (отм. +3.950…+7.550)</t>
        </is>
      </c>
      <c r="C438" s="21" t="inlineStr">
        <is>
          <t>Диафрагмы</t>
        </is>
      </c>
      <c r="D438" s="21" t="inlineStr">
        <is>
          <t>А/4</t>
        </is>
      </c>
      <c r="E438" s="21" t="inlineStr">
        <is>
          <t>Дм-1</t>
        </is>
      </c>
      <c r="F438" s="72" t="inlineStr">
        <is>
          <t>13</t>
        </is>
      </c>
      <c r="G438" s="21" t="inlineStr">
        <is>
          <t>Шпилька ш.400 в шахм. порядке: 9 мест × 8 рядов</t>
        </is>
      </c>
      <c r="H438" s="51" t="n">
        <v>8</v>
      </c>
      <c r="I438" s="72" t="inlineStr">
        <is>
          <t>А240</t>
        </is>
      </c>
      <c r="J438" s="72" t="inlineStr">
        <is>
          <t>200</t>
        </is>
      </c>
      <c r="K438" s="75" t="n">
        <v>1</v>
      </c>
      <c r="L438" s="51" t="n">
        <v>72</v>
      </c>
      <c r="M438" s="69" t="n">
        <v>0.53</v>
      </c>
      <c r="N438" s="70">
        <f>K438*L438*M438</f>
        <v/>
      </c>
      <c r="O438" s="37">
        <f>IFERROR(INDEX(Исходные!$B$19:$B$31,MATCH(H438,Исходные!$A$19:$A$31,0)),0)</f>
        <v/>
      </c>
      <c r="P438" s="76">
        <f>N438*O438</f>
        <v/>
      </c>
      <c r="Q438" s="21" t="inlineStr">
        <is>
          <t>сечение 2-2, прим.6; АС-42 ведомость деталей поз.13 L=530</t>
        </is>
      </c>
      <c r="R438" s="77" t="inlineStr">
        <is>
          <t>по проекту</t>
        </is>
      </c>
      <c r="S438" s="21" t="inlineStr"/>
      <c r="T438" s="21" t="inlineStr">
        <is>
          <t>Колонны, диафрагмы</t>
        </is>
      </c>
      <c r="U438" s="49" t="n">
        <v>0</v>
      </c>
      <c r="V438" s="72" t="inlineStr">
        <is>
          <t>Дм-1</t>
        </is>
      </c>
      <c r="W438" s="49" t="n">
        <v>2</v>
      </c>
    </row>
    <row r="439">
      <c r="A439" s="72" t="n">
        <v>425</v>
      </c>
      <c r="B439" s="21" t="inlineStr">
        <is>
          <t>2 этаж (отм. +3.950…+7.550)</t>
        </is>
      </c>
      <c r="C439" s="21" t="inlineStr">
        <is>
          <t>Диафрагмы</t>
        </is>
      </c>
      <c r="D439" s="21" t="inlineStr">
        <is>
          <t>А/2</t>
        </is>
      </c>
      <c r="E439" s="21" t="inlineStr">
        <is>
          <t>Дм-2</t>
        </is>
      </c>
      <c r="F439" s="72" t="inlineStr">
        <is>
          <t>2</t>
        </is>
      </c>
      <c r="G439" s="21" t="inlineStr">
        <is>
          <t>Вертикальные: колонна, угловые 4Ø28</t>
        </is>
      </c>
      <c r="H439" s="51" t="n">
        <v>28</v>
      </c>
      <c r="I439" s="72" t="inlineStr">
        <is>
          <t>А500С</t>
        </is>
      </c>
      <c r="J439" s="72" t="inlineStr">
        <is>
          <t>—</t>
        </is>
      </c>
      <c r="K439" s="75" t="n">
        <v>1</v>
      </c>
      <c r="L439" s="51" t="n">
        <v>4</v>
      </c>
      <c r="M439" s="69" t="n">
        <v>3.6</v>
      </c>
      <c r="N439" s="70">
        <f>K439*L439*M439</f>
        <v/>
      </c>
      <c r="O439" s="37">
        <f>IFERROR(INDEX(Исходные!$B$19:$B$31,MATCH(H439,Исходные!$A$19:$A$31,0)),0)</f>
        <v/>
      </c>
      <c r="P439" s="76">
        <f>N439*O439</f>
        <v/>
      </c>
      <c r="Q439" s="21" t="inlineStr">
        <is>
          <t>АС-37 сеч.3-3 «2 этаж»; прим.1,3</t>
        </is>
      </c>
      <c r="R439" s="77" t="inlineStr">
        <is>
          <t>по проекту</t>
        </is>
      </c>
      <c r="S439" s="21" t="inlineStr">
        <is>
          <t>стык ванной сваркой (Ø≥20), длина = высота этажа 3,6 м. поз.2</t>
        </is>
      </c>
      <c r="T439" s="21" t="inlineStr">
        <is>
          <t>Колонны, диафрагмы</t>
        </is>
      </c>
      <c r="U439" s="49" t="n">
        <v>0</v>
      </c>
      <c r="V439" s="72" t="inlineStr">
        <is>
          <t>Дм-2</t>
        </is>
      </c>
      <c r="W439" s="49" t="n">
        <v>2</v>
      </c>
    </row>
    <row r="440">
      <c r="A440" s="72" t="n">
        <v>426</v>
      </c>
      <c r="B440" s="21" t="inlineStr">
        <is>
          <t>2 этаж (отм. +3.950…+7.550)</t>
        </is>
      </c>
      <c r="C440" s="21" t="inlineStr">
        <is>
          <t>Диафрагмы</t>
        </is>
      </c>
      <c r="D440" s="21" t="inlineStr">
        <is>
          <t>А/2</t>
        </is>
      </c>
      <c r="E440" s="21" t="inlineStr">
        <is>
          <t>Дм-2</t>
        </is>
      </c>
      <c r="F440" s="72" t="inlineStr">
        <is>
          <t>5</t>
        </is>
      </c>
      <c r="G440" s="21" t="inlineStr">
        <is>
          <t>Вертикальные: колонна 8Ø20 (выноски «2Ø20» ×2 + симметр.)</t>
        </is>
      </c>
      <c r="H440" s="51" t="n">
        <v>20</v>
      </c>
      <c r="I440" s="72" t="inlineStr">
        <is>
          <t>А500С</t>
        </is>
      </c>
      <c r="J440" s="72" t="inlineStr">
        <is>
          <t>—</t>
        </is>
      </c>
      <c r="K440" s="75" t="n">
        <v>1</v>
      </c>
      <c r="L440" s="51" t="n">
        <v>8</v>
      </c>
      <c r="M440" s="69" t="n">
        <v>3.6</v>
      </c>
      <c r="N440" s="70">
        <f>K440*L440*M440</f>
        <v/>
      </c>
      <c r="O440" s="37">
        <f>IFERROR(INDEX(Исходные!$B$19:$B$31,MATCH(H440,Исходные!$A$19:$A$31,0)),0)</f>
        <v/>
      </c>
      <c r="P440" s="76">
        <f>N440*O440</f>
        <v/>
      </c>
      <c r="Q440" s="21" t="inlineStr">
        <is>
          <t>АС-37 сеч.3-3 «2 этаж»; прим.1,3</t>
        </is>
      </c>
      <c r="R440" s="77" t="inlineStr">
        <is>
          <t>по проекту</t>
        </is>
      </c>
      <c r="S440" s="21" t="inlineStr">
        <is>
          <t>стык ванной сваркой (Ø≥20), длина = высота этажа 3,6 м. поз.5</t>
        </is>
      </c>
      <c r="T440" s="21" t="inlineStr">
        <is>
          <t>Колонны, диафрагмы</t>
        </is>
      </c>
      <c r="U440" s="49" t="n">
        <v>0</v>
      </c>
      <c r="V440" s="72" t="inlineStr">
        <is>
          <t>Дм-2</t>
        </is>
      </c>
      <c r="W440" s="49" t="n">
        <v>2</v>
      </c>
    </row>
    <row r="441">
      <c r="A441" s="72" t="n">
        <v>427</v>
      </c>
      <c r="B441" s="21" t="inlineStr">
        <is>
          <t>2 этаж (отм. +3.950…+7.550)</t>
        </is>
      </c>
      <c r="C441" s="21" t="inlineStr">
        <is>
          <t>Диафрагмы</t>
        </is>
      </c>
      <c r="D441" s="21" t="inlineStr">
        <is>
          <t>А/2</t>
        </is>
      </c>
      <c r="E441" s="21" t="inlineStr">
        <is>
          <t>Дм-2</t>
        </is>
      </c>
      <c r="F441" s="72" t="inlineStr">
        <is>
          <t>5</t>
        </is>
      </c>
      <c r="G441" s="21" t="inlineStr">
        <is>
          <t>Вертикальные: полка, стенка (выноска «2Ø20» + 2 симметр.)</t>
        </is>
      </c>
      <c r="H441" s="51" t="n">
        <v>20</v>
      </c>
      <c r="I441" s="72" t="inlineStr">
        <is>
          <t>А500С</t>
        </is>
      </c>
      <c r="J441" s="72" t="inlineStr">
        <is>
          <t>—</t>
        </is>
      </c>
      <c r="K441" s="75" t="n">
        <v>1</v>
      </c>
      <c r="L441" s="51" t="n">
        <v>4</v>
      </c>
      <c r="M441" s="69" t="n">
        <v>3.6</v>
      </c>
      <c r="N441" s="70">
        <f>K441*L441*M441</f>
        <v/>
      </c>
      <c r="O441" s="37">
        <f>IFERROR(INDEX(Исходные!$B$19:$B$31,MATCH(H441,Исходные!$A$19:$A$31,0)),0)</f>
        <v/>
      </c>
      <c r="P441" s="76">
        <f>N441*O441</f>
        <v/>
      </c>
      <c r="Q441" s="21" t="inlineStr">
        <is>
          <t>АС-37 сеч.3-3 «2 этаж»; прим.1,3</t>
        </is>
      </c>
      <c r="R441" s="77" t="inlineStr">
        <is>
          <t>по проекту</t>
        </is>
      </c>
      <c r="S441" s="21" t="inlineStr">
        <is>
          <t>стык ванной сваркой (Ø≥20), длина = высота этажа 3,6 м. «5 2Ø20»</t>
        </is>
      </c>
      <c r="T441" s="21" t="inlineStr">
        <is>
          <t>Колонны, диафрагмы</t>
        </is>
      </c>
      <c r="U441" s="49" t="n">
        <v>0</v>
      </c>
      <c r="V441" s="72" t="inlineStr">
        <is>
          <t>Дм-2</t>
        </is>
      </c>
      <c r="W441" s="49" t="n">
        <v>2</v>
      </c>
    </row>
    <row r="442">
      <c r="A442" s="72" t="n">
        <v>428</v>
      </c>
      <c r="B442" s="21" t="inlineStr">
        <is>
          <t>2 этаж (отм. +3.950…+7.550)</t>
        </is>
      </c>
      <c r="C442" s="21" t="inlineStr">
        <is>
          <t>Диафрагмы</t>
        </is>
      </c>
      <c r="D442" s="21" t="inlineStr">
        <is>
          <t>А/2</t>
        </is>
      </c>
      <c r="E442" s="21" t="inlineStr">
        <is>
          <t>Дм-2</t>
        </is>
      </c>
      <c r="F442" s="72" t="inlineStr">
        <is>
          <t>3</t>
        </is>
      </c>
      <c r="G442" s="21" t="inlineStr">
        <is>
          <t>Вертикальные: полка, торцевой эл-т (выноска «3Ø25» + 3 симметр.)</t>
        </is>
      </c>
      <c r="H442" s="51" t="n">
        <v>25</v>
      </c>
      <c r="I442" s="72" t="inlineStr">
        <is>
          <t>А500С</t>
        </is>
      </c>
      <c r="J442" s="72" t="inlineStr">
        <is>
          <t>—</t>
        </is>
      </c>
      <c r="K442" s="75" t="n">
        <v>1</v>
      </c>
      <c r="L442" s="51" t="n">
        <v>6</v>
      </c>
      <c r="M442" s="69" t="n">
        <v>3.6</v>
      </c>
      <c r="N442" s="70">
        <f>K442*L442*M442</f>
        <v/>
      </c>
      <c r="O442" s="37">
        <f>IFERROR(INDEX(Исходные!$B$19:$B$31,MATCH(H442,Исходные!$A$19:$A$31,0)),0)</f>
        <v/>
      </c>
      <c r="P442" s="76">
        <f>N442*O442</f>
        <v/>
      </c>
      <c r="Q442" s="21" t="inlineStr">
        <is>
          <t>АС-37 сеч.3-3 «2 этаж»; прим.1,3</t>
        </is>
      </c>
      <c r="R442" s="77" t="inlineStr">
        <is>
          <t>по проекту</t>
        </is>
      </c>
      <c r="S442" s="21" t="inlineStr">
        <is>
          <t>стык ванной сваркой (Ø≥20), длина = высота этажа 3,6 м. «3 3Ø25»</t>
        </is>
      </c>
      <c r="T442" s="21" t="inlineStr">
        <is>
          <t>Колонны, диафрагмы</t>
        </is>
      </c>
      <c r="U442" s="49" t="n">
        <v>0</v>
      </c>
      <c r="V442" s="72" t="inlineStr">
        <is>
          <t>Дм-2</t>
        </is>
      </c>
      <c r="W442" s="49" t="n">
        <v>2</v>
      </c>
    </row>
    <row r="443">
      <c r="A443" s="72" t="n">
        <v>429</v>
      </c>
      <c r="B443" s="21" t="inlineStr">
        <is>
          <t>2 этаж (отм. +3.950…+7.550)</t>
        </is>
      </c>
      <c r="C443" s="21" t="inlineStr">
        <is>
          <t>Диафрагмы</t>
        </is>
      </c>
      <c r="D443" s="21" t="inlineStr">
        <is>
          <t>А/2</t>
        </is>
      </c>
      <c r="E443" s="21" t="inlineStr">
        <is>
          <t>Дм-2</t>
        </is>
      </c>
      <c r="F443" s="72" t="inlineStr">
        <is>
          <t>3</t>
        </is>
      </c>
      <c r="G443" s="21" t="inlineStr">
        <is>
          <t>Вертикальные: ребро, торцевой эл-т (выноска «3Ø25» + 3 симметр.)</t>
        </is>
      </c>
      <c r="H443" s="51" t="n">
        <v>25</v>
      </c>
      <c r="I443" s="72" t="inlineStr">
        <is>
          <t>А500С</t>
        </is>
      </c>
      <c r="J443" s="72" t="inlineStr">
        <is>
          <t>—</t>
        </is>
      </c>
      <c r="K443" s="75" t="n">
        <v>1</v>
      </c>
      <c r="L443" s="51" t="n">
        <v>6</v>
      </c>
      <c r="M443" s="69" t="n">
        <v>3.6</v>
      </c>
      <c r="N443" s="70">
        <f>K443*L443*M443</f>
        <v/>
      </c>
      <c r="O443" s="37">
        <f>IFERROR(INDEX(Исходные!$B$19:$B$31,MATCH(H443,Исходные!$A$19:$A$31,0)),0)</f>
        <v/>
      </c>
      <c r="P443" s="76">
        <f>N443*O443</f>
        <v/>
      </c>
      <c r="Q443" s="21" t="inlineStr">
        <is>
          <t>АС-37 сеч.3-3 «2 этаж»; прим.1,3</t>
        </is>
      </c>
      <c r="R443" s="77" t="inlineStr">
        <is>
          <t>по проекту</t>
        </is>
      </c>
      <c r="S443" s="21" t="inlineStr">
        <is>
          <t>стык ванной сваркой (Ø≥20), длина = высота этажа 3,6 м. «3 3Ø25»</t>
        </is>
      </c>
      <c r="T443" s="21" t="inlineStr">
        <is>
          <t>Колонны, диафрагмы</t>
        </is>
      </c>
      <c r="U443" s="49" t="n">
        <v>0</v>
      </c>
      <c r="V443" s="72" t="inlineStr">
        <is>
          <t>Дм-2</t>
        </is>
      </c>
      <c r="W443" s="49" t="n">
        <v>2</v>
      </c>
    </row>
    <row r="444">
      <c r="A444" s="72" t="n">
        <v>430</v>
      </c>
      <c r="B444" s="21" t="inlineStr">
        <is>
          <t>2 этаж (отм. +3.950…+7.550)</t>
        </is>
      </c>
      <c r="C444" s="21" t="inlineStr">
        <is>
          <t>Диафрагмы</t>
        </is>
      </c>
      <c r="D444" s="21" t="inlineStr">
        <is>
          <t>А/2</t>
        </is>
      </c>
      <c r="E444" s="21" t="inlineStr">
        <is>
          <t>Дм-2</t>
        </is>
      </c>
      <c r="F444" s="72" t="inlineStr">
        <is>
          <t>6</t>
        </is>
      </c>
      <c r="G444" s="21" t="inlineStr">
        <is>
          <t>Вертикальные: ребро, стенка (выноски «2Ø18» и «4Ø18» + симметр.)</t>
        </is>
      </c>
      <c r="H444" s="51" t="n">
        <v>18</v>
      </c>
      <c r="I444" s="72" t="inlineStr">
        <is>
          <t>А500С</t>
        </is>
      </c>
      <c r="J444" s="72" t="inlineStr">
        <is>
          <t>—</t>
        </is>
      </c>
      <c r="K444" s="75" t="n">
        <v>1</v>
      </c>
      <c r="L444" s="51" t="n">
        <v>12</v>
      </c>
      <c r="M444" s="69" t="n">
        <v>3.744</v>
      </c>
      <c r="N444" s="70">
        <f>K444*L444*M444</f>
        <v/>
      </c>
      <c r="O444" s="37">
        <f>IFERROR(INDEX(Исходные!$B$19:$B$31,MATCH(H444,Исходные!$A$19:$A$31,0)),0)</f>
        <v/>
      </c>
      <c r="P444" s="76">
        <f>N444*O444</f>
        <v/>
      </c>
      <c r="Q444" s="21" t="inlineStr">
        <is>
          <t>АС-37 сеч.3-3 «2 этаж»; прим.1,3</t>
        </is>
      </c>
      <c r="R444" s="77" t="inlineStr">
        <is>
          <t>по проекту</t>
        </is>
      </c>
      <c r="S444" s="21" t="inlineStr">
        <is>
          <t>нахлёст 8d со сваркой (Ø≤18), учтён в длине. «6 2Ø18» + «6 4Ø18»</t>
        </is>
      </c>
      <c r="T444" s="21" t="inlineStr">
        <is>
          <t>Колонны, диафрагмы</t>
        </is>
      </c>
      <c r="U444" s="49" t="n">
        <v>0</v>
      </c>
      <c r="V444" s="72" t="inlineStr">
        <is>
          <t>Дм-2</t>
        </is>
      </c>
      <c r="W444" s="49" t="n">
        <v>2</v>
      </c>
    </row>
    <row r="445">
      <c r="A445" s="72" t="n">
        <v>431</v>
      </c>
      <c r="B445" s="21" t="inlineStr">
        <is>
          <t>2 этаж (отм. +3.950…+7.550)</t>
        </is>
      </c>
      <c r="C445" s="21" t="inlineStr">
        <is>
          <t>Диафрагмы</t>
        </is>
      </c>
      <c r="D445" s="21" t="inlineStr">
        <is>
          <t>А/2</t>
        </is>
      </c>
      <c r="E445" s="21" t="inlineStr">
        <is>
          <t>Дм-2</t>
        </is>
      </c>
      <c r="F445" s="72" t="inlineStr">
        <is>
          <t>гор.</t>
        </is>
      </c>
      <c r="G445" s="21" t="inlineStr">
        <is>
          <t>Горизонтальные «Осн. стержни»: полка вдоль оси А, L=1300-2×25</t>
        </is>
      </c>
      <c r="H445" s="51" t="n">
        <v>14</v>
      </c>
      <c r="I445" s="72" t="inlineStr">
        <is>
          <t>А500С</t>
        </is>
      </c>
      <c r="J445" s="72" t="n">
        <v>200</v>
      </c>
      <c r="K445" s="75" t="n">
        <v>1</v>
      </c>
      <c r="L445" s="51" t="n">
        <v>32</v>
      </c>
      <c r="M445" s="69" t="n">
        <v>1.25</v>
      </c>
      <c r="N445" s="70">
        <f>K445*L445*M445</f>
        <v/>
      </c>
      <c r="O445" s="37">
        <f>IFERROR(INDEX(Исходные!$B$19:$B$31,MATCH(H445,Исходные!$A$19:$A$31,0)),0)</f>
        <v/>
      </c>
      <c r="P445" s="76">
        <f>N445*O445</f>
        <v/>
      </c>
      <c r="Q445" s="21" t="inlineStr">
        <is>
          <t>АС-37 развертка 2 этажа, шаг 200x14+100 (16 рядов × 2 грани)</t>
        </is>
      </c>
      <c r="R445" s="78" t="inlineStr">
        <is>
          <t>по геометрии (уточнить)</t>
        </is>
      </c>
      <c r="S445" s="21" t="inlineStr">
        <is>
          <t>развертка «Осн. стержни Ø14» (2 этаж)</t>
        </is>
      </c>
      <c r="T445" s="21" t="inlineStr">
        <is>
          <t>Колонны, диафрагмы</t>
        </is>
      </c>
      <c r="U445" s="49" t="n">
        <v>1</v>
      </c>
      <c r="V445" s="72" t="inlineStr">
        <is>
          <t>Дм-2</t>
        </is>
      </c>
      <c r="W445" s="49" t="n">
        <v>2</v>
      </c>
    </row>
    <row r="446">
      <c r="A446" s="72" t="n">
        <v>432</v>
      </c>
      <c r="B446" s="21" t="inlineStr">
        <is>
          <t>2 этаж (отм. +3.950…+7.550)</t>
        </is>
      </c>
      <c r="C446" s="21" t="inlineStr">
        <is>
          <t>Диафрагмы</t>
        </is>
      </c>
      <c r="D446" s="21" t="inlineStr">
        <is>
          <t>А/2</t>
        </is>
      </c>
      <c r="E446" s="21" t="inlineStr">
        <is>
          <t>Дм-2</t>
        </is>
      </c>
      <c r="F446" s="72" t="inlineStr">
        <is>
          <t>гор.</t>
        </is>
      </c>
      <c r="G446" s="21" t="inlineStr">
        <is>
          <t>Горизонтальные «Осн. стержни»: ребро вдоль оси 2, L=2300-2×25</t>
        </is>
      </c>
      <c r="H446" s="51" t="n">
        <v>16</v>
      </c>
      <c r="I446" s="72" t="inlineStr">
        <is>
          <t>А500С</t>
        </is>
      </c>
      <c r="J446" s="72" t="n">
        <v>200</v>
      </c>
      <c r="K446" s="75" t="n">
        <v>1</v>
      </c>
      <c r="L446" s="51" t="n">
        <v>32</v>
      </c>
      <c r="M446" s="69" t="n">
        <v>2.25</v>
      </c>
      <c r="N446" s="70">
        <f>K446*L446*M446</f>
        <v/>
      </c>
      <c r="O446" s="37">
        <f>IFERROR(INDEX(Исходные!$B$19:$B$31,MATCH(H446,Исходные!$A$19:$A$31,0)),0)</f>
        <v/>
      </c>
      <c r="P446" s="76">
        <f>N446*O446</f>
        <v/>
      </c>
      <c r="Q446" s="21" t="inlineStr">
        <is>
          <t>АС-37 развертка 2 этажа, шаг 200x14+100 (16 рядов × 2 грани)</t>
        </is>
      </c>
      <c r="R446" s="78" t="inlineStr">
        <is>
          <t>по геометрии (уточнить)</t>
        </is>
      </c>
      <c r="S446" s="21" t="inlineStr">
        <is>
          <t>развертка «Осн. стержни Ø16» (2 этаж)</t>
        </is>
      </c>
      <c r="T446" s="21" t="inlineStr">
        <is>
          <t>Колонны, диафрагмы</t>
        </is>
      </c>
      <c r="U446" s="49" t="n">
        <v>1</v>
      </c>
      <c r="V446" s="72" t="inlineStr">
        <is>
          <t>Дм-2</t>
        </is>
      </c>
      <c r="W446" s="49" t="n">
        <v>2</v>
      </c>
    </row>
    <row r="447">
      <c r="A447" s="72" t="n">
        <v>433</v>
      </c>
      <c r="B447" s="21" t="inlineStr">
        <is>
          <t>2 этаж (отм. +3.950…+7.550)</t>
        </is>
      </c>
      <c r="C447" s="21" t="inlineStr">
        <is>
          <t>Диафрагмы</t>
        </is>
      </c>
      <c r="D447" s="21" t="inlineStr">
        <is>
          <t>А/2</t>
        </is>
      </c>
      <c r="E447" s="21" t="inlineStr">
        <is>
          <t>Дм-2</t>
        </is>
      </c>
      <c r="F447" s="72" t="inlineStr">
        <is>
          <t>доп.</t>
        </is>
      </c>
      <c r="G447" s="21" t="inlineStr">
        <is>
          <t>Доп. стержни: ось А над +3.950, 10Ø12 L=1250</t>
        </is>
      </c>
      <c r="H447" s="51" t="n">
        <v>12</v>
      </c>
      <c r="I447" s="72" t="inlineStr">
        <is>
          <t>А500С</t>
        </is>
      </c>
      <c r="J447" s="72" t="n">
        <v>200</v>
      </c>
      <c r="K447" s="75" t="n">
        <v>1</v>
      </c>
      <c r="L447" s="51" t="n">
        <v>10</v>
      </c>
      <c r="M447" s="69" t="n">
        <v>1.25</v>
      </c>
      <c r="N447" s="70">
        <f>K447*L447*M447</f>
        <v/>
      </c>
      <c r="O447" s="37">
        <f>IFERROR(INDEX(Исходные!$B$19:$B$31,MATCH(H447,Исходные!$A$19:$A$31,0)),0)</f>
        <v/>
      </c>
      <c r="P447" s="76">
        <f>N447*O447</f>
        <v/>
      </c>
      <c r="Q447" s="21" t="inlineStr">
        <is>
          <t>АС-37 развертка, выноска «Доп. стержень»</t>
        </is>
      </c>
      <c r="R447" s="77" t="inlineStr">
        <is>
          <t>по проекту</t>
        </is>
      </c>
      <c r="S447" s="21" t="inlineStr"/>
      <c r="T447" s="21" t="inlineStr">
        <is>
          <t>Колонны, диафрагмы</t>
        </is>
      </c>
      <c r="U447" s="49" t="n">
        <v>0</v>
      </c>
      <c r="V447" s="72" t="inlineStr">
        <is>
          <t>Дм-2</t>
        </is>
      </c>
      <c r="W447" s="49" t="n">
        <v>2</v>
      </c>
    </row>
    <row r="448">
      <c r="A448" s="72" t="n">
        <v>434</v>
      </c>
      <c r="B448" s="21" t="inlineStr">
        <is>
          <t>2 этаж (отм. +3.950…+7.550)</t>
        </is>
      </c>
      <c r="C448" s="21" t="inlineStr">
        <is>
          <t>Диафрагмы</t>
        </is>
      </c>
      <c r="D448" s="21" t="inlineStr">
        <is>
          <t>А/2</t>
        </is>
      </c>
      <c r="E448" s="21" t="inlineStr">
        <is>
          <t>Дм-2</t>
        </is>
      </c>
      <c r="F448" s="72" t="inlineStr">
        <is>
          <t>доп.</t>
        </is>
      </c>
      <c r="G448" s="21" t="inlineStr">
        <is>
          <t>Доп. стержни: ось 2 над +3.950, 6Ø14 L=1200</t>
        </is>
      </c>
      <c r="H448" s="51" t="n">
        <v>14</v>
      </c>
      <c r="I448" s="72" t="inlineStr">
        <is>
          <t>А500С</t>
        </is>
      </c>
      <c r="J448" s="72" t="n">
        <v>200</v>
      </c>
      <c r="K448" s="75" t="n">
        <v>1</v>
      </c>
      <c r="L448" s="51" t="n">
        <v>6</v>
      </c>
      <c r="M448" s="69" t="n">
        <v>1.2</v>
      </c>
      <c r="N448" s="70">
        <f>K448*L448*M448</f>
        <v/>
      </c>
      <c r="O448" s="37">
        <f>IFERROR(INDEX(Исходные!$B$19:$B$31,MATCH(H448,Исходные!$A$19:$A$31,0)),0)</f>
        <v/>
      </c>
      <c r="P448" s="76">
        <f>N448*O448</f>
        <v/>
      </c>
      <c r="Q448" s="21" t="inlineStr">
        <is>
          <t>АС-37 развертка, выноска «Доп. стержень»</t>
        </is>
      </c>
      <c r="R448" s="77" t="inlineStr">
        <is>
          <t>по проекту</t>
        </is>
      </c>
      <c r="S448" s="21" t="inlineStr"/>
      <c r="T448" s="21" t="inlineStr">
        <is>
          <t>Колонны, диафрагмы</t>
        </is>
      </c>
      <c r="U448" s="49" t="n">
        <v>0</v>
      </c>
      <c r="V448" s="72" t="inlineStr">
        <is>
          <t>Дм-2</t>
        </is>
      </c>
      <c r="W448" s="49" t="n">
        <v>2</v>
      </c>
    </row>
    <row r="449">
      <c r="A449" s="72" t="n">
        <v>435</v>
      </c>
      <c r="B449" s="21" t="inlineStr">
        <is>
          <t>2 этаж (отм. +3.950…+7.550)</t>
        </is>
      </c>
      <c r="C449" s="21" t="inlineStr">
        <is>
          <t>Диафрагмы</t>
        </is>
      </c>
      <c r="D449" s="21" t="inlineStr">
        <is>
          <t>А/2</t>
        </is>
      </c>
      <c r="E449" s="21" t="inlineStr">
        <is>
          <t>Дм-2</t>
        </is>
      </c>
      <c r="F449" s="72" t="inlineStr">
        <is>
          <t>доп.</t>
        </is>
      </c>
      <c r="G449" s="21" t="inlineStr">
        <is>
          <t>Доп. стержни: ось 2 под ригелем +7.550, 6Ø12 L=1200</t>
        </is>
      </c>
      <c r="H449" s="51" t="n">
        <v>12</v>
      </c>
      <c r="I449" s="72" t="inlineStr">
        <is>
          <t>А500С</t>
        </is>
      </c>
      <c r="J449" s="72" t="n">
        <v>200</v>
      </c>
      <c r="K449" s="75" t="n">
        <v>1</v>
      </c>
      <c r="L449" s="51" t="n">
        <v>6</v>
      </c>
      <c r="M449" s="69" t="n">
        <v>1.2</v>
      </c>
      <c r="N449" s="70">
        <f>K449*L449*M449</f>
        <v/>
      </c>
      <c r="O449" s="37">
        <f>IFERROR(INDEX(Исходные!$B$19:$B$31,MATCH(H449,Исходные!$A$19:$A$31,0)),0)</f>
        <v/>
      </c>
      <c r="P449" s="76">
        <f>N449*O449</f>
        <v/>
      </c>
      <c r="Q449" s="21" t="inlineStr">
        <is>
          <t>АС-37 развертка, выноска «Доп. стержень»</t>
        </is>
      </c>
      <c r="R449" s="77" t="inlineStr">
        <is>
          <t>по проекту</t>
        </is>
      </c>
      <c r="S449" s="21" t="inlineStr"/>
      <c r="T449" s="21" t="inlineStr">
        <is>
          <t>Колонны, диафрагмы</t>
        </is>
      </c>
      <c r="U449" s="49" t="n">
        <v>0</v>
      </c>
      <c r="V449" s="72" t="inlineStr">
        <is>
          <t>Дм-2</t>
        </is>
      </c>
      <c r="W449" s="49" t="n">
        <v>2</v>
      </c>
    </row>
    <row r="450">
      <c r="A450" s="72" t="n">
        <v>436</v>
      </c>
      <c r="B450" s="21" t="inlineStr">
        <is>
          <t>2 этаж (отм. +3.950…+7.550)</t>
        </is>
      </c>
      <c r="C450" s="21" t="inlineStr">
        <is>
          <t>Диафрагмы</t>
        </is>
      </c>
      <c r="D450" s="21" t="inlineStr">
        <is>
          <t>А/2</t>
        </is>
      </c>
      <c r="E450" s="21" t="inlineStr">
        <is>
          <t>Дм-2</t>
        </is>
      </c>
      <c r="F450" s="72" t="inlineStr">
        <is>
          <t>14</t>
        </is>
      </c>
      <c r="G450" s="21" t="inlineStr">
        <is>
          <t>П-образный стержень на торцах: 2 шт/ряд × 16 рядов</t>
        </is>
      </c>
      <c r="H450" s="51" t="n">
        <v>10</v>
      </c>
      <c r="I450" s="72" t="inlineStr">
        <is>
          <t>А240</t>
        </is>
      </c>
      <c r="J450" s="72" t="inlineStr">
        <is>
          <t>200</t>
        </is>
      </c>
      <c r="K450" s="75" t="n">
        <v>1</v>
      </c>
      <c r="L450" s="51" t="n">
        <v>32</v>
      </c>
      <c r="M450" s="69" t="n">
        <v>1.33</v>
      </c>
      <c r="N450" s="70">
        <f>K450*L450*M450</f>
        <v/>
      </c>
      <c r="O450" s="37">
        <f>IFERROR(INDEX(Исходные!$B$19:$B$31,MATCH(H450,Исходные!$A$19:$A$31,0)),0)</f>
        <v/>
      </c>
      <c r="P450" s="76">
        <f>N450*O450</f>
        <v/>
      </c>
      <c r="Q450" s="21" t="inlineStr">
        <is>
          <t>сечение 3-3; АС-42 ведомость деталей поз.14 L=1330</t>
        </is>
      </c>
      <c r="R450" s="77" t="inlineStr">
        <is>
          <t>по проекту</t>
        </is>
      </c>
      <c r="S450" s="21" t="inlineStr"/>
      <c r="T450" s="21" t="inlineStr">
        <is>
          <t>Колонны, диафрагмы</t>
        </is>
      </c>
      <c r="U450" s="49" t="n">
        <v>0</v>
      </c>
      <c r="V450" s="72" t="inlineStr">
        <is>
          <t>Дм-2</t>
        </is>
      </c>
      <c r="W450" s="49" t="n">
        <v>2</v>
      </c>
    </row>
    <row r="451">
      <c r="A451" s="72" t="n">
        <v>437</v>
      </c>
      <c r="B451" s="21" t="inlineStr">
        <is>
          <t>2 этаж (отм. +3.950…+7.550)</t>
        </is>
      </c>
      <c r="C451" s="21" t="inlineStr">
        <is>
          <t>Диафрагмы</t>
        </is>
      </c>
      <c r="D451" s="21" t="inlineStr">
        <is>
          <t>А/2</t>
        </is>
      </c>
      <c r="E451" s="21" t="inlineStr">
        <is>
          <t>Дм-2</t>
        </is>
      </c>
      <c r="F451" s="72" t="inlineStr">
        <is>
          <t>12</t>
        </is>
      </c>
      <c r="G451" s="21" t="inlineStr">
        <is>
          <t>Хомут торцевого элемента полки Ø8: 1 шт/ряд × 16</t>
        </is>
      </c>
      <c r="H451" s="51" t="n">
        <v>8</v>
      </c>
      <c r="I451" s="72" t="inlineStr">
        <is>
          <t>А240</t>
        </is>
      </c>
      <c r="J451" s="72" t="inlineStr">
        <is>
          <t>200</t>
        </is>
      </c>
      <c r="K451" s="75" t="n">
        <v>1</v>
      </c>
      <c r="L451" s="51" t="n">
        <v>16</v>
      </c>
      <c r="M451" s="69" t="n">
        <v>1.56</v>
      </c>
      <c r="N451" s="70">
        <f>K451*L451*M451</f>
        <v/>
      </c>
      <c r="O451" s="37">
        <f>IFERROR(INDEX(Исходные!$B$19:$B$31,MATCH(H451,Исходные!$A$19:$A$31,0)),0)</f>
        <v/>
      </c>
      <c r="P451" s="76">
        <f>N451*O451</f>
        <v/>
      </c>
      <c r="Q451" s="21" t="inlineStr">
        <is>
          <t>сечение 3-3 «12 хом.Ø8 ш.200»; АС-42 ведомость деталей поз.12 L=1560</t>
        </is>
      </c>
      <c r="R451" s="77" t="inlineStr">
        <is>
          <t>по проекту</t>
        </is>
      </c>
      <c r="S451" s="21" t="inlineStr"/>
      <c r="T451" s="21" t="inlineStr">
        <is>
          <t>Колонны, диафрагмы</t>
        </is>
      </c>
      <c r="U451" s="49" t="n">
        <v>0</v>
      </c>
      <c r="V451" s="72" t="inlineStr">
        <is>
          <t>Дм-2</t>
        </is>
      </c>
      <c r="W451" s="49" t="n">
        <v>2</v>
      </c>
    </row>
    <row r="452">
      <c r="A452" s="72" t="n">
        <v>438</v>
      </c>
      <c r="B452" s="21" t="inlineStr">
        <is>
          <t>2 этаж (отм. +3.950…+7.550)</t>
        </is>
      </c>
      <c r="C452" s="21" t="inlineStr">
        <is>
          <t>Диафрагмы</t>
        </is>
      </c>
      <c r="D452" s="21" t="inlineStr">
        <is>
          <t>А/2</t>
        </is>
      </c>
      <c r="E452" s="21" t="inlineStr">
        <is>
          <t>Дм-2</t>
        </is>
      </c>
      <c r="F452" s="72" t="inlineStr">
        <is>
          <t>15</t>
        </is>
      </c>
      <c r="G452" s="21" t="inlineStr">
        <is>
          <t>Хомут торцевого элемента Ø8: 1 шт/ряд × 16</t>
        </is>
      </c>
      <c r="H452" s="51" t="n">
        <v>8</v>
      </c>
      <c r="I452" s="72" t="inlineStr">
        <is>
          <t>А240</t>
        </is>
      </c>
      <c r="J452" s="72" t="inlineStr">
        <is>
          <t>200</t>
        </is>
      </c>
      <c r="K452" s="75" t="n">
        <v>1</v>
      </c>
      <c r="L452" s="51" t="n">
        <v>16</v>
      </c>
      <c r="M452" s="69" t="n">
        <v>1.76</v>
      </c>
      <c r="N452" s="70">
        <f>K452*L452*M452</f>
        <v/>
      </c>
      <c r="O452" s="37">
        <f>IFERROR(INDEX(Исходные!$B$19:$B$31,MATCH(H452,Исходные!$A$19:$A$31,0)),0)</f>
        <v/>
      </c>
      <c r="P452" s="76">
        <f>N452*O452</f>
        <v/>
      </c>
      <c r="Q452" s="21" t="inlineStr">
        <is>
          <t>сечение 3-3 «15 хом.Ø8 ш.200»; АС-42 ведомость деталей поз.15 L=1760</t>
        </is>
      </c>
      <c r="R452" s="77" t="inlineStr">
        <is>
          <t>по проекту</t>
        </is>
      </c>
      <c r="S452" s="21" t="inlineStr"/>
      <c r="T452" s="21" t="inlineStr">
        <is>
          <t>Колонны, диафрагмы</t>
        </is>
      </c>
      <c r="U452" s="49" t="n">
        <v>0</v>
      </c>
      <c r="V452" s="72" t="inlineStr">
        <is>
          <t>Дм-2</t>
        </is>
      </c>
      <c r="W452" s="49" t="n">
        <v>2</v>
      </c>
    </row>
    <row r="453">
      <c r="A453" s="72" t="n">
        <v>439</v>
      </c>
      <c r="B453" s="21" t="inlineStr">
        <is>
          <t>2 этаж (отм. +3.950…+7.550)</t>
        </is>
      </c>
      <c r="C453" s="21" t="inlineStr">
        <is>
          <t>Диафрагмы</t>
        </is>
      </c>
      <c r="D453" s="21" t="inlineStr">
        <is>
          <t>А/2</t>
        </is>
      </c>
      <c r="E453" s="21" t="inlineStr">
        <is>
          <t>Дм-2</t>
        </is>
      </c>
      <c r="F453" s="72" t="inlineStr">
        <is>
          <t>10</t>
        </is>
      </c>
      <c r="G453" s="21" t="inlineStr">
        <is>
          <t>Хомут колонны наружный (100×12 у опор, 200 в середине) — 28 шт</t>
        </is>
      </c>
      <c r="H453" s="51" t="n">
        <v>8</v>
      </c>
      <c r="I453" s="72" t="inlineStr">
        <is>
          <t>А240</t>
        </is>
      </c>
      <c r="J453" s="72" t="inlineStr">
        <is>
          <t>200</t>
        </is>
      </c>
      <c r="K453" s="75" t="n">
        <v>1</v>
      </c>
      <c r="L453" s="51" t="n">
        <v>28</v>
      </c>
      <c r="M453" s="69" t="n">
        <v>2.44</v>
      </c>
      <c r="N453" s="70">
        <f>K453*L453*M453</f>
        <v/>
      </c>
      <c r="O453" s="37">
        <f>IFERROR(INDEX(Исходные!$B$19:$B$31,MATCH(H453,Исходные!$A$19:$A$31,0)),0)</f>
        <v/>
      </c>
      <c r="P453" s="76">
        <f>N453*O453</f>
        <v/>
      </c>
      <c r="Q453" s="21" t="inlineStr">
        <is>
          <t>АС-32 (2÷4 этаж: 50+100×12+200×n+100×12+50+600); АС-42 ведомость деталей поз.10 L=2440</t>
        </is>
      </c>
      <c r="R453" s="77" t="inlineStr">
        <is>
          <t>по проекту</t>
        </is>
      </c>
      <c r="S453" s="21" t="inlineStr"/>
      <c r="T453" s="21" t="inlineStr">
        <is>
          <t>Колонны, диафрагмы</t>
        </is>
      </c>
      <c r="U453" s="49" t="n">
        <v>0</v>
      </c>
      <c r="V453" s="72" t="inlineStr">
        <is>
          <t>Дм-2</t>
        </is>
      </c>
      <c r="W453" s="49" t="n">
        <v>2</v>
      </c>
    </row>
    <row r="454">
      <c r="A454" s="72" t="n">
        <v>440</v>
      </c>
      <c r="B454" s="21" t="inlineStr">
        <is>
          <t>2 этаж (отм. +3.950…+7.550)</t>
        </is>
      </c>
      <c r="C454" s="21" t="inlineStr">
        <is>
          <t>Диафрагмы</t>
        </is>
      </c>
      <c r="D454" s="21" t="inlineStr">
        <is>
          <t>А/2</t>
        </is>
      </c>
      <c r="E454" s="21" t="inlineStr">
        <is>
          <t>Дм-2</t>
        </is>
      </c>
      <c r="F454" s="72" t="inlineStr">
        <is>
          <t>11</t>
        </is>
      </c>
      <c r="G454" s="21" t="inlineStr">
        <is>
          <t>Хомут колонны внутренний: 2 шт/ряд × 16</t>
        </is>
      </c>
      <c r="H454" s="51" t="n">
        <v>8</v>
      </c>
      <c r="I454" s="72" t="inlineStr">
        <is>
          <t>А240</t>
        </is>
      </c>
      <c r="J454" s="72" t="inlineStr">
        <is>
          <t>200</t>
        </is>
      </c>
      <c r="K454" s="75" t="n">
        <v>1</v>
      </c>
      <c r="L454" s="51" t="n">
        <v>32</v>
      </c>
      <c r="M454" s="69" t="n">
        <v>1.96</v>
      </c>
      <c r="N454" s="70">
        <f>K454*L454*M454</f>
        <v/>
      </c>
      <c r="O454" s="37">
        <f>IFERROR(INDEX(Исходные!$B$19:$B$31,MATCH(H454,Исходные!$A$19:$A$31,0)),0)</f>
        <v/>
      </c>
      <c r="P454" s="76">
        <f>N454*O454</f>
        <v/>
      </c>
      <c r="Q454" s="21" t="inlineStr">
        <is>
          <t>сечение 3-3 «ш.200»; АС-42 ведомость деталей поз.11 L=1960</t>
        </is>
      </c>
      <c r="R454" s="77" t="inlineStr">
        <is>
          <t>по проекту</t>
        </is>
      </c>
      <c r="S454" s="21" t="inlineStr"/>
      <c r="T454" s="21" t="inlineStr">
        <is>
          <t>Колонны, диафрагмы</t>
        </is>
      </c>
      <c r="U454" s="49" t="n">
        <v>0</v>
      </c>
      <c r="V454" s="72" t="inlineStr">
        <is>
          <t>Дм-2</t>
        </is>
      </c>
      <c r="W454" s="49" t="n">
        <v>2</v>
      </c>
    </row>
    <row r="455">
      <c r="A455" s="72" t="n">
        <v>441</v>
      </c>
      <c r="B455" s="21" t="inlineStr">
        <is>
          <t>2 этаж (отм. +3.950…+7.550)</t>
        </is>
      </c>
      <c r="C455" s="21" t="inlineStr">
        <is>
          <t>Диафрагмы</t>
        </is>
      </c>
      <c r="D455" s="21" t="inlineStr">
        <is>
          <t>А/2</t>
        </is>
      </c>
      <c r="E455" s="21" t="inlineStr">
        <is>
          <t>Дм-2</t>
        </is>
      </c>
      <c r="F455" s="72" t="inlineStr">
        <is>
          <t>13</t>
        </is>
      </c>
      <c r="G455" s="21" t="inlineStr">
        <is>
          <t>Шпилька ш.400 в шахм. порядке: 6 мест × 8 рядов</t>
        </is>
      </c>
      <c r="H455" s="51" t="n">
        <v>8</v>
      </c>
      <c r="I455" s="72" t="inlineStr">
        <is>
          <t>А240</t>
        </is>
      </c>
      <c r="J455" s="72" t="inlineStr">
        <is>
          <t>200</t>
        </is>
      </c>
      <c r="K455" s="75" t="n">
        <v>1</v>
      </c>
      <c r="L455" s="51" t="n">
        <v>48</v>
      </c>
      <c r="M455" s="69" t="n">
        <v>0.53</v>
      </c>
      <c r="N455" s="70">
        <f>K455*L455*M455</f>
        <v/>
      </c>
      <c r="O455" s="37">
        <f>IFERROR(INDEX(Исходные!$B$19:$B$31,MATCH(H455,Исходные!$A$19:$A$31,0)),0)</f>
        <v/>
      </c>
      <c r="P455" s="76">
        <f>N455*O455</f>
        <v/>
      </c>
      <c r="Q455" s="21" t="inlineStr">
        <is>
          <t>сечение 3-3, прим.6; АС-42 ведомость деталей поз.13 L=530</t>
        </is>
      </c>
      <c r="R455" s="77" t="inlineStr">
        <is>
          <t>по проекту</t>
        </is>
      </c>
      <c r="S455" s="21" t="inlineStr"/>
      <c r="T455" s="21" t="inlineStr">
        <is>
          <t>Колонны, диафрагмы</t>
        </is>
      </c>
      <c r="U455" s="49" t="n">
        <v>0</v>
      </c>
      <c r="V455" s="72" t="inlineStr">
        <is>
          <t>Дм-2</t>
        </is>
      </c>
      <c r="W455" s="49" t="n">
        <v>2</v>
      </c>
    </row>
    <row r="456">
      <c r="A456" s="72" t="n">
        <v>442</v>
      </c>
      <c r="B456" s="21" t="inlineStr">
        <is>
          <t>2 этаж (отм. +3.950…+7.550)</t>
        </is>
      </c>
      <c r="C456" s="21" t="inlineStr">
        <is>
          <t>Диафрагмы</t>
        </is>
      </c>
      <c r="D456" s="21" t="inlineStr">
        <is>
          <t>Г/2</t>
        </is>
      </c>
      <c r="E456" s="21" t="inlineStr">
        <is>
          <t>Дм-3</t>
        </is>
      </c>
      <c r="F456" s="72" t="inlineStr">
        <is>
          <t>2</t>
        </is>
      </c>
      <c r="G456" s="21" t="inlineStr">
        <is>
          <t>Вертикальные: колонна, угловые 4Ø28</t>
        </is>
      </c>
      <c r="H456" s="51" t="n">
        <v>28</v>
      </c>
      <c r="I456" s="72" t="inlineStr">
        <is>
          <t>А500С</t>
        </is>
      </c>
      <c r="J456" s="72" t="inlineStr">
        <is>
          <t>—</t>
        </is>
      </c>
      <c r="K456" s="75" t="n">
        <v>1</v>
      </c>
      <c r="L456" s="51" t="n">
        <v>4</v>
      </c>
      <c r="M456" s="69" t="n">
        <v>3.6</v>
      </c>
      <c r="N456" s="70">
        <f>K456*L456*M456</f>
        <v/>
      </c>
      <c r="O456" s="37">
        <f>IFERROR(INDEX(Исходные!$B$19:$B$31,MATCH(H456,Исходные!$A$19:$A$31,0)),0)</f>
        <v/>
      </c>
      <c r="P456" s="76">
        <f>N456*O456</f>
        <v/>
      </c>
      <c r="Q456" s="21" t="inlineStr">
        <is>
          <t>АС-39 сеч.2-2 «2 этаж»; прим.1,3</t>
        </is>
      </c>
      <c r="R456" s="77" t="inlineStr">
        <is>
          <t>по проекту</t>
        </is>
      </c>
      <c r="S456" s="21" t="inlineStr">
        <is>
          <t>стык ванной сваркой (Ø≥20), длина = высота этажа 3,6 м. поз.2</t>
        </is>
      </c>
      <c r="T456" s="21" t="inlineStr">
        <is>
          <t>Колонны, диафрагмы</t>
        </is>
      </c>
      <c r="U456" s="49" t="n">
        <v>0</v>
      </c>
      <c r="V456" s="72" t="inlineStr">
        <is>
          <t>Дм-3</t>
        </is>
      </c>
      <c r="W456" s="49" t="n">
        <v>2</v>
      </c>
    </row>
    <row r="457">
      <c r="A457" s="72" t="n">
        <v>443</v>
      </c>
      <c r="B457" s="21" t="inlineStr">
        <is>
          <t>2 этаж (отм. +3.950…+7.550)</t>
        </is>
      </c>
      <c r="C457" s="21" t="inlineStr">
        <is>
          <t>Диафрагмы</t>
        </is>
      </c>
      <c r="D457" s="21" t="inlineStr">
        <is>
          <t>Г/2</t>
        </is>
      </c>
      <c r="E457" s="21" t="inlineStr">
        <is>
          <t>Дм-3</t>
        </is>
      </c>
      <c r="F457" s="72" t="inlineStr">
        <is>
          <t>5</t>
        </is>
      </c>
      <c r="G457" s="21" t="inlineStr">
        <is>
          <t>Вертикальные: колонна 8Ø20</t>
        </is>
      </c>
      <c r="H457" s="51" t="n">
        <v>20</v>
      </c>
      <c r="I457" s="72" t="inlineStr">
        <is>
          <t>А500С</t>
        </is>
      </c>
      <c r="J457" s="72" t="inlineStr">
        <is>
          <t>—</t>
        </is>
      </c>
      <c r="K457" s="75" t="n">
        <v>1</v>
      </c>
      <c r="L457" s="51" t="n">
        <v>8</v>
      </c>
      <c r="M457" s="69" t="n">
        <v>3.6</v>
      </c>
      <c r="N457" s="70">
        <f>K457*L457*M457</f>
        <v/>
      </c>
      <c r="O457" s="37">
        <f>IFERROR(INDEX(Исходные!$B$19:$B$31,MATCH(H457,Исходные!$A$19:$A$31,0)),0)</f>
        <v/>
      </c>
      <c r="P457" s="76">
        <f>N457*O457</f>
        <v/>
      </c>
      <c r="Q457" s="21" t="inlineStr">
        <is>
          <t>АС-39 сеч.2-2 «2 этаж»; прим.1,3</t>
        </is>
      </c>
      <c r="R457" s="77" t="inlineStr">
        <is>
          <t>по проекту</t>
        </is>
      </c>
      <c r="S457" s="21" t="inlineStr">
        <is>
          <t>стык ванной сваркой (Ø≥20), длина = высота этажа 3,6 м. поз.5</t>
        </is>
      </c>
      <c r="T457" s="21" t="inlineStr">
        <is>
          <t>Колонны, диафрагмы</t>
        </is>
      </c>
      <c r="U457" s="49" t="n">
        <v>0</v>
      </c>
      <c r="V457" s="72" t="inlineStr">
        <is>
          <t>Дм-3</t>
        </is>
      </c>
      <c r="W457" s="49" t="n">
        <v>2</v>
      </c>
    </row>
    <row r="458">
      <c r="A458" s="72" t="n">
        <v>444</v>
      </c>
      <c r="B458" s="21" t="inlineStr">
        <is>
          <t>2 этаж (отм. +3.950…+7.550)</t>
        </is>
      </c>
      <c r="C458" s="21" t="inlineStr">
        <is>
          <t>Диафрагмы</t>
        </is>
      </c>
      <c r="D458" s="21" t="inlineStr">
        <is>
          <t>Г/2</t>
        </is>
      </c>
      <c r="E458" s="21" t="inlineStr">
        <is>
          <t>Дм-3</t>
        </is>
      </c>
      <c r="F458" s="72" t="inlineStr">
        <is>
          <t>3</t>
        </is>
      </c>
      <c r="G458" s="21" t="inlineStr">
        <is>
          <t>Вертикальные: полка: 2 торцевых эл-та по 6 («3Ø25» + 3 симметр.)</t>
        </is>
      </c>
      <c r="H458" s="51" t="n">
        <v>25</v>
      </c>
      <c r="I458" s="72" t="inlineStr">
        <is>
          <t>А500С</t>
        </is>
      </c>
      <c r="J458" s="72" t="inlineStr">
        <is>
          <t>—</t>
        </is>
      </c>
      <c r="K458" s="75" t="n">
        <v>1</v>
      </c>
      <c r="L458" s="51" t="n">
        <v>12</v>
      </c>
      <c r="M458" s="69" t="n">
        <v>3.6</v>
      </c>
      <c r="N458" s="70">
        <f>K458*L458*M458</f>
        <v/>
      </c>
      <c r="O458" s="37">
        <f>IFERROR(INDEX(Исходные!$B$19:$B$31,MATCH(H458,Исходные!$A$19:$A$31,0)),0)</f>
        <v/>
      </c>
      <c r="P458" s="76">
        <f>N458*O458</f>
        <v/>
      </c>
      <c r="Q458" s="21" t="inlineStr">
        <is>
          <t>АС-39 сеч.2-2 «2 этаж»; прим.1,3</t>
        </is>
      </c>
      <c r="R458" s="77" t="inlineStr">
        <is>
          <t>по проекту</t>
        </is>
      </c>
      <c r="S458" s="21" t="inlineStr">
        <is>
          <t>стык ванной сваркой (Ø≥20), длина = высота этажа 3,6 м. «3 3Ø25» ×2</t>
        </is>
      </c>
      <c r="T458" s="21" t="inlineStr">
        <is>
          <t>Колонны, диафрагмы</t>
        </is>
      </c>
      <c r="U458" s="49" t="n">
        <v>0</v>
      </c>
      <c r="V458" s="72" t="inlineStr">
        <is>
          <t>Дм-3</t>
        </is>
      </c>
      <c r="W458" s="49" t="n">
        <v>2</v>
      </c>
    </row>
    <row r="459">
      <c r="A459" s="72" t="n">
        <v>445</v>
      </c>
      <c r="B459" s="21" t="inlineStr">
        <is>
          <t>2 этаж (отм. +3.950…+7.550)</t>
        </is>
      </c>
      <c r="C459" s="21" t="inlineStr">
        <is>
          <t>Диафрагмы</t>
        </is>
      </c>
      <c r="D459" s="21" t="inlineStr">
        <is>
          <t>Г/2</t>
        </is>
      </c>
      <c r="E459" s="21" t="inlineStr">
        <is>
          <t>Дм-3</t>
        </is>
      </c>
      <c r="F459" s="72" t="inlineStr">
        <is>
          <t>6</t>
        </is>
      </c>
      <c r="G459" s="21" t="inlineStr">
        <is>
          <t>Вертикальные: полка, стенка («2Ø18» + 2 симметр., ×2 стороны)</t>
        </is>
      </c>
      <c r="H459" s="51" t="n">
        <v>18</v>
      </c>
      <c r="I459" s="72" t="inlineStr">
        <is>
          <t>А500С</t>
        </is>
      </c>
      <c r="J459" s="72" t="inlineStr">
        <is>
          <t>—</t>
        </is>
      </c>
      <c r="K459" s="75" t="n">
        <v>1</v>
      </c>
      <c r="L459" s="51" t="n">
        <v>8</v>
      </c>
      <c r="M459" s="69" t="n">
        <v>3.744</v>
      </c>
      <c r="N459" s="70">
        <f>K459*L459*M459</f>
        <v/>
      </c>
      <c r="O459" s="37">
        <f>IFERROR(INDEX(Исходные!$B$19:$B$31,MATCH(H459,Исходные!$A$19:$A$31,0)),0)</f>
        <v/>
      </c>
      <c r="P459" s="76">
        <f>N459*O459</f>
        <v/>
      </c>
      <c r="Q459" s="21" t="inlineStr">
        <is>
          <t>АС-39 сеч.2-2 «2 этаж»; прим.1,3</t>
        </is>
      </c>
      <c r="R459" s="77" t="inlineStr">
        <is>
          <t>по проекту</t>
        </is>
      </c>
      <c r="S459" s="21" t="inlineStr">
        <is>
          <t>нахлёст 8d со сваркой (Ø≤18), учтён в длине. «6 2Ø18» ×2</t>
        </is>
      </c>
      <c r="T459" s="21" t="inlineStr">
        <is>
          <t>Колонны, диафрагмы</t>
        </is>
      </c>
      <c r="U459" s="49" t="n">
        <v>0</v>
      </c>
      <c r="V459" s="72" t="inlineStr">
        <is>
          <t>Дм-3</t>
        </is>
      </c>
      <c r="W459" s="49" t="n">
        <v>2</v>
      </c>
    </row>
    <row r="460">
      <c r="A460" s="72" t="n">
        <v>446</v>
      </c>
      <c r="B460" s="21" t="inlineStr">
        <is>
          <t>2 этаж (отм. +3.950…+7.550)</t>
        </is>
      </c>
      <c r="C460" s="21" t="inlineStr">
        <is>
          <t>Диафрагмы</t>
        </is>
      </c>
      <c r="D460" s="21" t="inlineStr">
        <is>
          <t>Г/2</t>
        </is>
      </c>
      <c r="E460" s="21" t="inlineStr">
        <is>
          <t>Дм-3</t>
        </is>
      </c>
      <c r="F460" s="72" t="inlineStr">
        <is>
          <t>6</t>
        </is>
      </c>
      <c r="G460" s="21" t="inlineStr">
        <is>
          <t>Вертикальные: ребро, стенка («3Ø18» + 3 симметр.)</t>
        </is>
      </c>
      <c r="H460" s="51" t="n">
        <v>18</v>
      </c>
      <c r="I460" s="72" t="inlineStr">
        <is>
          <t>А500С</t>
        </is>
      </c>
      <c r="J460" s="72" t="inlineStr">
        <is>
          <t>—</t>
        </is>
      </c>
      <c r="K460" s="75" t="n">
        <v>1</v>
      </c>
      <c r="L460" s="51" t="n">
        <v>6</v>
      </c>
      <c r="M460" s="69" t="n">
        <v>3.744</v>
      </c>
      <c r="N460" s="70">
        <f>K460*L460*M460</f>
        <v/>
      </c>
      <c r="O460" s="37">
        <f>IFERROR(INDEX(Исходные!$B$19:$B$31,MATCH(H460,Исходные!$A$19:$A$31,0)),0)</f>
        <v/>
      </c>
      <c r="P460" s="76">
        <f>N460*O460</f>
        <v/>
      </c>
      <c r="Q460" s="21" t="inlineStr">
        <is>
          <t>АС-39 сеч.2-2 «2 этаж»; прим.1,3</t>
        </is>
      </c>
      <c r="R460" s="77" t="inlineStr">
        <is>
          <t>по проекту</t>
        </is>
      </c>
      <c r="S460" s="21" t="inlineStr">
        <is>
          <t>нахлёст 8d со сваркой (Ø≤18), учтён в длине. «6 3Ø18»</t>
        </is>
      </c>
      <c r="T460" s="21" t="inlineStr">
        <is>
          <t>Колонны, диафрагмы</t>
        </is>
      </c>
      <c r="U460" s="49" t="n">
        <v>0</v>
      </c>
      <c r="V460" s="72" t="inlineStr">
        <is>
          <t>Дм-3</t>
        </is>
      </c>
      <c r="W460" s="49" t="n">
        <v>2</v>
      </c>
    </row>
    <row r="461">
      <c r="A461" s="72" t="n">
        <v>447</v>
      </c>
      <c r="B461" s="21" t="inlineStr">
        <is>
          <t>2 этаж (отм. +3.950…+7.550)</t>
        </is>
      </c>
      <c r="C461" s="21" t="inlineStr">
        <is>
          <t>Диафрагмы</t>
        </is>
      </c>
      <c r="D461" s="21" t="inlineStr">
        <is>
          <t>Г/2</t>
        </is>
      </c>
      <c r="E461" s="21" t="inlineStr">
        <is>
          <t>Дм-3</t>
        </is>
      </c>
      <c r="F461" s="72" t="inlineStr">
        <is>
          <t>3</t>
        </is>
      </c>
      <c r="G461" s="21" t="inlineStr">
        <is>
          <t>Вертикальные: ребро, торцевой эл-т («3Ø25» + 3 симметр.)</t>
        </is>
      </c>
      <c r="H461" s="51" t="n">
        <v>25</v>
      </c>
      <c r="I461" s="72" t="inlineStr">
        <is>
          <t>А500С</t>
        </is>
      </c>
      <c r="J461" s="72" t="inlineStr">
        <is>
          <t>—</t>
        </is>
      </c>
      <c r="K461" s="75" t="n">
        <v>1</v>
      </c>
      <c r="L461" s="51" t="n">
        <v>6</v>
      </c>
      <c r="M461" s="69" t="n">
        <v>3.6</v>
      </c>
      <c r="N461" s="70">
        <f>K461*L461*M461</f>
        <v/>
      </c>
      <c r="O461" s="37">
        <f>IFERROR(INDEX(Исходные!$B$19:$B$31,MATCH(H461,Исходные!$A$19:$A$31,0)),0)</f>
        <v/>
      </c>
      <c r="P461" s="76">
        <f>N461*O461</f>
        <v/>
      </c>
      <c r="Q461" s="21" t="inlineStr">
        <is>
          <t>АС-39 сеч.2-2 «2 этаж»; прим.1,3</t>
        </is>
      </c>
      <c r="R461" s="77" t="inlineStr">
        <is>
          <t>по проекту</t>
        </is>
      </c>
      <c r="S461" s="21" t="inlineStr">
        <is>
          <t>стык ванной сваркой (Ø≥20), длина = высота этажа 3,6 м. «3 3Ø25»</t>
        </is>
      </c>
      <c r="T461" s="21" t="inlineStr">
        <is>
          <t>Колонны, диафрагмы</t>
        </is>
      </c>
      <c r="U461" s="49" t="n">
        <v>0</v>
      </c>
      <c r="V461" s="72" t="inlineStr">
        <is>
          <t>Дм-3</t>
        </is>
      </c>
      <c r="W461" s="49" t="n">
        <v>2</v>
      </c>
    </row>
    <row r="462">
      <c r="A462" s="72" t="n">
        <v>448</v>
      </c>
      <c r="B462" s="21" t="inlineStr">
        <is>
          <t>2 этаж (отм. +3.950…+7.550)</t>
        </is>
      </c>
      <c r="C462" s="21" t="inlineStr">
        <is>
          <t>Диафрагмы</t>
        </is>
      </c>
      <c r="D462" s="21" t="inlineStr">
        <is>
          <t>Г/2</t>
        </is>
      </c>
      <c r="E462" s="21" t="inlineStr">
        <is>
          <t>Дм-3</t>
        </is>
      </c>
      <c r="F462" s="72" t="inlineStr">
        <is>
          <t>гор.</t>
        </is>
      </c>
      <c r="G462" s="21" t="inlineStr">
        <is>
          <t>Горизонтальные «Осн. стержни»: полка вдоль оси Г, L=2000-2×25</t>
        </is>
      </c>
      <c r="H462" s="51" t="n">
        <v>14</v>
      </c>
      <c r="I462" s="72" t="inlineStr">
        <is>
          <t>А500С</t>
        </is>
      </c>
      <c r="J462" s="72" t="n">
        <v>200</v>
      </c>
      <c r="K462" s="75" t="n">
        <v>1</v>
      </c>
      <c r="L462" s="51" t="n">
        <v>32</v>
      </c>
      <c r="M462" s="69" t="n">
        <v>1.95</v>
      </c>
      <c r="N462" s="70">
        <f>K462*L462*M462</f>
        <v/>
      </c>
      <c r="O462" s="37">
        <f>IFERROR(INDEX(Исходные!$B$19:$B$31,MATCH(H462,Исходные!$A$19:$A$31,0)),0)</f>
        <v/>
      </c>
      <c r="P462" s="76">
        <f>N462*O462</f>
        <v/>
      </c>
      <c r="Q462" s="21" t="inlineStr">
        <is>
          <t>АС-39 развертка 2 этажа, шаг 200x14+100 (16 рядов × 2 грани)</t>
        </is>
      </c>
      <c r="R462" s="78" t="inlineStr">
        <is>
          <t>по геометрии (уточнить)</t>
        </is>
      </c>
      <c r="S462" s="21" t="inlineStr">
        <is>
          <t>развертка «Осн. стержни Ø14» (2 этаж)</t>
        </is>
      </c>
      <c r="T462" s="21" t="inlineStr">
        <is>
          <t>Колонны, диафрагмы</t>
        </is>
      </c>
      <c r="U462" s="49" t="n">
        <v>1</v>
      </c>
      <c r="V462" s="72" t="inlineStr">
        <is>
          <t>Дм-3</t>
        </is>
      </c>
      <c r="W462" s="49" t="n">
        <v>2</v>
      </c>
    </row>
    <row r="463">
      <c r="A463" s="72" t="n">
        <v>449</v>
      </c>
      <c r="B463" s="21" t="inlineStr">
        <is>
          <t>2 этаж (отм. +3.950…+7.550)</t>
        </is>
      </c>
      <c r="C463" s="21" t="inlineStr">
        <is>
          <t>Диафрагмы</t>
        </is>
      </c>
      <c r="D463" s="21" t="inlineStr">
        <is>
          <t>Г/2</t>
        </is>
      </c>
      <c r="E463" s="21" t="inlineStr">
        <is>
          <t>Дм-3</t>
        </is>
      </c>
      <c r="F463" s="72" t="inlineStr">
        <is>
          <t>гор.</t>
        </is>
      </c>
      <c r="G463" s="21" t="inlineStr">
        <is>
          <t>Горизонтальные «Осн. стержни»: ребро вдоль оси 2, L=1500-2×25</t>
        </is>
      </c>
      <c r="H463" s="51" t="n">
        <v>14</v>
      </c>
      <c r="I463" s="72" t="inlineStr">
        <is>
          <t>А500С</t>
        </is>
      </c>
      <c r="J463" s="72" t="n">
        <v>200</v>
      </c>
      <c r="K463" s="75" t="n">
        <v>1</v>
      </c>
      <c r="L463" s="51" t="n">
        <v>32</v>
      </c>
      <c r="M463" s="69" t="n">
        <v>1.45</v>
      </c>
      <c r="N463" s="70">
        <f>K463*L463*M463</f>
        <v/>
      </c>
      <c r="O463" s="37">
        <f>IFERROR(INDEX(Исходные!$B$19:$B$31,MATCH(H463,Исходные!$A$19:$A$31,0)),0)</f>
        <v/>
      </c>
      <c r="P463" s="76">
        <f>N463*O463</f>
        <v/>
      </c>
      <c r="Q463" s="21" t="inlineStr">
        <is>
          <t>АС-39 развертка 2 этажа, шаг 200x14+100 (16 рядов × 2 грани)</t>
        </is>
      </c>
      <c r="R463" s="78" t="inlineStr">
        <is>
          <t>по геометрии (уточнить)</t>
        </is>
      </c>
      <c r="S463" s="21" t="inlineStr">
        <is>
          <t>развертка «Осн. стержни Ø14» (2 этаж)</t>
        </is>
      </c>
      <c r="T463" s="21" t="inlineStr">
        <is>
          <t>Колонны, диафрагмы</t>
        </is>
      </c>
      <c r="U463" s="49" t="n">
        <v>1</v>
      </c>
      <c r="V463" s="72" t="inlineStr">
        <is>
          <t>Дм-3</t>
        </is>
      </c>
      <c r="W463" s="49" t="n">
        <v>2</v>
      </c>
    </row>
    <row r="464">
      <c r="A464" s="72" t="n">
        <v>450</v>
      </c>
      <c r="B464" s="21" t="inlineStr">
        <is>
          <t>2 этаж (отм. +3.950…+7.550)</t>
        </is>
      </c>
      <c r="C464" s="21" t="inlineStr">
        <is>
          <t>Диафрагмы</t>
        </is>
      </c>
      <c r="D464" s="21" t="inlineStr">
        <is>
          <t>Г/2</t>
        </is>
      </c>
      <c r="E464" s="21" t="inlineStr">
        <is>
          <t>Дм-3</t>
        </is>
      </c>
      <c r="F464" s="72" t="inlineStr">
        <is>
          <t>доп.</t>
        </is>
      </c>
      <c r="G464" s="21" t="inlineStr">
        <is>
          <t>Доп. стержни: ось Г над +3.950, 8Ø16 L=1950</t>
        </is>
      </c>
      <c r="H464" s="51" t="n">
        <v>16</v>
      </c>
      <c r="I464" s="72" t="inlineStr">
        <is>
          <t>А500С</t>
        </is>
      </c>
      <c r="J464" s="72" t="n">
        <v>200</v>
      </c>
      <c r="K464" s="75" t="n">
        <v>1</v>
      </c>
      <c r="L464" s="51" t="n">
        <v>8</v>
      </c>
      <c r="M464" s="69" t="n">
        <v>1.95</v>
      </c>
      <c r="N464" s="70">
        <f>K464*L464*M464</f>
        <v/>
      </c>
      <c r="O464" s="37">
        <f>IFERROR(INDEX(Исходные!$B$19:$B$31,MATCH(H464,Исходные!$A$19:$A$31,0)),0)</f>
        <v/>
      </c>
      <c r="P464" s="76">
        <f>N464*O464</f>
        <v/>
      </c>
      <c r="Q464" s="21" t="inlineStr">
        <is>
          <t>АС-39 развертка, выноска «Доп. стержень»</t>
        </is>
      </c>
      <c r="R464" s="77" t="inlineStr">
        <is>
          <t>по проекту</t>
        </is>
      </c>
      <c r="S464" s="21" t="inlineStr"/>
      <c r="T464" s="21" t="inlineStr">
        <is>
          <t>Колонны, диафрагмы</t>
        </is>
      </c>
      <c r="U464" s="49" t="n">
        <v>0</v>
      </c>
      <c r="V464" s="72" t="inlineStr">
        <is>
          <t>Дм-3</t>
        </is>
      </c>
      <c r="W464" s="49" t="n">
        <v>2</v>
      </c>
    </row>
    <row r="465">
      <c r="A465" s="72" t="n">
        <v>451</v>
      </c>
      <c r="B465" s="21" t="inlineStr">
        <is>
          <t>2 этаж (отм. +3.950…+7.550)</t>
        </is>
      </c>
      <c r="C465" s="21" t="inlineStr">
        <is>
          <t>Диафрагмы</t>
        </is>
      </c>
      <c r="D465" s="21" t="inlineStr">
        <is>
          <t>Г/2</t>
        </is>
      </c>
      <c r="E465" s="21" t="inlineStr">
        <is>
          <t>Дм-3</t>
        </is>
      </c>
      <c r="F465" s="72" t="inlineStr">
        <is>
          <t>доп.</t>
        </is>
      </c>
      <c r="G465" s="21" t="inlineStr">
        <is>
          <t>Доп. стержни: ось Г под ригелем +7.550, 6Ø10 L=1950</t>
        </is>
      </c>
      <c r="H465" s="51" t="n">
        <v>10</v>
      </c>
      <c r="I465" s="72" t="inlineStr">
        <is>
          <t>А500С</t>
        </is>
      </c>
      <c r="J465" s="72" t="n">
        <v>200</v>
      </c>
      <c r="K465" s="75" t="n">
        <v>1</v>
      </c>
      <c r="L465" s="51" t="n">
        <v>6</v>
      </c>
      <c r="M465" s="69" t="n">
        <v>1.95</v>
      </c>
      <c r="N465" s="70">
        <f>K465*L465*M465</f>
        <v/>
      </c>
      <c r="O465" s="37">
        <f>IFERROR(INDEX(Исходные!$B$19:$B$31,MATCH(H465,Исходные!$A$19:$A$31,0)),0)</f>
        <v/>
      </c>
      <c r="P465" s="76">
        <f>N465*O465</f>
        <v/>
      </c>
      <c r="Q465" s="21" t="inlineStr">
        <is>
          <t>АС-39 развертка, выноска «Доп. стержень»</t>
        </is>
      </c>
      <c r="R465" s="77" t="inlineStr">
        <is>
          <t>по проекту</t>
        </is>
      </c>
      <c r="S465" s="21" t="inlineStr"/>
      <c r="T465" s="21" t="inlineStr">
        <is>
          <t>Колонны, диафрагмы</t>
        </is>
      </c>
      <c r="U465" s="49" t="n">
        <v>0</v>
      </c>
      <c r="V465" s="72" t="inlineStr">
        <is>
          <t>Дм-3</t>
        </is>
      </c>
      <c r="W465" s="49" t="n">
        <v>2</v>
      </c>
    </row>
    <row r="466">
      <c r="A466" s="72" t="n">
        <v>452</v>
      </c>
      <c r="B466" s="21" t="inlineStr">
        <is>
          <t>2 этаж (отм. +3.950…+7.550)</t>
        </is>
      </c>
      <c r="C466" s="21" t="inlineStr">
        <is>
          <t>Диафрагмы</t>
        </is>
      </c>
      <c r="D466" s="21" t="inlineStr">
        <is>
          <t>Г/2</t>
        </is>
      </c>
      <c r="E466" s="21" t="inlineStr">
        <is>
          <t>Дм-3</t>
        </is>
      </c>
      <c r="F466" s="72" t="inlineStr">
        <is>
          <t>доп.</t>
        </is>
      </c>
      <c r="G466" s="21" t="inlineStr">
        <is>
          <t>Доп. стержни: ось 2 над +3.950, 10Ø16 L=1450</t>
        </is>
      </c>
      <c r="H466" s="51" t="n">
        <v>16</v>
      </c>
      <c r="I466" s="72" t="inlineStr">
        <is>
          <t>А500С</t>
        </is>
      </c>
      <c r="J466" s="72" t="n">
        <v>200</v>
      </c>
      <c r="K466" s="75" t="n">
        <v>1</v>
      </c>
      <c r="L466" s="51" t="n">
        <v>10</v>
      </c>
      <c r="M466" s="69" t="n">
        <v>1.45</v>
      </c>
      <c r="N466" s="70">
        <f>K466*L466*M466</f>
        <v/>
      </c>
      <c r="O466" s="37">
        <f>IFERROR(INDEX(Исходные!$B$19:$B$31,MATCH(H466,Исходные!$A$19:$A$31,0)),0)</f>
        <v/>
      </c>
      <c r="P466" s="76">
        <f>N466*O466</f>
        <v/>
      </c>
      <c r="Q466" s="21" t="inlineStr">
        <is>
          <t>АС-39 развертка, выноска «Доп. стержень»</t>
        </is>
      </c>
      <c r="R466" s="77" t="inlineStr">
        <is>
          <t>по проекту</t>
        </is>
      </c>
      <c r="S466" s="21" t="inlineStr"/>
      <c r="T466" s="21" t="inlineStr">
        <is>
          <t>Колонны, диафрагмы</t>
        </is>
      </c>
      <c r="U466" s="49" t="n">
        <v>0</v>
      </c>
      <c r="V466" s="72" t="inlineStr">
        <is>
          <t>Дм-3</t>
        </is>
      </c>
      <c r="W466" s="49" t="n">
        <v>2</v>
      </c>
    </row>
    <row r="467">
      <c r="A467" s="72" t="n">
        <v>453</v>
      </c>
      <c r="B467" s="21" t="inlineStr">
        <is>
          <t>2 этаж (отм. +3.950…+7.550)</t>
        </is>
      </c>
      <c r="C467" s="21" t="inlineStr">
        <is>
          <t>Диафрагмы</t>
        </is>
      </c>
      <c r="D467" s="21" t="inlineStr">
        <is>
          <t>Г/2</t>
        </is>
      </c>
      <c r="E467" s="21" t="inlineStr">
        <is>
          <t>Дм-3</t>
        </is>
      </c>
      <c r="F467" s="72" t="inlineStr">
        <is>
          <t>доп.</t>
        </is>
      </c>
      <c r="G467" s="21" t="inlineStr">
        <is>
          <t>Доп. стержни: ось 2 под ригелем +7.550, 6Ø10 L=1450</t>
        </is>
      </c>
      <c r="H467" s="51" t="n">
        <v>10</v>
      </c>
      <c r="I467" s="72" t="inlineStr">
        <is>
          <t>А500С</t>
        </is>
      </c>
      <c r="J467" s="72" t="n">
        <v>200</v>
      </c>
      <c r="K467" s="75" t="n">
        <v>1</v>
      </c>
      <c r="L467" s="51" t="n">
        <v>6</v>
      </c>
      <c r="M467" s="69" t="n">
        <v>1.45</v>
      </c>
      <c r="N467" s="70">
        <f>K467*L467*M467</f>
        <v/>
      </c>
      <c r="O467" s="37">
        <f>IFERROR(INDEX(Исходные!$B$19:$B$31,MATCH(H467,Исходные!$A$19:$A$31,0)),0)</f>
        <v/>
      </c>
      <c r="P467" s="76">
        <f>N467*O467</f>
        <v/>
      </c>
      <c r="Q467" s="21" t="inlineStr">
        <is>
          <t>АС-39 развертка, выноска «Доп. стержень»</t>
        </is>
      </c>
      <c r="R467" s="77" t="inlineStr">
        <is>
          <t>по проекту</t>
        </is>
      </c>
      <c r="S467" s="21" t="inlineStr"/>
      <c r="T467" s="21" t="inlineStr">
        <is>
          <t>Колонны, диафрагмы</t>
        </is>
      </c>
      <c r="U467" s="49" t="n">
        <v>0</v>
      </c>
      <c r="V467" s="72" t="inlineStr">
        <is>
          <t>Дм-3</t>
        </is>
      </c>
      <c r="W467" s="49" t="n">
        <v>2</v>
      </c>
    </row>
    <row r="468">
      <c r="A468" s="72" t="n">
        <v>454</v>
      </c>
      <c r="B468" s="21" t="inlineStr">
        <is>
          <t>2 этаж (отм. +3.950…+7.550)</t>
        </is>
      </c>
      <c r="C468" s="21" t="inlineStr">
        <is>
          <t>Диафрагмы</t>
        </is>
      </c>
      <c r="D468" s="21" t="inlineStr">
        <is>
          <t>Г/2</t>
        </is>
      </c>
      <c r="E468" s="21" t="inlineStr">
        <is>
          <t>Дм-3</t>
        </is>
      </c>
      <c r="F468" s="72" t="inlineStr">
        <is>
          <t>14</t>
        </is>
      </c>
      <c r="G468" s="21" t="inlineStr">
        <is>
          <t>П-образный стержень на торцах: 3 шт/ряд × 16 рядов</t>
        </is>
      </c>
      <c r="H468" s="51" t="n">
        <v>10</v>
      </c>
      <c r="I468" s="72" t="inlineStr">
        <is>
          <t>А240</t>
        </is>
      </c>
      <c r="J468" s="72" t="inlineStr">
        <is>
          <t>200</t>
        </is>
      </c>
      <c r="K468" s="75" t="n">
        <v>1</v>
      </c>
      <c r="L468" s="51" t="n">
        <v>48</v>
      </c>
      <c r="M468" s="69" t="n">
        <v>1.33</v>
      </c>
      <c r="N468" s="70">
        <f>K468*L468*M468</f>
        <v/>
      </c>
      <c r="O468" s="37">
        <f>IFERROR(INDEX(Исходные!$B$19:$B$31,MATCH(H468,Исходные!$A$19:$A$31,0)),0)</f>
        <v/>
      </c>
      <c r="P468" s="76">
        <f>N468*O468</f>
        <v/>
      </c>
      <c r="Q468" s="21" t="inlineStr">
        <is>
          <t>сечение 2-2; АС-42 ведомость деталей поз.14 L=1330</t>
        </is>
      </c>
      <c r="R468" s="77" t="inlineStr">
        <is>
          <t>по проекту</t>
        </is>
      </c>
      <c r="S468" s="21" t="inlineStr"/>
      <c r="T468" s="21" t="inlineStr">
        <is>
          <t>Колонны, диафрагмы</t>
        </is>
      </c>
      <c r="U468" s="49" t="n">
        <v>0</v>
      </c>
      <c r="V468" s="72" t="inlineStr">
        <is>
          <t>Дм-3</t>
        </is>
      </c>
      <c r="W468" s="49" t="n">
        <v>2</v>
      </c>
    </row>
    <row r="469">
      <c r="A469" s="72" t="n">
        <v>455</v>
      </c>
      <c r="B469" s="21" t="inlineStr">
        <is>
          <t>2 этаж (отм. +3.950…+7.550)</t>
        </is>
      </c>
      <c r="C469" s="21" t="inlineStr">
        <is>
          <t>Диафрагмы</t>
        </is>
      </c>
      <c r="D469" s="21" t="inlineStr">
        <is>
          <t>Г/2</t>
        </is>
      </c>
      <c r="E469" s="21" t="inlineStr">
        <is>
          <t>Дм-3</t>
        </is>
      </c>
      <c r="F469" s="72" t="inlineStr">
        <is>
          <t>12</t>
        </is>
      </c>
      <c r="G469" s="21" t="inlineStr">
        <is>
          <t>Хомут торцевого элемента полки Ø8: 2 шт/ряд × 16</t>
        </is>
      </c>
      <c r="H469" s="51" t="n">
        <v>8</v>
      </c>
      <c r="I469" s="72" t="inlineStr">
        <is>
          <t>А240</t>
        </is>
      </c>
      <c r="J469" s="72" t="inlineStr">
        <is>
          <t>200</t>
        </is>
      </c>
      <c r="K469" s="75" t="n">
        <v>1</v>
      </c>
      <c r="L469" s="51" t="n">
        <v>32</v>
      </c>
      <c r="M469" s="69" t="n">
        <v>1.56</v>
      </c>
      <c r="N469" s="70">
        <f>K469*L469*M469</f>
        <v/>
      </c>
      <c r="O469" s="37">
        <f>IFERROR(INDEX(Исходные!$B$19:$B$31,MATCH(H469,Исходные!$A$19:$A$31,0)),0)</f>
        <v/>
      </c>
      <c r="P469" s="76">
        <f>N469*O469</f>
        <v/>
      </c>
      <c r="Q469" s="21" t="inlineStr">
        <is>
          <t>сечение 2-2 «12 хом.Ø8 ш.200»; АС-42 ведомость деталей поз.12 L=1560</t>
        </is>
      </c>
      <c r="R469" s="77" t="inlineStr">
        <is>
          <t>по проекту</t>
        </is>
      </c>
      <c r="S469" s="21" t="inlineStr"/>
      <c r="T469" s="21" t="inlineStr">
        <is>
          <t>Колонны, диафрагмы</t>
        </is>
      </c>
      <c r="U469" s="49" t="n">
        <v>0</v>
      </c>
      <c r="V469" s="72" t="inlineStr">
        <is>
          <t>Дм-3</t>
        </is>
      </c>
      <c r="W469" s="49" t="n">
        <v>2</v>
      </c>
    </row>
    <row r="470">
      <c r="A470" s="72" t="n">
        <v>456</v>
      </c>
      <c r="B470" s="21" t="inlineStr">
        <is>
          <t>2 этаж (отм. +3.950…+7.550)</t>
        </is>
      </c>
      <c r="C470" s="21" t="inlineStr">
        <is>
          <t>Диафрагмы</t>
        </is>
      </c>
      <c r="D470" s="21" t="inlineStr">
        <is>
          <t>Г/2</t>
        </is>
      </c>
      <c r="E470" s="21" t="inlineStr">
        <is>
          <t>Дм-3</t>
        </is>
      </c>
      <c r="F470" s="72" t="inlineStr">
        <is>
          <t>15</t>
        </is>
      </c>
      <c r="G470" s="21" t="inlineStr">
        <is>
          <t>Хомут торцевого элемента Ø8: 1 шт/ряд × 16</t>
        </is>
      </c>
      <c r="H470" s="51" t="n">
        <v>8</v>
      </c>
      <c r="I470" s="72" t="inlineStr">
        <is>
          <t>А240</t>
        </is>
      </c>
      <c r="J470" s="72" t="inlineStr">
        <is>
          <t>200</t>
        </is>
      </c>
      <c r="K470" s="75" t="n">
        <v>1</v>
      </c>
      <c r="L470" s="51" t="n">
        <v>16</v>
      </c>
      <c r="M470" s="69" t="n">
        <v>1.76</v>
      </c>
      <c r="N470" s="70">
        <f>K470*L470*M470</f>
        <v/>
      </c>
      <c r="O470" s="37">
        <f>IFERROR(INDEX(Исходные!$B$19:$B$31,MATCH(H470,Исходные!$A$19:$A$31,0)),0)</f>
        <v/>
      </c>
      <c r="P470" s="76">
        <f>N470*O470</f>
        <v/>
      </c>
      <c r="Q470" s="21" t="inlineStr">
        <is>
          <t>сечение 2-2 «15 хом.Ø8 ш.200»; АС-42 ведомость деталей поз.15 L=1760</t>
        </is>
      </c>
      <c r="R470" s="77" t="inlineStr">
        <is>
          <t>по проекту</t>
        </is>
      </c>
      <c r="S470" s="21" t="inlineStr"/>
      <c r="T470" s="21" t="inlineStr">
        <is>
          <t>Колонны, диафрагмы</t>
        </is>
      </c>
      <c r="U470" s="49" t="n">
        <v>0</v>
      </c>
      <c r="V470" s="72" t="inlineStr">
        <is>
          <t>Дм-3</t>
        </is>
      </c>
      <c r="W470" s="49" t="n">
        <v>2</v>
      </c>
    </row>
    <row r="471">
      <c r="A471" s="72" t="n">
        <v>457</v>
      </c>
      <c r="B471" s="21" t="inlineStr">
        <is>
          <t>2 этаж (отм. +3.950…+7.550)</t>
        </is>
      </c>
      <c r="C471" s="21" t="inlineStr">
        <is>
          <t>Диафрагмы</t>
        </is>
      </c>
      <c r="D471" s="21" t="inlineStr">
        <is>
          <t>Г/2</t>
        </is>
      </c>
      <c r="E471" s="21" t="inlineStr">
        <is>
          <t>Дм-3</t>
        </is>
      </c>
      <c r="F471" s="72" t="inlineStr">
        <is>
          <t>10</t>
        </is>
      </c>
      <c r="G471" s="21" t="inlineStr">
        <is>
          <t>Хомут колонны наружный (100×12 у опор, 200 в середине) — 28 шт</t>
        </is>
      </c>
      <c r="H471" s="51" t="n">
        <v>8</v>
      </c>
      <c r="I471" s="72" t="inlineStr">
        <is>
          <t>А240</t>
        </is>
      </c>
      <c r="J471" s="72" t="inlineStr">
        <is>
          <t>200</t>
        </is>
      </c>
      <c r="K471" s="75" t="n">
        <v>1</v>
      </c>
      <c r="L471" s="51" t="n">
        <v>28</v>
      </c>
      <c r="M471" s="69" t="n">
        <v>2.44</v>
      </c>
      <c r="N471" s="70">
        <f>K471*L471*M471</f>
        <v/>
      </c>
      <c r="O471" s="37">
        <f>IFERROR(INDEX(Исходные!$B$19:$B$31,MATCH(H471,Исходные!$A$19:$A$31,0)),0)</f>
        <v/>
      </c>
      <c r="P471" s="76">
        <f>N471*O471</f>
        <v/>
      </c>
      <c r="Q471" s="21" t="inlineStr">
        <is>
          <t>АС-32 (2÷4 этаж: 50+100×12+200×n+100×12+50+600); АС-42 ведомость деталей поз.10 L=2440</t>
        </is>
      </c>
      <c r="R471" s="77" t="inlineStr">
        <is>
          <t>по проекту</t>
        </is>
      </c>
      <c r="S471" s="21" t="inlineStr"/>
      <c r="T471" s="21" t="inlineStr">
        <is>
          <t>Колонны, диафрагмы</t>
        </is>
      </c>
      <c r="U471" s="49" t="n">
        <v>0</v>
      </c>
      <c r="V471" s="72" t="inlineStr">
        <is>
          <t>Дм-3</t>
        </is>
      </c>
      <c r="W471" s="49" t="n">
        <v>2</v>
      </c>
    </row>
    <row r="472">
      <c r="A472" s="72" t="n">
        <v>458</v>
      </c>
      <c r="B472" s="21" t="inlineStr">
        <is>
          <t>2 этаж (отм. +3.950…+7.550)</t>
        </is>
      </c>
      <c r="C472" s="21" t="inlineStr">
        <is>
          <t>Диафрагмы</t>
        </is>
      </c>
      <c r="D472" s="21" t="inlineStr">
        <is>
          <t>Г/2</t>
        </is>
      </c>
      <c r="E472" s="21" t="inlineStr">
        <is>
          <t>Дм-3</t>
        </is>
      </c>
      <c r="F472" s="72" t="inlineStr">
        <is>
          <t>11</t>
        </is>
      </c>
      <c r="G472" s="21" t="inlineStr">
        <is>
          <t>Хомут колонны внутренний: 2 шт/ряд × 16</t>
        </is>
      </c>
      <c r="H472" s="51" t="n">
        <v>8</v>
      </c>
      <c r="I472" s="72" t="inlineStr">
        <is>
          <t>А240</t>
        </is>
      </c>
      <c r="J472" s="72" t="inlineStr">
        <is>
          <t>200</t>
        </is>
      </c>
      <c r="K472" s="75" t="n">
        <v>1</v>
      </c>
      <c r="L472" s="51" t="n">
        <v>32</v>
      </c>
      <c r="M472" s="69" t="n">
        <v>1.96</v>
      </c>
      <c r="N472" s="70">
        <f>K472*L472*M472</f>
        <v/>
      </c>
      <c r="O472" s="37">
        <f>IFERROR(INDEX(Исходные!$B$19:$B$31,MATCH(H472,Исходные!$A$19:$A$31,0)),0)</f>
        <v/>
      </c>
      <c r="P472" s="76">
        <f>N472*O472</f>
        <v/>
      </c>
      <c r="Q472" s="21" t="inlineStr">
        <is>
          <t>сечение 2-2 «ш.200»; АС-42 ведомость деталей поз.11 L=1960</t>
        </is>
      </c>
      <c r="R472" s="77" t="inlineStr">
        <is>
          <t>по проекту</t>
        </is>
      </c>
      <c r="S472" s="21" t="inlineStr"/>
      <c r="T472" s="21" t="inlineStr">
        <is>
          <t>Колонны, диафрагмы</t>
        </is>
      </c>
      <c r="U472" s="49" t="n">
        <v>0</v>
      </c>
      <c r="V472" s="72" t="inlineStr">
        <is>
          <t>Дм-3</t>
        </is>
      </c>
      <c r="W472" s="49" t="n">
        <v>2</v>
      </c>
    </row>
    <row r="473">
      <c r="A473" s="72" t="n">
        <v>459</v>
      </c>
      <c r="B473" s="21" t="inlineStr">
        <is>
          <t>2 этаж (отм. +3.950…+7.550)</t>
        </is>
      </c>
      <c r="C473" s="21" t="inlineStr">
        <is>
          <t>Диафрагмы</t>
        </is>
      </c>
      <c r="D473" s="21" t="inlineStr">
        <is>
          <t>Г/2</t>
        </is>
      </c>
      <c r="E473" s="21" t="inlineStr">
        <is>
          <t>Дм-3</t>
        </is>
      </c>
      <c r="F473" s="72" t="inlineStr">
        <is>
          <t>13</t>
        </is>
      </c>
      <c r="G473" s="21" t="inlineStr">
        <is>
          <t>Шпилька ш.400 в шахм. порядке: 8 мест × 8 рядов</t>
        </is>
      </c>
      <c r="H473" s="51" t="n">
        <v>8</v>
      </c>
      <c r="I473" s="72" t="inlineStr">
        <is>
          <t>А240</t>
        </is>
      </c>
      <c r="J473" s="72" t="inlineStr">
        <is>
          <t>200</t>
        </is>
      </c>
      <c r="K473" s="75" t="n">
        <v>1</v>
      </c>
      <c r="L473" s="51" t="n">
        <v>64</v>
      </c>
      <c r="M473" s="69" t="n">
        <v>0.53</v>
      </c>
      <c r="N473" s="70">
        <f>K473*L473*M473</f>
        <v/>
      </c>
      <c r="O473" s="37">
        <f>IFERROR(INDEX(Исходные!$B$19:$B$31,MATCH(H473,Исходные!$A$19:$A$31,0)),0)</f>
        <v/>
      </c>
      <c r="P473" s="76">
        <f>N473*O473</f>
        <v/>
      </c>
      <c r="Q473" s="21" t="inlineStr">
        <is>
          <t>сечение 2-2, прим.6; АС-42 ведомость деталей поз.13 L=530</t>
        </is>
      </c>
      <c r="R473" s="77" t="inlineStr">
        <is>
          <t>по проекту</t>
        </is>
      </c>
      <c r="S473" s="21" t="inlineStr"/>
      <c r="T473" s="21" t="inlineStr">
        <is>
          <t>Колонны, диафрагмы</t>
        </is>
      </c>
      <c r="U473" s="49" t="n">
        <v>0</v>
      </c>
      <c r="V473" s="72" t="inlineStr">
        <is>
          <t>Дм-3</t>
        </is>
      </c>
      <c r="W473" s="49" t="n">
        <v>2</v>
      </c>
    </row>
    <row r="474">
      <c r="A474" s="72" t="n">
        <v>460</v>
      </c>
      <c r="B474" s="21" t="inlineStr">
        <is>
          <t>2 этаж (отм. +3.950…+7.550)</t>
        </is>
      </c>
      <c r="C474" s="21" t="inlineStr">
        <is>
          <t>Диафрагмы</t>
        </is>
      </c>
      <c r="D474" s="21" t="inlineStr">
        <is>
          <t>Г/3</t>
        </is>
      </c>
      <c r="E474" s="21" t="inlineStr">
        <is>
          <t>Дм-4</t>
        </is>
      </c>
      <c r="F474" s="72" t="inlineStr">
        <is>
          <t>2</t>
        </is>
      </c>
      <c r="G474" s="21" t="inlineStr">
        <is>
          <t>Вертикальные: колонна, угловые 4Ø28</t>
        </is>
      </c>
      <c r="H474" s="51" t="n">
        <v>28</v>
      </c>
      <c r="I474" s="72" t="inlineStr">
        <is>
          <t>А500С</t>
        </is>
      </c>
      <c r="J474" s="72" t="inlineStr">
        <is>
          <t>—</t>
        </is>
      </c>
      <c r="K474" s="75" t="n">
        <v>1</v>
      </c>
      <c r="L474" s="51" t="n">
        <v>4</v>
      </c>
      <c r="M474" s="69" t="n">
        <v>3.6</v>
      </c>
      <c r="N474" s="70">
        <f>K474*L474*M474</f>
        <v/>
      </c>
      <c r="O474" s="37">
        <f>IFERROR(INDEX(Исходные!$B$19:$B$31,MATCH(H474,Исходные!$A$19:$A$31,0)),0)</f>
        <v/>
      </c>
      <c r="P474" s="76">
        <f>N474*O474</f>
        <v/>
      </c>
      <c r="Q474" s="21" t="inlineStr">
        <is>
          <t>АС-40 сеч.2-2 «2 этаж»; прим.1,3</t>
        </is>
      </c>
      <c r="R474" s="77" t="inlineStr">
        <is>
          <t>по проекту</t>
        </is>
      </c>
      <c r="S474" s="21" t="inlineStr">
        <is>
          <t>стык ванной сваркой (Ø≥20), длина = высота этажа 3,6 м. поз.2</t>
        </is>
      </c>
      <c r="T474" s="21" t="inlineStr">
        <is>
          <t>Колонны, диафрагмы</t>
        </is>
      </c>
      <c r="U474" s="49" t="n">
        <v>0</v>
      </c>
      <c r="V474" s="72" t="inlineStr">
        <is>
          <t>Дм-4</t>
        </is>
      </c>
      <c r="W474" s="49" t="n">
        <v>2</v>
      </c>
    </row>
    <row r="475">
      <c r="A475" s="72" t="n">
        <v>461</v>
      </c>
      <c r="B475" s="21" t="inlineStr">
        <is>
          <t>2 этаж (отм. +3.950…+7.550)</t>
        </is>
      </c>
      <c r="C475" s="21" t="inlineStr">
        <is>
          <t>Диафрагмы</t>
        </is>
      </c>
      <c r="D475" s="21" t="inlineStr">
        <is>
          <t>Г/3</t>
        </is>
      </c>
      <c r="E475" s="21" t="inlineStr">
        <is>
          <t>Дм-4</t>
        </is>
      </c>
      <c r="F475" s="72" t="inlineStr">
        <is>
          <t>5</t>
        </is>
      </c>
      <c r="G475" s="21" t="inlineStr">
        <is>
          <t>Вертикальные: колонна 8Ø20 («2Ø20» ×2 + симметр.)</t>
        </is>
      </c>
      <c r="H475" s="51" t="n">
        <v>20</v>
      </c>
      <c r="I475" s="72" t="inlineStr">
        <is>
          <t>А500С</t>
        </is>
      </c>
      <c r="J475" s="72" t="inlineStr">
        <is>
          <t>—</t>
        </is>
      </c>
      <c r="K475" s="75" t="n">
        <v>1</v>
      </c>
      <c r="L475" s="51" t="n">
        <v>8</v>
      </c>
      <c r="M475" s="69" t="n">
        <v>3.6</v>
      </c>
      <c r="N475" s="70">
        <f>K475*L475*M475</f>
        <v/>
      </c>
      <c r="O475" s="37">
        <f>IFERROR(INDEX(Исходные!$B$19:$B$31,MATCH(H475,Исходные!$A$19:$A$31,0)),0)</f>
        <v/>
      </c>
      <c r="P475" s="76">
        <f>N475*O475</f>
        <v/>
      </c>
      <c r="Q475" s="21" t="inlineStr">
        <is>
          <t>АС-40 сеч.2-2 «2 этаж»; прим.1,3</t>
        </is>
      </c>
      <c r="R475" s="77" t="inlineStr">
        <is>
          <t>по проекту</t>
        </is>
      </c>
      <c r="S475" s="21" t="inlineStr">
        <is>
          <t>стык ванной сваркой (Ø≥20), длина = высота этажа 3,6 м. поз.5</t>
        </is>
      </c>
      <c r="T475" s="21" t="inlineStr">
        <is>
          <t>Колонны, диафрагмы</t>
        </is>
      </c>
      <c r="U475" s="49" t="n">
        <v>0</v>
      </c>
      <c r="V475" s="72" t="inlineStr">
        <is>
          <t>Дм-4</t>
        </is>
      </c>
      <c r="W475" s="49" t="n">
        <v>2</v>
      </c>
    </row>
    <row r="476">
      <c r="A476" s="72" t="n">
        <v>462</v>
      </c>
      <c r="B476" s="21" t="inlineStr">
        <is>
          <t>2 этаж (отм. +3.950…+7.550)</t>
        </is>
      </c>
      <c r="C476" s="21" t="inlineStr">
        <is>
          <t>Диафрагмы</t>
        </is>
      </c>
      <c r="D476" s="21" t="inlineStr">
        <is>
          <t>Г/3</t>
        </is>
      </c>
      <c r="E476" s="21" t="inlineStr">
        <is>
          <t>Дм-4</t>
        </is>
      </c>
      <c r="F476" s="72" t="inlineStr">
        <is>
          <t>7</t>
        </is>
      </c>
      <c r="G476" s="21" t="inlineStr">
        <is>
          <t>Вертикальные: стенка («3Ø16» + 3 симметр.)</t>
        </is>
      </c>
      <c r="H476" s="51" t="n">
        <v>16</v>
      </c>
      <c r="I476" s="72" t="inlineStr">
        <is>
          <t>А500С</t>
        </is>
      </c>
      <c r="J476" s="72" t="inlineStr">
        <is>
          <t>—</t>
        </is>
      </c>
      <c r="K476" s="75" t="n">
        <v>1</v>
      </c>
      <c r="L476" s="51" t="n">
        <v>6</v>
      </c>
      <c r="M476" s="69" t="n">
        <v>3.728</v>
      </c>
      <c r="N476" s="70">
        <f>K476*L476*M476</f>
        <v/>
      </c>
      <c r="O476" s="37">
        <f>IFERROR(INDEX(Исходные!$B$19:$B$31,MATCH(H476,Исходные!$A$19:$A$31,0)),0)</f>
        <v/>
      </c>
      <c r="P476" s="76">
        <f>N476*O476</f>
        <v/>
      </c>
      <c r="Q476" s="21" t="inlineStr">
        <is>
          <t>АС-40 сеч.2-2 «2 этаж»; прим.1,3</t>
        </is>
      </c>
      <c r="R476" s="77" t="inlineStr">
        <is>
          <t>по проекту</t>
        </is>
      </c>
      <c r="S476" s="21" t="inlineStr">
        <is>
          <t>нахлёст 8d со сваркой (Ø≤18), учтён в длине. «7 3Ø16»</t>
        </is>
      </c>
      <c r="T476" s="21" t="inlineStr">
        <is>
          <t>Колонны, диафрагмы</t>
        </is>
      </c>
      <c r="U476" s="49" t="n">
        <v>0</v>
      </c>
      <c r="V476" s="72" t="inlineStr">
        <is>
          <t>Дм-4</t>
        </is>
      </c>
      <c r="W476" s="49" t="n">
        <v>2</v>
      </c>
    </row>
    <row r="477">
      <c r="A477" s="72" t="n">
        <v>463</v>
      </c>
      <c r="B477" s="21" t="inlineStr">
        <is>
          <t>2 этаж (отм. +3.950…+7.550)</t>
        </is>
      </c>
      <c r="C477" s="21" t="inlineStr">
        <is>
          <t>Диафрагмы</t>
        </is>
      </c>
      <c r="D477" s="21" t="inlineStr">
        <is>
          <t>Г/3</t>
        </is>
      </c>
      <c r="E477" s="21" t="inlineStr">
        <is>
          <t>Дм-4</t>
        </is>
      </c>
      <c r="F477" s="72" t="inlineStr">
        <is>
          <t>3</t>
        </is>
      </c>
      <c r="G477" s="21" t="inlineStr">
        <is>
          <t>Вертикальные: торцевой эл-т («3Ø25» + 3 симметр.)</t>
        </is>
      </c>
      <c r="H477" s="51" t="n">
        <v>25</v>
      </c>
      <c r="I477" s="72" t="inlineStr">
        <is>
          <t>А500С</t>
        </is>
      </c>
      <c r="J477" s="72" t="inlineStr">
        <is>
          <t>—</t>
        </is>
      </c>
      <c r="K477" s="75" t="n">
        <v>1</v>
      </c>
      <c r="L477" s="51" t="n">
        <v>6</v>
      </c>
      <c r="M477" s="69" t="n">
        <v>3.6</v>
      </c>
      <c r="N477" s="70">
        <f>K477*L477*M477</f>
        <v/>
      </c>
      <c r="O477" s="37">
        <f>IFERROR(INDEX(Исходные!$B$19:$B$31,MATCH(H477,Исходные!$A$19:$A$31,0)),0)</f>
        <v/>
      </c>
      <c r="P477" s="76">
        <f>N477*O477</f>
        <v/>
      </c>
      <c r="Q477" s="21" t="inlineStr">
        <is>
          <t>АС-40 сеч.2-2 «2 этаж»; прим.1,3</t>
        </is>
      </c>
      <c r="R477" s="77" t="inlineStr">
        <is>
          <t>по проекту</t>
        </is>
      </c>
      <c r="S477" s="21" t="inlineStr">
        <is>
          <t>стык ванной сваркой (Ø≥20), длина = высота этажа 3,6 м. «3 3Ø25»</t>
        </is>
      </c>
      <c r="T477" s="21" t="inlineStr">
        <is>
          <t>Колонны, диафрагмы</t>
        </is>
      </c>
      <c r="U477" s="49" t="n">
        <v>0</v>
      </c>
      <c r="V477" s="72" t="inlineStr">
        <is>
          <t>Дм-4</t>
        </is>
      </c>
      <c r="W477" s="49" t="n">
        <v>2</v>
      </c>
    </row>
    <row r="478">
      <c r="A478" s="72" t="n">
        <v>464</v>
      </c>
      <c r="B478" s="21" t="inlineStr">
        <is>
          <t>2 этаж (отм. +3.950…+7.550)</t>
        </is>
      </c>
      <c r="C478" s="21" t="inlineStr">
        <is>
          <t>Диафрагмы</t>
        </is>
      </c>
      <c r="D478" s="21" t="inlineStr">
        <is>
          <t>Г/3</t>
        </is>
      </c>
      <c r="E478" s="21" t="inlineStr">
        <is>
          <t>Дм-4</t>
        </is>
      </c>
      <c r="F478" s="72" t="inlineStr">
        <is>
          <t>гор.</t>
        </is>
      </c>
      <c r="G478" s="21" t="inlineStr">
        <is>
          <t>Горизонтальные «Осн. стержни»: вдоль оси Г, L=1500-2×25</t>
        </is>
      </c>
      <c r="H478" s="51" t="n">
        <v>14</v>
      </c>
      <c r="I478" s="72" t="inlineStr">
        <is>
          <t>А500С</t>
        </is>
      </c>
      <c r="J478" s="72" t="n">
        <v>200</v>
      </c>
      <c r="K478" s="75" t="n">
        <v>1</v>
      </c>
      <c r="L478" s="51" t="n">
        <v>32</v>
      </c>
      <c r="M478" s="69" t="n">
        <v>1.45</v>
      </c>
      <c r="N478" s="70">
        <f>K478*L478*M478</f>
        <v/>
      </c>
      <c r="O478" s="37">
        <f>IFERROR(INDEX(Исходные!$B$19:$B$31,MATCH(H478,Исходные!$A$19:$A$31,0)),0)</f>
        <v/>
      </c>
      <c r="P478" s="76">
        <f>N478*O478</f>
        <v/>
      </c>
      <c r="Q478" s="21" t="inlineStr">
        <is>
          <t>АС-40 развертка 2 этажа, шаг 200x14+100 (16 рядов × 2 грани)</t>
        </is>
      </c>
      <c r="R478" s="78" t="inlineStr">
        <is>
          <t>по геометрии (уточнить)</t>
        </is>
      </c>
      <c r="S478" s="21" t="inlineStr">
        <is>
          <t>развертка «Осн. стержни Ø14» (2 этаж)</t>
        </is>
      </c>
      <c r="T478" s="21" t="inlineStr">
        <is>
          <t>Колонны, диафрагмы</t>
        </is>
      </c>
      <c r="U478" s="49" t="n">
        <v>1</v>
      </c>
      <c r="V478" s="72" t="inlineStr">
        <is>
          <t>Дм-4</t>
        </is>
      </c>
      <c r="W478" s="49" t="n">
        <v>2</v>
      </c>
    </row>
    <row r="479">
      <c r="A479" s="72" t="n">
        <v>465</v>
      </c>
      <c r="B479" s="21" t="inlineStr">
        <is>
          <t>2 этаж (отм. +3.950…+7.550)</t>
        </is>
      </c>
      <c r="C479" s="21" t="inlineStr">
        <is>
          <t>Диафрагмы</t>
        </is>
      </c>
      <c r="D479" s="21" t="inlineStr">
        <is>
          <t>Г/3</t>
        </is>
      </c>
      <c r="E479" s="21" t="inlineStr">
        <is>
          <t>Дм-4</t>
        </is>
      </c>
      <c r="F479" s="72" t="inlineStr">
        <is>
          <t>доп.</t>
        </is>
      </c>
      <c r="G479" s="21" t="inlineStr">
        <is>
          <t>Доп. стержни: над +3.950, 6Ø14 L=1450</t>
        </is>
      </c>
      <c r="H479" s="51" t="n">
        <v>14</v>
      </c>
      <c r="I479" s="72" t="inlineStr">
        <is>
          <t>А500С</t>
        </is>
      </c>
      <c r="J479" s="72" t="n">
        <v>200</v>
      </c>
      <c r="K479" s="75" t="n">
        <v>1</v>
      </c>
      <c r="L479" s="51" t="n">
        <v>6</v>
      </c>
      <c r="M479" s="69" t="n">
        <v>1.45</v>
      </c>
      <c r="N479" s="70">
        <f>K479*L479*M479</f>
        <v/>
      </c>
      <c r="O479" s="37">
        <f>IFERROR(INDEX(Исходные!$B$19:$B$31,MATCH(H479,Исходные!$A$19:$A$31,0)),0)</f>
        <v/>
      </c>
      <c r="P479" s="76">
        <f>N479*O479</f>
        <v/>
      </c>
      <c r="Q479" s="21" t="inlineStr">
        <is>
          <t>АС-40 развертка, выноска «Доп. стержень»</t>
        </is>
      </c>
      <c r="R479" s="77" t="inlineStr">
        <is>
          <t>по проекту</t>
        </is>
      </c>
      <c r="S479" s="21" t="inlineStr"/>
      <c r="T479" s="21" t="inlineStr">
        <is>
          <t>Колонны, диафрагмы</t>
        </is>
      </c>
      <c r="U479" s="49" t="n">
        <v>0</v>
      </c>
      <c r="V479" s="72" t="inlineStr">
        <is>
          <t>Дм-4</t>
        </is>
      </c>
      <c r="W479" s="49" t="n">
        <v>2</v>
      </c>
    </row>
    <row r="480">
      <c r="A480" s="72" t="n">
        <v>466</v>
      </c>
      <c r="B480" s="21" t="inlineStr">
        <is>
          <t>2 этаж (отм. +3.950…+7.550)</t>
        </is>
      </c>
      <c r="C480" s="21" t="inlineStr">
        <is>
          <t>Диафрагмы</t>
        </is>
      </c>
      <c r="D480" s="21" t="inlineStr">
        <is>
          <t>Г/3</t>
        </is>
      </c>
      <c r="E480" s="21" t="inlineStr">
        <is>
          <t>Дм-4</t>
        </is>
      </c>
      <c r="F480" s="72" t="inlineStr">
        <is>
          <t>доп.</t>
        </is>
      </c>
      <c r="G480" s="21" t="inlineStr">
        <is>
          <t>Доп. стержни: под ригелем +7.550, 6Ø14 L=1450</t>
        </is>
      </c>
      <c r="H480" s="51" t="n">
        <v>14</v>
      </c>
      <c r="I480" s="72" t="inlineStr">
        <is>
          <t>А500С</t>
        </is>
      </c>
      <c r="J480" s="72" t="n">
        <v>200</v>
      </c>
      <c r="K480" s="75" t="n">
        <v>1</v>
      </c>
      <c r="L480" s="51" t="n">
        <v>6</v>
      </c>
      <c r="M480" s="69" t="n">
        <v>1.45</v>
      </c>
      <c r="N480" s="70">
        <f>K480*L480*M480</f>
        <v/>
      </c>
      <c r="O480" s="37">
        <f>IFERROR(INDEX(Исходные!$B$19:$B$31,MATCH(H480,Исходные!$A$19:$A$31,0)),0)</f>
        <v/>
      </c>
      <c r="P480" s="76">
        <f>N480*O480</f>
        <v/>
      </c>
      <c r="Q480" s="21" t="inlineStr">
        <is>
          <t>АС-40 развертка, выноска «Доп. стержень»</t>
        </is>
      </c>
      <c r="R480" s="77" t="inlineStr">
        <is>
          <t>по проекту</t>
        </is>
      </c>
      <c r="S480" s="21" t="inlineStr"/>
      <c r="T480" s="21" t="inlineStr">
        <is>
          <t>Колонны, диафрагмы</t>
        </is>
      </c>
      <c r="U480" s="49" t="n">
        <v>0</v>
      </c>
      <c r="V480" s="72" t="inlineStr">
        <is>
          <t>Дм-4</t>
        </is>
      </c>
      <c r="W480" s="49" t="n">
        <v>2</v>
      </c>
    </row>
    <row r="481">
      <c r="A481" s="72" t="n">
        <v>467</v>
      </c>
      <c r="B481" s="21" t="inlineStr">
        <is>
          <t>2 этаж (отм. +3.950…+7.550)</t>
        </is>
      </c>
      <c r="C481" s="21" t="inlineStr">
        <is>
          <t>Диафрагмы</t>
        </is>
      </c>
      <c r="D481" s="21" t="inlineStr">
        <is>
          <t>Г/3</t>
        </is>
      </c>
      <c r="E481" s="21" t="inlineStr">
        <is>
          <t>Дм-4</t>
        </is>
      </c>
      <c r="F481" s="72" t="inlineStr">
        <is>
          <t>14</t>
        </is>
      </c>
      <c r="G481" s="21" t="inlineStr">
        <is>
          <t>П-образный стержень на торцах: 1 шт/ряд × 16 рядов</t>
        </is>
      </c>
      <c r="H481" s="51" t="n">
        <v>10</v>
      </c>
      <c r="I481" s="72" t="inlineStr">
        <is>
          <t>А240</t>
        </is>
      </c>
      <c r="J481" s="72" t="inlineStr">
        <is>
          <t>200</t>
        </is>
      </c>
      <c r="K481" s="75" t="n">
        <v>1</v>
      </c>
      <c r="L481" s="51" t="n">
        <v>16</v>
      </c>
      <c r="M481" s="69" t="n">
        <v>1.33</v>
      </c>
      <c r="N481" s="70">
        <f>K481*L481*M481</f>
        <v/>
      </c>
      <c r="O481" s="37">
        <f>IFERROR(INDEX(Исходные!$B$19:$B$31,MATCH(H481,Исходные!$A$19:$A$31,0)),0)</f>
        <v/>
      </c>
      <c r="P481" s="76">
        <f>N481*O481</f>
        <v/>
      </c>
      <c r="Q481" s="21" t="inlineStr">
        <is>
          <t>сечение 2-2; АС-42 ведомость деталей поз.14 L=1330</t>
        </is>
      </c>
      <c r="R481" s="77" t="inlineStr">
        <is>
          <t>по проекту</t>
        </is>
      </c>
      <c r="S481" s="21" t="inlineStr"/>
      <c r="T481" s="21" t="inlineStr">
        <is>
          <t>Колонны, диафрагмы</t>
        </is>
      </c>
      <c r="U481" s="49" t="n">
        <v>0</v>
      </c>
      <c r="V481" s="72" t="inlineStr">
        <is>
          <t>Дм-4</t>
        </is>
      </c>
      <c r="W481" s="49" t="n">
        <v>2</v>
      </c>
    </row>
    <row r="482">
      <c r="A482" s="72" t="n">
        <v>468</v>
      </c>
      <c r="B482" s="21" t="inlineStr">
        <is>
          <t>2 этаж (отм. +3.950…+7.550)</t>
        </is>
      </c>
      <c r="C482" s="21" t="inlineStr">
        <is>
          <t>Диафрагмы</t>
        </is>
      </c>
      <c r="D482" s="21" t="inlineStr">
        <is>
          <t>Г/3</t>
        </is>
      </c>
      <c r="E482" s="21" t="inlineStr">
        <is>
          <t>Дм-4</t>
        </is>
      </c>
      <c r="F482" s="72" t="inlineStr">
        <is>
          <t>15</t>
        </is>
      </c>
      <c r="G482" s="21" t="inlineStr">
        <is>
          <t>Хомут торцевого элемента Ø8: 1 шт/ряд × 16</t>
        </is>
      </c>
      <c r="H482" s="51" t="n">
        <v>8</v>
      </c>
      <c r="I482" s="72" t="inlineStr">
        <is>
          <t>А240</t>
        </is>
      </c>
      <c r="J482" s="72" t="inlineStr">
        <is>
          <t>200</t>
        </is>
      </c>
      <c r="K482" s="75" t="n">
        <v>1</v>
      </c>
      <c r="L482" s="51" t="n">
        <v>16</v>
      </c>
      <c r="M482" s="69" t="n">
        <v>1.76</v>
      </c>
      <c r="N482" s="70">
        <f>K482*L482*M482</f>
        <v/>
      </c>
      <c r="O482" s="37">
        <f>IFERROR(INDEX(Исходные!$B$19:$B$31,MATCH(H482,Исходные!$A$19:$A$31,0)),0)</f>
        <v/>
      </c>
      <c r="P482" s="76">
        <f>N482*O482</f>
        <v/>
      </c>
      <c r="Q482" s="21" t="inlineStr">
        <is>
          <t>сечение 2-2 «15 хом.Ø8 ш.200»; АС-42 ведомость деталей поз.15 L=1760</t>
        </is>
      </c>
      <c r="R482" s="77" t="inlineStr">
        <is>
          <t>по проекту</t>
        </is>
      </c>
      <c r="S482" s="21" t="inlineStr"/>
      <c r="T482" s="21" t="inlineStr">
        <is>
          <t>Колонны, диафрагмы</t>
        </is>
      </c>
      <c r="U482" s="49" t="n">
        <v>0</v>
      </c>
      <c r="V482" s="72" t="inlineStr">
        <is>
          <t>Дм-4</t>
        </is>
      </c>
      <c r="W482" s="49" t="n">
        <v>2</v>
      </c>
    </row>
    <row r="483">
      <c r="A483" s="72" t="n">
        <v>469</v>
      </c>
      <c r="B483" s="21" t="inlineStr">
        <is>
          <t>2 этаж (отм. +3.950…+7.550)</t>
        </is>
      </c>
      <c r="C483" s="21" t="inlineStr">
        <is>
          <t>Диафрагмы</t>
        </is>
      </c>
      <c r="D483" s="21" t="inlineStr">
        <is>
          <t>Г/3</t>
        </is>
      </c>
      <c r="E483" s="21" t="inlineStr">
        <is>
          <t>Дм-4</t>
        </is>
      </c>
      <c r="F483" s="72" t="inlineStr">
        <is>
          <t>10</t>
        </is>
      </c>
      <c r="G483" s="21" t="inlineStr">
        <is>
          <t>Хомут колонны наружный (100×12 у опор, 200 в середине) — 28 шт</t>
        </is>
      </c>
      <c r="H483" s="51" t="n">
        <v>8</v>
      </c>
      <c r="I483" s="72" t="inlineStr">
        <is>
          <t>А240</t>
        </is>
      </c>
      <c r="J483" s="72" t="inlineStr">
        <is>
          <t>200</t>
        </is>
      </c>
      <c r="K483" s="75" t="n">
        <v>1</v>
      </c>
      <c r="L483" s="51" t="n">
        <v>28</v>
      </c>
      <c r="M483" s="69" t="n">
        <v>2.44</v>
      </c>
      <c r="N483" s="70">
        <f>K483*L483*M483</f>
        <v/>
      </c>
      <c r="O483" s="37">
        <f>IFERROR(INDEX(Исходные!$B$19:$B$31,MATCH(H483,Исходные!$A$19:$A$31,0)),0)</f>
        <v/>
      </c>
      <c r="P483" s="76">
        <f>N483*O483</f>
        <v/>
      </c>
      <c r="Q483" s="21" t="inlineStr">
        <is>
          <t>АС-32 (2÷4 этаж: 50+100×12+200×n+100×12+50+600); АС-42 ведомость деталей поз.10 L=2440</t>
        </is>
      </c>
      <c r="R483" s="77" t="inlineStr">
        <is>
          <t>по проекту</t>
        </is>
      </c>
      <c r="S483" s="21" t="inlineStr"/>
      <c r="T483" s="21" t="inlineStr">
        <is>
          <t>Колонны, диафрагмы</t>
        </is>
      </c>
      <c r="U483" s="49" t="n">
        <v>0</v>
      </c>
      <c r="V483" s="72" t="inlineStr">
        <is>
          <t>Дм-4</t>
        </is>
      </c>
      <c r="W483" s="49" t="n">
        <v>2</v>
      </c>
    </row>
    <row r="484">
      <c r="A484" s="72" t="n">
        <v>470</v>
      </c>
      <c r="B484" s="21" t="inlineStr">
        <is>
          <t>2 этаж (отм. +3.950…+7.550)</t>
        </is>
      </c>
      <c r="C484" s="21" t="inlineStr">
        <is>
          <t>Диафрагмы</t>
        </is>
      </c>
      <c r="D484" s="21" t="inlineStr">
        <is>
          <t>Г/3</t>
        </is>
      </c>
      <c r="E484" s="21" t="inlineStr">
        <is>
          <t>Дм-4</t>
        </is>
      </c>
      <c r="F484" s="72" t="inlineStr">
        <is>
          <t>11</t>
        </is>
      </c>
      <c r="G484" s="21" t="inlineStr">
        <is>
          <t>Хомут колонны внутренний: 2 шт/ряд × 16</t>
        </is>
      </c>
      <c r="H484" s="51" t="n">
        <v>8</v>
      </c>
      <c r="I484" s="72" t="inlineStr">
        <is>
          <t>А240</t>
        </is>
      </c>
      <c r="J484" s="72" t="inlineStr">
        <is>
          <t>200</t>
        </is>
      </c>
      <c r="K484" s="75" t="n">
        <v>1</v>
      </c>
      <c r="L484" s="51" t="n">
        <v>32</v>
      </c>
      <c r="M484" s="69" t="n">
        <v>1.96</v>
      </c>
      <c r="N484" s="70">
        <f>K484*L484*M484</f>
        <v/>
      </c>
      <c r="O484" s="37">
        <f>IFERROR(INDEX(Исходные!$B$19:$B$31,MATCH(H484,Исходные!$A$19:$A$31,0)),0)</f>
        <v/>
      </c>
      <c r="P484" s="76">
        <f>N484*O484</f>
        <v/>
      </c>
      <c r="Q484" s="21" t="inlineStr">
        <is>
          <t>сечение 2-2 «ш.200»; АС-42 ведомость деталей поз.11 L=1960</t>
        </is>
      </c>
      <c r="R484" s="77" t="inlineStr">
        <is>
          <t>по проекту</t>
        </is>
      </c>
      <c r="S484" s="21" t="inlineStr"/>
      <c r="T484" s="21" t="inlineStr">
        <is>
          <t>Колонны, диафрагмы</t>
        </is>
      </c>
      <c r="U484" s="49" t="n">
        <v>0</v>
      </c>
      <c r="V484" s="72" t="inlineStr">
        <is>
          <t>Дм-4</t>
        </is>
      </c>
      <c r="W484" s="49" t="n">
        <v>2</v>
      </c>
    </row>
    <row r="485">
      <c r="A485" s="72" t="n">
        <v>471</v>
      </c>
      <c r="B485" s="21" t="inlineStr">
        <is>
          <t>2 этаж (отм. +3.950…+7.550)</t>
        </is>
      </c>
      <c r="C485" s="21" t="inlineStr">
        <is>
          <t>Диафрагмы</t>
        </is>
      </c>
      <c r="D485" s="21" t="inlineStr">
        <is>
          <t>Г/3</t>
        </is>
      </c>
      <c r="E485" s="21" t="inlineStr">
        <is>
          <t>Дм-4</t>
        </is>
      </c>
      <c r="F485" s="72" t="inlineStr">
        <is>
          <t>13</t>
        </is>
      </c>
      <c r="G485" s="21" t="inlineStr">
        <is>
          <t>Шпилька ш.400 в шахм. порядке: 3 мест × 8 рядов</t>
        </is>
      </c>
      <c r="H485" s="51" t="n">
        <v>8</v>
      </c>
      <c r="I485" s="72" t="inlineStr">
        <is>
          <t>А240</t>
        </is>
      </c>
      <c r="J485" s="72" t="inlineStr">
        <is>
          <t>200</t>
        </is>
      </c>
      <c r="K485" s="75" t="n">
        <v>1</v>
      </c>
      <c r="L485" s="51" t="n">
        <v>24</v>
      </c>
      <c r="M485" s="69" t="n">
        <v>0.53</v>
      </c>
      <c r="N485" s="70">
        <f>K485*L485*M485</f>
        <v/>
      </c>
      <c r="O485" s="37">
        <f>IFERROR(INDEX(Исходные!$B$19:$B$31,MATCH(H485,Исходные!$A$19:$A$31,0)),0)</f>
        <v/>
      </c>
      <c r="P485" s="76">
        <f>N485*O485</f>
        <v/>
      </c>
      <c r="Q485" s="21" t="inlineStr">
        <is>
          <t>сечение 2-2, прим.6; АС-42 ведомость деталей поз.13 L=530</t>
        </is>
      </c>
      <c r="R485" s="77" t="inlineStr">
        <is>
          <t>по проекту</t>
        </is>
      </c>
      <c r="S485" s="21" t="inlineStr"/>
      <c r="T485" s="21" t="inlineStr">
        <is>
          <t>Колонны, диафрагмы</t>
        </is>
      </c>
      <c r="U485" s="49" t="n">
        <v>0</v>
      </c>
      <c r="V485" s="72" t="inlineStr">
        <is>
          <t>Дм-4</t>
        </is>
      </c>
      <c r="W485" s="49" t="n">
        <v>2</v>
      </c>
    </row>
    <row r="486">
      <c r="A486" s="72" t="n">
        <v>472</v>
      </c>
      <c r="B486" s="21" t="inlineStr">
        <is>
          <t>2 этаж (отм. +3.950…+7.550)</t>
        </is>
      </c>
      <c r="C486" s="21" t="inlineStr">
        <is>
          <t>Диафрагмы</t>
        </is>
      </c>
      <c r="D486" s="21" t="inlineStr">
        <is>
          <t>Г/4</t>
        </is>
      </c>
      <c r="E486" s="21" t="inlineStr">
        <is>
          <t>Дм-5</t>
        </is>
      </c>
      <c r="F486" s="72" t="inlineStr">
        <is>
          <t>2</t>
        </is>
      </c>
      <c r="G486" s="21" t="inlineStr">
        <is>
          <t>Вертикальные: колонна, угловые 4Ø28</t>
        </is>
      </c>
      <c r="H486" s="51" t="n">
        <v>28</v>
      </c>
      <c r="I486" s="72" t="inlineStr">
        <is>
          <t>А500С</t>
        </is>
      </c>
      <c r="J486" s="72" t="inlineStr">
        <is>
          <t>—</t>
        </is>
      </c>
      <c r="K486" s="75" t="n">
        <v>1</v>
      </c>
      <c r="L486" s="51" t="n">
        <v>4</v>
      </c>
      <c r="M486" s="69" t="n">
        <v>3.6</v>
      </c>
      <c r="N486" s="70">
        <f>K486*L486*M486</f>
        <v/>
      </c>
      <c r="O486" s="37">
        <f>IFERROR(INDEX(Исходные!$B$19:$B$31,MATCH(H486,Исходные!$A$19:$A$31,0)),0)</f>
        <v/>
      </c>
      <c r="P486" s="76">
        <f>N486*O486</f>
        <v/>
      </c>
      <c r="Q486" s="21" t="inlineStr">
        <is>
          <t>АС-42 сеч.2-2 «2 этаж»; прим.1,3</t>
        </is>
      </c>
      <c r="R486" s="77" t="inlineStr">
        <is>
          <t>по проекту</t>
        </is>
      </c>
      <c r="S486" s="21" t="inlineStr">
        <is>
          <t>стык ванной сваркой (Ø≥20), длина = высота этажа 3,6 м. поз.2</t>
        </is>
      </c>
      <c r="T486" s="21" t="inlineStr">
        <is>
          <t>Колонны, диафрагмы</t>
        </is>
      </c>
      <c r="U486" s="49" t="n">
        <v>0</v>
      </c>
      <c r="V486" s="72" t="inlineStr">
        <is>
          <t>Дм-5</t>
        </is>
      </c>
      <c r="W486" s="49" t="n">
        <v>2</v>
      </c>
    </row>
    <row r="487">
      <c r="A487" s="72" t="n">
        <v>473</v>
      </c>
      <c r="B487" s="21" t="inlineStr">
        <is>
          <t>2 этаж (отм. +3.950…+7.550)</t>
        </is>
      </c>
      <c r="C487" s="21" t="inlineStr">
        <is>
          <t>Диафрагмы</t>
        </is>
      </c>
      <c r="D487" s="21" t="inlineStr">
        <is>
          <t>Г/4</t>
        </is>
      </c>
      <c r="E487" s="21" t="inlineStr">
        <is>
          <t>Дм-5</t>
        </is>
      </c>
      <c r="F487" s="72" t="inlineStr">
        <is>
          <t>5</t>
        </is>
      </c>
      <c r="G487" s="21" t="inlineStr">
        <is>
          <t>Вертикальные: колонна 8Ø20 («2Ø20» ×2 + симметр.)</t>
        </is>
      </c>
      <c r="H487" s="51" t="n">
        <v>20</v>
      </c>
      <c r="I487" s="72" t="inlineStr">
        <is>
          <t>А500С</t>
        </is>
      </c>
      <c r="J487" s="72" t="inlineStr">
        <is>
          <t>—</t>
        </is>
      </c>
      <c r="K487" s="75" t="n">
        <v>1</v>
      </c>
      <c r="L487" s="51" t="n">
        <v>8</v>
      </c>
      <c r="M487" s="69" t="n">
        <v>3.6</v>
      </c>
      <c r="N487" s="70">
        <f>K487*L487*M487</f>
        <v/>
      </c>
      <c r="O487" s="37">
        <f>IFERROR(INDEX(Исходные!$B$19:$B$31,MATCH(H487,Исходные!$A$19:$A$31,0)),0)</f>
        <v/>
      </c>
      <c r="P487" s="76">
        <f>N487*O487</f>
        <v/>
      </c>
      <c r="Q487" s="21" t="inlineStr">
        <is>
          <t>АС-42 сеч.2-2 «2 этаж»; прим.1,3</t>
        </is>
      </c>
      <c r="R487" s="77" t="inlineStr">
        <is>
          <t>по проекту</t>
        </is>
      </c>
      <c r="S487" s="21" t="inlineStr">
        <is>
          <t>стык ванной сваркой (Ø≥20), длина = высота этажа 3,6 м. поз.5</t>
        </is>
      </c>
      <c r="T487" s="21" t="inlineStr">
        <is>
          <t>Колонны, диафрагмы</t>
        </is>
      </c>
      <c r="U487" s="49" t="n">
        <v>0</v>
      </c>
      <c r="V487" s="72" t="inlineStr">
        <is>
          <t>Дм-5</t>
        </is>
      </c>
      <c r="W487" s="49" t="n">
        <v>2</v>
      </c>
    </row>
    <row r="488">
      <c r="A488" s="72" t="n">
        <v>474</v>
      </c>
      <c r="B488" s="21" t="inlineStr">
        <is>
          <t>2 этаж (отм. +3.950…+7.550)</t>
        </is>
      </c>
      <c r="C488" s="21" t="inlineStr">
        <is>
          <t>Диафрагмы</t>
        </is>
      </c>
      <c r="D488" s="21" t="inlineStr">
        <is>
          <t>Г/4</t>
        </is>
      </c>
      <c r="E488" s="21" t="inlineStr">
        <is>
          <t>Дм-5</t>
        </is>
      </c>
      <c r="F488" s="72" t="inlineStr">
        <is>
          <t>3</t>
        </is>
      </c>
      <c r="G488" s="21" t="inlineStr">
        <is>
          <t>Вертикальные: полка, торцевой эл-т («3Ø25» + 3 симметр.)</t>
        </is>
      </c>
      <c r="H488" s="51" t="n">
        <v>25</v>
      </c>
      <c r="I488" s="72" t="inlineStr">
        <is>
          <t>А500С</t>
        </is>
      </c>
      <c r="J488" s="72" t="inlineStr">
        <is>
          <t>—</t>
        </is>
      </c>
      <c r="K488" s="75" t="n">
        <v>1</v>
      </c>
      <c r="L488" s="51" t="n">
        <v>6</v>
      </c>
      <c r="M488" s="69" t="n">
        <v>3.6</v>
      </c>
      <c r="N488" s="70">
        <f>K488*L488*M488</f>
        <v/>
      </c>
      <c r="O488" s="37">
        <f>IFERROR(INDEX(Исходные!$B$19:$B$31,MATCH(H488,Исходные!$A$19:$A$31,0)),0)</f>
        <v/>
      </c>
      <c r="P488" s="76">
        <f>N488*O488</f>
        <v/>
      </c>
      <c r="Q488" s="21" t="inlineStr">
        <is>
          <t>АС-42 сеч.2-2 «2 этаж»; прим.1,3</t>
        </is>
      </c>
      <c r="R488" s="77" t="inlineStr">
        <is>
          <t>по проекту</t>
        </is>
      </c>
      <c r="S488" s="21" t="inlineStr">
        <is>
          <t>стык ванной сваркой (Ø≥20), длина = высота этажа 3,6 м. «3 3Ø25»</t>
        </is>
      </c>
      <c r="T488" s="21" t="inlineStr">
        <is>
          <t>Колонны, диафрагмы</t>
        </is>
      </c>
      <c r="U488" s="49" t="n">
        <v>0</v>
      </c>
      <c r="V488" s="72" t="inlineStr">
        <is>
          <t>Дм-5</t>
        </is>
      </c>
      <c r="W488" s="49" t="n">
        <v>2</v>
      </c>
    </row>
    <row r="489">
      <c r="A489" s="72" t="n">
        <v>475</v>
      </c>
      <c r="B489" s="21" t="inlineStr">
        <is>
          <t>2 этаж (отм. +3.950…+7.550)</t>
        </is>
      </c>
      <c r="C489" s="21" t="inlineStr">
        <is>
          <t>Диафрагмы</t>
        </is>
      </c>
      <c r="D489" s="21" t="inlineStr">
        <is>
          <t>Г/4</t>
        </is>
      </c>
      <c r="E489" s="21" t="inlineStr">
        <is>
          <t>Дм-5</t>
        </is>
      </c>
      <c r="F489" s="72" t="inlineStr">
        <is>
          <t>7</t>
        </is>
      </c>
      <c r="G489" s="21" t="inlineStr">
        <is>
          <t>Вертикальные: полка, стенка («2Ø16» + 2 симметр.)</t>
        </is>
      </c>
      <c r="H489" s="51" t="n">
        <v>16</v>
      </c>
      <c r="I489" s="72" t="inlineStr">
        <is>
          <t>А500С</t>
        </is>
      </c>
      <c r="J489" s="72" t="inlineStr">
        <is>
          <t>—</t>
        </is>
      </c>
      <c r="K489" s="75" t="n">
        <v>1</v>
      </c>
      <c r="L489" s="51" t="n">
        <v>4</v>
      </c>
      <c r="M489" s="69" t="n">
        <v>3.728</v>
      </c>
      <c r="N489" s="70">
        <f>K489*L489*M489</f>
        <v/>
      </c>
      <c r="O489" s="37">
        <f>IFERROR(INDEX(Исходные!$B$19:$B$31,MATCH(H489,Исходные!$A$19:$A$31,0)),0)</f>
        <v/>
      </c>
      <c r="P489" s="76">
        <f>N489*O489</f>
        <v/>
      </c>
      <c r="Q489" s="21" t="inlineStr">
        <is>
          <t>АС-42 сеч.2-2 «2 этаж»; прим.1,3</t>
        </is>
      </c>
      <c r="R489" s="77" t="inlineStr">
        <is>
          <t>по проекту</t>
        </is>
      </c>
      <c r="S489" s="21" t="inlineStr">
        <is>
          <t>нахлёст 8d со сваркой (Ø≤18), учтён в длине. «7 2Ø16»</t>
        </is>
      </c>
      <c r="T489" s="21" t="inlineStr">
        <is>
          <t>Колонны, диафрагмы</t>
        </is>
      </c>
      <c r="U489" s="49" t="n">
        <v>0</v>
      </c>
      <c r="V489" s="72" t="inlineStr">
        <is>
          <t>Дм-5</t>
        </is>
      </c>
      <c r="W489" s="49" t="n">
        <v>2</v>
      </c>
    </row>
    <row r="490">
      <c r="A490" s="72" t="n">
        <v>476</v>
      </c>
      <c r="B490" s="21" t="inlineStr">
        <is>
          <t>2 этаж (отм. +3.950…+7.550)</t>
        </is>
      </c>
      <c r="C490" s="21" t="inlineStr">
        <is>
          <t>Диафрагмы</t>
        </is>
      </c>
      <c r="D490" s="21" t="inlineStr">
        <is>
          <t>Г/4</t>
        </is>
      </c>
      <c r="E490" s="21" t="inlineStr">
        <is>
          <t>Дм-5</t>
        </is>
      </c>
      <c r="F490" s="72" t="inlineStr">
        <is>
          <t>6</t>
        </is>
      </c>
      <c r="G490" s="21" t="inlineStr">
        <is>
          <t>Вертикальные: ребро, стенка («3Ø18» + 3 симметр.)</t>
        </is>
      </c>
      <c r="H490" s="51" t="n">
        <v>18</v>
      </c>
      <c r="I490" s="72" t="inlineStr">
        <is>
          <t>А500С</t>
        </is>
      </c>
      <c r="J490" s="72" t="inlineStr">
        <is>
          <t>—</t>
        </is>
      </c>
      <c r="K490" s="75" t="n">
        <v>1</v>
      </c>
      <c r="L490" s="51" t="n">
        <v>6</v>
      </c>
      <c r="M490" s="69" t="n">
        <v>3.744</v>
      </c>
      <c r="N490" s="70">
        <f>K490*L490*M490</f>
        <v/>
      </c>
      <c r="O490" s="37">
        <f>IFERROR(INDEX(Исходные!$B$19:$B$31,MATCH(H490,Исходные!$A$19:$A$31,0)),0)</f>
        <v/>
      </c>
      <c r="P490" s="76">
        <f>N490*O490</f>
        <v/>
      </c>
      <c r="Q490" s="21" t="inlineStr">
        <is>
          <t>АС-42 сеч.2-2 «2 этаж»; прим.1,3</t>
        </is>
      </c>
      <c r="R490" s="77" t="inlineStr">
        <is>
          <t>по проекту</t>
        </is>
      </c>
      <c r="S490" s="21" t="inlineStr">
        <is>
          <t>нахлёст 8d со сваркой (Ø≤18), учтён в длине. «6 3Ø18»</t>
        </is>
      </c>
      <c r="T490" s="21" t="inlineStr">
        <is>
          <t>Колонны, диафрагмы</t>
        </is>
      </c>
      <c r="U490" s="49" t="n">
        <v>0</v>
      </c>
      <c r="V490" s="72" t="inlineStr">
        <is>
          <t>Дм-5</t>
        </is>
      </c>
      <c r="W490" s="49" t="n">
        <v>2</v>
      </c>
    </row>
    <row r="491">
      <c r="A491" s="72" t="n">
        <v>477</v>
      </c>
      <c r="B491" s="21" t="inlineStr">
        <is>
          <t>2 этаж (отм. +3.950…+7.550)</t>
        </is>
      </c>
      <c r="C491" s="21" t="inlineStr">
        <is>
          <t>Диафрагмы</t>
        </is>
      </c>
      <c r="D491" s="21" t="inlineStr">
        <is>
          <t>Г/4</t>
        </is>
      </c>
      <c r="E491" s="21" t="inlineStr">
        <is>
          <t>Дм-5</t>
        </is>
      </c>
      <c r="F491" s="72" t="inlineStr">
        <is>
          <t>4</t>
        </is>
      </c>
      <c r="G491" s="21" t="inlineStr">
        <is>
          <t>Вертикальные: ребро, торцевой эл-т («3Ø22» + 3 симметр.)</t>
        </is>
      </c>
      <c r="H491" s="51" t="n">
        <v>22</v>
      </c>
      <c r="I491" s="72" t="inlineStr">
        <is>
          <t>А500С</t>
        </is>
      </c>
      <c r="J491" s="72" t="inlineStr">
        <is>
          <t>—</t>
        </is>
      </c>
      <c r="K491" s="75" t="n">
        <v>1</v>
      </c>
      <c r="L491" s="51" t="n">
        <v>6</v>
      </c>
      <c r="M491" s="69" t="n">
        <v>3.6</v>
      </c>
      <c r="N491" s="70">
        <f>K491*L491*M491</f>
        <v/>
      </c>
      <c r="O491" s="37">
        <f>IFERROR(INDEX(Исходные!$B$19:$B$31,MATCH(H491,Исходные!$A$19:$A$31,0)),0)</f>
        <v/>
      </c>
      <c r="P491" s="76">
        <f>N491*O491</f>
        <v/>
      </c>
      <c r="Q491" s="21" t="inlineStr">
        <is>
          <t>АС-42 сеч.2-2 «2 этаж»; прим.1,3</t>
        </is>
      </c>
      <c r="R491" s="77" t="inlineStr">
        <is>
          <t>по проекту</t>
        </is>
      </c>
      <c r="S491" s="21" t="inlineStr">
        <is>
          <t>стык ванной сваркой (Ø≥20), длина = высота этажа 3,6 м. «4 3Ø22»</t>
        </is>
      </c>
      <c r="T491" s="21" t="inlineStr">
        <is>
          <t>Колонны, диафрагмы</t>
        </is>
      </c>
      <c r="U491" s="49" t="n">
        <v>0</v>
      </c>
      <c r="V491" s="72" t="inlineStr">
        <is>
          <t>Дм-5</t>
        </is>
      </c>
      <c r="W491" s="49" t="n">
        <v>2</v>
      </c>
    </row>
    <row r="492">
      <c r="A492" s="72" t="n">
        <v>478</v>
      </c>
      <c r="B492" s="21" t="inlineStr">
        <is>
          <t>2 этаж (отм. +3.950…+7.550)</t>
        </is>
      </c>
      <c r="C492" s="21" t="inlineStr">
        <is>
          <t>Диафрагмы</t>
        </is>
      </c>
      <c r="D492" s="21" t="inlineStr">
        <is>
          <t>Г/4</t>
        </is>
      </c>
      <c r="E492" s="21" t="inlineStr">
        <is>
          <t>Дм-5</t>
        </is>
      </c>
      <c r="F492" s="72" t="inlineStr">
        <is>
          <t>гор.</t>
        </is>
      </c>
      <c r="G492" s="21" t="inlineStr">
        <is>
          <t>Горизонтальные «Осн. стержни»: полка вдоль оси Г, L=1300-2×25</t>
        </is>
      </c>
      <c r="H492" s="51" t="n">
        <v>12</v>
      </c>
      <c r="I492" s="72" t="inlineStr">
        <is>
          <t>А500С</t>
        </is>
      </c>
      <c r="J492" s="72" t="n">
        <v>200</v>
      </c>
      <c r="K492" s="75" t="n">
        <v>1</v>
      </c>
      <c r="L492" s="51" t="n">
        <v>32</v>
      </c>
      <c r="M492" s="69" t="n">
        <v>1.25</v>
      </c>
      <c r="N492" s="70">
        <f>K492*L492*M492</f>
        <v/>
      </c>
      <c r="O492" s="37">
        <f>IFERROR(INDEX(Исходные!$B$19:$B$31,MATCH(H492,Исходные!$A$19:$A$31,0)),0)</f>
        <v/>
      </c>
      <c r="P492" s="76">
        <f>N492*O492</f>
        <v/>
      </c>
      <c r="Q492" s="21" t="inlineStr">
        <is>
          <t>АС-42 развертка 2 этажа, шаг 200x14+100 (16 рядов × 2 грани)</t>
        </is>
      </c>
      <c r="R492" s="78" t="inlineStr">
        <is>
          <t>по геометрии (уточнить)</t>
        </is>
      </c>
      <c r="S492" s="21" t="inlineStr">
        <is>
          <t>развертка «Осн. стержни Ø12» (2 этаж)</t>
        </is>
      </c>
      <c r="T492" s="21" t="inlineStr">
        <is>
          <t>Колонны, диафрагмы</t>
        </is>
      </c>
      <c r="U492" s="49" t="n">
        <v>1</v>
      </c>
      <c r="V492" s="72" t="inlineStr">
        <is>
          <t>Дм-5</t>
        </is>
      </c>
      <c r="W492" s="49" t="n">
        <v>2</v>
      </c>
    </row>
    <row r="493">
      <c r="A493" s="72" t="n">
        <v>479</v>
      </c>
      <c r="B493" s="21" t="inlineStr">
        <is>
          <t>2 этаж (отм. +3.950…+7.550)</t>
        </is>
      </c>
      <c r="C493" s="21" t="inlineStr">
        <is>
          <t>Диафрагмы</t>
        </is>
      </c>
      <c r="D493" s="21" t="inlineStr">
        <is>
          <t>Г/4</t>
        </is>
      </c>
      <c r="E493" s="21" t="inlineStr">
        <is>
          <t>Дм-5</t>
        </is>
      </c>
      <c r="F493" s="72" t="inlineStr">
        <is>
          <t>гор.</t>
        </is>
      </c>
      <c r="G493" s="21" t="inlineStr">
        <is>
          <t>Горизонтальные «Осн. стержни»: ребро вдоль оси 4, L=1500-2×25</t>
        </is>
      </c>
      <c r="H493" s="51" t="n">
        <v>14</v>
      </c>
      <c r="I493" s="72" t="inlineStr">
        <is>
          <t>А500С</t>
        </is>
      </c>
      <c r="J493" s="72" t="n">
        <v>200</v>
      </c>
      <c r="K493" s="75" t="n">
        <v>1</v>
      </c>
      <c r="L493" s="51" t="n">
        <v>32</v>
      </c>
      <c r="M493" s="69" t="n">
        <v>1.45</v>
      </c>
      <c r="N493" s="70">
        <f>K493*L493*M493</f>
        <v/>
      </c>
      <c r="O493" s="37">
        <f>IFERROR(INDEX(Исходные!$B$19:$B$31,MATCH(H493,Исходные!$A$19:$A$31,0)),0)</f>
        <v/>
      </c>
      <c r="P493" s="76">
        <f>N493*O493</f>
        <v/>
      </c>
      <c r="Q493" s="21" t="inlineStr">
        <is>
          <t>АС-42 развертка 2 этажа, шаг 200x14+100 (16 рядов × 2 грани)</t>
        </is>
      </c>
      <c r="R493" s="78" t="inlineStr">
        <is>
          <t>по геометрии (уточнить)</t>
        </is>
      </c>
      <c r="S493" s="21" t="inlineStr">
        <is>
          <t>развертка «Осн. стержни Ø14» (2 этаж)</t>
        </is>
      </c>
      <c r="T493" s="21" t="inlineStr">
        <is>
          <t>Колонны, диафрагмы</t>
        </is>
      </c>
      <c r="U493" s="49" t="n">
        <v>1</v>
      </c>
      <c r="V493" s="72" t="inlineStr">
        <is>
          <t>Дм-5</t>
        </is>
      </c>
      <c r="W493" s="49" t="n">
        <v>2</v>
      </c>
    </row>
    <row r="494">
      <c r="A494" s="72" t="n">
        <v>480</v>
      </c>
      <c r="B494" s="21" t="inlineStr">
        <is>
          <t>2 этаж (отм. +3.950…+7.550)</t>
        </is>
      </c>
      <c r="C494" s="21" t="inlineStr">
        <is>
          <t>Диафрагмы</t>
        </is>
      </c>
      <c r="D494" s="21" t="inlineStr">
        <is>
          <t>Г/4</t>
        </is>
      </c>
      <c r="E494" s="21" t="inlineStr">
        <is>
          <t>Дм-5</t>
        </is>
      </c>
      <c r="F494" s="72" t="inlineStr">
        <is>
          <t>доп.</t>
        </is>
      </c>
      <c r="G494" s="21" t="inlineStr">
        <is>
          <t>Доп. стержни: ось Г над +3.950, 10Ø12 L=1250</t>
        </is>
      </c>
      <c r="H494" s="51" t="n">
        <v>12</v>
      </c>
      <c r="I494" s="72" t="inlineStr">
        <is>
          <t>А500С</t>
        </is>
      </c>
      <c r="J494" s="72" t="n">
        <v>200</v>
      </c>
      <c r="K494" s="75" t="n">
        <v>1</v>
      </c>
      <c r="L494" s="51" t="n">
        <v>10</v>
      </c>
      <c r="M494" s="69" t="n">
        <v>1.25</v>
      </c>
      <c r="N494" s="70">
        <f>K494*L494*M494</f>
        <v/>
      </c>
      <c r="O494" s="37">
        <f>IFERROR(INDEX(Исходные!$B$19:$B$31,MATCH(H494,Исходные!$A$19:$A$31,0)),0)</f>
        <v/>
      </c>
      <c r="P494" s="76">
        <f>N494*O494</f>
        <v/>
      </c>
      <c r="Q494" s="21" t="inlineStr">
        <is>
          <t>АС-42 развертка, выноска «Доп. стержень»</t>
        </is>
      </c>
      <c r="R494" s="77" t="inlineStr">
        <is>
          <t>по проекту</t>
        </is>
      </c>
      <c r="S494" s="21" t="inlineStr"/>
      <c r="T494" s="21" t="inlineStr">
        <is>
          <t>Колонны, диафрагмы</t>
        </is>
      </c>
      <c r="U494" s="49" t="n">
        <v>0</v>
      </c>
      <c r="V494" s="72" t="inlineStr">
        <is>
          <t>Дм-5</t>
        </is>
      </c>
      <c r="W494" s="49" t="n">
        <v>2</v>
      </c>
    </row>
    <row r="495">
      <c r="A495" s="72" t="n">
        <v>481</v>
      </c>
      <c r="B495" s="21" t="inlineStr">
        <is>
          <t>2 этаж (отм. +3.950…+7.550)</t>
        </is>
      </c>
      <c r="C495" s="21" t="inlineStr">
        <is>
          <t>Диафрагмы</t>
        </is>
      </c>
      <c r="D495" s="21" t="inlineStr">
        <is>
          <t>Г/4</t>
        </is>
      </c>
      <c r="E495" s="21" t="inlineStr">
        <is>
          <t>Дм-5</t>
        </is>
      </c>
      <c r="F495" s="72" t="inlineStr">
        <is>
          <t>доп.</t>
        </is>
      </c>
      <c r="G495" s="21" t="inlineStr">
        <is>
          <t>Доп. стержни: ось Г под ригелем +7.550, 6Ø12 L=1250 (половина выноски «12Ø12» на два яруса)</t>
        </is>
      </c>
      <c r="H495" s="51" t="n">
        <v>12</v>
      </c>
      <c r="I495" s="72" t="inlineStr">
        <is>
          <t>А500С</t>
        </is>
      </c>
      <c r="J495" s="72" t="n">
        <v>200</v>
      </c>
      <c r="K495" s="75" t="n">
        <v>1</v>
      </c>
      <c r="L495" s="51" t="n">
        <v>6</v>
      </c>
      <c r="M495" s="69" t="n">
        <v>1.25</v>
      </c>
      <c r="N495" s="70">
        <f>K495*L495*M495</f>
        <v/>
      </c>
      <c r="O495" s="37">
        <f>IFERROR(INDEX(Исходные!$B$19:$B$31,MATCH(H495,Исходные!$A$19:$A$31,0)),0)</f>
        <v/>
      </c>
      <c r="P495" s="76">
        <f>N495*O495</f>
        <v/>
      </c>
      <c r="Q495" s="21" t="inlineStr">
        <is>
          <t>АС-42 развертка, выноска «Доп. стержень»</t>
        </is>
      </c>
      <c r="R495" s="77" t="inlineStr">
        <is>
          <t>по проекту</t>
        </is>
      </c>
      <c r="S495" s="21" t="inlineStr"/>
      <c r="T495" s="21" t="inlineStr">
        <is>
          <t>Колонны, диафрагмы</t>
        </is>
      </c>
      <c r="U495" s="49" t="n">
        <v>0</v>
      </c>
      <c r="V495" s="72" t="inlineStr">
        <is>
          <t>Дм-5</t>
        </is>
      </c>
      <c r="W495" s="49" t="n">
        <v>2</v>
      </c>
    </row>
    <row r="496">
      <c r="A496" s="72" t="n">
        <v>482</v>
      </c>
      <c r="B496" s="21" t="inlineStr">
        <is>
          <t>2 этаж (отм. +3.950…+7.550)</t>
        </is>
      </c>
      <c r="C496" s="21" t="inlineStr">
        <is>
          <t>Диафрагмы</t>
        </is>
      </c>
      <c r="D496" s="21" t="inlineStr">
        <is>
          <t>Г/4</t>
        </is>
      </c>
      <c r="E496" s="21" t="inlineStr">
        <is>
          <t>Дм-5</t>
        </is>
      </c>
      <c r="F496" s="72" t="inlineStr">
        <is>
          <t>доп.</t>
        </is>
      </c>
      <c r="G496" s="21" t="inlineStr">
        <is>
          <t>Доп. стержни: ось 4 над +3.950, 6Ø14 L=1450</t>
        </is>
      </c>
      <c r="H496" s="51" t="n">
        <v>14</v>
      </c>
      <c r="I496" s="72" t="inlineStr">
        <is>
          <t>А500С</t>
        </is>
      </c>
      <c r="J496" s="72" t="n">
        <v>200</v>
      </c>
      <c r="K496" s="75" t="n">
        <v>1</v>
      </c>
      <c r="L496" s="51" t="n">
        <v>6</v>
      </c>
      <c r="M496" s="69" t="n">
        <v>1.45</v>
      </c>
      <c r="N496" s="70">
        <f>K496*L496*M496</f>
        <v/>
      </c>
      <c r="O496" s="37">
        <f>IFERROR(INDEX(Исходные!$B$19:$B$31,MATCH(H496,Исходные!$A$19:$A$31,0)),0)</f>
        <v/>
      </c>
      <c r="P496" s="76">
        <f>N496*O496</f>
        <v/>
      </c>
      <c r="Q496" s="21" t="inlineStr">
        <is>
          <t>АС-42 развертка, выноска «Доп. стержень»</t>
        </is>
      </c>
      <c r="R496" s="77" t="inlineStr">
        <is>
          <t>по проекту</t>
        </is>
      </c>
      <c r="S496" s="21" t="inlineStr"/>
      <c r="T496" s="21" t="inlineStr">
        <is>
          <t>Колонны, диафрагмы</t>
        </is>
      </c>
      <c r="U496" s="49" t="n">
        <v>0</v>
      </c>
      <c r="V496" s="72" t="inlineStr">
        <is>
          <t>Дм-5</t>
        </is>
      </c>
      <c r="W496" s="49" t="n">
        <v>2</v>
      </c>
    </row>
    <row r="497">
      <c r="A497" s="72" t="n">
        <v>483</v>
      </c>
      <c r="B497" s="21" t="inlineStr">
        <is>
          <t>2 этаж (отм. +3.950…+7.550)</t>
        </is>
      </c>
      <c r="C497" s="21" t="inlineStr">
        <is>
          <t>Диафрагмы</t>
        </is>
      </c>
      <c r="D497" s="21" t="inlineStr">
        <is>
          <t>Г/4</t>
        </is>
      </c>
      <c r="E497" s="21" t="inlineStr">
        <is>
          <t>Дм-5</t>
        </is>
      </c>
      <c r="F497" s="72" t="inlineStr">
        <is>
          <t>доп.</t>
        </is>
      </c>
      <c r="G497" s="21" t="inlineStr">
        <is>
          <t>Доп. стержни: ось 4 под ригелем +7.550, 6Ø14 L=1450</t>
        </is>
      </c>
      <c r="H497" s="51" t="n">
        <v>14</v>
      </c>
      <c r="I497" s="72" t="inlineStr">
        <is>
          <t>А500С</t>
        </is>
      </c>
      <c r="J497" s="72" t="n">
        <v>200</v>
      </c>
      <c r="K497" s="75" t="n">
        <v>1</v>
      </c>
      <c r="L497" s="51" t="n">
        <v>6</v>
      </c>
      <c r="M497" s="69" t="n">
        <v>1.45</v>
      </c>
      <c r="N497" s="70">
        <f>K497*L497*M497</f>
        <v/>
      </c>
      <c r="O497" s="37">
        <f>IFERROR(INDEX(Исходные!$B$19:$B$31,MATCH(H497,Исходные!$A$19:$A$31,0)),0)</f>
        <v/>
      </c>
      <c r="P497" s="76">
        <f>N497*O497</f>
        <v/>
      </c>
      <c r="Q497" s="21" t="inlineStr">
        <is>
          <t>АС-42 развертка, выноска «Доп. стержень»</t>
        </is>
      </c>
      <c r="R497" s="77" t="inlineStr">
        <is>
          <t>по проекту</t>
        </is>
      </c>
      <c r="S497" s="21" t="inlineStr"/>
      <c r="T497" s="21" t="inlineStr">
        <is>
          <t>Колонны, диафрагмы</t>
        </is>
      </c>
      <c r="U497" s="49" t="n">
        <v>0</v>
      </c>
      <c r="V497" s="72" t="inlineStr">
        <is>
          <t>Дм-5</t>
        </is>
      </c>
      <c r="W497" s="49" t="n">
        <v>2</v>
      </c>
    </row>
    <row r="498">
      <c r="A498" s="72" t="n">
        <v>484</v>
      </c>
      <c r="B498" s="21" t="inlineStr">
        <is>
          <t>2 этаж (отм. +3.950…+7.550)</t>
        </is>
      </c>
      <c r="C498" s="21" t="inlineStr">
        <is>
          <t>Диафрагмы</t>
        </is>
      </c>
      <c r="D498" s="21" t="inlineStr">
        <is>
          <t>Г/4</t>
        </is>
      </c>
      <c r="E498" s="21" t="inlineStr">
        <is>
          <t>Дм-5</t>
        </is>
      </c>
      <c r="F498" s="72" t="inlineStr">
        <is>
          <t>14</t>
        </is>
      </c>
      <c r="G498" s="21" t="inlineStr">
        <is>
          <t>П-образный стержень на торцах: 2 шт/ряд × 16 рядов</t>
        </is>
      </c>
      <c r="H498" s="51" t="n">
        <v>10</v>
      </c>
      <c r="I498" s="72" t="inlineStr">
        <is>
          <t>А240</t>
        </is>
      </c>
      <c r="J498" s="72" t="inlineStr">
        <is>
          <t>200</t>
        </is>
      </c>
      <c r="K498" s="75" t="n">
        <v>1</v>
      </c>
      <c r="L498" s="51" t="n">
        <v>32</v>
      </c>
      <c r="M498" s="69" t="n">
        <v>1.33</v>
      </c>
      <c r="N498" s="70">
        <f>K498*L498*M498</f>
        <v/>
      </c>
      <c r="O498" s="37">
        <f>IFERROR(INDEX(Исходные!$B$19:$B$31,MATCH(H498,Исходные!$A$19:$A$31,0)),0)</f>
        <v/>
      </c>
      <c r="P498" s="76">
        <f>N498*O498</f>
        <v/>
      </c>
      <c r="Q498" s="21" t="inlineStr">
        <is>
          <t>сечение 2-2; АС-42 ведомость деталей поз.14 L=1330</t>
        </is>
      </c>
      <c r="R498" s="77" t="inlineStr">
        <is>
          <t>по проекту</t>
        </is>
      </c>
      <c r="S498" s="21" t="inlineStr"/>
      <c r="T498" s="21" t="inlineStr">
        <is>
          <t>Колонны, диафрагмы</t>
        </is>
      </c>
      <c r="U498" s="49" t="n">
        <v>0</v>
      </c>
      <c r="V498" s="72" t="inlineStr">
        <is>
          <t>Дм-5</t>
        </is>
      </c>
      <c r="W498" s="49" t="n">
        <v>2</v>
      </c>
    </row>
    <row r="499">
      <c r="A499" s="72" t="n">
        <v>485</v>
      </c>
      <c r="B499" s="21" t="inlineStr">
        <is>
          <t>2 этаж (отм. +3.950…+7.550)</t>
        </is>
      </c>
      <c r="C499" s="21" t="inlineStr">
        <is>
          <t>Диафрагмы</t>
        </is>
      </c>
      <c r="D499" s="21" t="inlineStr">
        <is>
          <t>Г/4</t>
        </is>
      </c>
      <c r="E499" s="21" t="inlineStr">
        <is>
          <t>Дм-5</t>
        </is>
      </c>
      <c r="F499" s="72" t="inlineStr">
        <is>
          <t>12</t>
        </is>
      </c>
      <c r="G499" s="21" t="inlineStr">
        <is>
          <t>Хомут торцевого элемента полки Ø8: 1 шт/ряд × 16</t>
        </is>
      </c>
      <c r="H499" s="51" t="n">
        <v>8</v>
      </c>
      <c r="I499" s="72" t="inlineStr">
        <is>
          <t>А240</t>
        </is>
      </c>
      <c r="J499" s="72" t="inlineStr">
        <is>
          <t>200</t>
        </is>
      </c>
      <c r="K499" s="75" t="n">
        <v>1</v>
      </c>
      <c r="L499" s="51" t="n">
        <v>16</v>
      </c>
      <c r="M499" s="69" t="n">
        <v>1.56</v>
      </c>
      <c r="N499" s="70">
        <f>K499*L499*M499</f>
        <v/>
      </c>
      <c r="O499" s="37">
        <f>IFERROR(INDEX(Исходные!$B$19:$B$31,MATCH(H499,Исходные!$A$19:$A$31,0)),0)</f>
        <v/>
      </c>
      <c r="P499" s="76">
        <f>N499*O499</f>
        <v/>
      </c>
      <c r="Q499" s="21" t="inlineStr">
        <is>
          <t>сечение 2-2 «12 хом.Ø8 ш.200»; АС-42 ведомость деталей поз.12 L=1560</t>
        </is>
      </c>
      <c r="R499" s="77" t="inlineStr">
        <is>
          <t>по проекту</t>
        </is>
      </c>
      <c r="S499" s="21" t="inlineStr"/>
      <c r="T499" s="21" t="inlineStr">
        <is>
          <t>Колонны, диафрагмы</t>
        </is>
      </c>
      <c r="U499" s="49" t="n">
        <v>0</v>
      </c>
      <c r="V499" s="72" t="inlineStr">
        <is>
          <t>Дм-5</t>
        </is>
      </c>
      <c r="W499" s="49" t="n">
        <v>2</v>
      </c>
    </row>
    <row r="500">
      <c r="A500" s="72" t="n">
        <v>486</v>
      </c>
      <c r="B500" s="21" t="inlineStr">
        <is>
          <t>2 этаж (отм. +3.950…+7.550)</t>
        </is>
      </c>
      <c r="C500" s="21" t="inlineStr">
        <is>
          <t>Диафрагмы</t>
        </is>
      </c>
      <c r="D500" s="21" t="inlineStr">
        <is>
          <t>Г/4</t>
        </is>
      </c>
      <c r="E500" s="21" t="inlineStr">
        <is>
          <t>Дм-5</t>
        </is>
      </c>
      <c r="F500" s="72" t="inlineStr">
        <is>
          <t>15</t>
        </is>
      </c>
      <c r="G500" s="21" t="inlineStr">
        <is>
          <t>Хомут торцевого элемента Ø8: 1 шт/ряд × 16</t>
        </is>
      </c>
      <c r="H500" s="51" t="n">
        <v>8</v>
      </c>
      <c r="I500" s="72" t="inlineStr">
        <is>
          <t>А240</t>
        </is>
      </c>
      <c r="J500" s="72" t="inlineStr">
        <is>
          <t>200</t>
        </is>
      </c>
      <c r="K500" s="75" t="n">
        <v>1</v>
      </c>
      <c r="L500" s="51" t="n">
        <v>16</v>
      </c>
      <c r="M500" s="69" t="n">
        <v>1.76</v>
      </c>
      <c r="N500" s="70">
        <f>K500*L500*M500</f>
        <v/>
      </c>
      <c r="O500" s="37">
        <f>IFERROR(INDEX(Исходные!$B$19:$B$31,MATCH(H500,Исходные!$A$19:$A$31,0)),0)</f>
        <v/>
      </c>
      <c r="P500" s="76">
        <f>N500*O500</f>
        <v/>
      </c>
      <c r="Q500" s="21" t="inlineStr">
        <is>
          <t>сечение 2-2 «15 хом.Ø8 ш.200»; АС-42 ведомость деталей поз.15 L=1760</t>
        </is>
      </c>
      <c r="R500" s="77" t="inlineStr">
        <is>
          <t>по проекту</t>
        </is>
      </c>
      <c r="S500" s="21" t="inlineStr"/>
      <c r="T500" s="21" t="inlineStr">
        <is>
          <t>Колонны, диафрагмы</t>
        </is>
      </c>
      <c r="U500" s="49" t="n">
        <v>0</v>
      </c>
      <c r="V500" s="72" t="inlineStr">
        <is>
          <t>Дм-5</t>
        </is>
      </c>
      <c r="W500" s="49" t="n">
        <v>2</v>
      </c>
    </row>
    <row r="501">
      <c r="A501" s="72" t="n">
        <v>487</v>
      </c>
      <c r="B501" s="21" t="inlineStr">
        <is>
          <t>2 этаж (отм. +3.950…+7.550)</t>
        </is>
      </c>
      <c r="C501" s="21" t="inlineStr">
        <is>
          <t>Диафрагмы</t>
        </is>
      </c>
      <c r="D501" s="21" t="inlineStr">
        <is>
          <t>Г/4</t>
        </is>
      </c>
      <c r="E501" s="21" t="inlineStr">
        <is>
          <t>Дм-5</t>
        </is>
      </c>
      <c r="F501" s="72" t="inlineStr">
        <is>
          <t>10</t>
        </is>
      </c>
      <c r="G501" s="21" t="inlineStr">
        <is>
          <t>Хомут колонны наружный (100×12 у опор, 200 в середине) — 28 шт</t>
        </is>
      </c>
      <c r="H501" s="51" t="n">
        <v>8</v>
      </c>
      <c r="I501" s="72" t="inlineStr">
        <is>
          <t>А240</t>
        </is>
      </c>
      <c r="J501" s="72" t="inlineStr">
        <is>
          <t>200</t>
        </is>
      </c>
      <c r="K501" s="75" t="n">
        <v>1</v>
      </c>
      <c r="L501" s="51" t="n">
        <v>28</v>
      </c>
      <c r="M501" s="69" t="n">
        <v>2.44</v>
      </c>
      <c r="N501" s="70">
        <f>K501*L501*M501</f>
        <v/>
      </c>
      <c r="O501" s="37">
        <f>IFERROR(INDEX(Исходные!$B$19:$B$31,MATCH(H501,Исходные!$A$19:$A$31,0)),0)</f>
        <v/>
      </c>
      <c r="P501" s="76">
        <f>N501*O501</f>
        <v/>
      </c>
      <c r="Q501" s="21" t="inlineStr">
        <is>
          <t>АС-32 (2÷4 этаж: 50+100×12+200×n+100×12+50+600); АС-42 ведомость деталей поз.10 L=2440</t>
        </is>
      </c>
      <c r="R501" s="77" t="inlineStr">
        <is>
          <t>по проекту</t>
        </is>
      </c>
      <c r="S501" s="21" t="inlineStr"/>
      <c r="T501" s="21" t="inlineStr">
        <is>
          <t>Колонны, диафрагмы</t>
        </is>
      </c>
      <c r="U501" s="49" t="n">
        <v>0</v>
      </c>
      <c r="V501" s="72" t="inlineStr">
        <is>
          <t>Дм-5</t>
        </is>
      </c>
      <c r="W501" s="49" t="n">
        <v>2</v>
      </c>
    </row>
    <row r="502">
      <c r="A502" s="72" t="n">
        <v>488</v>
      </c>
      <c r="B502" s="21" t="inlineStr">
        <is>
          <t>2 этаж (отм. +3.950…+7.550)</t>
        </is>
      </c>
      <c r="C502" s="21" t="inlineStr">
        <is>
          <t>Диафрагмы</t>
        </is>
      </c>
      <c r="D502" s="21" t="inlineStr">
        <is>
          <t>Г/4</t>
        </is>
      </c>
      <c r="E502" s="21" t="inlineStr">
        <is>
          <t>Дм-5</t>
        </is>
      </c>
      <c r="F502" s="72" t="inlineStr">
        <is>
          <t>11</t>
        </is>
      </c>
      <c r="G502" s="21" t="inlineStr">
        <is>
          <t>Хомут колонны внутренний: 2 шт/ряд × 16</t>
        </is>
      </c>
      <c r="H502" s="51" t="n">
        <v>8</v>
      </c>
      <c r="I502" s="72" t="inlineStr">
        <is>
          <t>А240</t>
        </is>
      </c>
      <c r="J502" s="72" t="inlineStr">
        <is>
          <t>200</t>
        </is>
      </c>
      <c r="K502" s="75" t="n">
        <v>1</v>
      </c>
      <c r="L502" s="51" t="n">
        <v>32</v>
      </c>
      <c r="M502" s="69" t="n">
        <v>1.96</v>
      </c>
      <c r="N502" s="70">
        <f>K502*L502*M502</f>
        <v/>
      </c>
      <c r="O502" s="37">
        <f>IFERROR(INDEX(Исходные!$B$19:$B$31,MATCH(H502,Исходные!$A$19:$A$31,0)),0)</f>
        <v/>
      </c>
      <c r="P502" s="76">
        <f>N502*O502</f>
        <v/>
      </c>
      <c r="Q502" s="21" t="inlineStr">
        <is>
          <t>сечение 2-2 «ш.200»; АС-42 ведомость деталей поз.11 L=1960</t>
        </is>
      </c>
      <c r="R502" s="77" t="inlineStr">
        <is>
          <t>по проекту</t>
        </is>
      </c>
      <c r="S502" s="21" t="inlineStr"/>
      <c r="T502" s="21" t="inlineStr">
        <is>
          <t>Колонны, диафрагмы</t>
        </is>
      </c>
      <c r="U502" s="49" t="n">
        <v>0</v>
      </c>
      <c r="V502" s="72" t="inlineStr">
        <is>
          <t>Дм-5</t>
        </is>
      </c>
      <c r="W502" s="49" t="n">
        <v>2</v>
      </c>
    </row>
    <row r="503">
      <c r="A503" s="72" t="n">
        <v>489</v>
      </c>
      <c r="B503" s="21" t="inlineStr">
        <is>
          <t>2 этаж (отм. +3.950…+7.550)</t>
        </is>
      </c>
      <c r="C503" s="21" t="inlineStr">
        <is>
          <t>Диафрагмы</t>
        </is>
      </c>
      <c r="D503" s="21" t="inlineStr">
        <is>
          <t>Г/4</t>
        </is>
      </c>
      <c r="E503" s="21" t="inlineStr">
        <is>
          <t>Дм-5</t>
        </is>
      </c>
      <c r="F503" s="72" t="inlineStr">
        <is>
          <t>13</t>
        </is>
      </c>
      <c r="G503" s="21" t="inlineStr">
        <is>
          <t>Шпилька ш.400 в шахм. порядке: 5 мест × 8 рядов</t>
        </is>
      </c>
      <c r="H503" s="51" t="n">
        <v>8</v>
      </c>
      <c r="I503" s="72" t="inlineStr">
        <is>
          <t>А240</t>
        </is>
      </c>
      <c r="J503" s="72" t="inlineStr">
        <is>
          <t>200</t>
        </is>
      </c>
      <c r="K503" s="75" t="n">
        <v>1</v>
      </c>
      <c r="L503" s="51" t="n">
        <v>40</v>
      </c>
      <c r="M503" s="69" t="n">
        <v>0.53</v>
      </c>
      <c r="N503" s="70">
        <f>K503*L503*M503</f>
        <v/>
      </c>
      <c r="O503" s="37">
        <f>IFERROR(INDEX(Исходные!$B$19:$B$31,MATCH(H503,Исходные!$A$19:$A$31,0)),0)</f>
        <v/>
      </c>
      <c r="P503" s="76">
        <f>N503*O503</f>
        <v/>
      </c>
      <c r="Q503" s="21" t="inlineStr">
        <is>
          <t>сечение 2-2, прим.6; АС-42 ведомость деталей поз.13 L=530</t>
        </is>
      </c>
      <c r="R503" s="77" t="inlineStr">
        <is>
          <t>по проекту</t>
        </is>
      </c>
      <c r="S503" s="21" t="inlineStr"/>
      <c r="T503" s="21" t="inlineStr">
        <is>
          <t>Колонны, диафрагмы</t>
        </is>
      </c>
      <c r="U503" s="49" t="n">
        <v>0</v>
      </c>
      <c r="V503" s="72" t="inlineStr">
        <is>
          <t>Дм-5</t>
        </is>
      </c>
      <c r="W503" s="49" t="n">
        <v>2</v>
      </c>
    </row>
    <row r="504">
      <c r="A504" s="74" t="inlineStr">
        <is>
          <t>2.2. КОЛОННЫ 600×600 вне диафрагм (15 шт) — сеч.2-2 (4Ø28+8Ø20), H=3,6 м</t>
        </is>
      </c>
      <c r="B504" s="33" t="n"/>
      <c r="C504" s="33" t="n"/>
      <c r="D504" s="33" t="n"/>
      <c r="E504" s="33" t="n"/>
      <c r="F504" s="33" t="n"/>
      <c r="G504" s="33" t="n"/>
      <c r="H504" s="33" t="n"/>
      <c r="I504" s="33" t="n"/>
      <c r="J504" s="33" t="n"/>
      <c r="K504" s="33" t="n"/>
      <c r="L504" s="33" t="n"/>
      <c r="M504" s="33" t="n"/>
      <c r="N504" s="33" t="n"/>
      <c r="O504" s="33" t="n"/>
      <c r="P504" s="33" t="n"/>
      <c r="Q504" s="33" t="n"/>
      <c r="R504" s="33" t="n"/>
      <c r="S504" s="33" t="n"/>
      <c r="T504" s="33" t="n"/>
      <c r="U504" s="33" t="n"/>
      <c r="V504" s="33" t="n"/>
      <c r="W504" s="34" t="n"/>
    </row>
    <row r="505">
      <c r="A505" s="72" t="n">
        <v>490</v>
      </c>
      <c r="B505" s="21" t="inlineStr">
        <is>
          <t>2 этаж (отм. +3.950…+7.550)</t>
        </is>
      </c>
      <c r="C505" s="21" t="inlineStr">
        <is>
          <t>Колонны</t>
        </is>
      </c>
      <c r="D505" s="21" t="inlineStr">
        <is>
          <t>ось А: А/1, А/3, А/5</t>
        </is>
      </c>
      <c r="E505" s="21" t="inlineStr">
        <is>
          <t>К-А</t>
        </is>
      </c>
      <c r="F505" s="72" t="inlineStr">
        <is>
          <t>2</t>
        </is>
      </c>
      <c r="G505" s="21" t="inlineStr">
        <is>
          <t>Вертикальные: угловые 4Ø28 (сеч.2-2)</t>
        </is>
      </c>
      <c r="H505" s="51" t="n">
        <v>28</v>
      </c>
      <c r="I505" s="72" t="inlineStr">
        <is>
          <t>А500С</t>
        </is>
      </c>
      <c r="J505" s="72" t="inlineStr">
        <is>
          <t>—</t>
        </is>
      </c>
      <c r="K505" s="75" t="n">
        <v>3</v>
      </c>
      <c r="L505" s="51" t="n">
        <v>4</v>
      </c>
      <c r="M505" s="69" t="n">
        <v>3.6</v>
      </c>
      <c r="N505" s="70">
        <f>K505*L505*M505</f>
        <v/>
      </c>
      <c r="O505" s="37">
        <f>IFERROR(INDEX(Исходные!$B$19:$B$31,MATCH(H505,Исходные!$A$19:$A$31,0)),0)</f>
        <v/>
      </c>
      <c r="P505" s="76">
        <f>N505*O505</f>
        <v/>
      </c>
      <c r="Q505" s="21" t="inlineStr">
        <is>
          <t>АС-28 сеч.«1-1 (2-2)» поз.(2) 4Ø28; на рамах АС-20…23 выноска «2-2 4Ø28 / 8Ø20» во 2 этаже</t>
        </is>
      </c>
      <c r="R505" s="77" t="inlineStr">
        <is>
          <t>по проекту</t>
        </is>
      </c>
      <c r="S505" s="21" t="inlineStr">
        <is>
          <t>Длина = высота этажа 3,6 м (стык ванной сваркой, разбежка 800/500).</t>
        </is>
      </c>
      <c r="T505" s="21" t="inlineStr">
        <is>
          <t>Колонны, диафрагмы</t>
        </is>
      </c>
      <c r="U505" s="49" t="n">
        <v>0</v>
      </c>
      <c r="V505" s="72" t="inlineStr">
        <is>
          <t>К-А</t>
        </is>
      </c>
      <c r="W505" s="49" t="n">
        <v>2</v>
      </c>
    </row>
    <row r="506">
      <c r="A506" s="72" t="n">
        <v>491</v>
      </c>
      <c r="B506" s="21" t="inlineStr">
        <is>
          <t>2 этаж (отм. +3.950…+7.550)</t>
        </is>
      </c>
      <c r="C506" s="21" t="inlineStr">
        <is>
          <t>Колонны</t>
        </is>
      </c>
      <c r="D506" s="21" t="inlineStr">
        <is>
          <t>ось А: А/1, А/3, А/5</t>
        </is>
      </c>
      <c r="E506" s="21" t="inlineStr">
        <is>
          <t>К-А</t>
        </is>
      </c>
      <c r="F506" s="72" t="inlineStr">
        <is>
          <t>5</t>
        </is>
      </c>
      <c r="G506" s="21" t="inlineStr">
        <is>
          <t>Вертикальные: промежуточные 8Ø20 (сеч.2-2)</t>
        </is>
      </c>
      <c r="H506" s="51" t="n">
        <v>20</v>
      </c>
      <c r="I506" s="72" t="inlineStr">
        <is>
          <t>А500С</t>
        </is>
      </c>
      <c r="J506" s="72" t="inlineStr">
        <is>
          <t>—</t>
        </is>
      </c>
      <c r="K506" s="75" t="n">
        <v>3</v>
      </c>
      <c r="L506" s="51" t="n">
        <v>8</v>
      </c>
      <c r="M506" s="69" t="n">
        <v>3.6</v>
      </c>
      <c r="N506" s="70">
        <f>K506*L506*M506</f>
        <v/>
      </c>
      <c r="O506" s="37">
        <f>IFERROR(INDEX(Исходные!$B$19:$B$31,MATCH(H506,Исходные!$A$19:$A$31,0)),0)</f>
        <v/>
      </c>
      <c r="P506" s="76">
        <f>N506*O506</f>
        <v/>
      </c>
      <c r="Q506" s="21" t="inlineStr">
        <is>
          <t>АС-28 сеч.2-2 поз.5</t>
        </is>
      </c>
      <c r="R506" s="77" t="inlineStr">
        <is>
          <t>по проекту</t>
        </is>
      </c>
      <c r="S506" s="21" t="inlineStr">
        <is>
          <t>Длина = 3,6 м, стык ванной сваркой.</t>
        </is>
      </c>
      <c r="T506" s="21" t="inlineStr">
        <is>
          <t>Колонны, диафрагмы</t>
        </is>
      </c>
      <c r="U506" s="49" t="n">
        <v>0</v>
      </c>
      <c r="V506" s="72" t="inlineStr">
        <is>
          <t>К-А</t>
        </is>
      </c>
      <c r="W506" s="49" t="n">
        <v>2</v>
      </c>
    </row>
    <row r="507">
      <c r="A507" s="72" t="n">
        <v>492</v>
      </c>
      <c r="B507" s="21" t="inlineStr">
        <is>
          <t>2 этаж (отм. +3.950…+7.550)</t>
        </is>
      </c>
      <c r="C507" s="21" t="inlineStr">
        <is>
          <t>Колонны</t>
        </is>
      </c>
      <c r="D507" s="21" t="inlineStr">
        <is>
          <t>ось А: А/1, А/3, А/5</t>
        </is>
      </c>
      <c r="E507" s="21" t="inlineStr">
        <is>
          <t>К-А</t>
        </is>
      </c>
      <c r="F507" s="72" t="inlineStr">
        <is>
          <t>10</t>
        </is>
      </c>
      <c r="G507" s="21" t="inlineStr">
        <is>
          <t>Хомут наружный Ø8 L=2440: 13 + 2 + 13 = 28 шт</t>
        </is>
      </c>
      <c r="H507" s="51" t="n">
        <v>8</v>
      </c>
      <c r="I507" s="72" t="inlineStr">
        <is>
          <t>А240</t>
        </is>
      </c>
      <c r="J507" s="72" t="inlineStr">
        <is>
          <t>100/200</t>
        </is>
      </c>
      <c r="K507" s="75" t="n">
        <v>3</v>
      </c>
      <c r="L507" s="51" t="n">
        <v>28</v>
      </c>
      <c r="M507" s="69" t="n">
        <v>2.44</v>
      </c>
      <c r="N507" s="70">
        <f>K507*L507*M507</f>
        <v/>
      </c>
      <c r="O507" s="37">
        <f>IFERROR(INDEX(Исходные!$B$19:$B$31,MATCH(H507,Исходные!$A$19:$A$31,0)),0)</f>
        <v/>
      </c>
      <c r="P507" s="76">
        <f>N507*O507</f>
        <v/>
      </c>
      <c r="Q507" s="21" t="inlineStr">
        <is>
          <t>АС-32 схема хомутов колонн (2÷4 этаж 3600: 50+100×12+200×n+100×12+50+600); АС-28 поз.10 L=2440</t>
        </is>
      </c>
      <c r="R507" s="77" t="inlineStr">
        <is>
          <t>по проекту</t>
        </is>
      </c>
      <c r="S507" s="21" t="inlineStr"/>
      <c r="T507" s="21" t="inlineStr">
        <is>
          <t>Колонны, диафрагмы</t>
        </is>
      </c>
      <c r="U507" s="49" t="n">
        <v>0</v>
      </c>
      <c r="V507" s="72" t="inlineStr">
        <is>
          <t>К-А</t>
        </is>
      </c>
      <c r="W507" s="49" t="n">
        <v>2</v>
      </c>
    </row>
    <row r="508">
      <c r="A508" s="72" t="n">
        <v>493</v>
      </c>
      <c r="B508" s="21" t="inlineStr">
        <is>
          <t>2 этаж (отм. +3.950…+7.550)</t>
        </is>
      </c>
      <c r="C508" s="21" t="inlineStr">
        <is>
          <t>Колонны</t>
        </is>
      </c>
      <c r="D508" s="21" t="inlineStr">
        <is>
          <t>ось А: А/1, А/3, А/5</t>
        </is>
      </c>
      <c r="E508" s="21" t="inlineStr">
        <is>
          <t>К-А</t>
        </is>
      </c>
      <c r="F508" s="72" t="inlineStr">
        <is>
          <t>11</t>
        </is>
      </c>
      <c r="G508" s="21" t="inlineStr">
        <is>
          <t>Хомут внутренний Ø8 L=1960 ш.200: 2 шт × 16 рядов</t>
        </is>
      </c>
      <c r="H508" s="51" t="n">
        <v>8</v>
      </c>
      <c r="I508" s="72" t="inlineStr">
        <is>
          <t>А240</t>
        </is>
      </c>
      <c r="J508" s="72" t="n">
        <v>200</v>
      </c>
      <c r="K508" s="75" t="n">
        <v>3</v>
      </c>
      <c r="L508" s="51" t="n">
        <v>32</v>
      </c>
      <c r="M508" s="69" t="n">
        <v>1.96</v>
      </c>
      <c r="N508" s="70">
        <f>K508*L508*M508</f>
        <v/>
      </c>
      <c r="O508" s="37">
        <f>IFERROR(INDEX(Исходные!$B$19:$B$31,MATCH(H508,Исходные!$A$19:$A$31,0)),0)</f>
        <v/>
      </c>
      <c r="P508" s="76">
        <f>N508*O508</f>
        <v/>
      </c>
      <c r="Q508" s="21" t="inlineStr">
        <is>
          <t>АС-28 «11 хом.Ø8 ш.200», поз.11 L=1960</t>
        </is>
      </c>
      <c r="R508" s="77" t="inlineStr">
        <is>
          <t>по проекту</t>
        </is>
      </c>
      <c r="S508" s="21" t="inlineStr"/>
      <c r="T508" s="21" t="inlineStr">
        <is>
          <t>Колонны, диафрагмы</t>
        </is>
      </c>
      <c r="U508" s="49" t="n">
        <v>0</v>
      </c>
      <c r="V508" s="72" t="inlineStr">
        <is>
          <t>К-А</t>
        </is>
      </c>
      <c r="W508" s="49" t="n">
        <v>2</v>
      </c>
    </row>
    <row r="509">
      <c r="A509" s="72" t="n">
        <v>494</v>
      </c>
      <c r="B509" s="21" t="inlineStr">
        <is>
          <t>2 этаж (отм. +3.950…+7.550)</t>
        </is>
      </c>
      <c r="C509" s="21" t="inlineStr">
        <is>
          <t>Колонны</t>
        </is>
      </c>
      <c r="D509" s="21" t="inlineStr">
        <is>
          <t>ось Б: Б/1, Б/2, Б/3, Б/4, Б/5</t>
        </is>
      </c>
      <c r="E509" s="21" t="inlineStr">
        <is>
          <t>К-Б</t>
        </is>
      </c>
      <c r="F509" s="72" t="inlineStr">
        <is>
          <t>2</t>
        </is>
      </c>
      <c r="G509" s="21" t="inlineStr">
        <is>
          <t>Вертикальные: угловые 4Ø28 (сеч.2-2)</t>
        </is>
      </c>
      <c r="H509" s="51" t="n">
        <v>28</v>
      </c>
      <c r="I509" s="72" t="inlineStr">
        <is>
          <t>А500С</t>
        </is>
      </c>
      <c r="J509" s="72" t="inlineStr">
        <is>
          <t>—</t>
        </is>
      </c>
      <c r="K509" s="75" t="n">
        <v>5</v>
      </c>
      <c r="L509" s="51" t="n">
        <v>4</v>
      </c>
      <c r="M509" s="69" t="n">
        <v>3.6</v>
      </c>
      <c r="N509" s="70">
        <f>K509*L509*M509</f>
        <v/>
      </c>
      <c r="O509" s="37">
        <f>IFERROR(INDEX(Исходные!$B$19:$B$31,MATCH(H509,Исходные!$A$19:$A$31,0)),0)</f>
        <v/>
      </c>
      <c r="P509" s="76">
        <f>N509*O509</f>
        <v/>
      </c>
      <c r="Q509" s="21" t="inlineStr">
        <is>
          <t>АС-28 сеч.«1-1 (2-2)» поз.(2) 4Ø28; на рамах АС-20…23 выноска «2-2 4Ø28 / 8Ø20» во 2 этаже</t>
        </is>
      </c>
      <c r="R509" s="77" t="inlineStr">
        <is>
          <t>по проекту</t>
        </is>
      </c>
      <c r="S509" s="21" t="inlineStr">
        <is>
          <t>Длина = высота этажа 3,6 м (стык ванной сваркой, разбежка 800/500).</t>
        </is>
      </c>
      <c r="T509" s="21" t="inlineStr">
        <is>
          <t>Колонны, диафрагмы</t>
        </is>
      </c>
      <c r="U509" s="49" t="n">
        <v>0</v>
      </c>
      <c r="V509" s="72" t="inlineStr">
        <is>
          <t>К-Б</t>
        </is>
      </c>
      <c r="W509" s="49" t="n">
        <v>2</v>
      </c>
    </row>
    <row r="510">
      <c r="A510" s="72" t="n">
        <v>495</v>
      </c>
      <c r="B510" s="21" t="inlineStr">
        <is>
          <t>2 этаж (отм. +3.950…+7.550)</t>
        </is>
      </c>
      <c r="C510" s="21" t="inlineStr">
        <is>
          <t>Колонны</t>
        </is>
      </c>
      <c r="D510" s="21" t="inlineStr">
        <is>
          <t>ось Б: Б/1, Б/2, Б/3, Б/4, Б/5</t>
        </is>
      </c>
      <c r="E510" s="21" t="inlineStr">
        <is>
          <t>К-Б</t>
        </is>
      </c>
      <c r="F510" s="72" t="inlineStr">
        <is>
          <t>5</t>
        </is>
      </c>
      <c r="G510" s="21" t="inlineStr">
        <is>
          <t>Вертикальные: промежуточные 8Ø20 (сеч.2-2)</t>
        </is>
      </c>
      <c r="H510" s="51" t="n">
        <v>20</v>
      </c>
      <c r="I510" s="72" t="inlineStr">
        <is>
          <t>А500С</t>
        </is>
      </c>
      <c r="J510" s="72" t="inlineStr">
        <is>
          <t>—</t>
        </is>
      </c>
      <c r="K510" s="75" t="n">
        <v>5</v>
      </c>
      <c r="L510" s="51" t="n">
        <v>8</v>
      </c>
      <c r="M510" s="69" t="n">
        <v>3.6</v>
      </c>
      <c r="N510" s="70">
        <f>K510*L510*M510</f>
        <v/>
      </c>
      <c r="O510" s="37">
        <f>IFERROR(INDEX(Исходные!$B$19:$B$31,MATCH(H510,Исходные!$A$19:$A$31,0)),0)</f>
        <v/>
      </c>
      <c r="P510" s="76">
        <f>N510*O510</f>
        <v/>
      </c>
      <c r="Q510" s="21" t="inlineStr">
        <is>
          <t>АС-28 сеч.2-2 поз.5</t>
        </is>
      </c>
      <c r="R510" s="77" t="inlineStr">
        <is>
          <t>по проекту</t>
        </is>
      </c>
      <c r="S510" s="21" t="inlineStr">
        <is>
          <t>Длина = 3,6 м, стык ванной сваркой.</t>
        </is>
      </c>
      <c r="T510" s="21" t="inlineStr">
        <is>
          <t>Колонны, диафрагмы</t>
        </is>
      </c>
      <c r="U510" s="49" t="n">
        <v>0</v>
      </c>
      <c r="V510" s="72" t="inlineStr">
        <is>
          <t>К-Б</t>
        </is>
      </c>
      <c r="W510" s="49" t="n">
        <v>2</v>
      </c>
    </row>
    <row r="511">
      <c r="A511" s="72" t="n">
        <v>496</v>
      </c>
      <c r="B511" s="21" t="inlineStr">
        <is>
          <t>2 этаж (отм. +3.950…+7.550)</t>
        </is>
      </c>
      <c r="C511" s="21" t="inlineStr">
        <is>
          <t>Колонны</t>
        </is>
      </c>
      <c r="D511" s="21" t="inlineStr">
        <is>
          <t>ось Б: Б/1, Б/2, Б/3, Б/4, Б/5</t>
        </is>
      </c>
      <c r="E511" s="21" t="inlineStr">
        <is>
          <t>К-Б</t>
        </is>
      </c>
      <c r="F511" s="72" t="inlineStr">
        <is>
          <t>10</t>
        </is>
      </c>
      <c r="G511" s="21" t="inlineStr">
        <is>
          <t>Хомут наружный Ø8 L=2440: 13 + 2 + 13 = 28 шт</t>
        </is>
      </c>
      <c r="H511" s="51" t="n">
        <v>8</v>
      </c>
      <c r="I511" s="72" t="inlineStr">
        <is>
          <t>А240</t>
        </is>
      </c>
      <c r="J511" s="72" t="inlineStr">
        <is>
          <t>100/200</t>
        </is>
      </c>
      <c r="K511" s="75" t="n">
        <v>5</v>
      </c>
      <c r="L511" s="51" t="n">
        <v>28</v>
      </c>
      <c r="M511" s="69" t="n">
        <v>2.44</v>
      </c>
      <c r="N511" s="70">
        <f>K511*L511*M511</f>
        <v/>
      </c>
      <c r="O511" s="37">
        <f>IFERROR(INDEX(Исходные!$B$19:$B$31,MATCH(H511,Исходные!$A$19:$A$31,0)),0)</f>
        <v/>
      </c>
      <c r="P511" s="76">
        <f>N511*O511</f>
        <v/>
      </c>
      <c r="Q511" s="21" t="inlineStr">
        <is>
          <t>АС-32 схема хомутов колонн (2÷4 этаж 3600: 50+100×12+200×n+100×12+50+600); АС-28 поз.10 L=2440</t>
        </is>
      </c>
      <c r="R511" s="77" t="inlineStr">
        <is>
          <t>по проекту</t>
        </is>
      </c>
      <c r="S511" s="21" t="inlineStr"/>
      <c r="T511" s="21" t="inlineStr">
        <is>
          <t>Колонны, диафрагмы</t>
        </is>
      </c>
      <c r="U511" s="49" t="n">
        <v>0</v>
      </c>
      <c r="V511" s="72" t="inlineStr">
        <is>
          <t>К-Б</t>
        </is>
      </c>
      <c r="W511" s="49" t="n">
        <v>2</v>
      </c>
    </row>
    <row r="512">
      <c r="A512" s="72" t="n">
        <v>497</v>
      </c>
      <c r="B512" s="21" t="inlineStr">
        <is>
          <t>2 этаж (отм. +3.950…+7.550)</t>
        </is>
      </c>
      <c r="C512" s="21" t="inlineStr">
        <is>
          <t>Колонны</t>
        </is>
      </c>
      <c r="D512" s="21" t="inlineStr">
        <is>
          <t>ось Б: Б/1, Б/2, Б/3, Б/4, Б/5</t>
        </is>
      </c>
      <c r="E512" s="21" t="inlineStr">
        <is>
          <t>К-Б</t>
        </is>
      </c>
      <c r="F512" s="72" t="inlineStr">
        <is>
          <t>11</t>
        </is>
      </c>
      <c r="G512" s="21" t="inlineStr">
        <is>
          <t>Хомут внутренний Ø8 L=1960 ш.200: 2 шт × 16 рядов</t>
        </is>
      </c>
      <c r="H512" s="51" t="n">
        <v>8</v>
      </c>
      <c r="I512" s="72" t="inlineStr">
        <is>
          <t>А240</t>
        </is>
      </c>
      <c r="J512" s="72" t="n">
        <v>200</v>
      </c>
      <c r="K512" s="75" t="n">
        <v>5</v>
      </c>
      <c r="L512" s="51" t="n">
        <v>32</v>
      </c>
      <c r="M512" s="69" t="n">
        <v>1.96</v>
      </c>
      <c r="N512" s="70">
        <f>K512*L512*M512</f>
        <v/>
      </c>
      <c r="O512" s="37">
        <f>IFERROR(INDEX(Исходные!$B$19:$B$31,MATCH(H512,Исходные!$A$19:$A$31,0)),0)</f>
        <v/>
      </c>
      <c r="P512" s="76">
        <f>N512*O512</f>
        <v/>
      </c>
      <c r="Q512" s="21" t="inlineStr">
        <is>
          <t>АС-28 «11 хом.Ø8 ш.200», поз.11 L=1960</t>
        </is>
      </c>
      <c r="R512" s="77" t="inlineStr">
        <is>
          <t>по проекту</t>
        </is>
      </c>
      <c r="S512" s="21" t="inlineStr"/>
      <c r="T512" s="21" t="inlineStr">
        <is>
          <t>Колонны, диафрагмы</t>
        </is>
      </c>
      <c r="U512" s="49" t="n">
        <v>0</v>
      </c>
      <c r="V512" s="72" t="inlineStr">
        <is>
          <t>К-Б</t>
        </is>
      </c>
      <c r="W512" s="49" t="n">
        <v>2</v>
      </c>
    </row>
    <row r="513">
      <c r="A513" s="72" t="n">
        <v>498</v>
      </c>
      <c r="B513" s="21" t="inlineStr">
        <is>
          <t>2 этаж (отм. +3.950…+7.550)</t>
        </is>
      </c>
      <c r="C513" s="21" t="inlineStr">
        <is>
          <t>Колонны</t>
        </is>
      </c>
      <c r="D513" s="21" t="inlineStr">
        <is>
          <t>ось В: В/1, В/2, В/3, В/4, В/5</t>
        </is>
      </c>
      <c r="E513" s="21" t="inlineStr">
        <is>
          <t>К-В</t>
        </is>
      </c>
      <c r="F513" s="72" t="inlineStr">
        <is>
          <t>2</t>
        </is>
      </c>
      <c r="G513" s="21" t="inlineStr">
        <is>
          <t>Вертикальные: угловые 4Ø28 (сеч.2-2)</t>
        </is>
      </c>
      <c r="H513" s="51" t="n">
        <v>28</v>
      </c>
      <c r="I513" s="72" t="inlineStr">
        <is>
          <t>А500С</t>
        </is>
      </c>
      <c r="J513" s="72" t="inlineStr">
        <is>
          <t>—</t>
        </is>
      </c>
      <c r="K513" s="75" t="n">
        <v>5</v>
      </c>
      <c r="L513" s="51" t="n">
        <v>4</v>
      </c>
      <c r="M513" s="69" t="n">
        <v>3.6</v>
      </c>
      <c r="N513" s="70">
        <f>K513*L513*M513</f>
        <v/>
      </c>
      <c r="O513" s="37">
        <f>IFERROR(INDEX(Исходные!$B$19:$B$31,MATCH(H513,Исходные!$A$19:$A$31,0)),0)</f>
        <v/>
      </c>
      <c r="P513" s="76">
        <f>N513*O513</f>
        <v/>
      </c>
      <c r="Q513" s="21" t="inlineStr">
        <is>
          <t>АС-28 сеч.«1-1 (2-2)» поз.(2) 4Ø28; на рамах АС-20…23 выноска «2-2 4Ø28 / 8Ø20» во 2 этаже</t>
        </is>
      </c>
      <c r="R513" s="77" t="inlineStr">
        <is>
          <t>по проекту</t>
        </is>
      </c>
      <c r="S513" s="21" t="inlineStr">
        <is>
          <t>Длина = высота этажа 3,6 м (стык ванной сваркой, разбежка 800/500).</t>
        </is>
      </c>
      <c r="T513" s="21" t="inlineStr">
        <is>
          <t>Колонны, диафрагмы</t>
        </is>
      </c>
      <c r="U513" s="49" t="n">
        <v>0</v>
      </c>
      <c r="V513" s="72" t="inlineStr">
        <is>
          <t>К-В</t>
        </is>
      </c>
      <c r="W513" s="49" t="n">
        <v>2</v>
      </c>
    </row>
    <row r="514">
      <c r="A514" s="72" t="n">
        <v>499</v>
      </c>
      <c r="B514" s="21" t="inlineStr">
        <is>
          <t>2 этаж (отм. +3.950…+7.550)</t>
        </is>
      </c>
      <c r="C514" s="21" t="inlineStr">
        <is>
          <t>Колонны</t>
        </is>
      </c>
      <c r="D514" s="21" t="inlineStr">
        <is>
          <t>ось В: В/1, В/2, В/3, В/4, В/5</t>
        </is>
      </c>
      <c r="E514" s="21" t="inlineStr">
        <is>
          <t>К-В</t>
        </is>
      </c>
      <c r="F514" s="72" t="inlineStr">
        <is>
          <t>5</t>
        </is>
      </c>
      <c r="G514" s="21" t="inlineStr">
        <is>
          <t>Вертикальные: промежуточные 8Ø20 (сеч.2-2)</t>
        </is>
      </c>
      <c r="H514" s="51" t="n">
        <v>20</v>
      </c>
      <c r="I514" s="72" t="inlineStr">
        <is>
          <t>А500С</t>
        </is>
      </c>
      <c r="J514" s="72" t="inlineStr">
        <is>
          <t>—</t>
        </is>
      </c>
      <c r="K514" s="75" t="n">
        <v>5</v>
      </c>
      <c r="L514" s="51" t="n">
        <v>8</v>
      </c>
      <c r="M514" s="69" t="n">
        <v>3.6</v>
      </c>
      <c r="N514" s="70">
        <f>K514*L514*M514</f>
        <v/>
      </c>
      <c r="O514" s="37">
        <f>IFERROR(INDEX(Исходные!$B$19:$B$31,MATCH(H514,Исходные!$A$19:$A$31,0)),0)</f>
        <v/>
      </c>
      <c r="P514" s="76">
        <f>N514*O514</f>
        <v/>
      </c>
      <c r="Q514" s="21" t="inlineStr">
        <is>
          <t>АС-28 сеч.2-2 поз.5</t>
        </is>
      </c>
      <c r="R514" s="77" t="inlineStr">
        <is>
          <t>по проекту</t>
        </is>
      </c>
      <c r="S514" s="21" t="inlineStr">
        <is>
          <t>Длина = 3,6 м, стык ванной сваркой.</t>
        </is>
      </c>
      <c r="T514" s="21" t="inlineStr">
        <is>
          <t>Колонны, диафрагмы</t>
        </is>
      </c>
      <c r="U514" s="49" t="n">
        <v>0</v>
      </c>
      <c r="V514" s="72" t="inlineStr">
        <is>
          <t>К-В</t>
        </is>
      </c>
      <c r="W514" s="49" t="n">
        <v>2</v>
      </c>
    </row>
    <row r="515">
      <c r="A515" s="72" t="n">
        <v>500</v>
      </c>
      <c r="B515" s="21" t="inlineStr">
        <is>
          <t>2 этаж (отм. +3.950…+7.550)</t>
        </is>
      </c>
      <c r="C515" s="21" t="inlineStr">
        <is>
          <t>Колонны</t>
        </is>
      </c>
      <c r="D515" s="21" t="inlineStr">
        <is>
          <t>ось В: В/1, В/2, В/3, В/4, В/5</t>
        </is>
      </c>
      <c r="E515" s="21" t="inlineStr">
        <is>
          <t>К-В</t>
        </is>
      </c>
      <c r="F515" s="72" t="inlineStr">
        <is>
          <t>10</t>
        </is>
      </c>
      <c r="G515" s="21" t="inlineStr">
        <is>
          <t>Хомут наружный Ø8 L=2440: 13 + 2 + 13 = 28 шт</t>
        </is>
      </c>
      <c r="H515" s="51" t="n">
        <v>8</v>
      </c>
      <c r="I515" s="72" t="inlineStr">
        <is>
          <t>А240</t>
        </is>
      </c>
      <c r="J515" s="72" t="inlineStr">
        <is>
          <t>100/200</t>
        </is>
      </c>
      <c r="K515" s="75" t="n">
        <v>5</v>
      </c>
      <c r="L515" s="51" t="n">
        <v>28</v>
      </c>
      <c r="M515" s="69" t="n">
        <v>2.44</v>
      </c>
      <c r="N515" s="70">
        <f>K515*L515*M515</f>
        <v/>
      </c>
      <c r="O515" s="37">
        <f>IFERROR(INDEX(Исходные!$B$19:$B$31,MATCH(H515,Исходные!$A$19:$A$31,0)),0)</f>
        <v/>
      </c>
      <c r="P515" s="76">
        <f>N515*O515</f>
        <v/>
      </c>
      <c r="Q515" s="21" t="inlineStr">
        <is>
          <t>АС-32 схема хомутов колонн (2÷4 этаж 3600: 50+100×12+200×n+100×12+50+600); АС-28 поз.10 L=2440</t>
        </is>
      </c>
      <c r="R515" s="77" t="inlineStr">
        <is>
          <t>по проекту</t>
        </is>
      </c>
      <c r="S515" s="21" t="inlineStr"/>
      <c r="T515" s="21" t="inlineStr">
        <is>
          <t>Колонны, диафрагмы</t>
        </is>
      </c>
      <c r="U515" s="49" t="n">
        <v>0</v>
      </c>
      <c r="V515" s="72" t="inlineStr">
        <is>
          <t>К-В</t>
        </is>
      </c>
      <c r="W515" s="49" t="n">
        <v>2</v>
      </c>
    </row>
    <row r="516">
      <c r="A516" s="72" t="n">
        <v>501</v>
      </c>
      <c r="B516" s="21" t="inlineStr">
        <is>
          <t>2 этаж (отм. +3.950…+7.550)</t>
        </is>
      </c>
      <c r="C516" s="21" t="inlineStr">
        <is>
          <t>Колонны</t>
        </is>
      </c>
      <c r="D516" s="21" t="inlineStr">
        <is>
          <t>ось В: В/1, В/2, В/3, В/4, В/5</t>
        </is>
      </c>
      <c r="E516" s="21" t="inlineStr">
        <is>
          <t>К-В</t>
        </is>
      </c>
      <c r="F516" s="72" t="inlineStr">
        <is>
          <t>11</t>
        </is>
      </c>
      <c r="G516" s="21" t="inlineStr">
        <is>
          <t>Хомут внутренний Ø8 L=1960 ш.200: 2 шт × 16 рядов</t>
        </is>
      </c>
      <c r="H516" s="51" t="n">
        <v>8</v>
      </c>
      <c r="I516" s="72" t="inlineStr">
        <is>
          <t>А240</t>
        </is>
      </c>
      <c r="J516" s="72" t="n">
        <v>200</v>
      </c>
      <c r="K516" s="75" t="n">
        <v>5</v>
      </c>
      <c r="L516" s="51" t="n">
        <v>32</v>
      </c>
      <c r="M516" s="69" t="n">
        <v>1.96</v>
      </c>
      <c r="N516" s="70">
        <f>K516*L516*M516</f>
        <v/>
      </c>
      <c r="O516" s="37">
        <f>IFERROR(INDEX(Исходные!$B$19:$B$31,MATCH(H516,Исходные!$A$19:$A$31,0)),0)</f>
        <v/>
      </c>
      <c r="P516" s="76">
        <f>N516*O516</f>
        <v/>
      </c>
      <c r="Q516" s="21" t="inlineStr">
        <is>
          <t>АС-28 «11 хом.Ø8 ш.200», поз.11 L=1960</t>
        </is>
      </c>
      <c r="R516" s="77" t="inlineStr">
        <is>
          <t>по проекту</t>
        </is>
      </c>
      <c r="S516" s="21" t="inlineStr"/>
      <c r="T516" s="21" t="inlineStr">
        <is>
          <t>Колонны, диафрагмы</t>
        </is>
      </c>
      <c r="U516" s="49" t="n">
        <v>0</v>
      </c>
      <c r="V516" s="72" t="inlineStr">
        <is>
          <t>К-В</t>
        </is>
      </c>
      <c r="W516" s="49" t="n">
        <v>2</v>
      </c>
    </row>
    <row r="517">
      <c r="A517" s="72" t="n">
        <v>502</v>
      </c>
      <c r="B517" s="21" t="inlineStr">
        <is>
          <t>2 этаж (отм. +3.950…+7.550)</t>
        </is>
      </c>
      <c r="C517" s="21" t="inlineStr">
        <is>
          <t>Колонны</t>
        </is>
      </c>
      <c r="D517" s="21" t="inlineStr">
        <is>
          <t>ось Г: Г/1, Г/5</t>
        </is>
      </c>
      <c r="E517" s="21" t="inlineStr">
        <is>
          <t>К-Г</t>
        </is>
      </c>
      <c r="F517" s="72" t="inlineStr">
        <is>
          <t>2</t>
        </is>
      </c>
      <c r="G517" s="21" t="inlineStr">
        <is>
          <t>Вертикальные: угловые 4Ø28 (сеч.2-2)</t>
        </is>
      </c>
      <c r="H517" s="51" t="n">
        <v>28</v>
      </c>
      <c r="I517" s="72" t="inlineStr">
        <is>
          <t>А500С</t>
        </is>
      </c>
      <c r="J517" s="72" t="inlineStr">
        <is>
          <t>—</t>
        </is>
      </c>
      <c r="K517" s="75" t="n">
        <v>2</v>
      </c>
      <c r="L517" s="51" t="n">
        <v>4</v>
      </c>
      <c r="M517" s="69" t="n">
        <v>3.6</v>
      </c>
      <c r="N517" s="70">
        <f>K517*L517*M517</f>
        <v/>
      </c>
      <c r="O517" s="37">
        <f>IFERROR(INDEX(Исходные!$B$19:$B$31,MATCH(H517,Исходные!$A$19:$A$31,0)),0)</f>
        <v/>
      </c>
      <c r="P517" s="76">
        <f>N517*O517</f>
        <v/>
      </c>
      <c r="Q517" s="21" t="inlineStr">
        <is>
          <t>АС-28 сеч.«1-1 (2-2)» поз.(2) 4Ø28; на рамах АС-20…23 выноска «2-2 4Ø28 / 8Ø20» во 2 этаже</t>
        </is>
      </c>
      <c r="R517" s="77" t="inlineStr">
        <is>
          <t>по проекту</t>
        </is>
      </c>
      <c r="S517" s="21" t="inlineStr">
        <is>
          <t>Длина = высота этажа 3,6 м (стык ванной сваркой, разбежка 800/500).</t>
        </is>
      </c>
      <c r="T517" s="21" t="inlineStr">
        <is>
          <t>Колонны, диафрагмы</t>
        </is>
      </c>
      <c r="U517" s="49" t="n">
        <v>0</v>
      </c>
      <c r="V517" s="72" t="inlineStr">
        <is>
          <t>К-Г</t>
        </is>
      </c>
      <c r="W517" s="49" t="n">
        <v>2</v>
      </c>
    </row>
    <row r="518">
      <c r="A518" s="72" t="n">
        <v>503</v>
      </c>
      <c r="B518" s="21" t="inlineStr">
        <is>
          <t>2 этаж (отм. +3.950…+7.550)</t>
        </is>
      </c>
      <c r="C518" s="21" t="inlineStr">
        <is>
          <t>Колонны</t>
        </is>
      </c>
      <c r="D518" s="21" t="inlineStr">
        <is>
          <t>ось Г: Г/1, Г/5</t>
        </is>
      </c>
      <c r="E518" s="21" t="inlineStr">
        <is>
          <t>К-Г</t>
        </is>
      </c>
      <c r="F518" s="72" t="inlineStr">
        <is>
          <t>5</t>
        </is>
      </c>
      <c r="G518" s="21" t="inlineStr">
        <is>
          <t>Вертикальные: промежуточные 8Ø20 (сеч.2-2)</t>
        </is>
      </c>
      <c r="H518" s="51" t="n">
        <v>20</v>
      </c>
      <c r="I518" s="72" t="inlineStr">
        <is>
          <t>А500С</t>
        </is>
      </c>
      <c r="J518" s="72" t="inlineStr">
        <is>
          <t>—</t>
        </is>
      </c>
      <c r="K518" s="75" t="n">
        <v>2</v>
      </c>
      <c r="L518" s="51" t="n">
        <v>8</v>
      </c>
      <c r="M518" s="69" t="n">
        <v>3.6</v>
      </c>
      <c r="N518" s="70">
        <f>K518*L518*M518</f>
        <v/>
      </c>
      <c r="O518" s="37">
        <f>IFERROR(INDEX(Исходные!$B$19:$B$31,MATCH(H518,Исходные!$A$19:$A$31,0)),0)</f>
        <v/>
      </c>
      <c r="P518" s="76">
        <f>N518*O518</f>
        <v/>
      </c>
      <c r="Q518" s="21" t="inlineStr">
        <is>
          <t>АС-28 сеч.2-2 поз.5</t>
        </is>
      </c>
      <c r="R518" s="77" t="inlineStr">
        <is>
          <t>по проекту</t>
        </is>
      </c>
      <c r="S518" s="21" t="inlineStr">
        <is>
          <t>Длина = 3,6 м, стык ванной сваркой.</t>
        </is>
      </c>
      <c r="T518" s="21" t="inlineStr">
        <is>
          <t>Колонны, диафрагмы</t>
        </is>
      </c>
      <c r="U518" s="49" t="n">
        <v>0</v>
      </c>
      <c r="V518" s="72" t="inlineStr">
        <is>
          <t>К-Г</t>
        </is>
      </c>
      <c r="W518" s="49" t="n">
        <v>2</v>
      </c>
    </row>
    <row r="519">
      <c r="A519" s="72" t="n">
        <v>504</v>
      </c>
      <c r="B519" s="21" t="inlineStr">
        <is>
          <t>2 этаж (отм. +3.950…+7.550)</t>
        </is>
      </c>
      <c r="C519" s="21" t="inlineStr">
        <is>
          <t>Колонны</t>
        </is>
      </c>
      <c r="D519" s="21" t="inlineStr">
        <is>
          <t>ось Г: Г/1, Г/5</t>
        </is>
      </c>
      <c r="E519" s="21" t="inlineStr">
        <is>
          <t>К-Г</t>
        </is>
      </c>
      <c r="F519" s="72" t="inlineStr">
        <is>
          <t>10</t>
        </is>
      </c>
      <c r="G519" s="21" t="inlineStr">
        <is>
          <t>Хомут наружный Ø8 L=2440: 13 + 2 + 13 = 28 шт</t>
        </is>
      </c>
      <c r="H519" s="51" t="n">
        <v>8</v>
      </c>
      <c r="I519" s="72" t="inlineStr">
        <is>
          <t>А240</t>
        </is>
      </c>
      <c r="J519" s="72" t="inlineStr">
        <is>
          <t>100/200</t>
        </is>
      </c>
      <c r="K519" s="75" t="n">
        <v>2</v>
      </c>
      <c r="L519" s="51" t="n">
        <v>28</v>
      </c>
      <c r="M519" s="69" t="n">
        <v>2.44</v>
      </c>
      <c r="N519" s="70">
        <f>K519*L519*M519</f>
        <v/>
      </c>
      <c r="O519" s="37">
        <f>IFERROR(INDEX(Исходные!$B$19:$B$31,MATCH(H519,Исходные!$A$19:$A$31,0)),0)</f>
        <v/>
      </c>
      <c r="P519" s="76">
        <f>N519*O519</f>
        <v/>
      </c>
      <c r="Q519" s="21" t="inlineStr">
        <is>
          <t>АС-32 схема хомутов колонн (2÷4 этаж 3600: 50+100×12+200×n+100×12+50+600); АС-28 поз.10 L=2440</t>
        </is>
      </c>
      <c r="R519" s="77" t="inlineStr">
        <is>
          <t>по проекту</t>
        </is>
      </c>
      <c r="S519" s="21" t="inlineStr"/>
      <c r="T519" s="21" t="inlineStr">
        <is>
          <t>Колонны, диафрагмы</t>
        </is>
      </c>
      <c r="U519" s="49" t="n">
        <v>0</v>
      </c>
      <c r="V519" s="72" t="inlineStr">
        <is>
          <t>К-Г</t>
        </is>
      </c>
      <c r="W519" s="49" t="n">
        <v>2</v>
      </c>
    </row>
    <row r="520">
      <c r="A520" s="72" t="n">
        <v>505</v>
      </c>
      <c r="B520" s="21" t="inlineStr">
        <is>
          <t>2 этаж (отм. +3.950…+7.550)</t>
        </is>
      </c>
      <c r="C520" s="21" t="inlineStr">
        <is>
          <t>Колонны</t>
        </is>
      </c>
      <c r="D520" s="21" t="inlineStr">
        <is>
          <t>ось Г: Г/1, Г/5</t>
        </is>
      </c>
      <c r="E520" s="21" t="inlineStr">
        <is>
          <t>К-Г</t>
        </is>
      </c>
      <c r="F520" s="72" t="inlineStr">
        <is>
          <t>11</t>
        </is>
      </c>
      <c r="G520" s="21" t="inlineStr">
        <is>
          <t>Хомут внутренний Ø8 L=1960 ш.200: 2 шт × 16 рядов</t>
        </is>
      </c>
      <c r="H520" s="51" t="n">
        <v>8</v>
      </c>
      <c r="I520" s="72" t="inlineStr">
        <is>
          <t>А240</t>
        </is>
      </c>
      <c r="J520" s="72" t="n">
        <v>200</v>
      </c>
      <c r="K520" s="75" t="n">
        <v>2</v>
      </c>
      <c r="L520" s="51" t="n">
        <v>32</v>
      </c>
      <c r="M520" s="69" t="n">
        <v>1.96</v>
      </c>
      <c r="N520" s="70">
        <f>K520*L520*M520</f>
        <v/>
      </c>
      <c r="O520" s="37">
        <f>IFERROR(INDEX(Исходные!$B$19:$B$31,MATCH(H520,Исходные!$A$19:$A$31,0)),0)</f>
        <v/>
      </c>
      <c r="P520" s="76">
        <f>N520*O520</f>
        <v/>
      </c>
      <c r="Q520" s="21" t="inlineStr">
        <is>
          <t>АС-28 «11 хом.Ø8 ш.200», поз.11 L=1960</t>
        </is>
      </c>
      <c r="R520" s="77" t="inlineStr">
        <is>
          <t>по проекту</t>
        </is>
      </c>
      <c r="S520" s="21" t="inlineStr"/>
      <c r="T520" s="21" t="inlineStr">
        <is>
          <t>Колонны, диафрагмы</t>
        </is>
      </c>
      <c r="U520" s="49" t="n">
        <v>0</v>
      </c>
      <c r="V520" s="72" t="inlineStr">
        <is>
          <t>К-Г</t>
        </is>
      </c>
      <c r="W520" s="49" t="n">
        <v>2</v>
      </c>
    </row>
    <row r="521">
      <c r="A521" s="74" t="inlineStr">
        <is>
          <t>2.3. РИГЕЛИ РАМ (450×600, сеч.4-4/5-5), 9 рам — отм. +7.550</t>
        </is>
      </c>
      <c r="B521" s="33" t="n"/>
      <c r="C521" s="33" t="n"/>
      <c r="D521" s="33" t="n"/>
      <c r="E521" s="33" t="n"/>
      <c r="F521" s="33" t="n"/>
      <c r="G521" s="33" t="n"/>
      <c r="H521" s="33" t="n"/>
      <c r="I521" s="33" t="n"/>
      <c r="J521" s="33" t="n"/>
      <c r="K521" s="33" t="n"/>
      <c r="L521" s="33" t="n"/>
      <c r="M521" s="33" t="n"/>
      <c r="N521" s="33" t="n"/>
      <c r="O521" s="33" t="n"/>
      <c r="P521" s="33" t="n"/>
      <c r="Q521" s="33" t="n"/>
      <c r="R521" s="33" t="n"/>
      <c r="S521" s="33" t="n"/>
      <c r="T521" s="33" t="n"/>
      <c r="U521" s="33" t="n"/>
      <c r="V521" s="33" t="n"/>
      <c r="W521" s="34" t="n"/>
    </row>
    <row r="522">
      <c r="A522" s="72" t="n">
        <v>506</v>
      </c>
      <c r="B522" s="21" t="inlineStr">
        <is>
          <t>2 этаж (отм. +3.950…+7.550)</t>
        </is>
      </c>
      <c r="C522" s="21" t="inlineStr">
        <is>
          <t>Ригели</t>
        </is>
      </c>
      <c r="D522" s="21" t="inlineStr">
        <is>
          <t>ось А (отм. +7.550)</t>
        </is>
      </c>
      <c r="E522" s="21" t="inlineStr">
        <is>
          <t>Р-А</t>
        </is>
      </c>
      <c r="F522" s="72" t="inlineStr">
        <is>
          <t>2</t>
        </is>
      </c>
      <c r="G522" s="21" t="inlineStr">
        <is>
          <t>Продольные угловые 4Ø28 (сеч.4-4/5-5), сквозные, концы с Аш</t>
        </is>
      </c>
      <c r="H522" s="51" t="n">
        <v>28</v>
      </c>
      <c r="I522" s="72" t="inlineStr">
        <is>
          <t>А500С</t>
        </is>
      </c>
      <c r="J522" s="72" t="inlineStr">
        <is>
          <t>—</t>
        </is>
      </c>
      <c r="K522" s="75" t="n">
        <v>1</v>
      </c>
      <c r="L522" s="51" t="n">
        <v>4</v>
      </c>
      <c r="M522" s="69" t="n">
        <v>25.5</v>
      </c>
      <c r="N522" s="70">
        <f>K522*L522*M522</f>
        <v/>
      </c>
      <c r="O522" s="37">
        <f>IFERROR(INDEX(Исходные!$B$19:$B$31,MATCH(H522,Исходные!$A$19:$A$31,0)),0)</f>
        <v/>
      </c>
      <c r="P522" s="76">
        <f>N522*O522</f>
        <v/>
      </c>
      <c r="Q522" s="21" t="inlineStr">
        <is>
          <t>АС-20 рама + АС-28 сеч.4-4/5-5 поз.2; длина = 25000+2×250</t>
        </is>
      </c>
      <c r="R522" s="77" t="inlineStr">
        <is>
          <t>по геометрии чертежа</t>
        </is>
      </c>
      <c r="S522" s="21" t="inlineStr">
        <is>
          <t>Стыки ванной сваркой без нахлёста: 2 на стержень (всего 8).</t>
        </is>
      </c>
      <c r="T522" s="21" t="inlineStr">
        <is>
          <t>Ригели, балки, плита, С-1</t>
        </is>
      </c>
      <c r="U522" s="49" t="n">
        <v>0</v>
      </c>
      <c r="V522" s="72" t="inlineStr">
        <is>
          <t>Р-А</t>
        </is>
      </c>
      <c r="W522" s="49" t="n">
        <v>2</v>
      </c>
    </row>
    <row r="523">
      <c r="A523" s="72" t="n">
        <v>507</v>
      </c>
      <c r="B523" s="21" t="inlineStr">
        <is>
          <t>2 этаж (отм. +3.950…+7.550)</t>
        </is>
      </c>
      <c r="C523" s="21" t="inlineStr">
        <is>
          <t>Ригели</t>
        </is>
      </c>
      <c r="D523" s="21" t="inlineStr">
        <is>
          <t>ось А (отм. +7.550)</t>
        </is>
      </c>
      <c r="E523" s="21" t="inlineStr">
        <is>
          <t>Р-А</t>
        </is>
      </c>
      <c r="F523" s="72" t="inlineStr">
        <is>
          <t>6</t>
        </is>
      </c>
      <c r="G523" s="21" t="inlineStr">
        <is>
          <t>Продольные средние верх/низ 2Ø18 (сеч.4-4/5-5)</t>
        </is>
      </c>
      <c r="H523" s="51" t="n">
        <v>18</v>
      </c>
      <c r="I523" s="72" t="inlineStr">
        <is>
          <t>А500С</t>
        </is>
      </c>
      <c r="J523" s="72" t="inlineStr">
        <is>
          <t>—</t>
        </is>
      </c>
      <c r="K523" s="75" t="n">
        <v>1</v>
      </c>
      <c r="L523" s="51" t="n">
        <v>2</v>
      </c>
      <c r="M523" s="69" t="n">
        <v>25.5</v>
      </c>
      <c r="N523" s="70">
        <f>K523*L523*M523</f>
        <v/>
      </c>
      <c r="O523" s="37">
        <f>IFERROR(INDEX(Исходные!$B$19:$B$31,MATCH(H523,Исходные!$A$19:$A$31,0)),0)</f>
        <v/>
      </c>
      <c r="P523" s="76">
        <f>N523*O523</f>
        <v/>
      </c>
      <c r="Q523" s="21" t="inlineStr">
        <is>
          <t>АС-28 сеч.4-4/5-5 поз.6</t>
        </is>
      </c>
      <c r="R523" s="77" t="inlineStr">
        <is>
          <t>по геометрии чертежа</t>
        </is>
      </c>
      <c r="S523" s="21" t="inlineStr"/>
      <c r="T523" s="21" t="inlineStr">
        <is>
          <t>Ригели, балки, плита, С-1</t>
        </is>
      </c>
      <c r="U523" s="49" t="n">
        <v>0</v>
      </c>
      <c r="V523" s="72" t="inlineStr">
        <is>
          <t>Р-А</t>
        </is>
      </c>
      <c r="W523" s="49" t="n">
        <v>2</v>
      </c>
    </row>
    <row r="524">
      <c r="A524" s="72" t="n">
        <v>508</v>
      </c>
      <c r="B524" s="21" t="inlineStr">
        <is>
          <t>2 этаж (отм. +3.950…+7.550)</t>
        </is>
      </c>
      <c r="C524" s="21" t="inlineStr">
        <is>
          <t>Ригели</t>
        </is>
      </c>
      <c r="D524" s="21" t="inlineStr">
        <is>
          <t>ось А (отм. +7.550)</t>
        </is>
      </c>
      <c r="E524" s="21" t="inlineStr">
        <is>
          <t>Р-А</t>
        </is>
      </c>
      <c r="F524" s="72" t="inlineStr">
        <is>
          <t>6-нахл</t>
        </is>
      </c>
      <c r="G524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24" s="51" t="n">
        <v>18</v>
      </c>
      <c r="I524" s="72" t="inlineStr">
        <is>
          <t>А500С</t>
        </is>
      </c>
      <c r="J524" s="72" t="inlineStr">
        <is>
          <t>—</t>
        </is>
      </c>
      <c r="K524" s="75" t="n">
        <v>2</v>
      </c>
      <c r="L524" s="51" t="n">
        <v>2</v>
      </c>
      <c r="M524" s="69" t="n">
        <v>0.144</v>
      </c>
      <c r="N524" s="70">
        <f>K524*L524*M524</f>
        <v/>
      </c>
      <c r="O524" s="37">
        <f>IFERROR(INDEX(Исходные!$B$19:$B$31,MATCH(H524,Исходные!$A$19:$A$31,0)),0)</f>
        <v/>
      </c>
      <c r="P524" s="76">
        <f>N524*O524</f>
        <v/>
      </c>
      <c r="Q524" s="21" t="inlineStr">
        <is>
          <t>АС-19 прим.1: Ø18 и менее — внахлёстку электродуговой сваркой, Lшва=8d = 144 мм</t>
        </is>
      </c>
      <c r="R524" s="77" t="inlineStr">
        <is>
          <t>по проекту (стыковка прутков 11,7 м)</t>
        </is>
      </c>
      <c r="S524" s="21" t="inlineStr">
        <is>
          <t>Чистая длина 25.500 м; кусков 3; стыков 2; Lнахл=2×0.144=0.288 м на стержень</t>
        </is>
      </c>
      <c r="T524" s="21" t="inlineStr">
        <is>
          <t>Ригели, балки, плита, С-1</t>
        </is>
      </c>
      <c r="U524" s="49" t="n">
        <v>0</v>
      </c>
      <c r="V524" s="72" t="inlineStr">
        <is>
          <t>Р-А</t>
        </is>
      </c>
      <c r="W524" s="49" t="n">
        <v>2</v>
      </c>
    </row>
    <row r="525">
      <c r="A525" s="72" t="n">
        <v>509</v>
      </c>
      <c r="B525" s="21" t="inlineStr">
        <is>
          <t>2 этаж (отм. +3.950…+7.550)</t>
        </is>
      </c>
      <c r="C525" s="21" t="inlineStr">
        <is>
          <t>Ригели</t>
        </is>
      </c>
      <c r="D525" s="21" t="inlineStr">
        <is>
          <t>ось А (отм. +7.550)</t>
        </is>
      </c>
      <c r="E525" s="21" t="inlineStr">
        <is>
          <t>Р-А</t>
        </is>
      </c>
      <c r="F525" s="72" t="inlineStr">
        <is>
          <t>7</t>
        </is>
      </c>
      <c r="G525" s="21" t="inlineStr">
        <is>
          <t>Боковые стержни 2Ø16 (сеч.4-4/5-5)</t>
        </is>
      </c>
      <c r="H525" s="51" t="n">
        <v>16</v>
      </c>
      <c r="I525" s="72" t="inlineStr">
        <is>
          <t>А500С</t>
        </is>
      </c>
      <c r="J525" s="72" t="inlineStr">
        <is>
          <t>—</t>
        </is>
      </c>
      <c r="K525" s="75" t="n">
        <v>1</v>
      </c>
      <c r="L525" s="51" t="n">
        <v>2</v>
      </c>
      <c r="M525" s="69" t="n">
        <v>25.5</v>
      </c>
      <c r="N525" s="70">
        <f>K525*L525*M525</f>
        <v/>
      </c>
      <c r="O525" s="37">
        <f>IFERROR(INDEX(Исходные!$B$19:$B$31,MATCH(H525,Исходные!$A$19:$A$31,0)),0)</f>
        <v/>
      </c>
      <c r="P525" s="76">
        <f>N525*O525</f>
        <v/>
      </c>
      <c r="Q525" s="21" t="inlineStr">
        <is>
          <t>АС-28 сеч.4-4/5-5 «Боковые стержни 2Ø16»</t>
        </is>
      </c>
      <c r="R525" s="77" t="inlineStr">
        <is>
          <t>по геометрии чертежа</t>
        </is>
      </c>
      <c r="S525" s="21" t="inlineStr"/>
      <c r="T525" s="21" t="inlineStr">
        <is>
          <t>Ригели, балки, плита, С-1</t>
        </is>
      </c>
      <c r="U525" s="49" t="n">
        <v>0</v>
      </c>
      <c r="V525" s="72" t="inlineStr">
        <is>
          <t>Р-А</t>
        </is>
      </c>
      <c r="W525" s="49" t="n">
        <v>2</v>
      </c>
    </row>
    <row r="526">
      <c r="A526" s="72" t="n">
        <v>510</v>
      </c>
      <c r="B526" s="21" t="inlineStr">
        <is>
          <t>2 этаж (отм. +3.950…+7.550)</t>
        </is>
      </c>
      <c r="C526" s="21" t="inlineStr">
        <is>
          <t>Ригели</t>
        </is>
      </c>
      <c r="D526" s="21" t="inlineStr">
        <is>
          <t>ось А (отм. +7.550)</t>
        </is>
      </c>
      <c r="E526" s="21" t="inlineStr">
        <is>
          <t>Р-А</t>
        </is>
      </c>
      <c r="F526" s="72" t="inlineStr">
        <is>
          <t>7-нахл</t>
        </is>
      </c>
      <c r="G526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26" s="51" t="n">
        <v>16</v>
      </c>
      <c r="I526" s="72" t="inlineStr">
        <is>
          <t>А500С</t>
        </is>
      </c>
      <c r="J526" s="72" t="inlineStr">
        <is>
          <t>—</t>
        </is>
      </c>
      <c r="K526" s="75" t="n">
        <v>2</v>
      </c>
      <c r="L526" s="51" t="n">
        <v>2</v>
      </c>
      <c r="M526" s="69" t="n">
        <v>0.128</v>
      </c>
      <c r="N526" s="70">
        <f>K526*L526*M526</f>
        <v/>
      </c>
      <c r="O526" s="37">
        <f>IFERROR(INDEX(Исходные!$B$19:$B$31,MATCH(H526,Исходные!$A$19:$A$31,0)),0)</f>
        <v/>
      </c>
      <c r="P526" s="76">
        <f>N526*O526</f>
        <v/>
      </c>
      <c r="Q526" s="21" t="inlineStr">
        <is>
          <t>АС-19 прим.1: Ø18 и менее — внахлёстку электродуговой сваркой, Lшва=8d = 128 мм</t>
        </is>
      </c>
      <c r="R526" s="77" t="inlineStr">
        <is>
          <t>по проекту (стыковка прутков 11,7 м)</t>
        </is>
      </c>
      <c r="S526" s="21" t="inlineStr">
        <is>
          <t>Чистая длина 25.500 м; кусков 3; стыков 2; Lнахл=2×0.128=0.256 м на стержень</t>
        </is>
      </c>
      <c r="T526" s="21" t="inlineStr">
        <is>
          <t>Ригели, балки, плита, С-1</t>
        </is>
      </c>
      <c r="U526" s="49" t="n">
        <v>0</v>
      </c>
      <c r="V526" s="72" t="inlineStr">
        <is>
          <t>Р-А</t>
        </is>
      </c>
      <c r="W526" s="49" t="n">
        <v>2</v>
      </c>
    </row>
    <row r="527">
      <c r="A527" s="72" t="n">
        <v>511</v>
      </c>
      <c r="B527" s="21" t="inlineStr">
        <is>
          <t>2 этаж (отм. +3.950…+7.550)</t>
        </is>
      </c>
      <c r="C527" s="21" t="inlineStr">
        <is>
          <t>Ригели</t>
        </is>
      </c>
      <c r="D527" s="21" t="inlineStr">
        <is>
          <t>ось А (отм. +7.550)</t>
        </is>
      </c>
      <c r="E527" s="21" t="inlineStr">
        <is>
          <t>Р-А</t>
        </is>
      </c>
      <c r="F527" s="72" t="inlineStr">
        <is>
          <t>ОС</t>
        </is>
      </c>
      <c r="G527" s="21" t="inlineStr">
        <is>
          <t>ОС верх: 2Ø28, участок 0…1800 мм + 250 до торца</t>
        </is>
      </c>
      <c r="H527" s="51" t="n">
        <v>28</v>
      </c>
      <c r="I527" s="72" t="inlineStr">
        <is>
          <t>А500С</t>
        </is>
      </c>
      <c r="J527" s="72" t="inlineStr">
        <is>
          <t>—</t>
        </is>
      </c>
      <c r="K527" s="75" t="n">
        <v>1</v>
      </c>
      <c r="L527" s="51" t="n">
        <v>2</v>
      </c>
      <c r="M527" s="69" t="n">
        <v>2.05</v>
      </c>
      <c r="N527" s="70">
        <f>K527*L527*M527</f>
        <v/>
      </c>
      <c r="O527" s="37">
        <f>IFERROR(INDEX(Исходные!$B$19:$B$31,MATCH(H527,Исходные!$A$19:$A$31,0)),0)</f>
        <v/>
      </c>
      <c r="P527" s="76">
        <f>N527*O527</f>
        <v/>
      </c>
      <c r="Q527" s="21" t="inlineStr">
        <is>
          <t>АС-20 (отм. 7.550): выноска «ОС 2Ø28 А500С»; длина по привязкам отдельных стержней</t>
        </is>
      </c>
      <c r="R527" s="77" t="inlineStr">
        <is>
          <t>по геометрии чертежа</t>
        </is>
      </c>
      <c r="S527" s="21" t="inlineStr">
        <is>
          <t>Координаты от оси 1: 0…1800 мм; конец до торца крайней колонны (+250)</t>
        </is>
      </c>
      <c r="T527" s="21" t="inlineStr">
        <is>
          <t>Ригели, балки, плита, С-1</t>
        </is>
      </c>
      <c r="U527" s="49" t="n">
        <v>0</v>
      </c>
      <c r="V527" s="72" t="inlineStr">
        <is>
          <t>Р-А</t>
        </is>
      </c>
      <c r="W527" s="49" t="n">
        <v>2</v>
      </c>
    </row>
    <row r="528">
      <c r="A528" s="72" t="n">
        <v>512</v>
      </c>
      <c r="B528" s="21" t="inlineStr">
        <is>
          <t>2 этаж (отм. +3.950…+7.550)</t>
        </is>
      </c>
      <c r="C528" s="21" t="inlineStr">
        <is>
          <t>Ригели</t>
        </is>
      </c>
      <c r="D528" s="21" t="inlineStr">
        <is>
          <t>ось А (отм. +7.550)</t>
        </is>
      </c>
      <c r="E528" s="21" t="inlineStr">
        <is>
          <t>Р-А</t>
        </is>
      </c>
      <c r="F528" s="72" t="inlineStr">
        <is>
          <t>ОС</t>
        </is>
      </c>
      <c r="G528" s="21" t="inlineStr">
        <is>
          <t>ОС верх: 2Ø25, участок 4700…9200 мм</t>
        </is>
      </c>
      <c r="H528" s="51" t="n">
        <v>25</v>
      </c>
      <c r="I528" s="72" t="inlineStr">
        <is>
          <t>А500С</t>
        </is>
      </c>
      <c r="J528" s="72" t="inlineStr">
        <is>
          <t>—</t>
        </is>
      </c>
      <c r="K528" s="75" t="n">
        <v>1</v>
      </c>
      <c r="L528" s="51" t="n">
        <v>2</v>
      </c>
      <c r="M528" s="69" t="n">
        <v>4.5</v>
      </c>
      <c r="N528" s="70">
        <f>K528*L528*M528</f>
        <v/>
      </c>
      <c r="O528" s="37">
        <f>IFERROR(INDEX(Исходные!$B$19:$B$31,MATCH(H528,Исходные!$A$19:$A$31,0)),0)</f>
        <v/>
      </c>
      <c r="P528" s="76">
        <f>N528*O528</f>
        <v/>
      </c>
      <c r="Q528" s="21" t="inlineStr">
        <is>
          <t>АС-20 (отм. 7.550): выноска «ОС 2Ø25 А500С»; длина по привязкам отдельных стержней</t>
        </is>
      </c>
      <c r="R528" s="77" t="inlineStr">
        <is>
          <t>по геометрии чертежа</t>
        </is>
      </c>
      <c r="S528" s="21" t="inlineStr">
        <is>
          <t>Координаты от оси 1: 4700…9200 мм</t>
        </is>
      </c>
      <c r="T528" s="21" t="inlineStr">
        <is>
          <t>Ригели, балки, плита, С-1</t>
        </is>
      </c>
      <c r="U528" s="49" t="n">
        <v>0</v>
      </c>
      <c r="V528" s="72" t="inlineStr">
        <is>
          <t>Р-А</t>
        </is>
      </c>
      <c r="W528" s="49" t="n">
        <v>2</v>
      </c>
    </row>
    <row r="529">
      <c r="A529" s="72" t="n">
        <v>513</v>
      </c>
      <c r="B529" s="21" t="inlineStr">
        <is>
          <t>2 этаж (отм. +3.950…+7.550)</t>
        </is>
      </c>
      <c r="C529" s="21" t="inlineStr">
        <is>
          <t>Ригели</t>
        </is>
      </c>
      <c r="D529" s="21" t="inlineStr">
        <is>
          <t>ось А (отм. +7.550)</t>
        </is>
      </c>
      <c r="E529" s="21" t="inlineStr">
        <is>
          <t>Р-А</t>
        </is>
      </c>
      <c r="F529" s="72" t="inlineStr">
        <is>
          <t>ОС</t>
        </is>
      </c>
      <c r="G529" s="21" t="inlineStr">
        <is>
          <t>ОС верх ств.: 2Ø22, участок 4700…9200 мм</t>
        </is>
      </c>
      <c r="H529" s="51" t="n">
        <v>22</v>
      </c>
      <c r="I529" s="72" t="inlineStr">
        <is>
          <t>А500С</t>
        </is>
      </c>
      <c r="J529" s="72" t="inlineStr">
        <is>
          <t>—</t>
        </is>
      </c>
      <c r="K529" s="75" t="n">
        <v>1</v>
      </c>
      <c r="L529" s="51" t="n">
        <v>2</v>
      </c>
      <c r="M529" s="69" t="n">
        <v>4.5</v>
      </c>
      <c r="N529" s="70">
        <f>K529*L529*M529</f>
        <v/>
      </c>
      <c r="O529" s="37">
        <f>IFERROR(INDEX(Исходные!$B$19:$B$31,MATCH(H529,Исходные!$A$19:$A$31,0)),0)</f>
        <v/>
      </c>
      <c r="P529" s="76">
        <f>N529*O529</f>
        <v/>
      </c>
      <c r="Q529" s="21" t="inlineStr">
        <is>
          <t>АС-20 (отм. 7.550): выноска «ОС 2Ø22 А500С»; длина по привязкам отдельных стержней</t>
        </is>
      </c>
      <c r="R529" s="77" t="inlineStr">
        <is>
          <t>по геометрии чертежа</t>
        </is>
      </c>
      <c r="S529" s="21" t="inlineStr">
        <is>
          <t>Координаты от оси 1: 4700…9200 мм</t>
        </is>
      </c>
      <c r="T529" s="21" t="inlineStr">
        <is>
          <t>Ригели, балки, плита, С-1</t>
        </is>
      </c>
      <c r="U529" s="49" t="n">
        <v>0</v>
      </c>
      <c r="V529" s="72" t="inlineStr">
        <is>
          <t>Р-А</t>
        </is>
      </c>
      <c r="W529" s="49" t="n">
        <v>2</v>
      </c>
    </row>
    <row r="530">
      <c r="A530" s="72" t="n">
        <v>514</v>
      </c>
      <c r="B530" s="21" t="inlineStr">
        <is>
          <t>2 этаж (отм. +3.950…+7.550)</t>
        </is>
      </c>
      <c r="C530" s="21" t="inlineStr">
        <is>
          <t>Ригели</t>
        </is>
      </c>
      <c r="D530" s="21" t="inlineStr">
        <is>
          <t>ось А (отм. +7.550)</t>
        </is>
      </c>
      <c r="E530" s="21" t="inlineStr">
        <is>
          <t>Р-А</t>
        </is>
      </c>
      <c r="F530" s="72" t="inlineStr">
        <is>
          <t>ОС</t>
        </is>
      </c>
      <c r="G530" s="21" t="inlineStr">
        <is>
          <t>ОС верх: 2Ø32, участок 11800…15100 мм</t>
        </is>
      </c>
      <c r="H530" s="51" t="n">
        <v>32</v>
      </c>
      <c r="I530" s="72" t="inlineStr">
        <is>
          <t>А500С</t>
        </is>
      </c>
      <c r="J530" s="72" t="inlineStr">
        <is>
          <t>—</t>
        </is>
      </c>
      <c r="K530" s="75" t="n">
        <v>1</v>
      </c>
      <c r="L530" s="51" t="n">
        <v>2</v>
      </c>
      <c r="M530" s="69" t="n">
        <v>3.3</v>
      </c>
      <c r="N530" s="70">
        <f>K530*L530*M530</f>
        <v/>
      </c>
      <c r="O530" s="37">
        <f>IFERROR(INDEX(Исходные!$B$19:$B$31,MATCH(H530,Исходные!$A$19:$A$31,0)),0)</f>
        <v/>
      </c>
      <c r="P530" s="76">
        <f>N530*O530</f>
        <v/>
      </c>
      <c r="Q530" s="21" t="inlineStr">
        <is>
          <t>АС-20 (отм. 7.550): выноска «ОС 2Ø32 А500С»; длина по привязкам отдельных стержней</t>
        </is>
      </c>
      <c r="R530" s="77" t="inlineStr">
        <is>
          <t>по геометрии чертежа</t>
        </is>
      </c>
      <c r="S530" s="21" t="inlineStr">
        <is>
          <t>Координаты от оси 1: 11800…15100 мм</t>
        </is>
      </c>
      <c r="T530" s="21" t="inlineStr">
        <is>
          <t>Ригели, балки, плита, С-1</t>
        </is>
      </c>
      <c r="U530" s="49" t="n">
        <v>0</v>
      </c>
      <c r="V530" s="72" t="inlineStr">
        <is>
          <t>Р-А</t>
        </is>
      </c>
      <c r="W530" s="49" t="n">
        <v>2</v>
      </c>
    </row>
    <row r="531">
      <c r="A531" s="72" t="n">
        <v>515</v>
      </c>
      <c r="B531" s="21" t="inlineStr">
        <is>
          <t>2 этаж (отм. +3.950…+7.550)</t>
        </is>
      </c>
      <c r="C531" s="21" t="inlineStr">
        <is>
          <t>Ригели</t>
        </is>
      </c>
      <c r="D531" s="21" t="inlineStr">
        <is>
          <t>ось А (отм. +7.550)</t>
        </is>
      </c>
      <c r="E531" s="21" t="inlineStr">
        <is>
          <t>Р-А</t>
        </is>
      </c>
      <c r="F531" s="72" t="inlineStr">
        <is>
          <t>ОС</t>
        </is>
      </c>
      <c r="G531" s="21" t="inlineStr">
        <is>
          <t>ОС верх: 2Ø25, участок 17400…25000 мм + 250 до торца</t>
        </is>
      </c>
      <c r="H531" s="51" t="n">
        <v>25</v>
      </c>
      <c r="I531" s="72" t="inlineStr">
        <is>
          <t>А500С</t>
        </is>
      </c>
      <c r="J531" s="72" t="inlineStr">
        <is>
          <t>—</t>
        </is>
      </c>
      <c r="K531" s="75" t="n">
        <v>1</v>
      </c>
      <c r="L531" s="51" t="n">
        <v>2</v>
      </c>
      <c r="M531" s="69" t="n">
        <v>7.85</v>
      </c>
      <c r="N531" s="70">
        <f>K531*L531*M531</f>
        <v/>
      </c>
      <c r="O531" s="37">
        <f>IFERROR(INDEX(Исходные!$B$19:$B$31,MATCH(H531,Исходные!$A$19:$A$31,0)),0)</f>
        <v/>
      </c>
      <c r="P531" s="76">
        <f>N531*O531</f>
        <v/>
      </c>
      <c r="Q531" s="21" t="inlineStr">
        <is>
          <t>АС-20 (отм. 7.550): выноска «ОС 2Ø25 А500С»; длина по привязкам отдельных стержней</t>
        </is>
      </c>
      <c r="R531" s="77" t="inlineStr">
        <is>
          <t>по геометрии чертежа</t>
        </is>
      </c>
      <c r="S531" s="21" t="inlineStr">
        <is>
          <t>Координаты от оси 1: 17400…25000 мм; конец до торца крайней колонны (+250)</t>
        </is>
      </c>
      <c r="T531" s="21" t="inlineStr">
        <is>
          <t>Ригели, балки, плита, С-1</t>
        </is>
      </c>
      <c r="U531" s="49" t="n">
        <v>0</v>
      </c>
      <c r="V531" s="72" t="inlineStr">
        <is>
          <t>Р-А</t>
        </is>
      </c>
      <c r="W531" s="49" t="n">
        <v>2</v>
      </c>
    </row>
    <row r="532">
      <c r="A532" s="72" t="n">
        <v>516</v>
      </c>
      <c r="B532" s="21" t="inlineStr">
        <is>
          <t>2 этаж (отм. +3.950…+7.550)</t>
        </is>
      </c>
      <c r="C532" s="21" t="inlineStr">
        <is>
          <t>Ригели</t>
        </is>
      </c>
      <c r="D532" s="21" t="inlineStr">
        <is>
          <t>ось А (отм. +7.550)</t>
        </is>
      </c>
      <c r="E532" s="21" t="inlineStr">
        <is>
          <t>Р-А</t>
        </is>
      </c>
      <c r="F532" s="72" t="inlineStr">
        <is>
          <t>ОС</t>
        </is>
      </c>
      <c r="G532" s="21" t="inlineStr">
        <is>
          <t>ОС верх ств.: 2Ø25, участок 17400…25000 мм + 250 до торца</t>
        </is>
      </c>
      <c r="H532" s="51" t="n">
        <v>25</v>
      </c>
      <c r="I532" s="72" t="inlineStr">
        <is>
          <t>А500С</t>
        </is>
      </c>
      <c r="J532" s="72" t="inlineStr">
        <is>
          <t>—</t>
        </is>
      </c>
      <c r="K532" s="75" t="n">
        <v>1</v>
      </c>
      <c r="L532" s="51" t="n">
        <v>2</v>
      </c>
      <c r="M532" s="69" t="n">
        <v>7.85</v>
      </c>
      <c r="N532" s="70">
        <f>K532*L532*M532</f>
        <v/>
      </c>
      <c r="O532" s="37">
        <f>IFERROR(INDEX(Исходные!$B$19:$B$31,MATCH(H532,Исходные!$A$19:$A$31,0)),0)</f>
        <v/>
      </c>
      <c r="P532" s="76">
        <f>N532*O532</f>
        <v/>
      </c>
      <c r="Q532" s="21" t="inlineStr">
        <is>
          <t>АС-20 (отм. 7.550): выноска «ОС 2Ø25 А500С»; длина по привязкам отдельных стержней</t>
        </is>
      </c>
      <c r="R532" s="77" t="inlineStr">
        <is>
          <t>по геометрии чертежа</t>
        </is>
      </c>
      <c r="S532" s="21" t="inlineStr">
        <is>
          <t>Координаты от оси 1: 17400…25000 мм; конец до торца крайней колонны (+250)</t>
        </is>
      </c>
      <c r="T532" s="21" t="inlineStr">
        <is>
          <t>Ригели, балки, плита, С-1</t>
        </is>
      </c>
      <c r="U532" s="49" t="n">
        <v>0</v>
      </c>
      <c r="V532" s="72" t="inlineStr">
        <is>
          <t>Р-А</t>
        </is>
      </c>
      <c r="W532" s="49" t="n">
        <v>2</v>
      </c>
    </row>
    <row r="533">
      <c r="A533" s="72" t="n">
        <v>517</v>
      </c>
      <c r="B533" s="21" t="inlineStr">
        <is>
          <t>2 этаж (отм. +3.950…+7.550)</t>
        </is>
      </c>
      <c r="C533" s="21" t="inlineStr">
        <is>
          <t>Ригели</t>
        </is>
      </c>
      <c r="D533" s="21" t="inlineStr">
        <is>
          <t>ось А (отм. +7.550)</t>
        </is>
      </c>
      <c r="E533" s="21" t="inlineStr">
        <is>
          <t>Р-А</t>
        </is>
      </c>
      <c r="F533" s="72" t="inlineStr">
        <is>
          <t>ОС</t>
        </is>
      </c>
      <c r="G533" s="21" t="inlineStr">
        <is>
          <t>ОС низ: 2Ø16, участок 0…9200 мм + 250 до торца</t>
        </is>
      </c>
      <c r="H533" s="51" t="n">
        <v>16</v>
      </c>
      <c r="I533" s="72" t="inlineStr">
        <is>
          <t>А500С</t>
        </is>
      </c>
      <c r="J533" s="72" t="inlineStr">
        <is>
          <t>—</t>
        </is>
      </c>
      <c r="K533" s="75" t="n">
        <v>1</v>
      </c>
      <c r="L533" s="51" t="n">
        <v>2</v>
      </c>
      <c r="M533" s="69" t="n">
        <v>9.449999999999999</v>
      </c>
      <c r="N533" s="70">
        <f>K533*L533*M533</f>
        <v/>
      </c>
      <c r="O533" s="37">
        <f>IFERROR(INDEX(Исходные!$B$19:$B$31,MATCH(H533,Исходные!$A$19:$A$31,0)),0)</f>
        <v/>
      </c>
      <c r="P533" s="76">
        <f>N533*O533</f>
        <v/>
      </c>
      <c r="Q533" s="21" t="inlineStr">
        <is>
          <t>АС-20 (отм. 7.550): выноска «ОС 2Ø16 А500С»; длина по привязкам отдельных стержней</t>
        </is>
      </c>
      <c r="R533" s="77" t="inlineStr">
        <is>
          <t>по геометрии чертежа</t>
        </is>
      </c>
      <c r="S533" s="21" t="inlineStr">
        <is>
          <t>Координаты от оси 1: 0…9200 мм; конец до торца крайней колонны (+250)</t>
        </is>
      </c>
      <c r="T533" s="21" t="inlineStr">
        <is>
          <t>Ригели, балки, плита, С-1</t>
        </is>
      </c>
      <c r="U533" s="49" t="n">
        <v>0</v>
      </c>
      <c r="V533" s="72" t="inlineStr">
        <is>
          <t>Р-А</t>
        </is>
      </c>
      <c r="W533" s="49" t="n">
        <v>2</v>
      </c>
    </row>
    <row r="534">
      <c r="A534" s="72" t="n">
        <v>518</v>
      </c>
      <c r="B534" s="21" t="inlineStr">
        <is>
          <t>2 этаж (отм. +3.950…+7.550)</t>
        </is>
      </c>
      <c r="C534" s="21" t="inlineStr">
        <is>
          <t>Ригели</t>
        </is>
      </c>
      <c r="D534" s="21" t="inlineStr">
        <is>
          <t>ось А (отм. +7.550)</t>
        </is>
      </c>
      <c r="E534" s="21" t="inlineStr">
        <is>
          <t>Р-А</t>
        </is>
      </c>
      <c r="F534" s="72" t="inlineStr">
        <is>
          <t>ОС</t>
        </is>
      </c>
      <c r="G534" s="21" t="inlineStr">
        <is>
          <t>ОС низ: 2Ø20, участок 11800…15100 мм</t>
        </is>
      </c>
      <c r="H534" s="51" t="n">
        <v>20</v>
      </c>
      <c r="I534" s="72" t="inlineStr">
        <is>
          <t>А500С</t>
        </is>
      </c>
      <c r="J534" s="72" t="inlineStr">
        <is>
          <t>—</t>
        </is>
      </c>
      <c r="K534" s="75" t="n">
        <v>1</v>
      </c>
      <c r="L534" s="51" t="n">
        <v>2</v>
      </c>
      <c r="M534" s="69" t="n">
        <v>3.3</v>
      </c>
      <c r="N534" s="70">
        <f>K534*L534*M534</f>
        <v/>
      </c>
      <c r="O534" s="37">
        <f>IFERROR(INDEX(Исходные!$B$19:$B$31,MATCH(H534,Исходные!$A$19:$A$31,0)),0)</f>
        <v/>
      </c>
      <c r="P534" s="76">
        <f>N534*O534</f>
        <v/>
      </c>
      <c r="Q534" s="21" t="inlineStr">
        <is>
          <t>АС-20 (отм. 7.550): выноска «ОС 2Ø20 А500С»; длина по привязкам отдельных стержней</t>
        </is>
      </c>
      <c r="R534" s="77" t="inlineStr">
        <is>
          <t>по геометрии чертежа</t>
        </is>
      </c>
      <c r="S534" s="21" t="inlineStr">
        <is>
          <t>Координаты от оси 1: 11800…15100 мм</t>
        </is>
      </c>
      <c r="T534" s="21" t="inlineStr">
        <is>
          <t>Ригели, балки, плита, С-1</t>
        </is>
      </c>
      <c r="U534" s="49" t="n">
        <v>0</v>
      </c>
      <c r="V534" s="72" t="inlineStr">
        <is>
          <t>Р-А</t>
        </is>
      </c>
      <c r="W534" s="49" t="n">
        <v>2</v>
      </c>
    </row>
    <row r="535">
      <c r="A535" s="72" t="n">
        <v>519</v>
      </c>
      <c r="B535" s="21" t="inlineStr">
        <is>
          <t>2 этаж (отм. +3.950…+7.550)</t>
        </is>
      </c>
      <c r="C535" s="21" t="inlineStr">
        <is>
          <t>Ригели</t>
        </is>
      </c>
      <c r="D535" s="21" t="inlineStr">
        <is>
          <t>ось А (отм. +7.550)</t>
        </is>
      </c>
      <c r="E535" s="21" t="inlineStr">
        <is>
          <t>Р-А</t>
        </is>
      </c>
      <c r="F535" s="72" t="inlineStr">
        <is>
          <t>ОС</t>
        </is>
      </c>
      <c r="G535" s="21" t="inlineStr">
        <is>
          <t>ОС низ: 2Ø32, участок 17400…25000 мм + 250 до торца</t>
        </is>
      </c>
      <c r="H535" s="51" t="n">
        <v>32</v>
      </c>
      <c r="I535" s="72" t="inlineStr">
        <is>
          <t>А500С</t>
        </is>
      </c>
      <c r="J535" s="72" t="inlineStr">
        <is>
          <t>—</t>
        </is>
      </c>
      <c r="K535" s="75" t="n">
        <v>1</v>
      </c>
      <c r="L535" s="51" t="n">
        <v>2</v>
      </c>
      <c r="M535" s="69" t="n">
        <v>7.85</v>
      </c>
      <c r="N535" s="70">
        <f>K535*L535*M535</f>
        <v/>
      </c>
      <c r="O535" s="37">
        <f>IFERROR(INDEX(Исходные!$B$19:$B$31,MATCH(H535,Исходные!$A$19:$A$31,0)),0)</f>
        <v/>
      </c>
      <c r="P535" s="76">
        <f>N535*O535</f>
        <v/>
      </c>
      <c r="Q535" s="21" t="inlineStr">
        <is>
          <t>АС-20 (отм. 7.550): выноска «ОС 2Ø32 А500С»; длина по привязкам отдельных стержней</t>
        </is>
      </c>
      <c r="R535" s="77" t="inlineStr">
        <is>
          <t>по геометрии чертежа</t>
        </is>
      </c>
      <c r="S535" s="21" t="inlineStr">
        <is>
          <t>Координаты от оси 1: 17400…25000 мм; конец до торца крайней колонны (+250)</t>
        </is>
      </c>
      <c r="T535" s="21" t="inlineStr">
        <is>
          <t>Ригели, балки, плита, С-1</t>
        </is>
      </c>
      <c r="U535" s="49" t="n">
        <v>0</v>
      </c>
      <c r="V535" s="72" t="inlineStr">
        <is>
          <t>Р-А</t>
        </is>
      </c>
      <c r="W535" s="49" t="n">
        <v>2</v>
      </c>
    </row>
    <row r="536">
      <c r="A536" s="72" t="n">
        <v>520</v>
      </c>
      <c r="B536" s="21" t="inlineStr">
        <is>
          <t>2 этаж (отм. +3.950…+7.550)</t>
        </is>
      </c>
      <c r="C536" s="21" t="inlineStr">
        <is>
          <t>Ригели</t>
        </is>
      </c>
      <c r="D536" s="21" t="inlineStr">
        <is>
          <t>ось А (отм. +7.550)</t>
        </is>
      </c>
      <c r="E536" s="21" t="inlineStr">
        <is>
          <t>Р-А</t>
        </is>
      </c>
      <c r="F536" s="72" t="inlineStr">
        <is>
          <t>ОС</t>
        </is>
      </c>
      <c r="G536" s="21" t="inlineStr">
        <is>
          <t>ОС низ 2-й ряд: 1Ø18, участок 17400…22200 мм</t>
        </is>
      </c>
      <c r="H536" s="51" t="n">
        <v>18</v>
      </c>
      <c r="I536" s="72" t="inlineStr">
        <is>
          <t>А500С</t>
        </is>
      </c>
      <c r="J536" s="72" t="inlineStr">
        <is>
          <t>—</t>
        </is>
      </c>
      <c r="K536" s="75" t="n">
        <v>1</v>
      </c>
      <c r="L536" s="51" t="n">
        <v>1</v>
      </c>
      <c r="M536" s="69" t="n">
        <v>4.8</v>
      </c>
      <c r="N536" s="70">
        <f>K536*L536*M536</f>
        <v/>
      </c>
      <c r="O536" s="37">
        <f>IFERROR(INDEX(Исходные!$B$19:$B$31,MATCH(H536,Исходные!$A$19:$A$31,0)),0)</f>
        <v/>
      </c>
      <c r="P536" s="76">
        <f>N536*O536</f>
        <v/>
      </c>
      <c r="Q536" s="21" t="inlineStr">
        <is>
          <t>АС-20 (отм. 7.550): выноска «ОС 1Ø18 А500С»; длина по привязкам отдельных стержней</t>
        </is>
      </c>
      <c r="R536" s="77" t="inlineStr">
        <is>
          <t>по геометрии чертежа</t>
        </is>
      </c>
      <c r="S536" s="21" t="inlineStr">
        <is>
          <t>Координаты от оси 1: 17400…22200 мм</t>
        </is>
      </c>
      <c r="T536" s="21" t="inlineStr">
        <is>
          <t>Ригели, балки, плита, С-1</t>
        </is>
      </c>
      <c r="U536" s="49" t="n">
        <v>0</v>
      </c>
      <c r="V536" s="72" t="inlineStr">
        <is>
          <t>Р-А</t>
        </is>
      </c>
      <c r="W536" s="49" t="n">
        <v>2</v>
      </c>
    </row>
    <row r="537">
      <c r="A537" s="72" t="n">
        <v>521</v>
      </c>
      <c r="B537" s="21" t="inlineStr">
        <is>
          <t>2 этаж (отм. +3.950…+7.550)</t>
        </is>
      </c>
      <c r="C537" s="21" t="inlineStr">
        <is>
          <t>Ригели</t>
        </is>
      </c>
      <c r="D537" s="21" t="inlineStr">
        <is>
          <t>ось А (отм. +7.550)</t>
        </is>
      </c>
      <c r="E537" s="21" t="inlineStr">
        <is>
          <t>Р-А</t>
        </is>
      </c>
      <c r="F537" s="72" t="inlineStr">
        <is>
          <t>12</t>
        </is>
      </c>
      <c r="G537" s="21" t="inlineStr">
        <is>
          <t>Хомут Ø8 L=2060 ш.100 у опор, ш.150 в пролёте, 80×4 у балок — вне заштрихованных участков</t>
        </is>
      </c>
      <c r="H537" s="51" t="n">
        <v>8</v>
      </c>
      <c r="I537" s="72" t="inlineStr">
        <is>
          <t>А240</t>
        </is>
      </c>
      <c r="J537" s="72" t="inlineStr">
        <is>
          <t>100/150</t>
        </is>
      </c>
      <c r="K537" s="75" t="n">
        <v>1</v>
      </c>
      <c r="L537" s="51" t="n">
        <v>112</v>
      </c>
      <c r="M537" s="69" t="n">
        <v>2.06</v>
      </c>
      <c r="N537" s="70">
        <f>K537*L537*M537</f>
        <v/>
      </c>
      <c r="O537" s="37">
        <f>IFERROR(INDEX(Исходные!$B$19:$B$31,MATCH(H537,Исходные!$A$19:$A$31,0)),0)</f>
        <v/>
      </c>
      <c r="P537" s="76">
        <f>N537*O537</f>
        <v/>
      </c>
      <c r="Q537" s="21" t="inlineStr">
        <is>
          <t>АС-28 поз.12; АС-29 «Расстановка хомутов в ригелях»</t>
        </is>
      </c>
      <c r="R537" s="77" t="inlineStr">
        <is>
          <t>по проекту</t>
        </is>
      </c>
      <c r="S537" s="21" t="inlineStr">
        <is>
          <t>Пролёты в свету [(300, 6200), (7500, 13200), (13800, 19000), (21000, 24700)]</t>
        </is>
      </c>
      <c r="T537" s="21" t="inlineStr">
        <is>
          <t>Ригели, балки, плита, С-1</t>
        </is>
      </c>
      <c r="U537" s="49" t="n">
        <v>0</v>
      </c>
      <c r="V537" s="72" t="inlineStr">
        <is>
          <t>Р-А</t>
        </is>
      </c>
      <c r="W537" s="49" t="n">
        <v>2</v>
      </c>
    </row>
    <row r="538">
      <c r="A538" s="72" t="n">
        <v>522</v>
      </c>
      <c r="B538" s="21" t="inlineStr">
        <is>
          <t>2 этаж (отм. +3.950…+7.550)</t>
        </is>
      </c>
      <c r="C538" s="21" t="inlineStr">
        <is>
          <t>Ригели</t>
        </is>
      </c>
      <c r="D538" s="21" t="inlineStr">
        <is>
          <t>ось А (отм. +7.550)</t>
        </is>
      </c>
      <c r="E538" s="21" t="inlineStr">
        <is>
          <t>Р-А</t>
        </is>
      </c>
      <c r="F538" s="72" t="inlineStr">
        <is>
          <t>13</t>
        </is>
      </c>
      <c r="G538" s="21" t="inlineStr">
        <is>
          <t>Хомут наружный Ø10 L=2060 ш.100 — заштрихованные участки</t>
        </is>
      </c>
      <c r="H538" s="51" t="n">
        <v>10</v>
      </c>
      <c r="I538" s="72" t="inlineStr">
        <is>
          <t>А240</t>
        </is>
      </c>
      <c r="J538" s="72" t="n">
        <v>100</v>
      </c>
      <c r="K538" s="75" t="n">
        <v>1</v>
      </c>
      <c r="L538" s="51" t="n">
        <v>56</v>
      </c>
      <c r="M538" s="69" t="n">
        <v>2.06</v>
      </c>
      <c r="N538" s="70">
        <f>K538*L538*M538</f>
        <v/>
      </c>
      <c r="O538" s="37">
        <f>IFERROR(INDEX(Исходные!$B$19:$B$31,MATCH(H538,Исходные!$A$19:$A$31,0)),0)</f>
        <v/>
      </c>
      <c r="P538" s="76">
        <f>N538*O538</f>
        <v/>
      </c>
      <c r="Q538" s="21" t="inlineStr">
        <is>
          <t>АС-20 штриховка у отм. 7.550; АС-28 Фрагмент №1, поз.13</t>
        </is>
      </c>
      <c r="R538" s="77" t="inlineStr">
        <is>
          <t>по проекту</t>
        </is>
      </c>
      <c r="S538" s="21" t="inlineStr">
        <is>
          <t>Участки (мм): одинарные [(7500, 8700), (12100, 14900), (17600, 19000)], двойные [(21000, 22200)]</t>
        </is>
      </c>
      <c r="T538" s="21" t="inlineStr">
        <is>
          <t>Ригели, балки, плита, С-1</t>
        </is>
      </c>
      <c r="U538" s="49" t="n">
        <v>0</v>
      </c>
      <c r="V538" s="72" t="inlineStr">
        <is>
          <t>Р-А</t>
        </is>
      </c>
      <c r="W538" s="49" t="n">
        <v>2</v>
      </c>
    </row>
    <row r="539">
      <c r="A539" s="72" t="n">
        <v>523</v>
      </c>
      <c r="B539" s="21" t="inlineStr">
        <is>
          <t>2 этаж (отм. +3.950…+7.550)</t>
        </is>
      </c>
      <c r="C539" s="21" t="inlineStr">
        <is>
          <t>Ригели</t>
        </is>
      </c>
      <c r="D539" s="21" t="inlineStr">
        <is>
          <t>ось А (отм. +7.550)</t>
        </is>
      </c>
      <c r="E539" s="21" t="inlineStr">
        <is>
          <t>Р-А</t>
        </is>
      </c>
      <c r="F539" s="72" t="inlineStr">
        <is>
          <t>15</t>
        </is>
      </c>
      <c r="G539" s="21" t="inlineStr">
        <is>
          <t>Хомут внутренний Ø10 L=1600 ш.100 — участки двойных хомутов</t>
        </is>
      </c>
      <c r="H539" s="51" t="n">
        <v>10</v>
      </c>
      <c r="I539" s="72" t="inlineStr">
        <is>
          <t>А240</t>
        </is>
      </c>
      <c r="J539" s="72" t="n">
        <v>100</v>
      </c>
      <c r="K539" s="75" t="n">
        <v>1</v>
      </c>
      <c r="L539" s="51" t="n">
        <v>8</v>
      </c>
      <c r="M539" s="69" t="n">
        <v>1.6</v>
      </c>
      <c r="N539" s="70">
        <f>K539*L539*M539</f>
        <v/>
      </c>
      <c r="O539" s="37">
        <f>IFERROR(INDEX(Исходные!$B$19:$B$31,MATCH(H539,Исходные!$A$19:$A$31,0)),0)</f>
        <v/>
      </c>
      <c r="P539" s="76">
        <f>N539*O539</f>
        <v/>
      </c>
      <c r="Q539" s="21" t="inlineStr">
        <is>
          <t>АС-20 двойная штриховка; АС-28 Фрагмент №1, поз.15</t>
        </is>
      </c>
      <c r="R539" s="77" t="inlineStr">
        <is>
          <t>по проекту</t>
        </is>
      </c>
      <c r="S539" s="21" t="inlineStr"/>
      <c r="T539" s="21" t="inlineStr">
        <is>
          <t>Ригели, балки, плита, С-1</t>
        </is>
      </c>
      <c r="U539" s="49" t="n">
        <v>0</v>
      </c>
      <c r="V539" s="72" t="inlineStr">
        <is>
          <t>Р-А</t>
        </is>
      </c>
      <c r="W539" s="49" t="n">
        <v>2</v>
      </c>
    </row>
    <row r="540">
      <c r="A540" s="72" t="n">
        <v>524</v>
      </c>
      <c r="B540" s="21" t="inlineStr">
        <is>
          <t>2 этаж (отм. +3.950…+7.550)</t>
        </is>
      </c>
      <c r="C540" s="21" t="inlineStr">
        <is>
          <t>Ригели</t>
        </is>
      </c>
      <c r="D540" s="21" t="inlineStr">
        <is>
          <t>ось А (отм. +7.550)</t>
        </is>
      </c>
      <c r="E540" s="21" t="inlineStr">
        <is>
          <t>Р-А</t>
        </is>
      </c>
      <c r="F540" s="72" t="inlineStr">
        <is>
          <t>17</t>
        </is>
      </c>
      <c r="G540" s="21" t="inlineStr">
        <is>
          <t>Шпилька вертикальная Ø8 L=750: ш.200 у опор, ш.150 в пролёте</t>
        </is>
      </c>
      <c r="H540" s="51" t="n">
        <v>8</v>
      </c>
      <c r="I540" s="72" t="inlineStr">
        <is>
          <t>А240</t>
        </is>
      </c>
      <c r="J540" s="72" t="inlineStr">
        <is>
          <t>200/150</t>
        </is>
      </c>
      <c r="K540" s="75" t="n">
        <v>1</v>
      </c>
      <c r="L540" s="51" t="n">
        <v>105</v>
      </c>
      <c r="M540" s="69" t="n">
        <v>0.75</v>
      </c>
      <c r="N540" s="70">
        <f>K540*L540*M540</f>
        <v/>
      </c>
      <c r="O540" s="37">
        <f>IFERROR(INDEX(Исходные!$B$19:$B$31,MATCH(H540,Исходные!$A$19:$A$31,0)),0)</f>
        <v/>
      </c>
      <c r="P540" s="76">
        <f>N540*O540</f>
        <v/>
      </c>
      <c r="Q540" s="21" t="inlineStr">
        <is>
          <t>АС-28 сеч.4-4/5-5 поз.17</t>
        </is>
      </c>
      <c r="R540" s="77" t="inlineStr">
        <is>
          <t>по проекту</t>
        </is>
      </c>
      <c r="S540" s="21" t="inlineStr"/>
      <c r="T540" s="21" t="inlineStr">
        <is>
          <t>Ригели, балки, плита, С-1</t>
        </is>
      </c>
      <c r="U540" s="49" t="n">
        <v>0</v>
      </c>
      <c r="V540" s="72" t="inlineStr">
        <is>
          <t>Р-А</t>
        </is>
      </c>
      <c r="W540" s="49" t="n">
        <v>2</v>
      </c>
    </row>
    <row r="541">
      <c r="A541" s="72" t="n">
        <v>525</v>
      </c>
      <c r="B541" s="21" t="inlineStr">
        <is>
          <t>2 этаж (отм. +3.950…+7.550)</t>
        </is>
      </c>
      <c r="C541" s="21" t="inlineStr">
        <is>
          <t>Ригели</t>
        </is>
      </c>
      <c r="D541" s="21" t="inlineStr">
        <is>
          <t>ось А (отм. +7.550)</t>
        </is>
      </c>
      <c r="E541" s="21" t="inlineStr">
        <is>
          <t>Р-А</t>
        </is>
      </c>
      <c r="F541" s="72" t="inlineStr">
        <is>
          <t>16</t>
        </is>
      </c>
      <c r="G541" s="21" t="inlineStr">
        <is>
          <t>Шпилька горизонтальная Ø8 L=580 ш.300</t>
        </is>
      </c>
      <c r="H541" s="51" t="n">
        <v>8</v>
      </c>
      <c r="I541" s="72" t="inlineStr">
        <is>
          <t>А240</t>
        </is>
      </c>
      <c r="J541" s="72" t="n">
        <v>300</v>
      </c>
      <c r="K541" s="75" t="n">
        <v>1</v>
      </c>
      <c r="L541" s="51" t="n">
        <v>70</v>
      </c>
      <c r="M541" s="69" t="n">
        <v>0.58</v>
      </c>
      <c r="N541" s="70">
        <f>K541*L541*M541</f>
        <v/>
      </c>
      <c r="O541" s="37">
        <f>IFERROR(INDEX(Исходные!$B$19:$B$31,MATCH(H541,Исходные!$A$19:$A$31,0)),0)</f>
        <v/>
      </c>
      <c r="P541" s="76">
        <f>N541*O541</f>
        <v/>
      </c>
      <c r="Q541" s="21" t="inlineStr">
        <is>
          <t>АС-28 «шп.Ø8 А240 ш.300», поз.16 L=580</t>
        </is>
      </c>
      <c r="R541" s="78" t="inlineStr">
        <is>
          <t>принято (уточнить)</t>
        </is>
      </c>
      <c r="S541" s="21" t="inlineStr"/>
      <c r="T541" s="21" t="inlineStr">
        <is>
          <t>Ригели, балки, плита, С-1</t>
        </is>
      </c>
      <c r="U541" s="49" t="n">
        <v>1</v>
      </c>
      <c r="V541" s="72" t="inlineStr">
        <is>
          <t>Р-А</t>
        </is>
      </c>
      <c r="W541" s="49" t="n">
        <v>2</v>
      </c>
    </row>
    <row r="542">
      <c r="A542" s="72" t="n">
        <v>526</v>
      </c>
      <c r="B542" s="21" t="inlineStr">
        <is>
          <t>2 этаж (отм. +3.950…+7.550)</t>
        </is>
      </c>
      <c r="C542" s="21" t="inlineStr">
        <is>
          <t>Ригели</t>
        </is>
      </c>
      <c r="D542" s="21" t="inlineStr">
        <is>
          <t>ось Б (отм. +7.550)</t>
        </is>
      </c>
      <c r="E542" s="21" t="inlineStr">
        <is>
          <t>Р-Б</t>
        </is>
      </c>
      <c r="F542" s="72" t="inlineStr">
        <is>
          <t>2</t>
        </is>
      </c>
      <c r="G542" s="21" t="inlineStr">
        <is>
          <t>Продольные угловые 4Ø28 (сеч.4-4/5-5), сквозные, концы с Аш</t>
        </is>
      </c>
      <c r="H542" s="51" t="n">
        <v>28</v>
      </c>
      <c r="I542" s="72" t="inlineStr">
        <is>
          <t>А500С</t>
        </is>
      </c>
      <c r="J542" s="72" t="inlineStr">
        <is>
          <t>—</t>
        </is>
      </c>
      <c r="K542" s="75" t="n">
        <v>1</v>
      </c>
      <c r="L542" s="51" t="n">
        <v>4</v>
      </c>
      <c r="M542" s="69" t="n">
        <v>25.5</v>
      </c>
      <c r="N542" s="70">
        <f>K542*L542*M542</f>
        <v/>
      </c>
      <c r="O542" s="37">
        <f>IFERROR(INDEX(Исходные!$B$19:$B$31,MATCH(H542,Исходные!$A$19:$A$31,0)),0)</f>
        <v/>
      </c>
      <c r="P542" s="76">
        <f>N542*O542</f>
        <v/>
      </c>
      <c r="Q542" s="21" t="inlineStr">
        <is>
          <t>АС-21 рама + АС-28 сеч.4-4/5-5 поз.2; длина = 25000+2×250</t>
        </is>
      </c>
      <c r="R542" s="77" t="inlineStr">
        <is>
          <t>по геометрии чертежа</t>
        </is>
      </c>
      <c r="S542" s="21" t="inlineStr">
        <is>
          <t>Стыки ванной сваркой без нахлёста: 2 на стержень (всего 8).</t>
        </is>
      </c>
      <c r="T542" s="21" t="inlineStr">
        <is>
          <t>Ригели, балки, плита, С-1</t>
        </is>
      </c>
      <c r="U542" s="49" t="n">
        <v>0</v>
      </c>
      <c r="V542" s="72" t="inlineStr">
        <is>
          <t>Р-Б</t>
        </is>
      </c>
      <c r="W542" s="49" t="n">
        <v>2</v>
      </c>
    </row>
    <row r="543">
      <c r="A543" s="72" t="n">
        <v>527</v>
      </c>
      <c r="B543" s="21" t="inlineStr">
        <is>
          <t>2 этаж (отм. +3.950…+7.550)</t>
        </is>
      </c>
      <c r="C543" s="21" t="inlineStr">
        <is>
          <t>Ригели</t>
        </is>
      </c>
      <c r="D543" s="21" t="inlineStr">
        <is>
          <t>ось Б (отм. +7.550)</t>
        </is>
      </c>
      <c r="E543" s="21" t="inlineStr">
        <is>
          <t>Р-Б</t>
        </is>
      </c>
      <c r="F543" s="72" t="inlineStr">
        <is>
          <t>6</t>
        </is>
      </c>
      <c r="G543" s="21" t="inlineStr">
        <is>
          <t>Продольные средние верх/низ 2Ø18 (сеч.4-4/5-5)</t>
        </is>
      </c>
      <c r="H543" s="51" t="n">
        <v>18</v>
      </c>
      <c r="I543" s="72" t="inlineStr">
        <is>
          <t>А500С</t>
        </is>
      </c>
      <c r="J543" s="72" t="inlineStr">
        <is>
          <t>—</t>
        </is>
      </c>
      <c r="K543" s="75" t="n">
        <v>1</v>
      </c>
      <c r="L543" s="51" t="n">
        <v>2</v>
      </c>
      <c r="M543" s="69" t="n">
        <v>25.5</v>
      </c>
      <c r="N543" s="70">
        <f>K543*L543*M543</f>
        <v/>
      </c>
      <c r="O543" s="37">
        <f>IFERROR(INDEX(Исходные!$B$19:$B$31,MATCH(H543,Исходные!$A$19:$A$31,0)),0)</f>
        <v/>
      </c>
      <c r="P543" s="76">
        <f>N543*O543</f>
        <v/>
      </c>
      <c r="Q543" s="21" t="inlineStr">
        <is>
          <t>АС-28 сеч.4-4/5-5 поз.6</t>
        </is>
      </c>
      <c r="R543" s="77" t="inlineStr">
        <is>
          <t>по геометрии чертежа</t>
        </is>
      </c>
      <c r="S543" s="21" t="inlineStr"/>
      <c r="T543" s="21" t="inlineStr">
        <is>
          <t>Ригели, балки, плита, С-1</t>
        </is>
      </c>
      <c r="U543" s="49" t="n">
        <v>0</v>
      </c>
      <c r="V543" s="72" t="inlineStr">
        <is>
          <t>Р-Б</t>
        </is>
      </c>
      <c r="W543" s="49" t="n">
        <v>2</v>
      </c>
    </row>
    <row r="544">
      <c r="A544" s="72" t="n">
        <v>528</v>
      </c>
      <c r="B544" s="21" t="inlineStr">
        <is>
          <t>2 этаж (отм. +3.950…+7.550)</t>
        </is>
      </c>
      <c r="C544" s="21" t="inlineStr">
        <is>
          <t>Ригели</t>
        </is>
      </c>
      <c r="D544" s="21" t="inlineStr">
        <is>
          <t>ось Б (отм. +7.550)</t>
        </is>
      </c>
      <c r="E544" s="21" t="inlineStr">
        <is>
          <t>Р-Б</t>
        </is>
      </c>
      <c r="F544" s="72" t="inlineStr">
        <is>
          <t>6-нахл</t>
        </is>
      </c>
      <c r="G544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44" s="51" t="n">
        <v>18</v>
      </c>
      <c r="I544" s="72" t="inlineStr">
        <is>
          <t>А500С</t>
        </is>
      </c>
      <c r="J544" s="72" t="inlineStr">
        <is>
          <t>—</t>
        </is>
      </c>
      <c r="K544" s="75" t="n">
        <v>2</v>
      </c>
      <c r="L544" s="51" t="n">
        <v>2</v>
      </c>
      <c r="M544" s="69" t="n">
        <v>0.144</v>
      </c>
      <c r="N544" s="70">
        <f>K544*L544*M544</f>
        <v/>
      </c>
      <c r="O544" s="37">
        <f>IFERROR(INDEX(Исходные!$B$19:$B$31,MATCH(H544,Исходные!$A$19:$A$31,0)),0)</f>
        <v/>
      </c>
      <c r="P544" s="76">
        <f>N544*O544</f>
        <v/>
      </c>
      <c r="Q544" s="21" t="inlineStr">
        <is>
          <t>АС-19 прим.1: Ø18 и менее — внахлёстку электродуговой сваркой, Lшва=8d = 144 мм</t>
        </is>
      </c>
      <c r="R544" s="77" t="inlineStr">
        <is>
          <t>по проекту (стыковка прутков 11,7 м)</t>
        </is>
      </c>
      <c r="S544" s="21" t="inlineStr">
        <is>
          <t>Чистая длина 25.500 м; кусков 3; стыков 2; Lнахл=2×0.144=0.288 м на стержень</t>
        </is>
      </c>
      <c r="T544" s="21" t="inlineStr">
        <is>
          <t>Ригели, балки, плита, С-1</t>
        </is>
      </c>
      <c r="U544" s="49" t="n">
        <v>0</v>
      </c>
      <c r="V544" s="72" t="inlineStr">
        <is>
          <t>Р-Б</t>
        </is>
      </c>
      <c r="W544" s="49" t="n">
        <v>2</v>
      </c>
    </row>
    <row r="545">
      <c r="A545" s="72" t="n">
        <v>529</v>
      </c>
      <c r="B545" s="21" t="inlineStr">
        <is>
          <t>2 этаж (отм. +3.950…+7.550)</t>
        </is>
      </c>
      <c r="C545" s="21" t="inlineStr">
        <is>
          <t>Ригели</t>
        </is>
      </c>
      <c r="D545" s="21" t="inlineStr">
        <is>
          <t>ось Б (отм. +7.550)</t>
        </is>
      </c>
      <c r="E545" s="21" t="inlineStr">
        <is>
          <t>Р-Б</t>
        </is>
      </c>
      <c r="F545" s="72" t="inlineStr">
        <is>
          <t>7</t>
        </is>
      </c>
      <c r="G545" s="21" t="inlineStr">
        <is>
          <t>Боковые стержни 2Ø16 (сеч.4-4/5-5)</t>
        </is>
      </c>
      <c r="H545" s="51" t="n">
        <v>16</v>
      </c>
      <c r="I545" s="72" t="inlineStr">
        <is>
          <t>А500С</t>
        </is>
      </c>
      <c r="J545" s="72" t="inlineStr">
        <is>
          <t>—</t>
        </is>
      </c>
      <c r="K545" s="75" t="n">
        <v>1</v>
      </c>
      <c r="L545" s="51" t="n">
        <v>2</v>
      </c>
      <c r="M545" s="69" t="n">
        <v>25.5</v>
      </c>
      <c r="N545" s="70">
        <f>K545*L545*M545</f>
        <v/>
      </c>
      <c r="O545" s="37">
        <f>IFERROR(INDEX(Исходные!$B$19:$B$31,MATCH(H545,Исходные!$A$19:$A$31,0)),0)</f>
        <v/>
      </c>
      <c r="P545" s="76">
        <f>N545*O545</f>
        <v/>
      </c>
      <c r="Q545" s="21" t="inlineStr">
        <is>
          <t>АС-28 сеч.4-4/5-5 «Боковые стержни 2Ø16»</t>
        </is>
      </c>
      <c r="R545" s="77" t="inlineStr">
        <is>
          <t>по геометрии чертежа</t>
        </is>
      </c>
      <c r="S545" s="21" t="inlineStr"/>
      <c r="T545" s="21" t="inlineStr">
        <is>
          <t>Ригели, балки, плита, С-1</t>
        </is>
      </c>
      <c r="U545" s="49" t="n">
        <v>0</v>
      </c>
      <c r="V545" s="72" t="inlineStr">
        <is>
          <t>Р-Б</t>
        </is>
      </c>
      <c r="W545" s="49" t="n">
        <v>2</v>
      </c>
    </row>
    <row r="546">
      <c r="A546" s="72" t="n">
        <v>530</v>
      </c>
      <c r="B546" s="21" t="inlineStr">
        <is>
          <t>2 этаж (отм. +3.950…+7.550)</t>
        </is>
      </c>
      <c r="C546" s="21" t="inlineStr">
        <is>
          <t>Ригели</t>
        </is>
      </c>
      <c r="D546" s="21" t="inlineStr">
        <is>
          <t>ось Б (отм. +7.550)</t>
        </is>
      </c>
      <c r="E546" s="21" t="inlineStr">
        <is>
          <t>Р-Б</t>
        </is>
      </c>
      <c r="F546" s="72" t="inlineStr">
        <is>
          <t>7-нахл</t>
        </is>
      </c>
      <c r="G546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46" s="51" t="n">
        <v>16</v>
      </c>
      <c r="I546" s="72" t="inlineStr">
        <is>
          <t>А500С</t>
        </is>
      </c>
      <c r="J546" s="72" t="inlineStr">
        <is>
          <t>—</t>
        </is>
      </c>
      <c r="K546" s="75" t="n">
        <v>2</v>
      </c>
      <c r="L546" s="51" t="n">
        <v>2</v>
      </c>
      <c r="M546" s="69" t="n">
        <v>0.128</v>
      </c>
      <c r="N546" s="70">
        <f>K546*L546*M546</f>
        <v/>
      </c>
      <c r="O546" s="37">
        <f>IFERROR(INDEX(Исходные!$B$19:$B$31,MATCH(H546,Исходные!$A$19:$A$31,0)),0)</f>
        <v/>
      </c>
      <c r="P546" s="76">
        <f>N546*O546</f>
        <v/>
      </c>
      <c r="Q546" s="21" t="inlineStr">
        <is>
          <t>АС-19 прим.1: Ø18 и менее — внахлёстку электродуговой сваркой, Lшва=8d = 128 мм</t>
        </is>
      </c>
      <c r="R546" s="77" t="inlineStr">
        <is>
          <t>по проекту (стыковка прутков 11,7 м)</t>
        </is>
      </c>
      <c r="S546" s="21" t="inlineStr">
        <is>
          <t>Чистая длина 25.500 м; кусков 3; стыков 2; Lнахл=2×0.128=0.256 м на стержень</t>
        </is>
      </c>
      <c r="T546" s="21" t="inlineStr">
        <is>
          <t>Ригели, балки, плита, С-1</t>
        </is>
      </c>
      <c r="U546" s="49" t="n">
        <v>0</v>
      </c>
      <c r="V546" s="72" t="inlineStr">
        <is>
          <t>Р-Б</t>
        </is>
      </c>
      <c r="W546" s="49" t="n">
        <v>2</v>
      </c>
    </row>
    <row r="547">
      <c r="A547" s="72" t="n">
        <v>531</v>
      </c>
      <c r="B547" s="21" t="inlineStr">
        <is>
          <t>2 этаж (отм. +3.950…+7.550)</t>
        </is>
      </c>
      <c r="C547" s="21" t="inlineStr">
        <is>
          <t>Ригели</t>
        </is>
      </c>
      <c r="D547" s="21" t="inlineStr">
        <is>
          <t>ось Б (отм. +7.550)</t>
        </is>
      </c>
      <c r="E547" s="21" t="inlineStr">
        <is>
          <t>Р-Б</t>
        </is>
      </c>
      <c r="F547" s="72" t="inlineStr">
        <is>
          <t>ОС</t>
        </is>
      </c>
      <c r="G547" s="21" t="inlineStr">
        <is>
          <t>ОС верх: 2Ø28, участок 0…1800 мм + 250 до торца</t>
        </is>
      </c>
      <c r="H547" s="51" t="n">
        <v>28</v>
      </c>
      <c r="I547" s="72" t="inlineStr">
        <is>
          <t>А500С</t>
        </is>
      </c>
      <c r="J547" s="72" t="inlineStr">
        <is>
          <t>—</t>
        </is>
      </c>
      <c r="K547" s="75" t="n">
        <v>1</v>
      </c>
      <c r="L547" s="51" t="n">
        <v>2</v>
      </c>
      <c r="M547" s="69" t="n">
        <v>2.05</v>
      </c>
      <c r="N547" s="70">
        <f>K547*L547*M547</f>
        <v/>
      </c>
      <c r="O547" s="37">
        <f>IFERROR(INDEX(Исходные!$B$19:$B$31,MATCH(H547,Исходные!$A$19:$A$31,0)),0)</f>
        <v/>
      </c>
      <c r="P547" s="76">
        <f>N547*O547</f>
        <v/>
      </c>
      <c r="Q547" s="21" t="inlineStr">
        <is>
          <t>АС-21 (отм. 7.550): выноска «ОС 2Ø28 А500С»; длина по привязкам отдельных стержней</t>
        </is>
      </c>
      <c r="R547" s="77" t="inlineStr">
        <is>
          <t>по геометрии чертежа</t>
        </is>
      </c>
      <c r="S547" s="21" t="inlineStr">
        <is>
          <t>Координаты от оси 1: 0…1800 мм; конец до торца крайней колонны (+250)</t>
        </is>
      </c>
      <c r="T547" s="21" t="inlineStr">
        <is>
          <t>Ригели, балки, плита, С-1</t>
        </is>
      </c>
      <c r="U547" s="49" t="n">
        <v>0</v>
      </c>
      <c r="V547" s="72" t="inlineStr">
        <is>
          <t>Р-Б</t>
        </is>
      </c>
      <c r="W547" s="49" t="n">
        <v>2</v>
      </c>
    </row>
    <row r="548">
      <c r="A548" s="72" t="n">
        <v>532</v>
      </c>
      <c r="B548" s="21" t="inlineStr">
        <is>
          <t>2 этаж (отм. +3.950…+7.550)</t>
        </is>
      </c>
      <c r="C548" s="21" t="inlineStr">
        <is>
          <t>Ригели</t>
        </is>
      </c>
      <c r="D548" s="21" t="inlineStr">
        <is>
          <t>ось Б (отм. +7.550)</t>
        </is>
      </c>
      <c r="E548" s="21" t="inlineStr">
        <is>
          <t>Р-Б</t>
        </is>
      </c>
      <c r="F548" s="72" t="inlineStr">
        <is>
          <t>ОС</t>
        </is>
      </c>
      <c r="G548" s="21" t="inlineStr">
        <is>
          <t>ОС верх: 2Ø28, участок 4700…8400 мм</t>
        </is>
      </c>
      <c r="H548" s="51" t="n">
        <v>28</v>
      </c>
      <c r="I548" s="72" t="inlineStr">
        <is>
          <t>А500С</t>
        </is>
      </c>
      <c r="J548" s="72" t="inlineStr">
        <is>
          <t>—</t>
        </is>
      </c>
      <c r="K548" s="75" t="n">
        <v>1</v>
      </c>
      <c r="L548" s="51" t="n">
        <v>2</v>
      </c>
      <c r="M548" s="69" t="n">
        <v>3.7</v>
      </c>
      <c r="N548" s="70">
        <f>K548*L548*M548</f>
        <v/>
      </c>
      <c r="O548" s="37">
        <f>IFERROR(INDEX(Исходные!$B$19:$B$31,MATCH(H548,Исходные!$A$19:$A$31,0)),0)</f>
        <v/>
      </c>
      <c r="P548" s="76">
        <f>N548*O548</f>
        <v/>
      </c>
      <c r="Q548" s="21" t="inlineStr">
        <is>
          <t>АС-21 (отм. 7.550): выноска «ОС 2Ø28 А500С»; длина по привязкам отдельных стержней</t>
        </is>
      </c>
      <c r="R548" s="77" t="inlineStr">
        <is>
          <t>по геометрии чертежа</t>
        </is>
      </c>
      <c r="S548" s="21" t="inlineStr">
        <is>
          <t>Координаты от оси 1: 4700…8400 мм</t>
        </is>
      </c>
      <c r="T548" s="21" t="inlineStr">
        <is>
          <t>Ригели, балки, плита, С-1</t>
        </is>
      </c>
      <c r="U548" s="49" t="n">
        <v>0</v>
      </c>
      <c r="V548" s="72" t="inlineStr">
        <is>
          <t>Р-Б</t>
        </is>
      </c>
      <c r="W548" s="49" t="n">
        <v>2</v>
      </c>
    </row>
    <row r="549">
      <c r="A549" s="72" t="n">
        <v>533</v>
      </c>
      <c r="B549" s="21" t="inlineStr">
        <is>
          <t>2 этаж (отм. +3.950…+7.550)</t>
        </is>
      </c>
      <c r="C549" s="21" t="inlineStr">
        <is>
          <t>Ригели</t>
        </is>
      </c>
      <c r="D549" s="21" t="inlineStr">
        <is>
          <t>ось Б (отм. +7.550)</t>
        </is>
      </c>
      <c r="E549" s="21" t="inlineStr">
        <is>
          <t>Р-Б</t>
        </is>
      </c>
      <c r="F549" s="72" t="inlineStr">
        <is>
          <t>ОС</t>
        </is>
      </c>
      <c r="G549" s="21" t="inlineStr">
        <is>
          <t>ОС верх ств.: 2Ø22, участок 4700…8400 мм</t>
        </is>
      </c>
      <c r="H549" s="51" t="n">
        <v>22</v>
      </c>
      <c r="I549" s="72" t="inlineStr">
        <is>
          <t>А500С</t>
        </is>
      </c>
      <c r="J549" s="72" t="inlineStr">
        <is>
          <t>—</t>
        </is>
      </c>
      <c r="K549" s="75" t="n">
        <v>1</v>
      </c>
      <c r="L549" s="51" t="n">
        <v>2</v>
      </c>
      <c r="M549" s="69" t="n">
        <v>3.7</v>
      </c>
      <c r="N549" s="70">
        <f>K549*L549*M549</f>
        <v/>
      </c>
      <c r="O549" s="37">
        <f>IFERROR(INDEX(Исходные!$B$19:$B$31,MATCH(H549,Исходные!$A$19:$A$31,0)),0)</f>
        <v/>
      </c>
      <c r="P549" s="76">
        <f>N549*O549</f>
        <v/>
      </c>
      <c r="Q549" s="21" t="inlineStr">
        <is>
          <t>АС-21 (отм. 7.550): выноска «ОС 2Ø22 А500С»; длина по привязкам отдельных стержней</t>
        </is>
      </c>
      <c r="R549" s="77" t="inlineStr">
        <is>
          <t>по геометрии чертежа</t>
        </is>
      </c>
      <c r="S549" s="21" t="inlineStr">
        <is>
          <t>Координаты от оси 1: 4700…8400 мм</t>
        </is>
      </c>
      <c r="T549" s="21" t="inlineStr">
        <is>
          <t>Ригели, балки, плита, С-1</t>
        </is>
      </c>
      <c r="U549" s="49" t="n">
        <v>0</v>
      </c>
      <c r="V549" s="72" t="inlineStr">
        <is>
          <t>Р-Б</t>
        </is>
      </c>
      <c r="W549" s="49" t="n">
        <v>2</v>
      </c>
    </row>
    <row r="550">
      <c r="A550" s="72" t="n">
        <v>534</v>
      </c>
      <c r="B550" s="21" t="inlineStr">
        <is>
          <t>2 этаж (отм. +3.950…+7.550)</t>
        </is>
      </c>
      <c r="C550" s="21" t="inlineStr">
        <is>
          <t>Ригели</t>
        </is>
      </c>
      <c r="D550" s="21" t="inlineStr">
        <is>
          <t>ось Б (отм. +7.550)</t>
        </is>
      </c>
      <c r="E550" s="21" t="inlineStr">
        <is>
          <t>Р-Б</t>
        </is>
      </c>
      <c r="F550" s="72" t="inlineStr">
        <is>
          <t>ОС</t>
        </is>
      </c>
      <c r="G550" s="21" t="inlineStr">
        <is>
          <t>ОС верх: 2Ø28, участок 11600…15300 мм</t>
        </is>
      </c>
      <c r="H550" s="51" t="n">
        <v>28</v>
      </c>
      <c r="I550" s="72" t="inlineStr">
        <is>
          <t>А500С</t>
        </is>
      </c>
      <c r="J550" s="72" t="inlineStr">
        <is>
          <t>—</t>
        </is>
      </c>
      <c r="K550" s="75" t="n">
        <v>1</v>
      </c>
      <c r="L550" s="51" t="n">
        <v>2</v>
      </c>
      <c r="M550" s="69" t="n">
        <v>3.7</v>
      </c>
      <c r="N550" s="70">
        <f>K550*L550*M550</f>
        <v/>
      </c>
      <c r="O550" s="37">
        <f>IFERROR(INDEX(Исходные!$B$19:$B$31,MATCH(H550,Исходные!$A$19:$A$31,0)),0)</f>
        <v/>
      </c>
      <c r="P550" s="76">
        <f>N550*O550</f>
        <v/>
      </c>
      <c r="Q550" s="21" t="inlineStr">
        <is>
          <t>АС-21 (отм. 7.550): выноска «ОС 2Ø28 А500С»; длина по привязкам отдельных стержней</t>
        </is>
      </c>
      <c r="R550" s="77" t="inlineStr">
        <is>
          <t>по геометрии чертежа</t>
        </is>
      </c>
      <c r="S550" s="21" t="inlineStr">
        <is>
          <t>Координаты от оси 1: 11600…15300 мм</t>
        </is>
      </c>
      <c r="T550" s="21" t="inlineStr">
        <is>
          <t>Ригели, балки, плита, С-1</t>
        </is>
      </c>
      <c r="U550" s="49" t="n">
        <v>0</v>
      </c>
      <c r="V550" s="72" t="inlineStr">
        <is>
          <t>Р-Б</t>
        </is>
      </c>
      <c r="W550" s="49" t="n">
        <v>2</v>
      </c>
    </row>
    <row r="551">
      <c r="A551" s="72" t="n">
        <v>535</v>
      </c>
      <c r="B551" s="21" t="inlineStr">
        <is>
          <t>2 этаж (отм. +3.950…+7.550)</t>
        </is>
      </c>
      <c r="C551" s="21" t="inlineStr">
        <is>
          <t>Ригели</t>
        </is>
      </c>
      <c r="D551" s="21" t="inlineStr">
        <is>
          <t>ось Б (отм. +7.550)</t>
        </is>
      </c>
      <c r="E551" s="21" t="inlineStr">
        <is>
          <t>Р-Б</t>
        </is>
      </c>
      <c r="F551" s="72" t="inlineStr">
        <is>
          <t>ОС</t>
        </is>
      </c>
      <c r="G551" s="21" t="inlineStr">
        <is>
          <t>ОС верх: 2Ø28, участок 18200…21800 мм</t>
        </is>
      </c>
      <c r="H551" s="51" t="n">
        <v>28</v>
      </c>
      <c r="I551" s="72" t="inlineStr">
        <is>
          <t>А500С</t>
        </is>
      </c>
      <c r="J551" s="72" t="inlineStr">
        <is>
          <t>—</t>
        </is>
      </c>
      <c r="K551" s="75" t="n">
        <v>1</v>
      </c>
      <c r="L551" s="51" t="n">
        <v>2</v>
      </c>
      <c r="M551" s="69" t="n">
        <v>3.6</v>
      </c>
      <c r="N551" s="70">
        <f>K551*L551*M551</f>
        <v/>
      </c>
      <c r="O551" s="37">
        <f>IFERROR(INDEX(Исходные!$B$19:$B$31,MATCH(H551,Исходные!$A$19:$A$31,0)),0)</f>
        <v/>
      </c>
      <c r="P551" s="76">
        <f>N551*O551</f>
        <v/>
      </c>
      <c r="Q551" s="21" t="inlineStr">
        <is>
          <t>АС-21 (отм. 7.550): выноска «ОС 2Ø28 А500С»; длина по привязкам отдельных стержней</t>
        </is>
      </c>
      <c r="R551" s="77" t="inlineStr">
        <is>
          <t>по геометрии чертежа</t>
        </is>
      </c>
      <c r="S551" s="21" t="inlineStr">
        <is>
          <t>Координаты от оси 1: 18200…21800 мм</t>
        </is>
      </c>
      <c r="T551" s="21" t="inlineStr">
        <is>
          <t>Ригели, балки, плита, С-1</t>
        </is>
      </c>
      <c r="U551" s="49" t="n">
        <v>0</v>
      </c>
      <c r="V551" s="72" t="inlineStr">
        <is>
          <t>Р-Б</t>
        </is>
      </c>
      <c r="W551" s="49" t="n">
        <v>2</v>
      </c>
    </row>
    <row r="552">
      <c r="A552" s="72" t="n">
        <v>536</v>
      </c>
      <c r="B552" s="21" t="inlineStr">
        <is>
          <t>2 этаж (отм. +3.950…+7.550)</t>
        </is>
      </c>
      <c r="C552" s="21" t="inlineStr">
        <is>
          <t>Ригели</t>
        </is>
      </c>
      <c r="D552" s="21" t="inlineStr">
        <is>
          <t>ось Б (отм. +7.550)</t>
        </is>
      </c>
      <c r="E552" s="21" t="inlineStr">
        <is>
          <t>Р-Б</t>
        </is>
      </c>
      <c r="F552" s="72" t="inlineStr">
        <is>
          <t>ОС</t>
        </is>
      </c>
      <c r="G552" s="21" t="inlineStr">
        <is>
          <t>ОС верх: 2Ø28, участок 23200…25000 мм + 250 до торца</t>
        </is>
      </c>
      <c r="H552" s="51" t="n">
        <v>28</v>
      </c>
      <c r="I552" s="72" t="inlineStr">
        <is>
          <t>А500С</t>
        </is>
      </c>
      <c r="J552" s="72" t="inlineStr">
        <is>
          <t>—</t>
        </is>
      </c>
      <c r="K552" s="75" t="n">
        <v>1</v>
      </c>
      <c r="L552" s="51" t="n">
        <v>2</v>
      </c>
      <c r="M552" s="69" t="n">
        <v>2.05</v>
      </c>
      <c r="N552" s="70">
        <f>K552*L552*M552</f>
        <v/>
      </c>
      <c r="O552" s="37">
        <f>IFERROR(INDEX(Исходные!$B$19:$B$31,MATCH(H552,Исходные!$A$19:$A$31,0)),0)</f>
        <v/>
      </c>
      <c r="P552" s="76">
        <f>N552*O552</f>
        <v/>
      </c>
      <c r="Q552" s="21" t="inlineStr">
        <is>
          <t>АС-21 (отм. 7.550): выноска «ОС 2Ø28 А500С»; длина по привязкам отдельных стержней</t>
        </is>
      </c>
      <c r="R552" s="77" t="inlineStr">
        <is>
          <t>по геометрии чертежа</t>
        </is>
      </c>
      <c r="S552" s="21" t="inlineStr">
        <is>
          <t>Координаты от оси 1: 23200…25000 мм; конец до торца крайней колонны (+250)</t>
        </is>
      </c>
      <c r="T552" s="21" t="inlineStr">
        <is>
          <t>Ригели, балки, плита, С-1</t>
        </is>
      </c>
      <c r="U552" s="49" t="n">
        <v>0</v>
      </c>
      <c r="V552" s="72" t="inlineStr">
        <is>
          <t>Р-Б</t>
        </is>
      </c>
      <c r="W552" s="49" t="n">
        <v>2</v>
      </c>
    </row>
    <row r="553">
      <c r="A553" s="72" t="n">
        <v>537</v>
      </c>
      <c r="B553" s="21" t="inlineStr">
        <is>
          <t>2 этаж (отм. +3.950…+7.550)</t>
        </is>
      </c>
      <c r="C553" s="21" t="inlineStr">
        <is>
          <t>Ригели</t>
        </is>
      </c>
      <c r="D553" s="21" t="inlineStr">
        <is>
          <t>ось Б (отм. +7.550)</t>
        </is>
      </c>
      <c r="E553" s="21" t="inlineStr">
        <is>
          <t>Р-Б</t>
        </is>
      </c>
      <c r="F553" s="72" t="inlineStr">
        <is>
          <t>ОС</t>
        </is>
      </c>
      <c r="G553" s="21" t="inlineStr">
        <is>
          <t>ОС низ: 2Ø16, участок 1800…4700 мм</t>
        </is>
      </c>
      <c r="H553" s="51" t="n">
        <v>16</v>
      </c>
      <c r="I553" s="72" t="inlineStr">
        <is>
          <t>А500С</t>
        </is>
      </c>
      <c r="J553" s="72" t="inlineStr">
        <is>
          <t>—</t>
        </is>
      </c>
      <c r="K553" s="75" t="n">
        <v>1</v>
      </c>
      <c r="L553" s="51" t="n">
        <v>2</v>
      </c>
      <c r="M553" s="69" t="n">
        <v>2.9</v>
      </c>
      <c r="N553" s="70">
        <f>K553*L553*M553</f>
        <v/>
      </c>
      <c r="O553" s="37">
        <f>IFERROR(INDEX(Исходные!$B$19:$B$31,MATCH(H553,Исходные!$A$19:$A$31,0)),0)</f>
        <v/>
      </c>
      <c r="P553" s="76">
        <f>N553*O553</f>
        <v/>
      </c>
      <c r="Q553" s="21" t="inlineStr">
        <is>
          <t>АС-21 (отм. 7.550): выноска «ОС 2Ø16 А500С»; длина по привязкам отдельных стержней</t>
        </is>
      </c>
      <c r="R553" s="77" t="inlineStr">
        <is>
          <t>по геометрии чертежа</t>
        </is>
      </c>
      <c r="S553" s="21" t="inlineStr">
        <is>
          <t>Координаты от оси 1: 1800…4700 мм</t>
        </is>
      </c>
      <c r="T553" s="21" t="inlineStr">
        <is>
          <t>Ригели, балки, плита, С-1</t>
        </is>
      </c>
      <c r="U553" s="49" t="n">
        <v>0</v>
      </c>
      <c r="V553" s="72" t="inlineStr">
        <is>
          <t>Р-Б</t>
        </is>
      </c>
      <c r="W553" s="49" t="n">
        <v>2</v>
      </c>
    </row>
    <row r="554">
      <c r="A554" s="72" t="n">
        <v>538</v>
      </c>
      <c r="B554" s="21" t="inlineStr">
        <is>
          <t>2 этаж (отм. +3.950…+7.550)</t>
        </is>
      </c>
      <c r="C554" s="21" t="inlineStr">
        <is>
          <t>Ригели</t>
        </is>
      </c>
      <c r="D554" s="21" t="inlineStr">
        <is>
          <t>ось Б (отм. +7.550)</t>
        </is>
      </c>
      <c r="E554" s="21" t="inlineStr">
        <is>
          <t>Р-Б</t>
        </is>
      </c>
      <c r="F554" s="72" t="inlineStr">
        <is>
          <t>ОС</t>
        </is>
      </c>
      <c r="G554" s="21" t="inlineStr">
        <is>
          <t>ОС низ: 2Ø22, участок 8400…11600 мм</t>
        </is>
      </c>
      <c r="H554" s="51" t="n">
        <v>22</v>
      </c>
      <c r="I554" s="72" t="inlineStr">
        <is>
          <t>А500С</t>
        </is>
      </c>
      <c r="J554" s="72" t="inlineStr">
        <is>
          <t>—</t>
        </is>
      </c>
      <c r="K554" s="75" t="n">
        <v>1</v>
      </c>
      <c r="L554" s="51" t="n">
        <v>2</v>
      </c>
      <c r="M554" s="69" t="n">
        <v>3.2</v>
      </c>
      <c r="N554" s="70">
        <f>K554*L554*M554</f>
        <v/>
      </c>
      <c r="O554" s="37">
        <f>IFERROR(INDEX(Исходные!$B$19:$B$31,MATCH(H554,Исходные!$A$19:$A$31,0)),0)</f>
        <v/>
      </c>
      <c r="P554" s="76">
        <f>N554*O554</f>
        <v/>
      </c>
      <c r="Q554" s="21" t="inlineStr">
        <is>
          <t>АС-21 (отм. 7.550): выноска «ОС 2Ø22 А500С»; длина по привязкам отдельных стержней</t>
        </is>
      </c>
      <c r="R554" s="77" t="inlineStr">
        <is>
          <t>по геометрии чертежа</t>
        </is>
      </c>
      <c r="S554" s="21" t="inlineStr">
        <is>
          <t>Координаты от оси 1: 8400…11600 мм</t>
        </is>
      </c>
      <c r="T554" s="21" t="inlineStr">
        <is>
          <t>Ригели, балки, плита, С-1</t>
        </is>
      </c>
      <c r="U554" s="49" t="n">
        <v>0</v>
      </c>
      <c r="V554" s="72" t="inlineStr">
        <is>
          <t>Р-Б</t>
        </is>
      </c>
      <c r="W554" s="49" t="n">
        <v>2</v>
      </c>
    </row>
    <row r="555">
      <c r="A555" s="72" t="n">
        <v>539</v>
      </c>
      <c r="B555" s="21" t="inlineStr">
        <is>
          <t>2 этаж (отм. +3.950…+7.550)</t>
        </is>
      </c>
      <c r="C555" s="21" t="inlineStr">
        <is>
          <t>Ригели</t>
        </is>
      </c>
      <c r="D555" s="21" t="inlineStr">
        <is>
          <t>ось Б (отм. +7.550)</t>
        </is>
      </c>
      <c r="E555" s="21" t="inlineStr">
        <is>
          <t>Р-Б</t>
        </is>
      </c>
      <c r="F555" s="72" t="inlineStr">
        <is>
          <t>ОС</t>
        </is>
      </c>
      <c r="G555" s="21" t="inlineStr">
        <is>
          <t>ОС низ: 2Ø16, участок 15300…21800 мм</t>
        </is>
      </c>
      <c r="H555" s="51" t="n">
        <v>16</v>
      </c>
      <c r="I555" s="72" t="inlineStr">
        <is>
          <t>А500С</t>
        </is>
      </c>
      <c r="J555" s="72" t="inlineStr">
        <is>
          <t>—</t>
        </is>
      </c>
      <c r="K555" s="75" t="n">
        <v>1</v>
      </c>
      <c r="L555" s="51" t="n">
        <v>2</v>
      </c>
      <c r="M555" s="69" t="n">
        <v>6.5</v>
      </c>
      <c r="N555" s="70">
        <f>K555*L555*M555</f>
        <v/>
      </c>
      <c r="O555" s="37">
        <f>IFERROR(INDEX(Исходные!$B$19:$B$31,MATCH(H555,Исходные!$A$19:$A$31,0)),0)</f>
        <v/>
      </c>
      <c r="P555" s="76">
        <f>N555*O555</f>
        <v/>
      </c>
      <c r="Q555" s="21" t="inlineStr">
        <is>
          <t>АС-21 (отм. 7.550): выноска «ОС 2Ø16 А500С»; длина по привязкам отдельных стержней</t>
        </is>
      </c>
      <c r="R555" s="77" t="inlineStr">
        <is>
          <t>по геометрии чертежа</t>
        </is>
      </c>
      <c r="S555" s="21" t="inlineStr">
        <is>
          <t>Координаты от оси 1: 15300…21800 мм</t>
        </is>
      </c>
      <c r="T555" s="21" t="inlineStr">
        <is>
          <t>Ригели, балки, плита, С-1</t>
        </is>
      </c>
      <c r="U555" s="49" t="n">
        <v>0</v>
      </c>
      <c r="V555" s="72" t="inlineStr">
        <is>
          <t>Р-Б</t>
        </is>
      </c>
      <c r="W555" s="49" t="n">
        <v>2</v>
      </c>
    </row>
    <row r="556">
      <c r="A556" s="72" t="n">
        <v>540</v>
      </c>
      <c r="B556" s="21" t="inlineStr">
        <is>
          <t>2 этаж (отм. +3.950…+7.550)</t>
        </is>
      </c>
      <c r="C556" s="21" t="inlineStr">
        <is>
          <t>Ригели</t>
        </is>
      </c>
      <c r="D556" s="21" t="inlineStr">
        <is>
          <t>ось Б (отм. +7.550)</t>
        </is>
      </c>
      <c r="E556" s="21" t="inlineStr">
        <is>
          <t>Р-Б</t>
        </is>
      </c>
      <c r="F556" s="72" t="inlineStr">
        <is>
          <t>ОС</t>
        </is>
      </c>
      <c r="G556" s="21" t="inlineStr">
        <is>
          <t>ОС низ: 2Ø16, участок 23200…25000 мм + 250 до торца</t>
        </is>
      </c>
      <c r="H556" s="51" t="n">
        <v>16</v>
      </c>
      <c r="I556" s="72" t="inlineStr">
        <is>
          <t>А500С</t>
        </is>
      </c>
      <c r="J556" s="72" t="inlineStr">
        <is>
          <t>—</t>
        </is>
      </c>
      <c r="K556" s="75" t="n">
        <v>1</v>
      </c>
      <c r="L556" s="51" t="n">
        <v>2</v>
      </c>
      <c r="M556" s="69" t="n">
        <v>2.05</v>
      </c>
      <c r="N556" s="70">
        <f>K556*L556*M556</f>
        <v/>
      </c>
      <c r="O556" s="37">
        <f>IFERROR(INDEX(Исходные!$B$19:$B$31,MATCH(H556,Исходные!$A$19:$A$31,0)),0)</f>
        <v/>
      </c>
      <c r="P556" s="76">
        <f>N556*O556</f>
        <v/>
      </c>
      <c r="Q556" s="21" t="inlineStr">
        <is>
          <t>АС-21 (отм. 7.550): выноска «ОС 2Ø16 А500С»; длина по привязкам отдельных стержней</t>
        </is>
      </c>
      <c r="R556" s="77" t="inlineStr">
        <is>
          <t>по геометрии чертежа</t>
        </is>
      </c>
      <c r="S556" s="21" t="inlineStr">
        <is>
          <t>Координаты от оси 1: 23200…25000 мм; конец до торца крайней колонны (+250)</t>
        </is>
      </c>
      <c r="T556" s="21" t="inlineStr">
        <is>
          <t>Ригели, балки, плита, С-1</t>
        </is>
      </c>
      <c r="U556" s="49" t="n">
        <v>0</v>
      </c>
      <c r="V556" s="72" t="inlineStr">
        <is>
          <t>Р-Б</t>
        </is>
      </c>
      <c r="W556" s="49" t="n">
        <v>2</v>
      </c>
    </row>
    <row r="557">
      <c r="A557" s="72" t="n">
        <v>541</v>
      </c>
      <c r="B557" s="21" t="inlineStr">
        <is>
          <t>2 этаж (отм. +3.950…+7.550)</t>
        </is>
      </c>
      <c r="C557" s="21" t="inlineStr">
        <is>
          <t>Ригели</t>
        </is>
      </c>
      <c r="D557" s="21" t="inlineStr">
        <is>
          <t>ось Б (отм. +7.550)</t>
        </is>
      </c>
      <c r="E557" s="21" t="inlineStr">
        <is>
          <t>Р-Б</t>
        </is>
      </c>
      <c r="F557" s="72" t="inlineStr">
        <is>
          <t>ОС</t>
        </is>
      </c>
      <c r="G557" s="21" t="inlineStr">
        <is>
          <t>ОС низ 2-й ряд: 2Ø14, участок 4700…8400 мм</t>
        </is>
      </c>
      <c r="H557" s="51" t="n">
        <v>14</v>
      </c>
      <c r="I557" s="72" t="inlineStr">
        <is>
          <t>А500С</t>
        </is>
      </c>
      <c r="J557" s="72" t="inlineStr">
        <is>
          <t>—</t>
        </is>
      </c>
      <c r="K557" s="75" t="n">
        <v>1</v>
      </c>
      <c r="L557" s="51" t="n">
        <v>2</v>
      </c>
      <c r="M557" s="69" t="n">
        <v>3.7</v>
      </c>
      <c r="N557" s="70">
        <f>K557*L557*M557</f>
        <v/>
      </c>
      <c r="O557" s="37">
        <f>IFERROR(INDEX(Исходные!$B$19:$B$31,MATCH(H557,Исходные!$A$19:$A$31,0)),0)</f>
        <v/>
      </c>
      <c r="P557" s="76">
        <f>N557*O557</f>
        <v/>
      </c>
      <c r="Q557" s="21" t="inlineStr">
        <is>
          <t>АС-21 (отм. 7.550): выноска «ОС 2Ø14 А500С»; длина по привязкам отдельных стержней</t>
        </is>
      </c>
      <c r="R557" s="77" t="inlineStr">
        <is>
          <t>по геометрии чертежа</t>
        </is>
      </c>
      <c r="S557" s="21" t="inlineStr">
        <is>
          <t>Координаты от оси 1: 4700…8400 мм</t>
        </is>
      </c>
      <c r="T557" s="21" t="inlineStr">
        <is>
          <t>Ригели, балки, плита, С-1</t>
        </is>
      </c>
      <c r="U557" s="49" t="n">
        <v>0</v>
      </c>
      <c r="V557" s="72" t="inlineStr">
        <is>
          <t>Р-Б</t>
        </is>
      </c>
      <c r="W557" s="49" t="n">
        <v>2</v>
      </c>
    </row>
    <row r="558">
      <c r="A558" s="72" t="n">
        <v>542</v>
      </c>
      <c r="B558" s="21" t="inlineStr">
        <is>
          <t>2 этаж (отм. +3.950…+7.550)</t>
        </is>
      </c>
      <c r="C558" s="21" t="inlineStr">
        <is>
          <t>Ригели</t>
        </is>
      </c>
      <c r="D558" s="21" t="inlineStr">
        <is>
          <t>ось Б (отм. +7.550)</t>
        </is>
      </c>
      <c r="E558" s="21" t="inlineStr">
        <is>
          <t>Р-Б</t>
        </is>
      </c>
      <c r="F558" s="72" t="inlineStr">
        <is>
          <t>ОС</t>
        </is>
      </c>
      <c r="G558" s="21" t="inlineStr">
        <is>
          <t>ОС низ 2-й ряд: 2Ø14, участок 11600…15300 мм</t>
        </is>
      </c>
      <c r="H558" s="51" t="n">
        <v>14</v>
      </c>
      <c r="I558" s="72" t="inlineStr">
        <is>
          <t>А500С</t>
        </is>
      </c>
      <c r="J558" s="72" t="inlineStr">
        <is>
          <t>—</t>
        </is>
      </c>
      <c r="K558" s="75" t="n">
        <v>1</v>
      </c>
      <c r="L558" s="51" t="n">
        <v>2</v>
      </c>
      <c r="M558" s="69" t="n">
        <v>3.7</v>
      </c>
      <c r="N558" s="70">
        <f>K558*L558*M558</f>
        <v/>
      </c>
      <c r="O558" s="37">
        <f>IFERROR(INDEX(Исходные!$B$19:$B$31,MATCH(H558,Исходные!$A$19:$A$31,0)),0)</f>
        <v/>
      </c>
      <c r="P558" s="76">
        <f>N558*O558</f>
        <v/>
      </c>
      <c r="Q558" s="21" t="inlineStr">
        <is>
          <t>АС-21 (отм. 7.550): выноска «ОС 2Ø14 А500С»; длина по привязкам отдельных стержней</t>
        </is>
      </c>
      <c r="R558" s="77" t="inlineStr">
        <is>
          <t>по геометрии чертежа</t>
        </is>
      </c>
      <c r="S558" s="21" t="inlineStr">
        <is>
          <t>Координаты от оси 1: 11600…15300 мм</t>
        </is>
      </c>
      <c r="T558" s="21" t="inlineStr">
        <is>
          <t>Ригели, балки, плита, С-1</t>
        </is>
      </c>
      <c r="U558" s="49" t="n">
        <v>0</v>
      </c>
      <c r="V558" s="72" t="inlineStr">
        <is>
          <t>Р-Б</t>
        </is>
      </c>
      <c r="W558" s="49" t="n">
        <v>2</v>
      </c>
    </row>
    <row r="559">
      <c r="A559" s="72" t="n">
        <v>543</v>
      </c>
      <c r="B559" s="21" t="inlineStr">
        <is>
          <t>2 этаж (отм. +3.950…+7.550)</t>
        </is>
      </c>
      <c r="C559" s="21" t="inlineStr">
        <is>
          <t>Ригели</t>
        </is>
      </c>
      <c r="D559" s="21" t="inlineStr">
        <is>
          <t>ось Б (отм. +7.550)</t>
        </is>
      </c>
      <c r="E559" s="21" t="inlineStr">
        <is>
          <t>Р-Б</t>
        </is>
      </c>
      <c r="F559" s="72" t="inlineStr">
        <is>
          <t>ОС</t>
        </is>
      </c>
      <c r="G559" s="21" t="inlineStr">
        <is>
          <t>Ос (бок) бок: 4Ø12, участок 4700…21800 мм</t>
        </is>
      </c>
      <c r="H559" s="51" t="n">
        <v>12</v>
      </c>
      <c r="I559" s="72" t="inlineStr">
        <is>
          <t>А500С</t>
        </is>
      </c>
      <c r="J559" s="72" t="inlineStr">
        <is>
          <t>—</t>
        </is>
      </c>
      <c r="K559" s="75" t="n">
        <v>1</v>
      </c>
      <c r="L559" s="51" t="n">
        <v>4</v>
      </c>
      <c r="M559" s="69" t="n">
        <v>17.1</v>
      </c>
      <c r="N559" s="70">
        <f>K559*L559*M559</f>
        <v/>
      </c>
      <c r="O559" s="37">
        <f>IFERROR(INDEX(Исходные!$B$19:$B$31,MATCH(H559,Исходные!$A$19:$A$31,0)),0)</f>
        <v/>
      </c>
      <c r="P559" s="76">
        <f>N559*O559</f>
        <v/>
      </c>
      <c r="Q559" s="21" t="inlineStr">
        <is>
          <t>АС-21 (отм. 7.550): выноска «Ос (бок) 4Ø12 А500С»; длина по привязкам отдельных стержней</t>
        </is>
      </c>
      <c r="R559" s="77" t="inlineStr">
        <is>
          <t>по геометрии чертежа</t>
        </is>
      </c>
      <c r="S559" s="21" t="inlineStr">
        <is>
          <t>Координаты от оси 1: 4700…21800 мм</t>
        </is>
      </c>
      <c r="T559" s="21" t="inlineStr">
        <is>
          <t>Ригели, балки, плита, С-1</t>
        </is>
      </c>
      <c r="U559" s="49" t="n">
        <v>0</v>
      </c>
      <c r="V559" s="72" t="inlineStr">
        <is>
          <t>Р-Б</t>
        </is>
      </c>
      <c r="W559" s="49" t="n">
        <v>2</v>
      </c>
    </row>
    <row r="560">
      <c r="A560" s="72" t="n">
        <v>544</v>
      </c>
      <c r="B560" s="21" t="inlineStr">
        <is>
          <t>2 этаж (отм. +3.950…+7.550)</t>
        </is>
      </c>
      <c r="C560" s="21" t="inlineStr">
        <is>
          <t>Ригели</t>
        </is>
      </c>
      <c r="D560" s="21" t="inlineStr">
        <is>
          <t>ось Б (отм. +7.550)</t>
        </is>
      </c>
      <c r="E560" s="21" t="inlineStr">
        <is>
          <t>Р-Б</t>
        </is>
      </c>
      <c r="F560" s="72" t="inlineStr">
        <is>
          <t>ОС-нахл</t>
        </is>
      </c>
      <c r="G560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560" s="51" t="n">
        <v>12</v>
      </c>
      <c r="I560" s="72" t="inlineStr">
        <is>
          <t>А500С</t>
        </is>
      </c>
      <c r="J560" s="72" t="inlineStr">
        <is>
          <t>—</t>
        </is>
      </c>
      <c r="K560" s="75" t="n">
        <v>4</v>
      </c>
      <c r="L560" s="51" t="n">
        <v>1</v>
      </c>
      <c r="M560" s="69" t="n">
        <v>0.096</v>
      </c>
      <c r="N560" s="70">
        <f>K560*L560*M560</f>
        <v/>
      </c>
      <c r="O560" s="37">
        <f>IFERROR(INDEX(Исходные!$B$19:$B$31,MATCH(H560,Исходные!$A$19:$A$31,0)),0)</f>
        <v/>
      </c>
      <c r="P560" s="76">
        <f>N560*O560</f>
        <v/>
      </c>
      <c r="Q560" s="21" t="inlineStr">
        <is>
          <t>АС-19 прим.1: Ø18 и менее — внахлёстку электродуговой сваркой, Lшва=8d = 96 мм</t>
        </is>
      </c>
      <c r="R560" s="77" t="inlineStr">
        <is>
          <t>по проекту (стыковка прутков 11,7 м)</t>
        </is>
      </c>
      <c r="S560" s="21" t="inlineStr">
        <is>
          <t>Чистая длина 17.100 м; кусков 2; стыков 1; Lнахл=1×0.096=0.096 м на стержень</t>
        </is>
      </c>
      <c r="T560" s="21" t="inlineStr">
        <is>
          <t>Ригели, балки, плита, С-1</t>
        </is>
      </c>
      <c r="U560" s="49" t="n">
        <v>0</v>
      </c>
      <c r="V560" s="72" t="inlineStr">
        <is>
          <t>Р-Б</t>
        </is>
      </c>
      <c r="W560" s="49" t="n">
        <v>2</v>
      </c>
    </row>
    <row r="561">
      <c r="A561" s="72" t="n">
        <v>545</v>
      </c>
      <c r="B561" s="21" t="inlineStr">
        <is>
          <t>2 этаж (отм. +3.950…+7.550)</t>
        </is>
      </c>
      <c r="C561" s="21" t="inlineStr">
        <is>
          <t>Ригели</t>
        </is>
      </c>
      <c r="D561" s="21" t="inlineStr">
        <is>
          <t>ось Б (отм. +7.550)</t>
        </is>
      </c>
      <c r="E561" s="21" t="inlineStr">
        <is>
          <t>Р-Б</t>
        </is>
      </c>
      <c r="F561" s="72" t="inlineStr">
        <is>
          <t>12</t>
        </is>
      </c>
      <c r="G561" s="21" t="inlineStr">
        <is>
          <t>Хомут Ø8 L=2060 ш.100 у опор, ш.150 в пролёте, 80×4 у балок — вне заштрихованных участков</t>
        </is>
      </c>
      <c r="H561" s="51" t="n">
        <v>8</v>
      </c>
      <c r="I561" s="72" t="inlineStr">
        <is>
          <t>А240</t>
        </is>
      </c>
      <c r="J561" s="72" t="inlineStr">
        <is>
          <t>100/150</t>
        </is>
      </c>
      <c r="K561" s="75" t="n">
        <v>1</v>
      </c>
      <c r="L561" s="51" t="n">
        <v>90</v>
      </c>
      <c r="M561" s="69" t="n">
        <v>2.06</v>
      </c>
      <c r="N561" s="70">
        <f>K561*L561*M561</f>
        <v/>
      </c>
      <c r="O561" s="37">
        <f>IFERROR(INDEX(Исходные!$B$19:$B$31,MATCH(H561,Исходные!$A$19:$A$31,0)),0)</f>
        <v/>
      </c>
      <c r="P561" s="76">
        <f>N561*O561</f>
        <v/>
      </c>
      <c r="Q561" s="21" t="inlineStr">
        <is>
          <t>АС-28 поз.12; АС-29 «Расстановка хомутов в ригелях»</t>
        </is>
      </c>
      <c r="R561" s="77" t="inlineStr">
        <is>
          <t>по проекту</t>
        </is>
      </c>
      <c r="S561" s="21" t="inlineStr">
        <is>
          <t>Пролёты в свету [(300, 6200), (6800, 13200), (13800, 19700), (20300, 24700)]</t>
        </is>
      </c>
      <c r="T561" s="21" t="inlineStr">
        <is>
          <t>Ригели, балки, плита, С-1</t>
        </is>
      </c>
      <c r="U561" s="49" t="n">
        <v>0</v>
      </c>
      <c r="V561" s="72" t="inlineStr">
        <is>
          <t>Р-Б</t>
        </is>
      </c>
      <c r="W561" s="49" t="n">
        <v>2</v>
      </c>
    </row>
    <row r="562">
      <c r="A562" s="72" t="n">
        <v>546</v>
      </c>
      <c r="B562" s="21" t="inlineStr">
        <is>
          <t>2 этаж (отм. +3.950…+7.550)</t>
        </is>
      </c>
      <c r="C562" s="21" t="inlineStr">
        <is>
          <t>Ригели</t>
        </is>
      </c>
      <c r="D562" s="21" t="inlineStr">
        <is>
          <t>ось Б (отм. +7.550)</t>
        </is>
      </c>
      <c r="E562" s="21" t="inlineStr">
        <is>
          <t>Р-Б</t>
        </is>
      </c>
      <c r="F562" s="72" t="inlineStr">
        <is>
          <t>13</t>
        </is>
      </c>
      <c r="G562" s="21" t="inlineStr">
        <is>
          <t>Хомут наружный Ø10 L=2060 ш.100 — заштрихованные участки</t>
        </is>
      </c>
      <c r="H562" s="51" t="n">
        <v>10</v>
      </c>
      <c r="I562" s="72" t="inlineStr">
        <is>
          <t>А240</t>
        </is>
      </c>
      <c r="J562" s="72" t="n">
        <v>100</v>
      </c>
      <c r="K562" s="75" t="n">
        <v>1</v>
      </c>
      <c r="L562" s="51" t="n">
        <v>105</v>
      </c>
      <c r="M562" s="69" t="n">
        <v>2.06</v>
      </c>
      <c r="N562" s="70">
        <f>K562*L562*M562</f>
        <v/>
      </c>
      <c r="O562" s="37">
        <f>IFERROR(INDEX(Исходные!$B$19:$B$31,MATCH(H562,Исходные!$A$19:$A$31,0)),0)</f>
        <v/>
      </c>
      <c r="P562" s="76">
        <f>N562*O562</f>
        <v/>
      </c>
      <c r="Q562" s="21" t="inlineStr">
        <is>
          <t>АС-21 штриховка у отм. 7.550; АС-28 Фрагмент №1, поз.13</t>
        </is>
      </c>
      <c r="R562" s="77" t="inlineStr">
        <is>
          <t>по проекту</t>
        </is>
      </c>
      <c r="S562" s="21" t="inlineStr">
        <is>
          <t>Участки (мм): одинарные [(0, 1500), (7700, 12300), (13500, 14700), (16800, 18800)], двойные [(6500, 7700), (12300, 13500), (18800, 20000)]</t>
        </is>
      </c>
      <c r="T562" s="21" t="inlineStr">
        <is>
          <t>Ригели, балки, плита, С-1</t>
        </is>
      </c>
      <c r="U562" s="49" t="n">
        <v>0</v>
      </c>
      <c r="V562" s="72" t="inlineStr">
        <is>
          <t>Р-Б</t>
        </is>
      </c>
      <c r="W562" s="49" t="n">
        <v>2</v>
      </c>
    </row>
    <row r="563">
      <c r="A563" s="72" t="n">
        <v>547</v>
      </c>
      <c r="B563" s="21" t="inlineStr">
        <is>
          <t>2 этаж (отм. +3.950…+7.550)</t>
        </is>
      </c>
      <c r="C563" s="21" t="inlineStr">
        <is>
          <t>Ригели</t>
        </is>
      </c>
      <c r="D563" s="21" t="inlineStr">
        <is>
          <t>ось Б (отм. +7.550)</t>
        </is>
      </c>
      <c r="E563" s="21" t="inlineStr">
        <is>
          <t>Р-Б</t>
        </is>
      </c>
      <c r="F563" s="72" t="inlineStr">
        <is>
          <t>15</t>
        </is>
      </c>
      <c r="G563" s="21" t="inlineStr">
        <is>
          <t>Хомут внутренний Ø10 L=1600 ш.100 — участки двойных хомутов</t>
        </is>
      </c>
      <c r="H563" s="51" t="n">
        <v>10</v>
      </c>
      <c r="I563" s="72" t="inlineStr">
        <is>
          <t>А240</t>
        </is>
      </c>
      <c r="J563" s="72" t="n">
        <v>100</v>
      </c>
      <c r="K563" s="75" t="n">
        <v>1</v>
      </c>
      <c r="L563" s="51" t="n">
        <v>28</v>
      </c>
      <c r="M563" s="69" t="n">
        <v>1.6</v>
      </c>
      <c r="N563" s="70">
        <f>K563*L563*M563</f>
        <v/>
      </c>
      <c r="O563" s="37">
        <f>IFERROR(INDEX(Исходные!$B$19:$B$31,MATCH(H563,Исходные!$A$19:$A$31,0)),0)</f>
        <v/>
      </c>
      <c r="P563" s="76">
        <f>N563*O563</f>
        <v/>
      </c>
      <c r="Q563" s="21" t="inlineStr">
        <is>
          <t>АС-21 двойная штриховка; АС-28 Фрагмент №1, поз.15</t>
        </is>
      </c>
      <c r="R563" s="77" t="inlineStr">
        <is>
          <t>по проекту</t>
        </is>
      </c>
      <c r="S563" s="21" t="inlineStr"/>
      <c r="T563" s="21" t="inlineStr">
        <is>
          <t>Ригели, балки, плита, С-1</t>
        </is>
      </c>
      <c r="U563" s="49" t="n">
        <v>0</v>
      </c>
      <c r="V563" s="72" t="inlineStr">
        <is>
          <t>Р-Б</t>
        </is>
      </c>
      <c r="W563" s="49" t="n">
        <v>2</v>
      </c>
    </row>
    <row r="564">
      <c r="A564" s="72" t="n">
        <v>548</v>
      </c>
      <c r="B564" s="21" t="inlineStr">
        <is>
          <t>2 этаж (отм. +3.950…+7.550)</t>
        </is>
      </c>
      <c r="C564" s="21" t="inlineStr">
        <is>
          <t>Ригели</t>
        </is>
      </c>
      <c r="D564" s="21" t="inlineStr">
        <is>
          <t>ось Б (отм. +7.550)</t>
        </is>
      </c>
      <c r="E564" s="21" t="inlineStr">
        <is>
          <t>Р-Б</t>
        </is>
      </c>
      <c r="F564" s="72" t="inlineStr">
        <is>
          <t>17</t>
        </is>
      </c>
      <c r="G564" s="21" t="inlineStr">
        <is>
          <t>Шпилька вертикальная Ø8 L=750: ш.200 у опор, ш.150 в пролёте</t>
        </is>
      </c>
      <c r="H564" s="51" t="n">
        <v>8</v>
      </c>
      <c r="I564" s="72" t="inlineStr">
        <is>
          <t>А240</t>
        </is>
      </c>
      <c r="J564" s="72" t="inlineStr">
        <is>
          <t>200/150</t>
        </is>
      </c>
      <c r="K564" s="75" t="n">
        <v>1</v>
      </c>
      <c r="L564" s="51" t="n">
        <v>109</v>
      </c>
      <c r="M564" s="69" t="n">
        <v>0.75</v>
      </c>
      <c r="N564" s="70">
        <f>K564*L564*M564</f>
        <v/>
      </c>
      <c r="O564" s="37">
        <f>IFERROR(INDEX(Исходные!$B$19:$B$31,MATCH(H564,Исходные!$A$19:$A$31,0)),0)</f>
        <v/>
      </c>
      <c r="P564" s="76">
        <f>N564*O564</f>
        <v/>
      </c>
      <c r="Q564" s="21" t="inlineStr">
        <is>
          <t>АС-28 сеч.4-4/5-5 поз.17</t>
        </is>
      </c>
      <c r="R564" s="77" t="inlineStr">
        <is>
          <t>по проекту</t>
        </is>
      </c>
      <c r="S564" s="21" t="inlineStr"/>
      <c r="T564" s="21" t="inlineStr">
        <is>
          <t>Ригели, балки, плита, С-1</t>
        </is>
      </c>
      <c r="U564" s="49" t="n">
        <v>0</v>
      </c>
      <c r="V564" s="72" t="inlineStr">
        <is>
          <t>Р-Б</t>
        </is>
      </c>
      <c r="W564" s="49" t="n">
        <v>2</v>
      </c>
    </row>
    <row r="565">
      <c r="A565" s="72" t="n">
        <v>549</v>
      </c>
      <c r="B565" s="21" t="inlineStr">
        <is>
          <t>2 этаж (отм. +3.950…+7.550)</t>
        </is>
      </c>
      <c r="C565" s="21" t="inlineStr">
        <is>
          <t>Ригели</t>
        </is>
      </c>
      <c r="D565" s="21" t="inlineStr">
        <is>
          <t>ось Б (отм. +7.550)</t>
        </is>
      </c>
      <c r="E565" s="21" t="inlineStr">
        <is>
          <t>Р-Б</t>
        </is>
      </c>
      <c r="F565" s="72" t="inlineStr">
        <is>
          <t>16</t>
        </is>
      </c>
      <c r="G565" s="21" t="inlineStr">
        <is>
          <t>Шпилька горизонтальная Ø8 L=580 ш.300</t>
        </is>
      </c>
      <c r="H565" s="51" t="n">
        <v>8</v>
      </c>
      <c r="I565" s="72" t="inlineStr">
        <is>
          <t>А240</t>
        </is>
      </c>
      <c r="J565" s="72" t="n">
        <v>300</v>
      </c>
      <c r="K565" s="75" t="n">
        <v>1</v>
      </c>
      <c r="L565" s="51" t="n">
        <v>77</v>
      </c>
      <c r="M565" s="69" t="n">
        <v>0.58</v>
      </c>
      <c r="N565" s="70">
        <f>K565*L565*M565</f>
        <v/>
      </c>
      <c r="O565" s="37">
        <f>IFERROR(INDEX(Исходные!$B$19:$B$31,MATCH(H565,Исходные!$A$19:$A$31,0)),0)</f>
        <v/>
      </c>
      <c r="P565" s="76">
        <f>N565*O565</f>
        <v/>
      </c>
      <c r="Q565" s="21" t="inlineStr">
        <is>
          <t>АС-28 «шп.Ø8 А240 ш.300», поз.16 L=580</t>
        </is>
      </c>
      <c r="R565" s="78" t="inlineStr">
        <is>
          <t>принято (уточнить)</t>
        </is>
      </c>
      <c r="S565" s="21" t="inlineStr"/>
      <c r="T565" s="21" t="inlineStr">
        <is>
          <t>Ригели, балки, плита, С-1</t>
        </is>
      </c>
      <c r="U565" s="49" t="n">
        <v>1</v>
      </c>
      <c r="V565" s="72" t="inlineStr">
        <is>
          <t>Р-Б</t>
        </is>
      </c>
      <c r="W565" s="49" t="n">
        <v>2</v>
      </c>
    </row>
    <row r="566">
      <c r="A566" s="72" t="n">
        <v>550</v>
      </c>
      <c r="B566" s="21" t="inlineStr">
        <is>
          <t>2 этаж (отм. +3.950…+7.550)</t>
        </is>
      </c>
      <c r="C566" s="21" t="inlineStr">
        <is>
          <t>Ригели</t>
        </is>
      </c>
      <c r="D566" s="21" t="inlineStr">
        <is>
          <t>ось В (отм. +7.550)</t>
        </is>
      </c>
      <c r="E566" s="21" t="inlineStr">
        <is>
          <t>Р-В</t>
        </is>
      </c>
      <c r="F566" s="72" t="inlineStr">
        <is>
          <t>2</t>
        </is>
      </c>
      <c r="G566" s="21" t="inlineStr">
        <is>
          <t>Продольные угловые 4Ø28 (сеч.4-4/5-5), сквозные, концы с Аш</t>
        </is>
      </c>
      <c r="H566" s="51" t="n">
        <v>28</v>
      </c>
      <c r="I566" s="72" t="inlineStr">
        <is>
          <t>А500С</t>
        </is>
      </c>
      <c r="J566" s="72" t="inlineStr">
        <is>
          <t>—</t>
        </is>
      </c>
      <c r="K566" s="75" t="n">
        <v>1</v>
      </c>
      <c r="L566" s="51" t="n">
        <v>4</v>
      </c>
      <c r="M566" s="69" t="n">
        <v>25.5</v>
      </c>
      <c r="N566" s="70">
        <f>K566*L566*M566</f>
        <v/>
      </c>
      <c r="O566" s="37">
        <f>IFERROR(INDEX(Исходные!$B$19:$B$31,MATCH(H566,Исходные!$A$19:$A$31,0)),0)</f>
        <v/>
      </c>
      <c r="P566" s="76">
        <f>N566*O566</f>
        <v/>
      </c>
      <c r="Q566" s="21" t="inlineStr">
        <is>
          <t>АС-22 рама + АС-28 сеч.4-4/5-5 поз.2; длина = 25000+2×250</t>
        </is>
      </c>
      <c r="R566" s="77" t="inlineStr">
        <is>
          <t>по геометрии чертежа</t>
        </is>
      </c>
      <c r="S566" s="21" t="inlineStr">
        <is>
          <t>Стыки ванной сваркой без нахлёста: 2 на стержень (всего 8).</t>
        </is>
      </c>
      <c r="T566" s="21" t="inlineStr">
        <is>
          <t>Ригели, балки, плита, С-1</t>
        </is>
      </c>
      <c r="U566" s="49" t="n">
        <v>0</v>
      </c>
      <c r="V566" s="72" t="inlineStr">
        <is>
          <t>Р-В</t>
        </is>
      </c>
      <c r="W566" s="49" t="n">
        <v>2</v>
      </c>
    </row>
    <row r="567">
      <c r="A567" s="72" t="n">
        <v>551</v>
      </c>
      <c r="B567" s="21" t="inlineStr">
        <is>
          <t>2 этаж (отм. +3.950…+7.550)</t>
        </is>
      </c>
      <c r="C567" s="21" t="inlineStr">
        <is>
          <t>Ригели</t>
        </is>
      </c>
      <c r="D567" s="21" t="inlineStr">
        <is>
          <t>ось В (отм. +7.550)</t>
        </is>
      </c>
      <c r="E567" s="21" t="inlineStr">
        <is>
          <t>Р-В</t>
        </is>
      </c>
      <c r="F567" s="72" t="inlineStr">
        <is>
          <t>6</t>
        </is>
      </c>
      <c r="G567" s="21" t="inlineStr">
        <is>
          <t>Продольные средние верх/низ 2Ø18 (сеч.4-4/5-5)</t>
        </is>
      </c>
      <c r="H567" s="51" t="n">
        <v>18</v>
      </c>
      <c r="I567" s="72" t="inlineStr">
        <is>
          <t>А500С</t>
        </is>
      </c>
      <c r="J567" s="72" t="inlineStr">
        <is>
          <t>—</t>
        </is>
      </c>
      <c r="K567" s="75" t="n">
        <v>1</v>
      </c>
      <c r="L567" s="51" t="n">
        <v>2</v>
      </c>
      <c r="M567" s="69" t="n">
        <v>25.5</v>
      </c>
      <c r="N567" s="70">
        <f>K567*L567*M567</f>
        <v/>
      </c>
      <c r="O567" s="37">
        <f>IFERROR(INDEX(Исходные!$B$19:$B$31,MATCH(H567,Исходные!$A$19:$A$31,0)),0)</f>
        <v/>
      </c>
      <c r="P567" s="76">
        <f>N567*O567</f>
        <v/>
      </c>
      <c r="Q567" s="21" t="inlineStr">
        <is>
          <t>АС-28 сеч.4-4/5-5 поз.6</t>
        </is>
      </c>
      <c r="R567" s="77" t="inlineStr">
        <is>
          <t>по геометрии чертежа</t>
        </is>
      </c>
      <c r="S567" s="21" t="inlineStr"/>
      <c r="T567" s="21" t="inlineStr">
        <is>
          <t>Ригели, балки, плита, С-1</t>
        </is>
      </c>
      <c r="U567" s="49" t="n">
        <v>0</v>
      </c>
      <c r="V567" s="72" t="inlineStr">
        <is>
          <t>Р-В</t>
        </is>
      </c>
      <c r="W567" s="49" t="n">
        <v>2</v>
      </c>
    </row>
    <row r="568">
      <c r="A568" s="72" t="n">
        <v>552</v>
      </c>
      <c r="B568" s="21" t="inlineStr">
        <is>
          <t>2 этаж (отм. +3.950…+7.550)</t>
        </is>
      </c>
      <c r="C568" s="21" t="inlineStr">
        <is>
          <t>Ригели</t>
        </is>
      </c>
      <c r="D568" s="21" t="inlineStr">
        <is>
          <t>ось В (отм. +7.550)</t>
        </is>
      </c>
      <c r="E568" s="21" t="inlineStr">
        <is>
          <t>Р-В</t>
        </is>
      </c>
      <c r="F568" s="72" t="inlineStr">
        <is>
          <t>6-нахл</t>
        </is>
      </c>
      <c r="G568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68" s="51" t="n">
        <v>18</v>
      </c>
      <c r="I568" s="72" t="inlineStr">
        <is>
          <t>А500С</t>
        </is>
      </c>
      <c r="J568" s="72" t="inlineStr">
        <is>
          <t>—</t>
        </is>
      </c>
      <c r="K568" s="75" t="n">
        <v>2</v>
      </c>
      <c r="L568" s="51" t="n">
        <v>2</v>
      </c>
      <c r="M568" s="69" t="n">
        <v>0.144</v>
      </c>
      <c r="N568" s="70">
        <f>K568*L568*M568</f>
        <v/>
      </c>
      <c r="O568" s="37">
        <f>IFERROR(INDEX(Исходные!$B$19:$B$31,MATCH(H568,Исходные!$A$19:$A$31,0)),0)</f>
        <v/>
      </c>
      <c r="P568" s="76">
        <f>N568*O568</f>
        <v/>
      </c>
      <c r="Q568" s="21" t="inlineStr">
        <is>
          <t>АС-19 прим.1: Ø18 и менее — внахлёстку электродуговой сваркой, Lшва=8d = 144 мм</t>
        </is>
      </c>
      <c r="R568" s="77" t="inlineStr">
        <is>
          <t>по проекту (стыковка прутков 11,7 м)</t>
        </is>
      </c>
      <c r="S568" s="21" t="inlineStr">
        <is>
          <t>Чистая длина 25.500 м; кусков 3; стыков 2; Lнахл=2×0.144=0.288 м на стержень</t>
        </is>
      </c>
      <c r="T568" s="21" t="inlineStr">
        <is>
          <t>Ригели, балки, плита, С-1</t>
        </is>
      </c>
      <c r="U568" s="49" t="n">
        <v>0</v>
      </c>
      <c r="V568" s="72" t="inlineStr">
        <is>
          <t>Р-В</t>
        </is>
      </c>
      <c r="W568" s="49" t="n">
        <v>2</v>
      </c>
    </row>
    <row r="569">
      <c r="A569" s="72" t="n">
        <v>553</v>
      </c>
      <c r="B569" s="21" t="inlineStr">
        <is>
          <t>2 этаж (отм. +3.950…+7.550)</t>
        </is>
      </c>
      <c r="C569" s="21" t="inlineStr">
        <is>
          <t>Ригели</t>
        </is>
      </c>
      <c r="D569" s="21" t="inlineStr">
        <is>
          <t>ось В (отм. +7.550)</t>
        </is>
      </c>
      <c r="E569" s="21" t="inlineStr">
        <is>
          <t>Р-В</t>
        </is>
      </c>
      <c r="F569" s="72" t="inlineStr">
        <is>
          <t>7</t>
        </is>
      </c>
      <c r="G569" s="21" t="inlineStr">
        <is>
          <t>Боковые стержни 2Ø16 (сеч.4-4/5-5)</t>
        </is>
      </c>
      <c r="H569" s="51" t="n">
        <v>16</v>
      </c>
      <c r="I569" s="72" t="inlineStr">
        <is>
          <t>А500С</t>
        </is>
      </c>
      <c r="J569" s="72" t="inlineStr">
        <is>
          <t>—</t>
        </is>
      </c>
      <c r="K569" s="75" t="n">
        <v>1</v>
      </c>
      <c r="L569" s="51" t="n">
        <v>2</v>
      </c>
      <c r="M569" s="69" t="n">
        <v>25.5</v>
      </c>
      <c r="N569" s="70">
        <f>K569*L569*M569</f>
        <v/>
      </c>
      <c r="O569" s="37">
        <f>IFERROR(INDEX(Исходные!$B$19:$B$31,MATCH(H569,Исходные!$A$19:$A$31,0)),0)</f>
        <v/>
      </c>
      <c r="P569" s="76">
        <f>N569*O569</f>
        <v/>
      </c>
      <c r="Q569" s="21" t="inlineStr">
        <is>
          <t>АС-28 сеч.4-4/5-5 «Боковые стержни 2Ø16»</t>
        </is>
      </c>
      <c r="R569" s="77" t="inlineStr">
        <is>
          <t>по геометрии чертежа</t>
        </is>
      </c>
      <c r="S569" s="21" t="inlineStr"/>
      <c r="T569" s="21" t="inlineStr">
        <is>
          <t>Ригели, балки, плита, С-1</t>
        </is>
      </c>
      <c r="U569" s="49" t="n">
        <v>0</v>
      </c>
      <c r="V569" s="72" t="inlineStr">
        <is>
          <t>Р-В</t>
        </is>
      </c>
      <c r="W569" s="49" t="n">
        <v>2</v>
      </c>
    </row>
    <row r="570">
      <c r="A570" s="72" t="n">
        <v>554</v>
      </c>
      <c r="B570" s="21" t="inlineStr">
        <is>
          <t>2 этаж (отм. +3.950…+7.550)</t>
        </is>
      </c>
      <c r="C570" s="21" t="inlineStr">
        <is>
          <t>Ригели</t>
        </is>
      </c>
      <c r="D570" s="21" t="inlineStr">
        <is>
          <t>ось В (отм. +7.550)</t>
        </is>
      </c>
      <c r="E570" s="21" t="inlineStr">
        <is>
          <t>Р-В</t>
        </is>
      </c>
      <c r="F570" s="72" t="inlineStr">
        <is>
          <t>7-нахл</t>
        </is>
      </c>
      <c r="G570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70" s="51" t="n">
        <v>16</v>
      </c>
      <c r="I570" s="72" t="inlineStr">
        <is>
          <t>А500С</t>
        </is>
      </c>
      <c r="J570" s="72" t="inlineStr">
        <is>
          <t>—</t>
        </is>
      </c>
      <c r="K570" s="75" t="n">
        <v>2</v>
      </c>
      <c r="L570" s="51" t="n">
        <v>2</v>
      </c>
      <c r="M570" s="69" t="n">
        <v>0.128</v>
      </c>
      <c r="N570" s="70">
        <f>K570*L570*M570</f>
        <v/>
      </c>
      <c r="O570" s="37">
        <f>IFERROR(INDEX(Исходные!$B$19:$B$31,MATCH(H570,Исходные!$A$19:$A$31,0)),0)</f>
        <v/>
      </c>
      <c r="P570" s="76">
        <f>N570*O570</f>
        <v/>
      </c>
      <c r="Q570" s="21" t="inlineStr">
        <is>
          <t>АС-19 прим.1: Ø18 и менее — внахлёстку электродуговой сваркой, Lшва=8d = 128 мм</t>
        </is>
      </c>
      <c r="R570" s="77" t="inlineStr">
        <is>
          <t>по проекту (стыковка прутков 11,7 м)</t>
        </is>
      </c>
      <c r="S570" s="21" t="inlineStr">
        <is>
          <t>Чистая длина 25.500 м; кусков 3; стыков 2; Lнахл=2×0.128=0.256 м на стержень</t>
        </is>
      </c>
      <c r="T570" s="21" t="inlineStr">
        <is>
          <t>Ригели, балки, плита, С-1</t>
        </is>
      </c>
      <c r="U570" s="49" t="n">
        <v>0</v>
      </c>
      <c r="V570" s="72" t="inlineStr">
        <is>
          <t>Р-В</t>
        </is>
      </c>
      <c r="W570" s="49" t="n">
        <v>2</v>
      </c>
    </row>
    <row r="571">
      <c r="A571" s="72" t="n">
        <v>555</v>
      </c>
      <c r="B571" s="21" t="inlineStr">
        <is>
          <t>2 этаж (отм. +3.950…+7.550)</t>
        </is>
      </c>
      <c r="C571" s="21" t="inlineStr">
        <is>
          <t>Ригели</t>
        </is>
      </c>
      <c r="D571" s="21" t="inlineStr">
        <is>
          <t>ось В (отм. +7.550)</t>
        </is>
      </c>
      <c r="E571" s="21" t="inlineStr">
        <is>
          <t>Р-В</t>
        </is>
      </c>
      <c r="F571" s="72" t="inlineStr">
        <is>
          <t>ОС</t>
        </is>
      </c>
      <c r="G571" s="21" t="inlineStr">
        <is>
          <t>ОС верх: 2Ø28, участок 0…1800 мм + 250 до торца</t>
        </is>
      </c>
      <c r="H571" s="51" t="n">
        <v>28</v>
      </c>
      <c r="I571" s="72" t="inlineStr">
        <is>
          <t>А500С</t>
        </is>
      </c>
      <c r="J571" s="72" t="inlineStr">
        <is>
          <t>—</t>
        </is>
      </c>
      <c r="K571" s="75" t="n">
        <v>1</v>
      </c>
      <c r="L571" s="51" t="n">
        <v>2</v>
      </c>
      <c r="M571" s="69" t="n">
        <v>2.05</v>
      </c>
      <c r="N571" s="70">
        <f>K571*L571*M571</f>
        <v/>
      </c>
      <c r="O571" s="37">
        <f>IFERROR(INDEX(Исходные!$B$19:$B$31,MATCH(H571,Исходные!$A$19:$A$31,0)),0)</f>
        <v/>
      </c>
      <c r="P571" s="76">
        <f>N571*O571</f>
        <v/>
      </c>
      <c r="Q571" s="21" t="inlineStr">
        <is>
          <t>АС-22 (отм. 7.550): выноска «ОС 2Ø28 А500С»; длина по привязкам отдельных стержней</t>
        </is>
      </c>
      <c r="R571" s="77" t="inlineStr">
        <is>
          <t>по геометрии чертежа</t>
        </is>
      </c>
      <c r="S571" s="21" t="inlineStr">
        <is>
          <t>Координаты от оси 1: 0…1800 мм; конец до торца крайней колонны (+250)</t>
        </is>
      </c>
      <c r="T571" s="21" t="inlineStr">
        <is>
          <t>Ригели, балки, плита, С-1</t>
        </is>
      </c>
      <c r="U571" s="49" t="n">
        <v>0</v>
      </c>
      <c r="V571" s="72" t="inlineStr">
        <is>
          <t>Р-В</t>
        </is>
      </c>
      <c r="W571" s="49" t="n">
        <v>2</v>
      </c>
    </row>
    <row r="572">
      <c r="A572" s="72" t="n">
        <v>556</v>
      </c>
      <c r="B572" s="21" t="inlineStr">
        <is>
          <t>2 этаж (отм. +3.950…+7.550)</t>
        </is>
      </c>
      <c r="C572" s="21" t="inlineStr">
        <is>
          <t>Ригели</t>
        </is>
      </c>
      <c r="D572" s="21" t="inlineStr">
        <is>
          <t>ось В (отм. +7.550)</t>
        </is>
      </c>
      <c r="E572" s="21" t="inlineStr">
        <is>
          <t>Р-В</t>
        </is>
      </c>
      <c r="F572" s="72" t="inlineStr">
        <is>
          <t>ОС</t>
        </is>
      </c>
      <c r="G572" s="21" t="inlineStr">
        <is>
          <t>ОС верх: 2Ø28, участок 4700…8400 мм</t>
        </is>
      </c>
      <c r="H572" s="51" t="n">
        <v>28</v>
      </c>
      <c r="I572" s="72" t="inlineStr">
        <is>
          <t>А500С</t>
        </is>
      </c>
      <c r="J572" s="72" t="inlineStr">
        <is>
          <t>—</t>
        </is>
      </c>
      <c r="K572" s="75" t="n">
        <v>1</v>
      </c>
      <c r="L572" s="51" t="n">
        <v>2</v>
      </c>
      <c r="M572" s="69" t="n">
        <v>3.7</v>
      </c>
      <c r="N572" s="70">
        <f>K572*L572*M572</f>
        <v/>
      </c>
      <c r="O572" s="37">
        <f>IFERROR(INDEX(Исходные!$B$19:$B$31,MATCH(H572,Исходные!$A$19:$A$31,0)),0)</f>
        <v/>
      </c>
      <c r="P572" s="76">
        <f>N572*O572</f>
        <v/>
      </c>
      <c r="Q572" s="21" t="inlineStr">
        <is>
          <t>АС-22 (отм. 7.550): выноска «ОС 2Ø28 А500С»; длина по привязкам отдельных стержней</t>
        </is>
      </c>
      <c r="R572" s="77" t="inlineStr">
        <is>
          <t>по геометрии чертежа</t>
        </is>
      </c>
      <c r="S572" s="21" t="inlineStr">
        <is>
          <t>Координаты от оси 1: 4700…8400 мм</t>
        </is>
      </c>
      <c r="T572" s="21" t="inlineStr">
        <is>
          <t>Ригели, балки, плита, С-1</t>
        </is>
      </c>
      <c r="U572" s="49" t="n">
        <v>0</v>
      </c>
      <c r="V572" s="72" t="inlineStr">
        <is>
          <t>Р-В</t>
        </is>
      </c>
      <c r="W572" s="49" t="n">
        <v>2</v>
      </c>
    </row>
    <row r="573">
      <c r="A573" s="72" t="n">
        <v>557</v>
      </c>
      <c r="B573" s="21" t="inlineStr">
        <is>
          <t>2 этаж (отм. +3.950…+7.550)</t>
        </is>
      </c>
      <c r="C573" s="21" t="inlineStr">
        <is>
          <t>Ригели</t>
        </is>
      </c>
      <c r="D573" s="21" t="inlineStr">
        <is>
          <t>ось В (отм. +7.550)</t>
        </is>
      </c>
      <c r="E573" s="21" t="inlineStr">
        <is>
          <t>Р-В</t>
        </is>
      </c>
      <c r="F573" s="72" t="inlineStr">
        <is>
          <t>ОС</t>
        </is>
      </c>
      <c r="G573" s="21" t="inlineStr">
        <is>
          <t>ОС верх 2-й ряд: 2Ø22, участок 7900…12100 мм</t>
        </is>
      </c>
      <c r="H573" s="51" t="n">
        <v>22</v>
      </c>
      <c r="I573" s="72" t="inlineStr">
        <is>
          <t>А500С</t>
        </is>
      </c>
      <c r="J573" s="72" t="inlineStr">
        <is>
          <t>—</t>
        </is>
      </c>
      <c r="K573" s="75" t="n">
        <v>1</v>
      </c>
      <c r="L573" s="51" t="n">
        <v>2</v>
      </c>
      <c r="M573" s="69" t="n">
        <v>4.2</v>
      </c>
      <c r="N573" s="70">
        <f>K573*L573*M573</f>
        <v/>
      </c>
      <c r="O573" s="37">
        <f>IFERROR(INDEX(Исходные!$B$19:$B$31,MATCH(H573,Исходные!$A$19:$A$31,0)),0)</f>
        <v/>
      </c>
      <c r="P573" s="76">
        <f>N573*O573</f>
        <v/>
      </c>
      <c r="Q573" s="21" t="inlineStr">
        <is>
          <t>АС-22 (отм. 7.550): выноска «ОС 2Ø22 А500С»; длина по привязкам отдельных стержней</t>
        </is>
      </c>
      <c r="R573" s="77" t="inlineStr">
        <is>
          <t>по геометрии чертежа</t>
        </is>
      </c>
      <c r="S573" s="21" t="inlineStr">
        <is>
          <t>Координаты от оси 1: 7900…12100 мм</t>
        </is>
      </c>
      <c r="T573" s="21" t="inlineStr">
        <is>
          <t>Ригели, балки, плита, С-1</t>
        </is>
      </c>
      <c r="U573" s="49" t="n">
        <v>0</v>
      </c>
      <c r="V573" s="72" t="inlineStr">
        <is>
          <t>Р-В</t>
        </is>
      </c>
      <c r="W573" s="49" t="n">
        <v>2</v>
      </c>
    </row>
    <row r="574">
      <c r="A574" s="72" t="n">
        <v>558</v>
      </c>
      <c r="B574" s="21" t="inlineStr">
        <is>
          <t>2 этаж (отм. +3.950…+7.550)</t>
        </is>
      </c>
      <c r="C574" s="21" t="inlineStr">
        <is>
          <t>Ригели</t>
        </is>
      </c>
      <c r="D574" s="21" t="inlineStr">
        <is>
          <t>ось В (отм. +7.550)</t>
        </is>
      </c>
      <c r="E574" s="21" t="inlineStr">
        <is>
          <t>Р-В</t>
        </is>
      </c>
      <c r="F574" s="72" t="inlineStr">
        <is>
          <t>ОС</t>
        </is>
      </c>
      <c r="G574" s="21" t="inlineStr">
        <is>
          <t>ОС верх: 2Ø32, участок 11600…15300 мм</t>
        </is>
      </c>
      <c r="H574" s="51" t="n">
        <v>32</v>
      </c>
      <c r="I574" s="72" t="inlineStr">
        <is>
          <t>А500С</t>
        </is>
      </c>
      <c r="J574" s="72" t="inlineStr">
        <is>
          <t>—</t>
        </is>
      </c>
      <c r="K574" s="75" t="n">
        <v>1</v>
      </c>
      <c r="L574" s="51" t="n">
        <v>2</v>
      </c>
      <c r="M574" s="69" t="n">
        <v>3.7</v>
      </c>
      <c r="N574" s="70">
        <f>K574*L574*M574</f>
        <v/>
      </c>
      <c r="O574" s="37">
        <f>IFERROR(INDEX(Исходные!$B$19:$B$31,MATCH(H574,Исходные!$A$19:$A$31,0)),0)</f>
        <v/>
      </c>
      <c r="P574" s="76">
        <f>N574*O574</f>
        <v/>
      </c>
      <c r="Q574" s="21" t="inlineStr">
        <is>
          <t>АС-22 (отм. 7.550): выноска «ОС 2Ø32 А500С»; длина по привязкам отдельных стержней</t>
        </is>
      </c>
      <c r="R574" s="77" t="inlineStr">
        <is>
          <t>по геометрии чертежа</t>
        </is>
      </c>
      <c r="S574" s="21" t="inlineStr">
        <is>
          <t>Координаты от оси 1: 11600…15300 мм</t>
        </is>
      </c>
      <c r="T574" s="21" t="inlineStr">
        <is>
          <t>Ригели, балки, плита, С-1</t>
        </is>
      </c>
      <c r="U574" s="49" t="n">
        <v>0</v>
      </c>
      <c r="V574" s="72" t="inlineStr">
        <is>
          <t>Р-В</t>
        </is>
      </c>
      <c r="W574" s="49" t="n">
        <v>2</v>
      </c>
    </row>
    <row r="575">
      <c r="A575" s="72" t="n">
        <v>559</v>
      </c>
      <c r="B575" s="21" t="inlineStr">
        <is>
          <t>2 этаж (отм. +3.950…+7.550)</t>
        </is>
      </c>
      <c r="C575" s="21" t="inlineStr">
        <is>
          <t>Ригели</t>
        </is>
      </c>
      <c r="D575" s="21" t="inlineStr">
        <is>
          <t>ось В (отм. +7.550)</t>
        </is>
      </c>
      <c r="E575" s="21" t="inlineStr">
        <is>
          <t>Р-В</t>
        </is>
      </c>
      <c r="F575" s="72" t="inlineStr">
        <is>
          <t>ОС</t>
        </is>
      </c>
      <c r="G575" s="21" t="inlineStr">
        <is>
          <t>ОС верх: 2Ø32, участок 18200…21800 мм</t>
        </is>
      </c>
      <c r="H575" s="51" t="n">
        <v>32</v>
      </c>
      <c r="I575" s="72" t="inlineStr">
        <is>
          <t>А500С</t>
        </is>
      </c>
      <c r="J575" s="72" t="inlineStr">
        <is>
          <t>—</t>
        </is>
      </c>
      <c r="K575" s="75" t="n">
        <v>1</v>
      </c>
      <c r="L575" s="51" t="n">
        <v>2</v>
      </c>
      <c r="M575" s="69" t="n">
        <v>3.6</v>
      </c>
      <c r="N575" s="70">
        <f>K575*L575*M575</f>
        <v/>
      </c>
      <c r="O575" s="37">
        <f>IFERROR(INDEX(Исходные!$B$19:$B$31,MATCH(H575,Исходные!$A$19:$A$31,0)),0)</f>
        <v/>
      </c>
      <c r="P575" s="76">
        <f>N575*O575</f>
        <v/>
      </c>
      <c r="Q575" s="21" t="inlineStr">
        <is>
          <t>АС-22 (отм. 7.550): выноска «ОС 2Ø32 А500С»; длина по привязкам отдельных стержней</t>
        </is>
      </c>
      <c r="R575" s="77" t="inlineStr">
        <is>
          <t>по геометрии чертежа</t>
        </is>
      </c>
      <c r="S575" s="21" t="inlineStr">
        <is>
          <t>Координаты от оси 1: 18200…21800 мм</t>
        </is>
      </c>
      <c r="T575" s="21" t="inlineStr">
        <is>
          <t>Ригели, балки, плита, С-1</t>
        </is>
      </c>
      <c r="U575" s="49" t="n">
        <v>0</v>
      </c>
      <c r="V575" s="72" t="inlineStr">
        <is>
          <t>Р-В</t>
        </is>
      </c>
      <c r="W575" s="49" t="n">
        <v>2</v>
      </c>
    </row>
    <row r="576">
      <c r="A576" s="72" t="n">
        <v>560</v>
      </c>
      <c r="B576" s="21" t="inlineStr">
        <is>
          <t>2 этаж (отм. +3.950…+7.550)</t>
        </is>
      </c>
      <c r="C576" s="21" t="inlineStr">
        <is>
          <t>Ригели</t>
        </is>
      </c>
      <c r="D576" s="21" t="inlineStr">
        <is>
          <t>ось В (отм. +7.550)</t>
        </is>
      </c>
      <c r="E576" s="21" t="inlineStr">
        <is>
          <t>Р-В</t>
        </is>
      </c>
      <c r="F576" s="72" t="inlineStr">
        <is>
          <t>ОС</t>
        </is>
      </c>
      <c r="G576" s="21" t="inlineStr">
        <is>
          <t>ОС верх: 2Ø25, участок 23200…25000 мм + 250 до торца</t>
        </is>
      </c>
      <c r="H576" s="51" t="n">
        <v>25</v>
      </c>
      <c r="I576" s="72" t="inlineStr">
        <is>
          <t>А500С</t>
        </is>
      </c>
      <c r="J576" s="72" t="inlineStr">
        <is>
          <t>—</t>
        </is>
      </c>
      <c r="K576" s="75" t="n">
        <v>1</v>
      </c>
      <c r="L576" s="51" t="n">
        <v>2</v>
      </c>
      <c r="M576" s="69" t="n">
        <v>2.05</v>
      </c>
      <c r="N576" s="70">
        <f>K576*L576*M576</f>
        <v/>
      </c>
      <c r="O576" s="37">
        <f>IFERROR(INDEX(Исходные!$B$19:$B$31,MATCH(H576,Исходные!$A$19:$A$31,0)),0)</f>
        <v/>
      </c>
      <c r="P576" s="76">
        <f>N576*O576</f>
        <v/>
      </c>
      <c r="Q576" s="21" t="inlineStr">
        <is>
          <t>АС-22 (отм. 7.550): выноска «ОС 2Ø25 А500С»; длина по привязкам отдельных стержней</t>
        </is>
      </c>
      <c r="R576" s="77" t="inlineStr">
        <is>
          <t>по геометрии чертежа</t>
        </is>
      </c>
      <c r="S576" s="21" t="inlineStr">
        <is>
          <t>Координаты от оси 1: 23200…25000 мм; конец до торца крайней колонны (+250)</t>
        </is>
      </c>
      <c r="T576" s="21" t="inlineStr">
        <is>
          <t>Ригели, балки, плита, С-1</t>
        </is>
      </c>
      <c r="U576" s="49" t="n">
        <v>0</v>
      </c>
      <c r="V576" s="72" t="inlineStr">
        <is>
          <t>Р-В</t>
        </is>
      </c>
      <c r="W576" s="49" t="n">
        <v>2</v>
      </c>
    </row>
    <row r="577">
      <c r="A577" s="72" t="n">
        <v>561</v>
      </c>
      <c r="B577" s="21" t="inlineStr">
        <is>
          <t>2 этаж (отм. +3.950…+7.550)</t>
        </is>
      </c>
      <c r="C577" s="21" t="inlineStr">
        <is>
          <t>Ригели</t>
        </is>
      </c>
      <c r="D577" s="21" t="inlineStr">
        <is>
          <t>ось В (отм. +7.550)</t>
        </is>
      </c>
      <c r="E577" s="21" t="inlineStr">
        <is>
          <t>Р-В</t>
        </is>
      </c>
      <c r="F577" s="72" t="inlineStr">
        <is>
          <t>ОС</t>
        </is>
      </c>
      <c r="G577" s="21" t="inlineStr">
        <is>
          <t>ОС верх 2-й ряд: 2Ø14, участок 14800…18700 мм</t>
        </is>
      </c>
      <c r="H577" s="51" t="n">
        <v>14</v>
      </c>
      <c r="I577" s="72" t="inlineStr">
        <is>
          <t>А500С</t>
        </is>
      </c>
      <c r="J577" s="72" t="inlineStr">
        <is>
          <t>—</t>
        </is>
      </c>
      <c r="K577" s="75" t="n">
        <v>1</v>
      </c>
      <c r="L577" s="51" t="n">
        <v>2</v>
      </c>
      <c r="M577" s="69" t="n">
        <v>3.9</v>
      </c>
      <c r="N577" s="70">
        <f>K577*L577*M577</f>
        <v/>
      </c>
      <c r="O577" s="37">
        <f>IFERROR(INDEX(Исходные!$B$19:$B$31,MATCH(H577,Исходные!$A$19:$A$31,0)),0)</f>
        <v/>
      </c>
      <c r="P577" s="76">
        <f>N577*O577</f>
        <v/>
      </c>
      <c r="Q577" s="21" t="inlineStr">
        <is>
          <t>АС-22 (отм. 7.550): выноска «ОС 2Ø14 А500С»; длина по привязкам отдельных стержней</t>
        </is>
      </c>
      <c r="R577" s="77" t="inlineStr">
        <is>
          <t>по геометрии чертежа</t>
        </is>
      </c>
      <c r="S577" s="21" t="inlineStr">
        <is>
          <t>Координаты от оси 1: 14800…18700 мм</t>
        </is>
      </c>
      <c r="T577" s="21" t="inlineStr">
        <is>
          <t>Ригели, балки, плита, С-1</t>
        </is>
      </c>
      <c r="U577" s="49" t="n">
        <v>0</v>
      </c>
      <c r="V577" s="72" t="inlineStr">
        <is>
          <t>Р-В</t>
        </is>
      </c>
      <c r="W577" s="49" t="n">
        <v>2</v>
      </c>
    </row>
    <row r="578">
      <c r="A578" s="72" t="n">
        <v>562</v>
      </c>
      <c r="B578" s="21" t="inlineStr">
        <is>
          <t>2 этаж (отм. +3.950…+7.550)</t>
        </is>
      </c>
      <c r="C578" s="21" t="inlineStr">
        <is>
          <t>Ригели</t>
        </is>
      </c>
      <c r="D578" s="21" t="inlineStr">
        <is>
          <t>ось В (отм. +7.550)</t>
        </is>
      </c>
      <c r="E578" s="21" t="inlineStr">
        <is>
          <t>Р-В</t>
        </is>
      </c>
      <c r="F578" s="72" t="inlineStr">
        <is>
          <t>ОС</t>
        </is>
      </c>
      <c r="G578" s="21" t="inlineStr">
        <is>
          <t>ОС низ: 2Ø16, участок 1800…4700 мм</t>
        </is>
      </c>
      <c r="H578" s="51" t="n">
        <v>16</v>
      </c>
      <c r="I578" s="72" t="inlineStr">
        <is>
          <t>А500С</t>
        </is>
      </c>
      <c r="J578" s="72" t="inlineStr">
        <is>
          <t>—</t>
        </is>
      </c>
      <c r="K578" s="75" t="n">
        <v>1</v>
      </c>
      <c r="L578" s="51" t="n">
        <v>2</v>
      </c>
      <c r="M578" s="69" t="n">
        <v>2.9</v>
      </c>
      <c r="N578" s="70">
        <f>K578*L578*M578</f>
        <v/>
      </c>
      <c r="O578" s="37">
        <f>IFERROR(INDEX(Исходные!$B$19:$B$31,MATCH(H578,Исходные!$A$19:$A$31,0)),0)</f>
        <v/>
      </c>
      <c r="P578" s="76">
        <f>N578*O578</f>
        <v/>
      </c>
      <c r="Q578" s="21" t="inlineStr">
        <is>
          <t>АС-22 (отм. 7.550): выноска «ОС 2Ø16 А500С»; длина по привязкам отдельных стержней</t>
        </is>
      </c>
      <c r="R578" s="77" t="inlineStr">
        <is>
          <t>по геометрии чертежа</t>
        </is>
      </c>
      <c r="S578" s="21" t="inlineStr">
        <is>
          <t>Координаты от оси 1: 1800…4700 мм</t>
        </is>
      </c>
      <c r="T578" s="21" t="inlineStr">
        <is>
          <t>Ригели, балки, плита, С-1</t>
        </is>
      </c>
      <c r="U578" s="49" t="n">
        <v>0</v>
      </c>
      <c r="V578" s="72" t="inlineStr">
        <is>
          <t>Р-В</t>
        </is>
      </c>
      <c r="W578" s="49" t="n">
        <v>2</v>
      </c>
    </row>
    <row r="579">
      <c r="A579" s="72" t="n">
        <v>563</v>
      </c>
      <c r="B579" s="21" t="inlineStr">
        <is>
          <t>2 этаж (отм. +3.950…+7.550)</t>
        </is>
      </c>
      <c r="C579" s="21" t="inlineStr">
        <is>
          <t>Ригели</t>
        </is>
      </c>
      <c r="D579" s="21" t="inlineStr">
        <is>
          <t>ось В (отм. +7.550)</t>
        </is>
      </c>
      <c r="E579" s="21" t="inlineStr">
        <is>
          <t>Р-В</t>
        </is>
      </c>
      <c r="F579" s="72" t="inlineStr">
        <is>
          <t>ОС</t>
        </is>
      </c>
      <c r="G579" s="21" t="inlineStr">
        <is>
          <t>ОС низ: 2Ø22, участок 8400…11600 мм</t>
        </is>
      </c>
      <c r="H579" s="51" t="n">
        <v>22</v>
      </c>
      <c r="I579" s="72" t="inlineStr">
        <is>
          <t>А500С</t>
        </is>
      </c>
      <c r="J579" s="72" t="inlineStr">
        <is>
          <t>—</t>
        </is>
      </c>
      <c r="K579" s="75" t="n">
        <v>1</v>
      </c>
      <c r="L579" s="51" t="n">
        <v>2</v>
      </c>
      <c r="M579" s="69" t="n">
        <v>3.2</v>
      </c>
      <c r="N579" s="70">
        <f>K579*L579*M579</f>
        <v/>
      </c>
      <c r="O579" s="37">
        <f>IFERROR(INDEX(Исходные!$B$19:$B$31,MATCH(H579,Исходные!$A$19:$A$31,0)),0)</f>
        <v/>
      </c>
      <c r="P579" s="76">
        <f>N579*O579</f>
        <v/>
      </c>
      <c r="Q579" s="21" t="inlineStr">
        <is>
          <t>АС-22 (отм. 7.550): выноска «ОС 2Ø22 А500С»; длина по привязкам отдельных стержней</t>
        </is>
      </c>
      <c r="R579" s="77" t="inlineStr">
        <is>
          <t>по геометрии чертежа</t>
        </is>
      </c>
      <c r="S579" s="21" t="inlineStr">
        <is>
          <t>Координаты от оси 1: 8400…11600 мм</t>
        </is>
      </c>
      <c r="T579" s="21" t="inlineStr">
        <is>
          <t>Ригели, балки, плита, С-1</t>
        </is>
      </c>
      <c r="U579" s="49" t="n">
        <v>0</v>
      </c>
      <c r="V579" s="72" t="inlineStr">
        <is>
          <t>Р-В</t>
        </is>
      </c>
      <c r="W579" s="49" t="n">
        <v>2</v>
      </c>
    </row>
    <row r="580">
      <c r="A580" s="72" t="n">
        <v>564</v>
      </c>
      <c r="B580" s="21" t="inlineStr">
        <is>
          <t>2 этаж (отм. +3.950…+7.550)</t>
        </is>
      </c>
      <c r="C580" s="21" t="inlineStr">
        <is>
          <t>Ригели</t>
        </is>
      </c>
      <c r="D580" s="21" t="inlineStr">
        <is>
          <t>ось В (отм. +7.550)</t>
        </is>
      </c>
      <c r="E580" s="21" t="inlineStr">
        <is>
          <t>Р-В</t>
        </is>
      </c>
      <c r="F580" s="72" t="inlineStr">
        <is>
          <t>ОС</t>
        </is>
      </c>
      <c r="G580" s="21" t="inlineStr">
        <is>
          <t>ОС низ: 2Ø16, участок 15300…21800 мм</t>
        </is>
      </c>
      <c r="H580" s="51" t="n">
        <v>16</v>
      </c>
      <c r="I580" s="72" t="inlineStr">
        <is>
          <t>А500С</t>
        </is>
      </c>
      <c r="J580" s="72" t="inlineStr">
        <is>
          <t>—</t>
        </is>
      </c>
      <c r="K580" s="75" t="n">
        <v>1</v>
      </c>
      <c r="L580" s="51" t="n">
        <v>2</v>
      </c>
      <c r="M580" s="69" t="n">
        <v>6.5</v>
      </c>
      <c r="N580" s="70">
        <f>K580*L580*M580</f>
        <v/>
      </c>
      <c r="O580" s="37">
        <f>IFERROR(INDEX(Исходные!$B$19:$B$31,MATCH(H580,Исходные!$A$19:$A$31,0)),0)</f>
        <v/>
      </c>
      <c r="P580" s="76">
        <f>N580*O580</f>
        <v/>
      </c>
      <c r="Q580" s="21" t="inlineStr">
        <is>
          <t>АС-22 (отм. 7.550): выноска «ОС 2Ø16 А500С»; длина по привязкам отдельных стержней</t>
        </is>
      </c>
      <c r="R580" s="77" t="inlineStr">
        <is>
          <t>по геометрии чертежа</t>
        </is>
      </c>
      <c r="S580" s="21" t="inlineStr">
        <is>
          <t>Координаты от оси 1: 15300…21800 мм</t>
        </is>
      </c>
      <c r="T580" s="21" t="inlineStr">
        <is>
          <t>Ригели, балки, плита, С-1</t>
        </is>
      </c>
      <c r="U580" s="49" t="n">
        <v>0</v>
      </c>
      <c r="V580" s="72" t="inlineStr">
        <is>
          <t>Р-В</t>
        </is>
      </c>
      <c r="W580" s="49" t="n">
        <v>2</v>
      </c>
    </row>
    <row r="581">
      <c r="A581" s="72" t="n">
        <v>565</v>
      </c>
      <c r="B581" s="21" t="inlineStr">
        <is>
          <t>2 этаж (отм. +3.950…+7.550)</t>
        </is>
      </c>
      <c r="C581" s="21" t="inlineStr">
        <is>
          <t>Ригели</t>
        </is>
      </c>
      <c r="D581" s="21" t="inlineStr">
        <is>
          <t>ось В (отм. +7.550)</t>
        </is>
      </c>
      <c r="E581" s="21" t="inlineStr">
        <is>
          <t>Р-В</t>
        </is>
      </c>
      <c r="F581" s="72" t="inlineStr">
        <is>
          <t>ОС</t>
        </is>
      </c>
      <c r="G581" s="21" t="inlineStr">
        <is>
          <t>ОС низ: 2Ø16, участок 23200…25000 мм + 250 до торца</t>
        </is>
      </c>
      <c r="H581" s="51" t="n">
        <v>16</v>
      </c>
      <c r="I581" s="72" t="inlineStr">
        <is>
          <t>А500С</t>
        </is>
      </c>
      <c r="J581" s="72" t="inlineStr">
        <is>
          <t>—</t>
        </is>
      </c>
      <c r="K581" s="75" t="n">
        <v>1</v>
      </c>
      <c r="L581" s="51" t="n">
        <v>2</v>
      </c>
      <c r="M581" s="69" t="n">
        <v>2.05</v>
      </c>
      <c r="N581" s="70">
        <f>K581*L581*M581</f>
        <v/>
      </c>
      <c r="O581" s="37">
        <f>IFERROR(INDEX(Исходные!$B$19:$B$31,MATCH(H581,Исходные!$A$19:$A$31,0)),0)</f>
        <v/>
      </c>
      <c r="P581" s="76">
        <f>N581*O581</f>
        <v/>
      </c>
      <c r="Q581" s="21" t="inlineStr">
        <is>
          <t>АС-22 (отм. 7.550): выноска «ОС 2Ø16 А500С»; длина по привязкам отдельных стержней</t>
        </is>
      </c>
      <c r="R581" s="77" t="inlineStr">
        <is>
          <t>по геометрии чертежа</t>
        </is>
      </c>
      <c r="S581" s="21" t="inlineStr">
        <is>
          <t>Координаты от оси 1: 23200…25000 мм; конец до торца крайней колонны (+250)</t>
        </is>
      </c>
      <c r="T581" s="21" t="inlineStr">
        <is>
          <t>Ригели, балки, плита, С-1</t>
        </is>
      </c>
      <c r="U581" s="49" t="n">
        <v>0</v>
      </c>
      <c r="V581" s="72" t="inlineStr">
        <is>
          <t>Р-В</t>
        </is>
      </c>
      <c r="W581" s="49" t="n">
        <v>2</v>
      </c>
    </row>
    <row r="582">
      <c r="A582" s="72" t="n">
        <v>566</v>
      </c>
      <c r="B582" s="21" t="inlineStr">
        <is>
          <t>2 этаж (отм. +3.950…+7.550)</t>
        </is>
      </c>
      <c r="C582" s="21" t="inlineStr">
        <is>
          <t>Ригели</t>
        </is>
      </c>
      <c r="D582" s="21" t="inlineStr">
        <is>
          <t>ось В (отм. +7.550)</t>
        </is>
      </c>
      <c r="E582" s="21" t="inlineStr">
        <is>
          <t>Р-В</t>
        </is>
      </c>
      <c r="F582" s="72" t="inlineStr">
        <is>
          <t>ОС</t>
        </is>
      </c>
      <c r="G582" s="21" t="inlineStr">
        <is>
          <t>ОС низ 2-й ряд: 2Ø14, участок 4700…8400 мм</t>
        </is>
      </c>
      <c r="H582" s="51" t="n">
        <v>14</v>
      </c>
      <c r="I582" s="72" t="inlineStr">
        <is>
          <t>А500С</t>
        </is>
      </c>
      <c r="J582" s="72" t="inlineStr">
        <is>
          <t>—</t>
        </is>
      </c>
      <c r="K582" s="75" t="n">
        <v>1</v>
      </c>
      <c r="L582" s="51" t="n">
        <v>2</v>
      </c>
      <c r="M582" s="69" t="n">
        <v>3.7</v>
      </c>
      <c r="N582" s="70">
        <f>K582*L582*M582</f>
        <v/>
      </c>
      <c r="O582" s="37">
        <f>IFERROR(INDEX(Исходные!$B$19:$B$31,MATCH(H582,Исходные!$A$19:$A$31,0)),0)</f>
        <v/>
      </c>
      <c r="P582" s="76">
        <f>N582*O582</f>
        <v/>
      </c>
      <c r="Q582" s="21" t="inlineStr">
        <is>
          <t>АС-22 (отм. 7.550): выноска «ОС 2Ø14 А500С»; длина по привязкам отдельных стержней</t>
        </is>
      </c>
      <c r="R582" s="77" t="inlineStr">
        <is>
          <t>по геометрии чертежа</t>
        </is>
      </c>
      <c r="S582" s="21" t="inlineStr">
        <is>
          <t>Координаты от оси 1: 4700…8400 мм</t>
        </is>
      </c>
      <c r="T582" s="21" t="inlineStr">
        <is>
          <t>Ригели, балки, плита, С-1</t>
        </is>
      </c>
      <c r="U582" s="49" t="n">
        <v>0</v>
      </c>
      <c r="V582" s="72" t="inlineStr">
        <is>
          <t>Р-В</t>
        </is>
      </c>
      <c r="W582" s="49" t="n">
        <v>2</v>
      </c>
    </row>
    <row r="583">
      <c r="A583" s="72" t="n">
        <v>567</v>
      </c>
      <c r="B583" s="21" t="inlineStr">
        <is>
          <t>2 этаж (отм. +3.950…+7.550)</t>
        </is>
      </c>
      <c r="C583" s="21" t="inlineStr">
        <is>
          <t>Ригели</t>
        </is>
      </c>
      <c r="D583" s="21" t="inlineStr">
        <is>
          <t>ось В (отм. +7.550)</t>
        </is>
      </c>
      <c r="E583" s="21" t="inlineStr">
        <is>
          <t>Р-В</t>
        </is>
      </c>
      <c r="F583" s="72" t="inlineStr">
        <is>
          <t>ОС</t>
        </is>
      </c>
      <c r="G583" s="21" t="inlineStr">
        <is>
          <t>ОС низ 2-й ряд: 2Ø14, участок 11600…15800 мм</t>
        </is>
      </c>
      <c r="H583" s="51" t="n">
        <v>14</v>
      </c>
      <c r="I583" s="72" t="inlineStr">
        <is>
          <t>А500С</t>
        </is>
      </c>
      <c r="J583" s="72" t="inlineStr">
        <is>
          <t>—</t>
        </is>
      </c>
      <c r="K583" s="75" t="n">
        <v>1</v>
      </c>
      <c r="L583" s="51" t="n">
        <v>2</v>
      </c>
      <c r="M583" s="69" t="n">
        <v>4.2</v>
      </c>
      <c r="N583" s="70">
        <f>K583*L583*M583</f>
        <v/>
      </c>
      <c r="O583" s="37">
        <f>IFERROR(INDEX(Исходные!$B$19:$B$31,MATCH(H583,Исходные!$A$19:$A$31,0)),0)</f>
        <v/>
      </c>
      <c r="P583" s="76">
        <f>N583*O583</f>
        <v/>
      </c>
      <c r="Q583" s="21" t="inlineStr">
        <is>
          <t>АС-22 (отм. 7.550): выноска «ОС 2Ø14 А500С»; длина по привязкам отдельных стержней</t>
        </is>
      </c>
      <c r="R583" s="77" t="inlineStr">
        <is>
          <t>по геометрии чертежа</t>
        </is>
      </c>
      <c r="S583" s="21" t="inlineStr">
        <is>
          <t>Координаты от оси 1: 11600…15800 мм</t>
        </is>
      </c>
      <c r="T583" s="21" t="inlineStr">
        <is>
          <t>Ригели, балки, плита, С-1</t>
        </is>
      </c>
      <c r="U583" s="49" t="n">
        <v>0</v>
      </c>
      <c r="V583" s="72" t="inlineStr">
        <is>
          <t>Р-В</t>
        </is>
      </c>
      <c r="W583" s="49" t="n">
        <v>2</v>
      </c>
    </row>
    <row r="584">
      <c r="A584" s="72" t="n">
        <v>568</v>
      </c>
      <c r="B584" s="21" t="inlineStr">
        <is>
          <t>2 этаж (отм. +3.950…+7.550)</t>
        </is>
      </c>
      <c r="C584" s="21" t="inlineStr">
        <is>
          <t>Ригели</t>
        </is>
      </c>
      <c r="D584" s="21" t="inlineStr">
        <is>
          <t>ось В (отм. +7.550)</t>
        </is>
      </c>
      <c r="E584" s="21" t="inlineStr">
        <is>
          <t>Р-В</t>
        </is>
      </c>
      <c r="F584" s="72" t="inlineStr">
        <is>
          <t>ОС</t>
        </is>
      </c>
      <c r="G584" s="21" t="inlineStr">
        <is>
          <t>Ос (бок) бок: 4Ø12, участок 4700…21800 мм</t>
        </is>
      </c>
      <c r="H584" s="51" t="n">
        <v>12</v>
      </c>
      <c r="I584" s="72" t="inlineStr">
        <is>
          <t>А500С</t>
        </is>
      </c>
      <c r="J584" s="72" t="inlineStr">
        <is>
          <t>—</t>
        </is>
      </c>
      <c r="K584" s="75" t="n">
        <v>1</v>
      </c>
      <c r="L584" s="51" t="n">
        <v>4</v>
      </c>
      <c r="M584" s="69" t="n">
        <v>17.1</v>
      </c>
      <c r="N584" s="70">
        <f>K584*L584*M584</f>
        <v/>
      </c>
      <c r="O584" s="37">
        <f>IFERROR(INDEX(Исходные!$B$19:$B$31,MATCH(H584,Исходные!$A$19:$A$31,0)),0)</f>
        <v/>
      </c>
      <c r="P584" s="76">
        <f>N584*O584</f>
        <v/>
      </c>
      <c r="Q584" s="21" t="inlineStr">
        <is>
          <t>АС-22 (отм. 7.550): выноска «Ос (бок) 4Ø12 А500С»; длина по привязкам отдельных стержней</t>
        </is>
      </c>
      <c r="R584" s="77" t="inlineStr">
        <is>
          <t>по геометрии чертежа</t>
        </is>
      </c>
      <c r="S584" s="21" t="inlineStr">
        <is>
          <t>Координаты от оси 1: 4700…21800 мм</t>
        </is>
      </c>
      <c r="T584" s="21" t="inlineStr">
        <is>
          <t>Ригели, балки, плита, С-1</t>
        </is>
      </c>
      <c r="U584" s="49" t="n">
        <v>0</v>
      </c>
      <c r="V584" s="72" t="inlineStr">
        <is>
          <t>Р-В</t>
        </is>
      </c>
      <c r="W584" s="49" t="n">
        <v>2</v>
      </c>
    </row>
    <row r="585">
      <c r="A585" s="72" t="n">
        <v>569</v>
      </c>
      <c r="B585" s="21" t="inlineStr">
        <is>
          <t>2 этаж (отм. +3.950…+7.550)</t>
        </is>
      </c>
      <c r="C585" s="21" t="inlineStr">
        <is>
          <t>Ригели</t>
        </is>
      </c>
      <c r="D585" s="21" t="inlineStr">
        <is>
          <t>ось В (отм. +7.550)</t>
        </is>
      </c>
      <c r="E585" s="21" t="inlineStr">
        <is>
          <t>Р-В</t>
        </is>
      </c>
      <c r="F585" s="72" t="inlineStr">
        <is>
          <t>ОС-нахл</t>
        </is>
      </c>
      <c r="G585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585" s="51" t="n">
        <v>12</v>
      </c>
      <c r="I585" s="72" t="inlineStr">
        <is>
          <t>А500С</t>
        </is>
      </c>
      <c r="J585" s="72" t="inlineStr">
        <is>
          <t>—</t>
        </is>
      </c>
      <c r="K585" s="75" t="n">
        <v>4</v>
      </c>
      <c r="L585" s="51" t="n">
        <v>1</v>
      </c>
      <c r="M585" s="69" t="n">
        <v>0.096</v>
      </c>
      <c r="N585" s="70">
        <f>K585*L585*M585</f>
        <v/>
      </c>
      <c r="O585" s="37">
        <f>IFERROR(INDEX(Исходные!$B$19:$B$31,MATCH(H585,Исходные!$A$19:$A$31,0)),0)</f>
        <v/>
      </c>
      <c r="P585" s="76">
        <f>N585*O585</f>
        <v/>
      </c>
      <c r="Q585" s="21" t="inlineStr">
        <is>
          <t>АС-19 прим.1: Ø18 и менее — внахлёстку электродуговой сваркой, Lшва=8d = 96 мм</t>
        </is>
      </c>
      <c r="R585" s="77" t="inlineStr">
        <is>
          <t>по проекту (стыковка прутков 11,7 м)</t>
        </is>
      </c>
      <c r="S585" s="21" t="inlineStr">
        <is>
          <t>Чистая длина 17.100 м; кусков 2; стыков 1; Lнахл=1×0.096=0.096 м на стержень</t>
        </is>
      </c>
      <c r="T585" s="21" t="inlineStr">
        <is>
          <t>Ригели, балки, плита, С-1</t>
        </is>
      </c>
      <c r="U585" s="49" t="n">
        <v>0</v>
      </c>
      <c r="V585" s="72" t="inlineStr">
        <is>
          <t>Р-В</t>
        </is>
      </c>
      <c r="W585" s="49" t="n">
        <v>2</v>
      </c>
    </row>
    <row r="586">
      <c r="A586" s="72" t="n">
        <v>570</v>
      </c>
      <c r="B586" s="21" t="inlineStr">
        <is>
          <t>2 этаж (отм. +3.950…+7.550)</t>
        </is>
      </c>
      <c r="C586" s="21" t="inlineStr">
        <is>
          <t>Ригели</t>
        </is>
      </c>
      <c r="D586" s="21" t="inlineStr">
        <is>
          <t>ось В (отм. +7.550)</t>
        </is>
      </c>
      <c r="E586" s="21" t="inlineStr">
        <is>
          <t>Р-В</t>
        </is>
      </c>
      <c r="F586" s="72" t="inlineStr">
        <is>
          <t>12</t>
        </is>
      </c>
      <c r="G586" s="21" t="inlineStr">
        <is>
          <t>Хомут Ø8 L=2060 ш.100 у опор, ш.150 в пролёте, 80×4 у балок — вне заштрихованных участков</t>
        </is>
      </c>
      <c r="H586" s="51" t="n">
        <v>8</v>
      </c>
      <c r="I586" s="72" t="inlineStr">
        <is>
          <t>А240</t>
        </is>
      </c>
      <c r="J586" s="72" t="inlineStr">
        <is>
          <t>100/150</t>
        </is>
      </c>
      <c r="K586" s="75" t="n">
        <v>1</v>
      </c>
      <c r="L586" s="51" t="n">
        <v>78</v>
      </c>
      <c r="M586" s="69" t="n">
        <v>2.06</v>
      </c>
      <c r="N586" s="70">
        <f>K586*L586*M586</f>
        <v/>
      </c>
      <c r="O586" s="37">
        <f>IFERROR(INDEX(Исходные!$B$19:$B$31,MATCH(H586,Исходные!$A$19:$A$31,0)),0)</f>
        <v/>
      </c>
      <c r="P586" s="76">
        <f>N586*O586</f>
        <v/>
      </c>
      <c r="Q586" s="21" t="inlineStr">
        <is>
          <t>АС-28 поз.12; АС-29 «Расстановка хомутов в ригелях»</t>
        </is>
      </c>
      <c r="R586" s="77" t="inlineStr">
        <is>
          <t>по проекту</t>
        </is>
      </c>
      <c r="S586" s="21" t="inlineStr">
        <is>
          <t>Пролёты в свету [(300, 6200), (6800, 13200), (13800, 19700), (20300, 24700)]</t>
        </is>
      </c>
      <c r="T586" s="21" t="inlineStr">
        <is>
          <t>Ригели, балки, плита, С-1</t>
        </is>
      </c>
      <c r="U586" s="49" t="n">
        <v>0</v>
      </c>
      <c r="V586" s="72" t="inlineStr">
        <is>
          <t>Р-В</t>
        </is>
      </c>
      <c r="W586" s="49" t="n">
        <v>2</v>
      </c>
    </row>
    <row r="587">
      <c r="A587" s="72" t="n">
        <v>571</v>
      </c>
      <c r="B587" s="21" t="inlineStr">
        <is>
          <t>2 этаж (отм. +3.950…+7.550)</t>
        </is>
      </c>
      <c r="C587" s="21" t="inlineStr">
        <is>
          <t>Ригели</t>
        </is>
      </c>
      <c r="D587" s="21" t="inlineStr">
        <is>
          <t>ось В (отм. +7.550)</t>
        </is>
      </c>
      <c r="E587" s="21" t="inlineStr">
        <is>
          <t>Р-В</t>
        </is>
      </c>
      <c r="F587" s="72" t="inlineStr">
        <is>
          <t>13</t>
        </is>
      </c>
      <c r="G587" s="21" t="inlineStr">
        <is>
          <t>Хомут наружный Ø10 L=2060 ш.100 — заштрихованные участки</t>
        </is>
      </c>
      <c r="H587" s="51" t="n">
        <v>10</v>
      </c>
      <c r="I587" s="72" t="inlineStr">
        <is>
          <t>А240</t>
        </is>
      </c>
      <c r="J587" s="72" t="n">
        <v>100</v>
      </c>
      <c r="K587" s="75" t="n">
        <v>1</v>
      </c>
      <c r="L587" s="51" t="n">
        <v>124</v>
      </c>
      <c r="M587" s="69" t="n">
        <v>2.06</v>
      </c>
      <c r="N587" s="70">
        <f>K587*L587*M587</f>
        <v/>
      </c>
      <c r="O587" s="37">
        <f>IFERROR(INDEX(Исходные!$B$19:$B$31,MATCH(H587,Исходные!$A$19:$A$31,0)),0)</f>
        <v/>
      </c>
      <c r="P587" s="76">
        <f>N587*O587</f>
        <v/>
      </c>
      <c r="Q587" s="21" t="inlineStr">
        <is>
          <t>АС-22 штриховка у отм. 7.550; АС-28 Фрагмент №1, поз.13</t>
        </is>
      </c>
      <c r="R587" s="77" t="inlineStr">
        <is>
          <t>по проекту</t>
        </is>
      </c>
      <c r="S587" s="21" t="inlineStr">
        <is>
          <t>Участки (мм): одинарные [(0, 1200)], двойные [(6500, 20000)]</t>
        </is>
      </c>
      <c r="T587" s="21" t="inlineStr">
        <is>
          <t>Ригели, балки, плита, С-1</t>
        </is>
      </c>
      <c r="U587" s="49" t="n">
        <v>0</v>
      </c>
      <c r="V587" s="72" t="inlineStr">
        <is>
          <t>Р-В</t>
        </is>
      </c>
      <c r="W587" s="49" t="n">
        <v>2</v>
      </c>
    </row>
    <row r="588">
      <c r="A588" s="72" t="n">
        <v>572</v>
      </c>
      <c r="B588" s="21" t="inlineStr">
        <is>
          <t>2 этаж (отм. +3.950…+7.550)</t>
        </is>
      </c>
      <c r="C588" s="21" t="inlineStr">
        <is>
          <t>Ригели</t>
        </is>
      </c>
      <c r="D588" s="21" t="inlineStr">
        <is>
          <t>ось В (отм. +7.550)</t>
        </is>
      </c>
      <c r="E588" s="21" t="inlineStr">
        <is>
          <t>Р-В</t>
        </is>
      </c>
      <c r="F588" s="72" t="inlineStr">
        <is>
          <t>15</t>
        </is>
      </c>
      <c r="G588" s="21" t="inlineStr">
        <is>
          <t>Хомут внутренний Ø10 L=1600 ш.100 — участки двойных хомутов</t>
        </is>
      </c>
      <c r="H588" s="51" t="n">
        <v>10</v>
      </c>
      <c r="I588" s="72" t="inlineStr">
        <is>
          <t>А240</t>
        </is>
      </c>
      <c r="J588" s="72" t="n">
        <v>100</v>
      </c>
      <c r="K588" s="75" t="n">
        <v>1</v>
      </c>
      <c r="L588" s="51" t="n">
        <v>115</v>
      </c>
      <c r="M588" s="69" t="n">
        <v>1.6</v>
      </c>
      <c r="N588" s="70">
        <f>K588*L588*M588</f>
        <v/>
      </c>
      <c r="O588" s="37">
        <f>IFERROR(INDEX(Исходные!$B$19:$B$31,MATCH(H588,Исходные!$A$19:$A$31,0)),0)</f>
        <v/>
      </c>
      <c r="P588" s="76">
        <f>N588*O588</f>
        <v/>
      </c>
      <c r="Q588" s="21" t="inlineStr">
        <is>
          <t>АС-22 двойная штриховка; АС-28 Фрагмент №1, поз.15</t>
        </is>
      </c>
      <c r="R588" s="77" t="inlineStr">
        <is>
          <t>по проекту</t>
        </is>
      </c>
      <c r="S588" s="21" t="inlineStr"/>
      <c r="T588" s="21" t="inlineStr">
        <is>
          <t>Ригели, балки, плита, С-1</t>
        </is>
      </c>
      <c r="U588" s="49" t="n">
        <v>0</v>
      </c>
      <c r="V588" s="72" t="inlineStr">
        <is>
          <t>Р-В</t>
        </is>
      </c>
      <c r="W588" s="49" t="n">
        <v>2</v>
      </c>
    </row>
    <row r="589">
      <c r="A589" s="72" t="n">
        <v>573</v>
      </c>
      <c r="B589" s="21" t="inlineStr">
        <is>
          <t>2 этаж (отм. +3.950…+7.550)</t>
        </is>
      </c>
      <c r="C589" s="21" t="inlineStr">
        <is>
          <t>Ригели</t>
        </is>
      </c>
      <c r="D589" s="21" t="inlineStr">
        <is>
          <t>ось В (отм. +7.550)</t>
        </is>
      </c>
      <c r="E589" s="21" t="inlineStr">
        <is>
          <t>Р-В</t>
        </is>
      </c>
      <c r="F589" s="72" t="inlineStr">
        <is>
          <t>17</t>
        </is>
      </c>
      <c r="G589" s="21" t="inlineStr">
        <is>
          <t>Шпилька вертикальная Ø8 L=750: ш.200 у опор, ш.150 в пролёте</t>
        </is>
      </c>
      <c r="H589" s="51" t="n">
        <v>8</v>
      </c>
      <c r="I589" s="72" t="inlineStr">
        <is>
          <t>А240</t>
        </is>
      </c>
      <c r="J589" s="72" t="inlineStr">
        <is>
          <t>200/150</t>
        </is>
      </c>
      <c r="K589" s="75" t="n">
        <v>1</v>
      </c>
      <c r="L589" s="51" t="n">
        <v>54</v>
      </c>
      <c r="M589" s="69" t="n">
        <v>0.75</v>
      </c>
      <c r="N589" s="70">
        <f>K589*L589*M589</f>
        <v/>
      </c>
      <c r="O589" s="37">
        <f>IFERROR(INDEX(Исходные!$B$19:$B$31,MATCH(H589,Исходные!$A$19:$A$31,0)),0)</f>
        <v/>
      </c>
      <c r="P589" s="76">
        <f>N589*O589</f>
        <v/>
      </c>
      <c r="Q589" s="21" t="inlineStr">
        <is>
          <t>АС-28 сеч.4-4/5-5 поз.17</t>
        </is>
      </c>
      <c r="R589" s="77" t="inlineStr">
        <is>
          <t>по проекту</t>
        </is>
      </c>
      <c r="S589" s="21" t="inlineStr"/>
      <c r="T589" s="21" t="inlineStr">
        <is>
          <t>Ригели, балки, плита, С-1</t>
        </is>
      </c>
      <c r="U589" s="49" t="n">
        <v>0</v>
      </c>
      <c r="V589" s="72" t="inlineStr">
        <is>
          <t>Р-В</t>
        </is>
      </c>
      <c r="W589" s="49" t="n">
        <v>2</v>
      </c>
    </row>
    <row r="590">
      <c r="A590" s="72" t="n">
        <v>574</v>
      </c>
      <c r="B590" s="21" t="inlineStr">
        <is>
          <t>2 этаж (отм. +3.950…+7.550)</t>
        </is>
      </c>
      <c r="C590" s="21" t="inlineStr">
        <is>
          <t>Ригели</t>
        </is>
      </c>
      <c r="D590" s="21" t="inlineStr">
        <is>
          <t>ось В (отм. +7.550)</t>
        </is>
      </c>
      <c r="E590" s="21" t="inlineStr">
        <is>
          <t>Р-В</t>
        </is>
      </c>
      <c r="F590" s="72" t="inlineStr">
        <is>
          <t>16</t>
        </is>
      </c>
      <c r="G590" s="21" t="inlineStr">
        <is>
          <t>Шпилька горизонтальная Ø8 L=580 ш.300</t>
        </is>
      </c>
      <c r="H590" s="51" t="n">
        <v>8</v>
      </c>
      <c r="I590" s="72" t="inlineStr">
        <is>
          <t>А240</t>
        </is>
      </c>
      <c r="J590" s="72" t="n">
        <v>300</v>
      </c>
      <c r="K590" s="75" t="n">
        <v>1</v>
      </c>
      <c r="L590" s="51" t="n">
        <v>77</v>
      </c>
      <c r="M590" s="69" t="n">
        <v>0.58</v>
      </c>
      <c r="N590" s="70">
        <f>K590*L590*M590</f>
        <v/>
      </c>
      <c r="O590" s="37">
        <f>IFERROR(INDEX(Исходные!$B$19:$B$31,MATCH(H590,Исходные!$A$19:$A$31,0)),0)</f>
        <v/>
      </c>
      <c r="P590" s="76">
        <f>N590*O590</f>
        <v/>
      </c>
      <c r="Q590" s="21" t="inlineStr">
        <is>
          <t>АС-28 «шп.Ø8 А240 ш.300», поз.16 L=580</t>
        </is>
      </c>
      <c r="R590" s="78" t="inlineStr">
        <is>
          <t>принято (уточнить)</t>
        </is>
      </c>
      <c r="S590" s="21" t="inlineStr"/>
      <c r="T590" s="21" t="inlineStr">
        <is>
          <t>Ригели, балки, плита, С-1</t>
        </is>
      </c>
      <c r="U590" s="49" t="n">
        <v>1</v>
      </c>
      <c r="V590" s="72" t="inlineStr">
        <is>
          <t>Р-В</t>
        </is>
      </c>
      <c r="W590" s="49" t="n">
        <v>2</v>
      </c>
    </row>
    <row r="591">
      <c r="A591" s="72" t="n">
        <v>575</v>
      </c>
      <c r="B591" s="21" t="inlineStr">
        <is>
          <t>2 этаж (отм. +3.950…+7.550)</t>
        </is>
      </c>
      <c r="C591" s="21" t="inlineStr">
        <is>
          <t>Ригели</t>
        </is>
      </c>
      <c r="D591" s="21" t="inlineStr">
        <is>
          <t>ось Г (отм. +7.550)</t>
        </is>
      </c>
      <c r="E591" s="21" t="inlineStr">
        <is>
          <t>Р-Г</t>
        </is>
      </c>
      <c r="F591" s="72" t="inlineStr">
        <is>
          <t>2</t>
        </is>
      </c>
      <c r="G591" s="21" t="inlineStr">
        <is>
          <t>Продольные угловые 4Ø28 (сеч.4-4/5-5), сквозные, концы с Аш</t>
        </is>
      </c>
      <c r="H591" s="51" t="n">
        <v>28</v>
      </c>
      <c r="I591" s="72" t="inlineStr">
        <is>
          <t>А500С</t>
        </is>
      </c>
      <c r="J591" s="72" t="inlineStr">
        <is>
          <t>—</t>
        </is>
      </c>
      <c r="K591" s="75" t="n">
        <v>1</v>
      </c>
      <c r="L591" s="51" t="n">
        <v>4</v>
      </c>
      <c r="M591" s="69" t="n">
        <v>25.5</v>
      </c>
      <c r="N591" s="70">
        <f>K591*L591*M591</f>
        <v/>
      </c>
      <c r="O591" s="37">
        <f>IFERROR(INDEX(Исходные!$B$19:$B$31,MATCH(H591,Исходные!$A$19:$A$31,0)),0)</f>
        <v/>
      </c>
      <c r="P591" s="76">
        <f>N591*O591</f>
        <v/>
      </c>
      <c r="Q591" s="21" t="inlineStr">
        <is>
          <t>АС-23 рама + АС-28 сеч.4-4/5-5 поз.2; длина = 25000+2×250</t>
        </is>
      </c>
      <c r="R591" s="77" t="inlineStr">
        <is>
          <t>по геометрии чертежа</t>
        </is>
      </c>
      <c r="S591" s="21" t="inlineStr">
        <is>
          <t>Стыки ванной сваркой без нахлёста: 2 на стержень (всего 8).</t>
        </is>
      </c>
      <c r="T591" s="21" t="inlineStr">
        <is>
          <t>Ригели, балки, плита, С-1</t>
        </is>
      </c>
      <c r="U591" s="49" t="n">
        <v>0</v>
      </c>
      <c r="V591" s="72" t="inlineStr">
        <is>
          <t>Р-Г</t>
        </is>
      </c>
      <c r="W591" s="49" t="n">
        <v>2</v>
      </c>
    </row>
    <row r="592">
      <c r="A592" s="72" t="n">
        <v>576</v>
      </c>
      <c r="B592" s="21" t="inlineStr">
        <is>
          <t>2 этаж (отм. +3.950…+7.550)</t>
        </is>
      </c>
      <c r="C592" s="21" t="inlineStr">
        <is>
          <t>Ригели</t>
        </is>
      </c>
      <c r="D592" s="21" t="inlineStr">
        <is>
          <t>ось Г (отм. +7.550)</t>
        </is>
      </c>
      <c r="E592" s="21" t="inlineStr">
        <is>
          <t>Р-Г</t>
        </is>
      </c>
      <c r="F592" s="72" t="inlineStr">
        <is>
          <t>6</t>
        </is>
      </c>
      <c r="G592" s="21" t="inlineStr">
        <is>
          <t>Продольные средние верх/низ 2Ø18 (сеч.4-4/5-5)</t>
        </is>
      </c>
      <c r="H592" s="51" t="n">
        <v>18</v>
      </c>
      <c r="I592" s="72" t="inlineStr">
        <is>
          <t>А500С</t>
        </is>
      </c>
      <c r="J592" s="72" t="inlineStr">
        <is>
          <t>—</t>
        </is>
      </c>
      <c r="K592" s="75" t="n">
        <v>1</v>
      </c>
      <c r="L592" s="51" t="n">
        <v>2</v>
      </c>
      <c r="M592" s="69" t="n">
        <v>25.5</v>
      </c>
      <c r="N592" s="70">
        <f>K592*L592*M592</f>
        <v/>
      </c>
      <c r="O592" s="37">
        <f>IFERROR(INDEX(Исходные!$B$19:$B$31,MATCH(H592,Исходные!$A$19:$A$31,0)),0)</f>
        <v/>
      </c>
      <c r="P592" s="76">
        <f>N592*O592</f>
        <v/>
      </c>
      <c r="Q592" s="21" t="inlineStr">
        <is>
          <t>АС-28 сеч.4-4/5-5 поз.6</t>
        </is>
      </c>
      <c r="R592" s="77" t="inlineStr">
        <is>
          <t>по геометрии чертежа</t>
        </is>
      </c>
      <c r="S592" s="21" t="inlineStr"/>
      <c r="T592" s="21" t="inlineStr">
        <is>
          <t>Ригели, балки, плита, С-1</t>
        </is>
      </c>
      <c r="U592" s="49" t="n">
        <v>0</v>
      </c>
      <c r="V592" s="72" t="inlineStr">
        <is>
          <t>Р-Г</t>
        </is>
      </c>
      <c r="W592" s="49" t="n">
        <v>2</v>
      </c>
    </row>
    <row r="593">
      <c r="A593" s="72" t="n">
        <v>577</v>
      </c>
      <c r="B593" s="21" t="inlineStr">
        <is>
          <t>2 этаж (отм. +3.950…+7.550)</t>
        </is>
      </c>
      <c r="C593" s="21" t="inlineStr">
        <is>
          <t>Ригели</t>
        </is>
      </c>
      <c r="D593" s="21" t="inlineStr">
        <is>
          <t>ось Г (отм. +7.550)</t>
        </is>
      </c>
      <c r="E593" s="21" t="inlineStr">
        <is>
          <t>Р-Г</t>
        </is>
      </c>
      <c r="F593" s="72" t="inlineStr">
        <is>
          <t>6-нахл</t>
        </is>
      </c>
      <c r="G593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593" s="51" t="n">
        <v>18</v>
      </c>
      <c r="I593" s="72" t="inlineStr">
        <is>
          <t>А500С</t>
        </is>
      </c>
      <c r="J593" s="72" t="inlineStr">
        <is>
          <t>—</t>
        </is>
      </c>
      <c r="K593" s="75" t="n">
        <v>2</v>
      </c>
      <c r="L593" s="51" t="n">
        <v>2</v>
      </c>
      <c r="M593" s="69" t="n">
        <v>0.144</v>
      </c>
      <c r="N593" s="70">
        <f>K593*L593*M593</f>
        <v/>
      </c>
      <c r="O593" s="37">
        <f>IFERROR(INDEX(Исходные!$B$19:$B$31,MATCH(H593,Исходные!$A$19:$A$31,0)),0)</f>
        <v/>
      </c>
      <c r="P593" s="76">
        <f>N593*O593</f>
        <v/>
      </c>
      <c r="Q593" s="21" t="inlineStr">
        <is>
          <t>АС-19 прим.1: Ø18 и менее — внахлёстку электродуговой сваркой, Lшва=8d = 144 мм</t>
        </is>
      </c>
      <c r="R593" s="77" t="inlineStr">
        <is>
          <t>по проекту (стыковка прутков 11,7 м)</t>
        </is>
      </c>
      <c r="S593" s="21" t="inlineStr">
        <is>
          <t>Чистая длина 25.500 м; кусков 3; стыков 2; Lнахл=2×0.144=0.288 м на стержень</t>
        </is>
      </c>
      <c r="T593" s="21" t="inlineStr">
        <is>
          <t>Ригели, балки, плита, С-1</t>
        </is>
      </c>
      <c r="U593" s="49" t="n">
        <v>0</v>
      </c>
      <c r="V593" s="72" t="inlineStr">
        <is>
          <t>Р-Г</t>
        </is>
      </c>
      <c r="W593" s="49" t="n">
        <v>2</v>
      </c>
    </row>
    <row r="594">
      <c r="A594" s="72" t="n">
        <v>578</v>
      </c>
      <c r="B594" s="21" t="inlineStr">
        <is>
          <t>2 этаж (отм. +3.950…+7.550)</t>
        </is>
      </c>
      <c r="C594" s="21" t="inlineStr">
        <is>
          <t>Ригели</t>
        </is>
      </c>
      <c r="D594" s="21" t="inlineStr">
        <is>
          <t>ось Г (отм. +7.550)</t>
        </is>
      </c>
      <c r="E594" s="21" t="inlineStr">
        <is>
          <t>Р-Г</t>
        </is>
      </c>
      <c r="F594" s="72" t="inlineStr">
        <is>
          <t>7</t>
        </is>
      </c>
      <c r="G594" s="21" t="inlineStr">
        <is>
          <t>Боковые стержни 2Ø16 (сеч.4-4/5-5)</t>
        </is>
      </c>
      <c r="H594" s="51" t="n">
        <v>16</v>
      </c>
      <c r="I594" s="72" t="inlineStr">
        <is>
          <t>А500С</t>
        </is>
      </c>
      <c r="J594" s="72" t="inlineStr">
        <is>
          <t>—</t>
        </is>
      </c>
      <c r="K594" s="75" t="n">
        <v>1</v>
      </c>
      <c r="L594" s="51" t="n">
        <v>2</v>
      </c>
      <c r="M594" s="69" t="n">
        <v>25.5</v>
      </c>
      <c r="N594" s="70">
        <f>K594*L594*M594</f>
        <v/>
      </c>
      <c r="O594" s="37">
        <f>IFERROR(INDEX(Исходные!$B$19:$B$31,MATCH(H594,Исходные!$A$19:$A$31,0)),0)</f>
        <v/>
      </c>
      <c r="P594" s="76">
        <f>N594*O594</f>
        <v/>
      </c>
      <c r="Q594" s="21" t="inlineStr">
        <is>
          <t>АС-28 сеч.4-4/5-5 «Боковые стержни 2Ø16»</t>
        </is>
      </c>
      <c r="R594" s="77" t="inlineStr">
        <is>
          <t>по геометрии чертежа</t>
        </is>
      </c>
      <c r="S594" s="21" t="inlineStr"/>
      <c r="T594" s="21" t="inlineStr">
        <is>
          <t>Ригели, балки, плита, С-1</t>
        </is>
      </c>
      <c r="U594" s="49" t="n">
        <v>0</v>
      </c>
      <c r="V594" s="72" t="inlineStr">
        <is>
          <t>Р-Г</t>
        </is>
      </c>
      <c r="W594" s="49" t="n">
        <v>2</v>
      </c>
    </row>
    <row r="595">
      <c r="A595" s="72" t="n">
        <v>579</v>
      </c>
      <c r="B595" s="21" t="inlineStr">
        <is>
          <t>2 этаж (отм. +3.950…+7.550)</t>
        </is>
      </c>
      <c r="C595" s="21" t="inlineStr">
        <is>
          <t>Ригели</t>
        </is>
      </c>
      <c r="D595" s="21" t="inlineStr">
        <is>
          <t>ось Г (отм. +7.550)</t>
        </is>
      </c>
      <c r="E595" s="21" t="inlineStr">
        <is>
          <t>Р-Г</t>
        </is>
      </c>
      <c r="F595" s="72" t="inlineStr">
        <is>
          <t>7-нахл</t>
        </is>
      </c>
      <c r="G595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595" s="51" t="n">
        <v>16</v>
      </c>
      <c r="I595" s="72" t="inlineStr">
        <is>
          <t>А500С</t>
        </is>
      </c>
      <c r="J595" s="72" t="inlineStr">
        <is>
          <t>—</t>
        </is>
      </c>
      <c r="K595" s="75" t="n">
        <v>2</v>
      </c>
      <c r="L595" s="51" t="n">
        <v>2</v>
      </c>
      <c r="M595" s="69" t="n">
        <v>0.128</v>
      </c>
      <c r="N595" s="70">
        <f>K595*L595*M595</f>
        <v/>
      </c>
      <c r="O595" s="37">
        <f>IFERROR(INDEX(Исходные!$B$19:$B$31,MATCH(H595,Исходные!$A$19:$A$31,0)),0)</f>
        <v/>
      </c>
      <c r="P595" s="76">
        <f>N595*O595</f>
        <v/>
      </c>
      <c r="Q595" s="21" t="inlineStr">
        <is>
          <t>АС-19 прим.1: Ø18 и менее — внахлёстку электродуговой сваркой, Lшва=8d = 128 мм</t>
        </is>
      </c>
      <c r="R595" s="77" t="inlineStr">
        <is>
          <t>по проекту (стыковка прутков 11,7 м)</t>
        </is>
      </c>
      <c r="S595" s="21" t="inlineStr">
        <is>
          <t>Чистая длина 25.500 м; кусков 3; стыков 2; Lнахл=2×0.128=0.256 м на стержень</t>
        </is>
      </c>
      <c r="T595" s="21" t="inlineStr">
        <is>
          <t>Ригели, балки, плита, С-1</t>
        </is>
      </c>
      <c r="U595" s="49" t="n">
        <v>0</v>
      </c>
      <c r="V595" s="72" t="inlineStr">
        <is>
          <t>Р-Г</t>
        </is>
      </c>
      <c r="W595" s="49" t="n">
        <v>2</v>
      </c>
    </row>
    <row r="596">
      <c r="A596" s="72" t="n">
        <v>580</v>
      </c>
      <c r="B596" s="21" t="inlineStr">
        <is>
          <t>2 этаж (отм. +3.950…+7.550)</t>
        </is>
      </c>
      <c r="C596" s="21" t="inlineStr">
        <is>
          <t>Ригели</t>
        </is>
      </c>
      <c r="D596" s="21" t="inlineStr">
        <is>
          <t>ось Г (отм. +7.550)</t>
        </is>
      </c>
      <c r="E596" s="21" t="inlineStr">
        <is>
          <t>Р-Г</t>
        </is>
      </c>
      <c r="F596" s="72" t="inlineStr">
        <is>
          <t>ОС</t>
        </is>
      </c>
      <c r="G596" s="21" t="inlineStr">
        <is>
          <t>ОС верх: 2Ø25, участок 0…1600 мм + 250 до торца</t>
        </is>
      </c>
      <c r="H596" s="51" t="n">
        <v>25</v>
      </c>
      <c r="I596" s="72" t="inlineStr">
        <is>
          <t>А500С</t>
        </is>
      </c>
      <c r="J596" s="72" t="inlineStr">
        <is>
          <t>—</t>
        </is>
      </c>
      <c r="K596" s="75" t="n">
        <v>1</v>
      </c>
      <c r="L596" s="51" t="n">
        <v>2</v>
      </c>
      <c r="M596" s="69" t="n">
        <v>1.85</v>
      </c>
      <c r="N596" s="70">
        <f>K596*L596*M596</f>
        <v/>
      </c>
      <c r="O596" s="37">
        <f>IFERROR(INDEX(Исходные!$B$19:$B$31,MATCH(H596,Исходные!$A$19:$A$31,0)),0)</f>
        <v/>
      </c>
      <c r="P596" s="76">
        <f>N596*O596</f>
        <v/>
      </c>
      <c r="Q596" s="21" t="inlineStr">
        <is>
          <t>АС-23 (отм. 7.550): выноска «ОС 2Ø25 А500С»; длина по привязкам отдельных стержней</t>
        </is>
      </c>
      <c r="R596" s="77" t="inlineStr">
        <is>
          <t>по геометрии чертежа</t>
        </is>
      </c>
      <c r="S596" s="21" t="inlineStr">
        <is>
          <t>Координаты от оси 1: 0…1600 мм; конец до торца крайней колонны (+250)</t>
        </is>
      </c>
      <c r="T596" s="21" t="inlineStr">
        <is>
          <t>Ригели, балки, плита, С-1</t>
        </is>
      </c>
      <c r="U596" s="49" t="n">
        <v>0</v>
      </c>
      <c r="V596" s="72" t="inlineStr">
        <is>
          <t>Р-Г</t>
        </is>
      </c>
      <c r="W596" s="49" t="n">
        <v>2</v>
      </c>
    </row>
    <row r="597">
      <c r="A597" s="72" t="n">
        <v>581</v>
      </c>
      <c r="B597" s="21" t="inlineStr">
        <is>
          <t>2 этаж (отм. +3.950…+7.550)</t>
        </is>
      </c>
      <c r="C597" s="21" t="inlineStr">
        <is>
          <t>Ригели</t>
        </is>
      </c>
      <c r="D597" s="21" t="inlineStr">
        <is>
          <t>ось Г (отм. +7.550)</t>
        </is>
      </c>
      <c r="E597" s="21" t="inlineStr">
        <is>
          <t>Р-Г</t>
        </is>
      </c>
      <c r="F597" s="72" t="inlineStr">
        <is>
          <t>ОС</t>
        </is>
      </c>
      <c r="G597" s="21" t="inlineStr">
        <is>
          <t>ОС верх: 2Ø28, участок 3900…9400 мм</t>
        </is>
      </c>
      <c r="H597" s="51" t="n">
        <v>28</v>
      </c>
      <c r="I597" s="72" t="inlineStr">
        <is>
          <t>А500С</t>
        </is>
      </c>
      <c r="J597" s="72" t="inlineStr">
        <is>
          <t>—</t>
        </is>
      </c>
      <c r="K597" s="75" t="n">
        <v>1</v>
      </c>
      <c r="L597" s="51" t="n">
        <v>2</v>
      </c>
      <c r="M597" s="69" t="n">
        <v>5.5</v>
      </c>
      <c r="N597" s="70">
        <f>K597*L597*M597</f>
        <v/>
      </c>
      <c r="O597" s="37">
        <f>IFERROR(INDEX(Исходные!$B$19:$B$31,MATCH(H597,Исходные!$A$19:$A$31,0)),0)</f>
        <v/>
      </c>
      <c r="P597" s="76">
        <f>N597*O597</f>
        <v/>
      </c>
      <c r="Q597" s="21" t="inlineStr">
        <is>
          <t>АС-23 (отм. 7.550): выноска «ОС 2Ø28 А500С»; длина по привязкам отдельных стержней</t>
        </is>
      </c>
      <c r="R597" s="77" t="inlineStr">
        <is>
          <t>по геометрии чертежа</t>
        </is>
      </c>
      <c r="S597" s="21" t="inlineStr">
        <is>
          <t>Координаты от оси 1: 3900…9400 мм</t>
        </is>
      </c>
      <c r="T597" s="21" t="inlineStr">
        <is>
          <t>Ригели, балки, плита, С-1</t>
        </is>
      </c>
      <c r="U597" s="49" t="n">
        <v>0</v>
      </c>
      <c r="V597" s="72" t="inlineStr">
        <is>
          <t>Р-Г</t>
        </is>
      </c>
      <c r="W597" s="49" t="n">
        <v>2</v>
      </c>
    </row>
    <row r="598">
      <c r="A598" s="72" t="n">
        <v>582</v>
      </c>
      <c r="B598" s="21" t="inlineStr">
        <is>
          <t>2 этаж (отм. +3.950…+7.550)</t>
        </is>
      </c>
      <c r="C598" s="21" t="inlineStr">
        <is>
          <t>Ригели</t>
        </is>
      </c>
      <c r="D598" s="21" t="inlineStr">
        <is>
          <t>ось Г (отм. +7.550)</t>
        </is>
      </c>
      <c r="E598" s="21" t="inlineStr">
        <is>
          <t>Р-Г</t>
        </is>
      </c>
      <c r="F598" s="72" t="inlineStr">
        <is>
          <t>ОС</t>
        </is>
      </c>
      <c r="G598" s="21" t="inlineStr">
        <is>
          <t>ОС верх ств.: 2Ø25, участок 3900…9400 мм</t>
        </is>
      </c>
      <c r="H598" s="51" t="n">
        <v>25</v>
      </c>
      <c r="I598" s="72" t="inlineStr">
        <is>
          <t>А500С</t>
        </is>
      </c>
      <c r="J598" s="72" t="inlineStr">
        <is>
          <t>—</t>
        </is>
      </c>
      <c r="K598" s="75" t="n">
        <v>1</v>
      </c>
      <c r="L598" s="51" t="n">
        <v>2</v>
      </c>
      <c r="M598" s="69" t="n">
        <v>5.5</v>
      </c>
      <c r="N598" s="70">
        <f>K598*L598*M598</f>
        <v/>
      </c>
      <c r="O598" s="37">
        <f>IFERROR(INDEX(Исходные!$B$19:$B$31,MATCH(H598,Исходные!$A$19:$A$31,0)),0)</f>
        <v/>
      </c>
      <c r="P598" s="76">
        <f>N598*O598</f>
        <v/>
      </c>
      <c r="Q598" s="21" t="inlineStr">
        <is>
          <t>АС-23 (отм. 7.550): выноска «ОС 2Ø25 А500С»; длина по привязкам отдельных стержней</t>
        </is>
      </c>
      <c r="R598" s="77" t="inlineStr">
        <is>
          <t>по геометрии чертежа</t>
        </is>
      </c>
      <c r="S598" s="21" t="inlineStr">
        <is>
          <t>Координаты от оси 1: 3900…9400 мм</t>
        </is>
      </c>
      <c r="T598" s="21" t="inlineStr">
        <is>
          <t>Ригели, балки, плита, С-1</t>
        </is>
      </c>
      <c r="U598" s="49" t="n">
        <v>0</v>
      </c>
      <c r="V598" s="72" t="inlineStr">
        <is>
          <t>Р-Г</t>
        </is>
      </c>
      <c r="W598" s="49" t="n">
        <v>2</v>
      </c>
    </row>
    <row r="599">
      <c r="A599" s="72" t="n">
        <v>583</v>
      </c>
      <c r="B599" s="21" t="inlineStr">
        <is>
          <t>2 этаж (отм. +3.950…+7.550)</t>
        </is>
      </c>
      <c r="C599" s="21" t="inlineStr">
        <is>
          <t>Ригели</t>
        </is>
      </c>
      <c r="D599" s="21" t="inlineStr">
        <is>
          <t>ось Г (отм. +7.550)</t>
        </is>
      </c>
      <c r="E599" s="21" t="inlineStr">
        <is>
          <t>Р-Г</t>
        </is>
      </c>
      <c r="F599" s="72" t="inlineStr">
        <is>
          <t>ОС</t>
        </is>
      </c>
      <c r="G599" s="21" t="inlineStr">
        <is>
          <t>ОС верх: 2Ø28, участок 11300…16000 мм</t>
        </is>
      </c>
      <c r="H599" s="51" t="n">
        <v>28</v>
      </c>
      <c r="I599" s="72" t="inlineStr">
        <is>
          <t>А500С</t>
        </is>
      </c>
      <c r="J599" s="72" t="inlineStr">
        <is>
          <t>—</t>
        </is>
      </c>
      <c r="K599" s="75" t="n">
        <v>1</v>
      </c>
      <c r="L599" s="51" t="n">
        <v>2</v>
      </c>
      <c r="M599" s="69" t="n">
        <v>4.7</v>
      </c>
      <c r="N599" s="70">
        <f>K599*L599*M599</f>
        <v/>
      </c>
      <c r="O599" s="37">
        <f>IFERROR(INDEX(Исходные!$B$19:$B$31,MATCH(H599,Исходные!$A$19:$A$31,0)),0)</f>
        <v/>
      </c>
      <c r="P599" s="76">
        <f>N599*O599</f>
        <v/>
      </c>
      <c r="Q599" s="21" t="inlineStr">
        <is>
          <t>АС-23 (отм. 7.550): выноска «ОС 2Ø28 А500С»; длина по привязкам отдельных стержней</t>
        </is>
      </c>
      <c r="R599" s="77" t="inlineStr">
        <is>
          <t>по геометрии чертежа</t>
        </is>
      </c>
      <c r="S599" s="21" t="inlineStr">
        <is>
          <t>Координаты от оси 1: 11300…16000 мм</t>
        </is>
      </c>
      <c r="T599" s="21" t="inlineStr">
        <is>
          <t>Ригели, балки, плита, С-1</t>
        </is>
      </c>
      <c r="U599" s="49" t="n">
        <v>0</v>
      </c>
      <c r="V599" s="72" t="inlineStr">
        <is>
          <t>Р-Г</t>
        </is>
      </c>
      <c r="W599" s="49" t="n">
        <v>2</v>
      </c>
    </row>
    <row r="600">
      <c r="A600" s="72" t="n">
        <v>584</v>
      </c>
      <c r="B600" s="21" t="inlineStr">
        <is>
          <t>2 этаж (отм. +3.950…+7.550)</t>
        </is>
      </c>
      <c r="C600" s="21" t="inlineStr">
        <is>
          <t>Ригели</t>
        </is>
      </c>
      <c r="D600" s="21" t="inlineStr">
        <is>
          <t>ось Г (отм. +7.550)</t>
        </is>
      </c>
      <c r="E600" s="21" t="inlineStr">
        <is>
          <t>Р-Г</t>
        </is>
      </c>
      <c r="F600" s="72" t="inlineStr">
        <is>
          <t>ОС</t>
        </is>
      </c>
      <c r="G600" s="21" t="inlineStr">
        <is>
          <t>ОС верх ств.: 2Ø25, участок 11300…16000 мм</t>
        </is>
      </c>
      <c r="H600" s="51" t="n">
        <v>25</v>
      </c>
      <c r="I600" s="72" t="inlineStr">
        <is>
          <t>А500С</t>
        </is>
      </c>
      <c r="J600" s="72" t="inlineStr">
        <is>
          <t>—</t>
        </is>
      </c>
      <c r="K600" s="75" t="n">
        <v>1</v>
      </c>
      <c r="L600" s="51" t="n">
        <v>2</v>
      </c>
      <c r="M600" s="69" t="n">
        <v>4.7</v>
      </c>
      <c r="N600" s="70">
        <f>K600*L600*M600</f>
        <v/>
      </c>
      <c r="O600" s="37">
        <f>IFERROR(INDEX(Исходные!$B$19:$B$31,MATCH(H600,Исходные!$A$19:$A$31,0)),0)</f>
        <v/>
      </c>
      <c r="P600" s="76">
        <f>N600*O600</f>
        <v/>
      </c>
      <c r="Q600" s="21" t="inlineStr">
        <is>
          <t>АС-23 (отм. 7.550): выноска «ОС 2Ø25 А500С»; длина по привязкам отдельных стержней</t>
        </is>
      </c>
      <c r="R600" s="77" t="inlineStr">
        <is>
          <t>по геометрии чертежа</t>
        </is>
      </c>
      <c r="S600" s="21" t="inlineStr">
        <is>
          <t>Координаты от оси 1: 11300…16000 мм</t>
        </is>
      </c>
      <c r="T600" s="21" t="inlineStr">
        <is>
          <t>Ригели, балки, плита, С-1</t>
        </is>
      </c>
      <c r="U600" s="49" t="n">
        <v>0</v>
      </c>
      <c r="V600" s="72" t="inlineStr">
        <is>
          <t>Р-Г</t>
        </is>
      </c>
      <c r="W600" s="49" t="n">
        <v>2</v>
      </c>
    </row>
    <row r="601">
      <c r="A601" s="72" t="n">
        <v>585</v>
      </c>
      <c r="B601" s="21" t="inlineStr">
        <is>
          <t>2 этаж (отм. +3.950…+7.550)</t>
        </is>
      </c>
      <c r="C601" s="21" t="inlineStr">
        <is>
          <t>Ригели</t>
        </is>
      </c>
      <c r="D601" s="21" t="inlineStr">
        <is>
          <t>ось Г (отм. +7.550)</t>
        </is>
      </c>
      <c r="E601" s="21" t="inlineStr">
        <is>
          <t>Р-Г</t>
        </is>
      </c>
      <c r="F601" s="72" t="inlineStr">
        <is>
          <t>ОС</t>
        </is>
      </c>
      <c r="G601" s="21" t="inlineStr">
        <is>
          <t>ОС верх: 2Ø25, участок 17500…21800 мм</t>
        </is>
      </c>
      <c r="H601" s="51" t="n">
        <v>25</v>
      </c>
      <c r="I601" s="72" t="inlineStr">
        <is>
          <t>А500С</t>
        </is>
      </c>
      <c r="J601" s="72" t="inlineStr">
        <is>
          <t>—</t>
        </is>
      </c>
      <c r="K601" s="75" t="n">
        <v>1</v>
      </c>
      <c r="L601" s="51" t="n">
        <v>2</v>
      </c>
      <c r="M601" s="69" t="n">
        <v>4.3</v>
      </c>
      <c r="N601" s="70">
        <f>K601*L601*M601</f>
        <v/>
      </c>
      <c r="O601" s="37">
        <f>IFERROR(INDEX(Исходные!$B$19:$B$31,MATCH(H601,Исходные!$A$19:$A$31,0)),0)</f>
        <v/>
      </c>
      <c r="P601" s="76">
        <f>N601*O601</f>
        <v/>
      </c>
      <c r="Q601" s="21" t="inlineStr">
        <is>
          <t>АС-23 (отм. 7.550): выноска «ОС 2Ø25 А500С»; длина по привязкам отдельных стержней</t>
        </is>
      </c>
      <c r="R601" s="77" t="inlineStr">
        <is>
          <t>по геометрии чертежа</t>
        </is>
      </c>
      <c r="S601" s="21" t="inlineStr">
        <is>
          <t>Координаты от оси 1: 17500…21800 мм</t>
        </is>
      </c>
      <c r="T601" s="21" t="inlineStr">
        <is>
          <t>Ригели, балки, плита, С-1</t>
        </is>
      </c>
      <c r="U601" s="49" t="n">
        <v>0</v>
      </c>
      <c r="V601" s="72" t="inlineStr">
        <is>
          <t>Р-Г</t>
        </is>
      </c>
      <c r="W601" s="49" t="n">
        <v>2</v>
      </c>
    </row>
    <row r="602">
      <c r="A602" s="72" t="n">
        <v>586</v>
      </c>
      <c r="B602" s="21" t="inlineStr">
        <is>
          <t>2 этаж (отм. +3.950…+7.550)</t>
        </is>
      </c>
      <c r="C602" s="21" t="inlineStr">
        <is>
          <t>Ригели</t>
        </is>
      </c>
      <c r="D602" s="21" t="inlineStr">
        <is>
          <t>ось Г (отм. +7.550)</t>
        </is>
      </c>
      <c r="E602" s="21" t="inlineStr">
        <is>
          <t>Р-Г</t>
        </is>
      </c>
      <c r="F602" s="72" t="inlineStr">
        <is>
          <t>ОС</t>
        </is>
      </c>
      <c r="G602" s="21" t="inlineStr">
        <is>
          <t>ОС верх ств.: 2Ø22, участок 17500…21800 мм</t>
        </is>
      </c>
      <c r="H602" s="51" t="n">
        <v>22</v>
      </c>
      <c r="I602" s="72" t="inlineStr">
        <is>
          <t>А500С</t>
        </is>
      </c>
      <c r="J602" s="72" t="inlineStr">
        <is>
          <t>—</t>
        </is>
      </c>
      <c r="K602" s="75" t="n">
        <v>1</v>
      </c>
      <c r="L602" s="51" t="n">
        <v>2</v>
      </c>
      <c r="M602" s="69" t="n">
        <v>4.3</v>
      </c>
      <c r="N602" s="70">
        <f>K602*L602*M602</f>
        <v/>
      </c>
      <c r="O602" s="37">
        <f>IFERROR(INDEX(Исходные!$B$19:$B$31,MATCH(H602,Исходные!$A$19:$A$31,0)),0)</f>
        <v/>
      </c>
      <c r="P602" s="76">
        <f>N602*O602</f>
        <v/>
      </c>
      <c r="Q602" s="21" t="inlineStr">
        <is>
          <t>АС-23 (отм. 7.550): выноска «ОС 2Ø22 А500С»; длина по привязкам отдельных стержней</t>
        </is>
      </c>
      <c r="R602" s="77" t="inlineStr">
        <is>
          <t>по геометрии чертежа</t>
        </is>
      </c>
      <c r="S602" s="21" t="inlineStr">
        <is>
          <t>Координаты от оси 1: 17500…21800 мм</t>
        </is>
      </c>
      <c r="T602" s="21" t="inlineStr">
        <is>
          <t>Ригели, балки, плита, С-1</t>
        </is>
      </c>
      <c r="U602" s="49" t="n">
        <v>0</v>
      </c>
      <c r="V602" s="72" t="inlineStr">
        <is>
          <t>Р-Г</t>
        </is>
      </c>
      <c r="W602" s="49" t="n">
        <v>2</v>
      </c>
    </row>
    <row r="603">
      <c r="A603" s="72" t="n">
        <v>587</v>
      </c>
      <c r="B603" s="21" t="inlineStr">
        <is>
          <t>2 этаж (отм. +3.950…+7.550)</t>
        </is>
      </c>
      <c r="C603" s="21" t="inlineStr">
        <is>
          <t>Ригели</t>
        </is>
      </c>
      <c r="D603" s="21" t="inlineStr">
        <is>
          <t>ось Г (отм. +7.550)</t>
        </is>
      </c>
      <c r="E603" s="21" t="inlineStr">
        <is>
          <t>Р-Г</t>
        </is>
      </c>
      <c r="F603" s="72" t="inlineStr">
        <is>
          <t>ОС</t>
        </is>
      </c>
      <c r="G603" s="21" t="inlineStr">
        <is>
          <t>ОС верх: 2Ø25, участок 23200…25000 мм + 250 до торца</t>
        </is>
      </c>
      <c r="H603" s="51" t="n">
        <v>25</v>
      </c>
      <c r="I603" s="72" t="inlineStr">
        <is>
          <t>А500С</t>
        </is>
      </c>
      <c r="J603" s="72" t="inlineStr">
        <is>
          <t>—</t>
        </is>
      </c>
      <c r="K603" s="75" t="n">
        <v>1</v>
      </c>
      <c r="L603" s="51" t="n">
        <v>2</v>
      </c>
      <c r="M603" s="69" t="n">
        <v>2.05</v>
      </c>
      <c r="N603" s="70">
        <f>K603*L603*M603</f>
        <v/>
      </c>
      <c r="O603" s="37">
        <f>IFERROR(INDEX(Исходные!$B$19:$B$31,MATCH(H603,Исходные!$A$19:$A$31,0)),0)</f>
        <v/>
      </c>
      <c r="P603" s="76">
        <f>N603*O603</f>
        <v/>
      </c>
      <c r="Q603" s="21" t="inlineStr">
        <is>
          <t>АС-23 (отм. 7.550): выноска «ОС 2Ø25 А500С»; длина по привязкам отдельных стержней</t>
        </is>
      </c>
      <c r="R603" s="77" t="inlineStr">
        <is>
          <t>по геометрии чертежа</t>
        </is>
      </c>
      <c r="S603" s="21" t="inlineStr">
        <is>
          <t>Координаты от оси 1: 23200…25000 мм; конец до торца крайней колонны (+250)</t>
        </is>
      </c>
      <c r="T603" s="21" t="inlineStr">
        <is>
          <t>Ригели, балки, плита, С-1</t>
        </is>
      </c>
      <c r="U603" s="49" t="n">
        <v>0</v>
      </c>
      <c r="V603" s="72" t="inlineStr">
        <is>
          <t>Р-Г</t>
        </is>
      </c>
      <c r="W603" s="49" t="n">
        <v>2</v>
      </c>
    </row>
    <row r="604">
      <c r="A604" s="72" t="n">
        <v>588</v>
      </c>
      <c r="B604" s="21" t="inlineStr">
        <is>
          <t>2 этаж (отм. +3.950…+7.550)</t>
        </is>
      </c>
      <c r="C604" s="21" t="inlineStr">
        <is>
          <t>Ригели</t>
        </is>
      </c>
      <c r="D604" s="21" t="inlineStr">
        <is>
          <t>ось Г (отм. +7.550)</t>
        </is>
      </c>
      <c r="E604" s="21" t="inlineStr">
        <is>
          <t>Р-Г</t>
        </is>
      </c>
      <c r="F604" s="72" t="inlineStr">
        <is>
          <t>ОС</t>
        </is>
      </c>
      <c r="G604" s="21" t="inlineStr">
        <is>
          <t>ОС низ: 2Ø16, участок 0…1600 мм + 250 до торца</t>
        </is>
      </c>
      <c r="H604" s="51" t="n">
        <v>16</v>
      </c>
      <c r="I604" s="72" t="inlineStr">
        <is>
          <t>А500С</t>
        </is>
      </c>
      <c r="J604" s="72" t="inlineStr">
        <is>
          <t>—</t>
        </is>
      </c>
      <c r="K604" s="75" t="n">
        <v>1</v>
      </c>
      <c r="L604" s="51" t="n">
        <v>2</v>
      </c>
      <c r="M604" s="69" t="n">
        <v>1.85</v>
      </c>
      <c r="N604" s="70">
        <f>K604*L604*M604</f>
        <v/>
      </c>
      <c r="O604" s="37">
        <f>IFERROR(INDEX(Исходные!$B$19:$B$31,MATCH(H604,Исходные!$A$19:$A$31,0)),0)</f>
        <v/>
      </c>
      <c r="P604" s="76">
        <f>N604*O604</f>
        <v/>
      </c>
      <c r="Q604" s="21" t="inlineStr">
        <is>
          <t>АС-23 (отм. 7.550): выноска «ОС 2Ø16 А500С»; длина по привязкам отдельных стержней</t>
        </is>
      </c>
      <c r="R604" s="77" t="inlineStr">
        <is>
          <t>по геометрии чертежа</t>
        </is>
      </c>
      <c r="S604" s="21" t="inlineStr">
        <is>
          <t>Координаты от оси 1: 0…1600 мм; конец до торца крайней колонны (+250)</t>
        </is>
      </c>
      <c r="T604" s="21" t="inlineStr">
        <is>
          <t>Ригели, балки, плита, С-1</t>
        </is>
      </c>
      <c r="U604" s="49" t="n">
        <v>0</v>
      </c>
      <c r="V604" s="72" t="inlineStr">
        <is>
          <t>Р-Г</t>
        </is>
      </c>
      <c r="W604" s="49" t="n">
        <v>2</v>
      </c>
    </row>
    <row r="605">
      <c r="A605" s="72" t="n">
        <v>589</v>
      </c>
      <c r="B605" s="21" t="inlineStr">
        <is>
          <t>2 этаж (отм. +3.950…+7.550)</t>
        </is>
      </c>
      <c r="C605" s="21" t="inlineStr">
        <is>
          <t>Ригели</t>
        </is>
      </c>
      <c r="D605" s="21" t="inlineStr">
        <is>
          <t>ось Г (отм. +7.550)</t>
        </is>
      </c>
      <c r="E605" s="21" t="inlineStr">
        <is>
          <t>Р-Г</t>
        </is>
      </c>
      <c r="F605" s="72" t="inlineStr">
        <is>
          <t>ОС</t>
        </is>
      </c>
      <c r="G605" s="21" t="inlineStr">
        <is>
          <t>ОС низ: 2Ø25, участок 3900…9400 мм</t>
        </is>
      </c>
      <c r="H605" s="51" t="n">
        <v>25</v>
      </c>
      <c r="I605" s="72" t="inlineStr">
        <is>
          <t>А500С</t>
        </is>
      </c>
      <c r="J605" s="72" t="inlineStr">
        <is>
          <t>—</t>
        </is>
      </c>
      <c r="K605" s="75" t="n">
        <v>1</v>
      </c>
      <c r="L605" s="51" t="n">
        <v>2</v>
      </c>
      <c r="M605" s="69" t="n">
        <v>5.5</v>
      </c>
      <c r="N605" s="70">
        <f>K605*L605*M605</f>
        <v/>
      </c>
      <c r="O605" s="37">
        <f>IFERROR(INDEX(Исходные!$B$19:$B$31,MATCH(H605,Исходные!$A$19:$A$31,0)),0)</f>
        <v/>
      </c>
      <c r="P605" s="76">
        <f>N605*O605</f>
        <v/>
      </c>
      <c r="Q605" s="21" t="inlineStr">
        <is>
          <t>АС-23 (отм. 7.550): выноска «ОС 2Ø25 А500С»; длина по привязкам отдельных стержней</t>
        </is>
      </c>
      <c r="R605" s="77" t="inlineStr">
        <is>
          <t>по геометрии чертежа</t>
        </is>
      </c>
      <c r="S605" s="21" t="inlineStr">
        <is>
          <t>Координаты от оси 1: 3900…9400 мм</t>
        </is>
      </c>
      <c r="T605" s="21" t="inlineStr">
        <is>
          <t>Ригели, балки, плита, С-1</t>
        </is>
      </c>
      <c r="U605" s="49" t="n">
        <v>0</v>
      </c>
      <c r="V605" s="72" t="inlineStr">
        <is>
          <t>Р-Г</t>
        </is>
      </c>
      <c r="W605" s="49" t="n">
        <v>2</v>
      </c>
    </row>
    <row r="606">
      <c r="A606" s="72" t="n">
        <v>590</v>
      </c>
      <c r="B606" s="21" t="inlineStr">
        <is>
          <t>2 этаж (отм. +3.950…+7.550)</t>
        </is>
      </c>
      <c r="C606" s="21" t="inlineStr">
        <is>
          <t>Ригели</t>
        </is>
      </c>
      <c r="D606" s="21" t="inlineStr">
        <is>
          <t>ось Г (отм. +7.550)</t>
        </is>
      </c>
      <c r="E606" s="21" t="inlineStr">
        <is>
          <t>Р-Г</t>
        </is>
      </c>
      <c r="F606" s="72" t="inlineStr">
        <is>
          <t>ОС</t>
        </is>
      </c>
      <c r="G606" s="21" t="inlineStr">
        <is>
          <t>ОС низ: 2Ø28, участок 11300…16000 мм</t>
        </is>
      </c>
      <c r="H606" s="51" t="n">
        <v>28</v>
      </c>
      <c r="I606" s="72" t="inlineStr">
        <is>
          <t>А500С</t>
        </is>
      </c>
      <c r="J606" s="72" t="inlineStr">
        <is>
          <t>—</t>
        </is>
      </c>
      <c r="K606" s="75" t="n">
        <v>1</v>
      </c>
      <c r="L606" s="51" t="n">
        <v>2</v>
      </c>
      <c r="M606" s="69" t="n">
        <v>4.7</v>
      </c>
      <c r="N606" s="70">
        <f>K606*L606*M606</f>
        <v/>
      </c>
      <c r="O606" s="37">
        <f>IFERROR(INDEX(Исходные!$B$19:$B$31,MATCH(H606,Исходные!$A$19:$A$31,0)),0)</f>
        <v/>
      </c>
      <c r="P606" s="76">
        <f>N606*O606</f>
        <v/>
      </c>
      <c r="Q606" s="21" t="inlineStr">
        <is>
          <t>АС-23 (отм. 7.550): выноска «ОС 2Ø28 А500С»; длина по привязкам отдельных стержней</t>
        </is>
      </c>
      <c r="R606" s="77" t="inlineStr">
        <is>
          <t>по геометрии чертежа</t>
        </is>
      </c>
      <c r="S606" s="21" t="inlineStr">
        <is>
          <t>Координаты от оси 1: 11300…16000 мм</t>
        </is>
      </c>
      <c r="T606" s="21" t="inlineStr">
        <is>
          <t>Ригели, балки, плита, С-1</t>
        </is>
      </c>
      <c r="U606" s="49" t="n">
        <v>0</v>
      </c>
      <c r="V606" s="72" t="inlineStr">
        <is>
          <t>Р-Г</t>
        </is>
      </c>
      <c r="W606" s="49" t="n">
        <v>2</v>
      </c>
    </row>
    <row r="607">
      <c r="A607" s="72" t="n">
        <v>591</v>
      </c>
      <c r="B607" s="21" t="inlineStr">
        <is>
          <t>2 этаж (отм. +3.950…+7.550)</t>
        </is>
      </c>
      <c r="C607" s="21" t="inlineStr">
        <is>
          <t>Ригели</t>
        </is>
      </c>
      <c r="D607" s="21" t="inlineStr">
        <is>
          <t>ось Г (отм. +7.550)</t>
        </is>
      </c>
      <c r="E607" s="21" t="inlineStr">
        <is>
          <t>Р-Г</t>
        </is>
      </c>
      <c r="F607" s="72" t="inlineStr">
        <is>
          <t>ОС</t>
        </is>
      </c>
      <c r="G607" s="21" t="inlineStr">
        <is>
          <t>ОС низ ств.: 1Ø20, участок 11300…16000 мм</t>
        </is>
      </c>
      <c r="H607" s="51" t="n">
        <v>20</v>
      </c>
      <c r="I607" s="72" t="inlineStr">
        <is>
          <t>А500С</t>
        </is>
      </c>
      <c r="J607" s="72" t="inlineStr">
        <is>
          <t>—</t>
        </is>
      </c>
      <c r="K607" s="75" t="n">
        <v>1</v>
      </c>
      <c r="L607" s="51" t="n">
        <v>1</v>
      </c>
      <c r="M607" s="69" t="n">
        <v>4.7</v>
      </c>
      <c r="N607" s="70">
        <f>K607*L607*M607</f>
        <v/>
      </c>
      <c r="O607" s="37">
        <f>IFERROR(INDEX(Исходные!$B$19:$B$31,MATCH(H607,Исходные!$A$19:$A$31,0)),0)</f>
        <v/>
      </c>
      <c r="P607" s="76">
        <f>N607*O607</f>
        <v/>
      </c>
      <c r="Q607" s="21" t="inlineStr">
        <is>
          <t>АС-23 (отм. 7.550): выноска «ОС 1Ø20 А500С»; длина по привязкам отдельных стержней</t>
        </is>
      </c>
      <c r="R607" s="77" t="inlineStr">
        <is>
          <t>по геометрии чертежа</t>
        </is>
      </c>
      <c r="S607" s="21" t="inlineStr">
        <is>
          <t>Координаты от оси 1: 11300…16000 мм</t>
        </is>
      </c>
      <c r="T607" s="21" t="inlineStr">
        <is>
          <t>Ригели, балки, плита, С-1</t>
        </is>
      </c>
      <c r="U607" s="49" t="n">
        <v>0</v>
      </c>
      <c r="V607" s="72" t="inlineStr">
        <is>
          <t>Р-Г</t>
        </is>
      </c>
      <c r="W607" s="49" t="n">
        <v>2</v>
      </c>
    </row>
    <row r="608">
      <c r="A608" s="72" t="n">
        <v>592</v>
      </c>
      <c r="B608" s="21" t="inlineStr">
        <is>
          <t>2 этаж (отм. +3.950…+7.550)</t>
        </is>
      </c>
      <c r="C608" s="21" t="inlineStr">
        <is>
          <t>Ригели</t>
        </is>
      </c>
      <c r="D608" s="21" t="inlineStr">
        <is>
          <t>ось Г (отм. +7.550)</t>
        </is>
      </c>
      <c r="E608" s="21" t="inlineStr">
        <is>
          <t>Р-Г</t>
        </is>
      </c>
      <c r="F608" s="72" t="inlineStr">
        <is>
          <t>ОС</t>
        </is>
      </c>
      <c r="G608" s="21" t="inlineStr">
        <is>
          <t>ОС низ: 2Ø28, участок 17500…21800 мм</t>
        </is>
      </c>
      <c r="H608" s="51" t="n">
        <v>28</v>
      </c>
      <c r="I608" s="72" t="inlineStr">
        <is>
          <t>А500С</t>
        </is>
      </c>
      <c r="J608" s="72" t="inlineStr">
        <is>
          <t>—</t>
        </is>
      </c>
      <c r="K608" s="75" t="n">
        <v>1</v>
      </c>
      <c r="L608" s="51" t="n">
        <v>2</v>
      </c>
      <c r="M608" s="69" t="n">
        <v>4.3</v>
      </c>
      <c r="N608" s="70">
        <f>K608*L608*M608</f>
        <v/>
      </c>
      <c r="O608" s="37">
        <f>IFERROR(INDEX(Исходные!$B$19:$B$31,MATCH(H608,Исходные!$A$19:$A$31,0)),0)</f>
        <v/>
      </c>
      <c r="P608" s="76">
        <f>N608*O608</f>
        <v/>
      </c>
      <c r="Q608" s="21" t="inlineStr">
        <is>
          <t>АС-23 (отм. 7.550): выноска «ОС 2Ø28 А500С»; длина по привязкам отдельных стержней</t>
        </is>
      </c>
      <c r="R608" s="77" t="inlineStr">
        <is>
          <t>по геометрии чертежа</t>
        </is>
      </c>
      <c r="S608" s="21" t="inlineStr">
        <is>
          <t>Координаты от оси 1: 17500…21800 мм</t>
        </is>
      </c>
      <c r="T608" s="21" t="inlineStr">
        <is>
          <t>Ригели, балки, плита, С-1</t>
        </is>
      </c>
      <c r="U608" s="49" t="n">
        <v>0</v>
      </c>
      <c r="V608" s="72" t="inlineStr">
        <is>
          <t>Р-Г</t>
        </is>
      </c>
      <c r="W608" s="49" t="n">
        <v>2</v>
      </c>
    </row>
    <row r="609">
      <c r="A609" s="72" t="n">
        <v>593</v>
      </c>
      <c r="B609" s="21" t="inlineStr">
        <is>
          <t>2 этаж (отм. +3.950…+7.550)</t>
        </is>
      </c>
      <c r="C609" s="21" t="inlineStr">
        <is>
          <t>Ригели</t>
        </is>
      </c>
      <c r="D609" s="21" t="inlineStr">
        <is>
          <t>ось Г (отм. +7.550)</t>
        </is>
      </c>
      <c r="E609" s="21" t="inlineStr">
        <is>
          <t>Р-Г</t>
        </is>
      </c>
      <c r="F609" s="72" t="inlineStr">
        <is>
          <t>ОС</t>
        </is>
      </c>
      <c r="G609" s="21" t="inlineStr">
        <is>
          <t>ОС низ: 2Ø22, участок 23200…25000 мм + 250 до торца</t>
        </is>
      </c>
      <c r="H609" s="51" t="n">
        <v>22</v>
      </c>
      <c r="I609" s="72" t="inlineStr">
        <is>
          <t>А500С</t>
        </is>
      </c>
      <c r="J609" s="72" t="inlineStr">
        <is>
          <t>—</t>
        </is>
      </c>
      <c r="K609" s="75" t="n">
        <v>1</v>
      </c>
      <c r="L609" s="51" t="n">
        <v>2</v>
      </c>
      <c r="M609" s="69" t="n">
        <v>2.05</v>
      </c>
      <c r="N609" s="70">
        <f>K609*L609*M609</f>
        <v/>
      </c>
      <c r="O609" s="37">
        <f>IFERROR(INDEX(Исходные!$B$19:$B$31,MATCH(H609,Исходные!$A$19:$A$31,0)),0)</f>
        <v/>
      </c>
      <c r="P609" s="76">
        <f>N609*O609</f>
        <v/>
      </c>
      <c r="Q609" s="21" t="inlineStr">
        <is>
          <t>АС-23 (отм. 7.550): выноска «ОС 2Ø22 А500С»; длина по привязкам отдельных стержней</t>
        </is>
      </c>
      <c r="R609" s="77" t="inlineStr">
        <is>
          <t>по геометрии чертежа</t>
        </is>
      </c>
      <c r="S609" s="21" t="inlineStr">
        <is>
          <t>Координаты от оси 1: 23200…25000 мм; конец до торца крайней колонны (+250)</t>
        </is>
      </c>
      <c r="T609" s="21" t="inlineStr">
        <is>
          <t>Ригели, балки, плита, С-1</t>
        </is>
      </c>
      <c r="U609" s="49" t="n">
        <v>0</v>
      </c>
      <c r="V609" s="72" t="inlineStr">
        <is>
          <t>Р-Г</t>
        </is>
      </c>
      <c r="W609" s="49" t="n">
        <v>2</v>
      </c>
    </row>
    <row r="610">
      <c r="A610" s="72" t="n">
        <v>594</v>
      </c>
      <c r="B610" s="21" t="inlineStr">
        <is>
          <t>2 этаж (отм. +3.950…+7.550)</t>
        </is>
      </c>
      <c r="C610" s="21" t="inlineStr">
        <is>
          <t>Ригели</t>
        </is>
      </c>
      <c r="D610" s="21" t="inlineStr">
        <is>
          <t>ось Г (отм. +7.550)</t>
        </is>
      </c>
      <c r="E610" s="21" t="inlineStr">
        <is>
          <t>Р-Г</t>
        </is>
      </c>
      <c r="F610" s="72" t="inlineStr">
        <is>
          <t>ОС</t>
        </is>
      </c>
      <c r="G610" s="21" t="inlineStr">
        <is>
          <t>Ос (бок) бок: 2Ø12, участок 3900…9400 мм</t>
        </is>
      </c>
      <c r="H610" s="51" t="n">
        <v>12</v>
      </c>
      <c r="I610" s="72" t="inlineStr">
        <is>
          <t>А500С</t>
        </is>
      </c>
      <c r="J610" s="72" t="inlineStr">
        <is>
          <t>—</t>
        </is>
      </c>
      <c r="K610" s="75" t="n">
        <v>1</v>
      </c>
      <c r="L610" s="51" t="n">
        <v>2</v>
      </c>
      <c r="M610" s="69" t="n">
        <v>5.5</v>
      </c>
      <c r="N610" s="70">
        <f>K610*L610*M610</f>
        <v/>
      </c>
      <c r="O610" s="37">
        <f>IFERROR(INDEX(Исходные!$B$19:$B$31,MATCH(H610,Исходные!$A$19:$A$31,0)),0)</f>
        <v/>
      </c>
      <c r="P610" s="76">
        <f>N610*O610</f>
        <v/>
      </c>
      <c r="Q610" s="21" t="inlineStr">
        <is>
          <t>АС-23 (отм. 7.550): выноска «Ос (бок) 2Ø12 А500С»; длина по привязкам отдельных стержней</t>
        </is>
      </c>
      <c r="R610" s="77" t="inlineStr">
        <is>
          <t>по геометрии чертежа</t>
        </is>
      </c>
      <c r="S610" s="21" t="inlineStr">
        <is>
          <t>Координаты от оси 1: 3900…9400 мм</t>
        </is>
      </c>
      <c r="T610" s="21" t="inlineStr">
        <is>
          <t>Ригели, балки, плита, С-1</t>
        </is>
      </c>
      <c r="U610" s="49" t="n">
        <v>0</v>
      </c>
      <c r="V610" s="72" t="inlineStr">
        <is>
          <t>Р-Г</t>
        </is>
      </c>
      <c r="W610" s="49" t="n">
        <v>2</v>
      </c>
    </row>
    <row r="611">
      <c r="A611" s="72" t="n">
        <v>595</v>
      </c>
      <c r="B611" s="21" t="inlineStr">
        <is>
          <t>2 этаж (отм. +3.950…+7.550)</t>
        </is>
      </c>
      <c r="C611" s="21" t="inlineStr">
        <is>
          <t>Ригели</t>
        </is>
      </c>
      <c r="D611" s="21" t="inlineStr">
        <is>
          <t>ось Г (отм. +7.550)</t>
        </is>
      </c>
      <c r="E611" s="21" t="inlineStr">
        <is>
          <t>Р-Г</t>
        </is>
      </c>
      <c r="F611" s="72" t="inlineStr">
        <is>
          <t>12</t>
        </is>
      </c>
      <c r="G611" s="21" t="inlineStr">
        <is>
          <t>Хомут Ø8 L=2060 ш.100 у опор, ш.150 в пролёте, 80×4 у балок — вне заштрихованных участков</t>
        </is>
      </c>
      <c r="H611" s="51" t="n">
        <v>8</v>
      </c>
      <c r="I611" s="72" t="inlineStr">
        <is>
          <t>А240</t>
        </is>
      </c>
      <c r="J611" s="72" t="inlineStr">
        <is>
          <t>100/150</t>
        </is>
      </c>
      <c r="K611" s="75" t="n">
        <v>1</v>
      </c>
      <c r="L611" s="51" t="n">
        <v>113</v>
      </c>
      <c r="M611" s="69" t="n">
        <v>2.06</v>
      </c>
      <c r="N611" s="70">
        <f>K611*L611*M611</f>
        <v/>
      </c>
      <c r="O611" s="37">
        <f>IFERROR(INDEX(Исходные!$B$19:$B$31,MATCH(H611,Исходные!$A$19:$A$31,0)),0)</f>
        <v/>
      </c>
      <c r="P611" s="76">
        <f>N611*O611</f>
        <v/>
      </c>
      <c r="Q611" s="21" t="inlineStr">
        <is>
          <t>АС-28 поз.12; АС-29 «Расстановка хомутов в ригелях»</t>
        </is>
      </c>
      <c r="R611" s="77" t="inlineStr">
        <is>
          <t>по проекту</t>
        </is>
      </c>
      <c r="S611" s="21" t="inlineStr">
        <is>
          <t>Пролёты в свету [(300, 5500), (7500, 13200), (14500, 19000), (20300, 24700)]</t>
        </is>
      </c>
      <c r="T611" s="21" t="inlineStr">
        <is>
          <t>Ригели, балки, плита, С-1</t>
        </is>
      </c>
      <c r="U611" s="49" t="n">
        <v>0</v>
      </c>
      <c r="V611" s="72" t="inlineStr">
        <is>
          <t>Р-Г</t>
        </is>
      </c>
      <c r="W611" s="49" t="n">
        <v>2</v>
      </c>
    </row>
    <row r="612">
      <c r="A612" s="72" t="n">
        <v>596</v>
      </c>
      <c r="B612" s="21" t="inlineStr">
        <is>
          <t>2 этаж (отм. +3.950…+7.550)</t>
        </is>
      </c>
      <c r="C612" s="21" t="inlineStr">
        <is>
          <t>Ригели</t>
        </is>
      </c>
      <c r="D612" s="21" t="inlineStr">
        <is>
          <t>ось Г (отм. +7.550)</t>
        </is>
      </c>
      <c r="E612" s="21" t="inlineStr">
        <is>
          <t>Р-Г</t>
        </is>
      </c>
      <c r="F612" s="72" t="inlineStr">
        <is>
          <t>13</t>
        </is>
      </c>
      <c r="G612" s="21" t="inlineStr">
        <is>
          <t>Хомут наружный Ø10 L=2060 ш.100 — заштрихованные участки</t>
        </is>
      </c>
      <c r="H612" s="51" t="n">
        <v>10</v>
      </c>
      <c r="I612" s="72" t="inlineStr">
        <is>
          <t>А240</t>
        </is>
      </c>
      <c r="J612" s="72" t="n">
        <v>100</v>
      </c>
      <c r="K612" s="75" t="n">
        <v>1</v>
      </c>
      <c r="L612" s="51" t="n">
        <v>57</v>
      </c>
      <c r="M612" s="69" t="n">
        <v>2.06</v>
      </c>
      <c r="N612" s="70">
        <f>K612*L612*M612</f>
        <v/>
      </c>
      <c r="O612" s="37">
        <f>IFERROR(INDEX(Исходные!$B$19:$B$31,MATCH(H612,Исходные!$A$19:$A$31,0)),0)</f>
        <v/>
      </c>
      <c r="P612" s="76">
        <f>N612*O612</f>
        <v/>
      </c>
      <c r="Q612" s="21" t="inlineStr">
        <is>
          <t>АС-23 штриховка у отм. 7.550; АС-28 Фрагмент №1, поз.13</t>
        </is>
      </c>
      <c r="R612" s="77" t="inlineStr">
        <is>
          <t>по проекту</t>
        </is>
      </c>
      <c r="S612" s="21" t="inlineStr">
        <is>
          <t>Участки (мм): одинарные [(4000, 5500), (7500, 9000), (12000, 13500), (17500, 19000)], двойные []</t>
        </is>
      </c>
      <c r="T612" s="21" t="inlineStr">
        <is>
          <t>Ригели, балки, плита, С-1</t>
        </is>
      </c>
      <c r="U612" s="49" t="n">
        <v>0</v>
      </c>
      <c r="V612" s="72" t="inlineStr">
        <is>
          <t>Р-Г</t>
        </is>
      </c>
      <c r="W612" s="49" t="n">
        <v>2</v>
      </c>
    </row>
    <row r="613">
      <c r="A613" s="72" t="n">
        <v>597</v>
      </c>
      <c r="B613" s="21" t="inlineStr">
        <is>
          <t>2 этаж (отм. +3.950…+7.550)</t>
        </is>
      </c>
      <c r="C613" s="21" t="inlineStr">
        <is>
          <t>Ригели</t>
        </is>
      </c>
      <c r="D613" s="21" t="inlineStr">
        <is>
          <t>ось Г (отм. +7.550)</t>
        </is>
      </c>
      <c r="E613" s="21" t="inlineStr">
        <is>
          <t>Р-Г</t>
        </is>
      </c>
      <c r="F613" s="72" t="inlineStr">
        <is>
          <t>17</t>
        </is>
      </c>
      <c r="G613" s="21" t="inlineStr">
        <is>
          <t>Шпилька вертикальная Ø8 L=750: ш.200 у опор, ш.150 в пролёте</t>
        </is>
      </c>
      <c r="H613" s="51" t="n">
        <v>8</v>
      </c>
      <c r="I613" s="72" t="inlineStr">
        <is>
          <t>А240</t>
        </is>
      </c>
      <c r="J613" s="72" t="inlineStr">
        <is>
          <t>200/150</t>
        </is>
      </c>
      <c r="K613" s="75" t="n">
        <v>1</v>
      </c>
      <c r="L613" s="51" t="n">
        <v>106</v>
      </c>
      <c r="M613" s="69" t="n">
        <v>0.75</v>
      </c>
      <c r="N613" s="70">
        <f>K613*L613*M613</f>
        <v/>
      </c>
      <c r="O613" s="37">
        <f>IFERROR(INDEX(Исходные!$B$19:$B$31,MATCH(H613,Исходные!$A$19:$A$31,0)),0)</f>
        <v/>
      </c>
      <c r="P613" s="76">
        <f>N613*O613</f>
        <v/>
      </c>
      <c r="Q613" s="21" t="inlineStr">
        <is>
          <t>АС-28 сеч.4-4/5-5 поз.17</t>
        </is>
      </c>
      <c r="R613" s="77" t="inlineStr">
        <is>
          <t>по проекту</t>
        </is>
      </c>
      <c r="S613" s="21" t="inlineStr"/>
      <c r="T613" s="21" t="inlineStr">
        <is>
          <t>Ригели, балки, плита, С-1</t>
        </is>
      </c>
      <c r="U613" s="49" t="n">
        <v>0</v>
      </c>
      <c r="V613" s="72" t="inlineStr">
        <is>
          <t>Р-Г</t>
        </is>
      </c>
      <c r="W613" s="49" t="n">
        <v>2</v>
      </c>
    </row>
    <row r="614">
      <c r="A614" s="72" t="n">
        <v>598</v>
      </c>
      <c r="B614" s="21" t="inlineStr">
        <is>
          <t>2 этаж (отм. +3.950…+7.550)</t>
        </is>
      </c>
      <c r="C614" s="21" t="inlineStr">
        <is>
          <t>Ригели</t>
        </is>
      </c>
      <c r="D614" s="21" t="inlineStr">
        <is>
          <t>ось Г (отм. +7.550)</t>
        </is>
      </c>
      <c r="E614" s="21" t="inlineStr">
        <is>
          <t>Р-Г</t>
        </is>
      </c>
      <c r="F614" s="72" t="inlineStr">
        <is>
          <t>16</t>
        </is>
      </c>
      <c r="G614" s="21" t="inlineStr">
        <is>
          <t>Шпилька горизонтальная Ø8 L=580 ш.300</t>
        </is>
      </c>
      <c r="H614" s="51" t="n">
        <v>8</v>
      </c>
      <c r="I614" s="72" t="inlineStr">
        <is>
          <t>А240</t>
        </is>
      </c>
      <c r="J614" s="72" t="n">
        <v>300</v>
      </c>
      <c r="K614" s="75" t="n">
        <v>1</v>
      </c>
      <c r="L614" s="51" t="n">
        <v>67</v>
      </c>
      <c r="M614" s="69" t="n">
        <v>0.58</v>
      </c>
      <c r="N614" s="70">
        <f>K614*L614*M614</f>
        <v/>
      </c>
      <c r="O614" s="37">
        <f>IFERROR(INDEX(Исходные!$B$19:$B$31,MATCH(H614,Исходные!$A$19:$A$31,0)),0)</f>
        <v/>
      </c>
      <c r="P614" s="76">
        <f>N614*O614</f>
        <v/>
      </c>
      <c r="Q614" s="21" t="inlineStr">
        <is>
          <t>АС-28 «шп.Ø8 А240 ш.300», поз.16 L=580</t>
        </is>
      </c>
      <c r="R614" s="78" t="inlineStr">
        <is>
          <t>принято (уточнить)</t>
        </is>
      </c>
      <c r="S614" s="21" t="inlineStr"/>
      <c r="T614" s="21" t="inlineStr">
        <is>
          <t>Ригели, балки, плита, С-1</t>
        </is>
      </c>
      <c r="U614" s="49" t="n">
        <v>1</v>
      </c>
      <c r="V614" s="72" t="inlineStr">
        <is>
          <t>Р-Г</t>
        </is>
      </c>
      <c r="W614" s="49" t="n">
        <v>2</v>
      </c>
    </row>
    <row r="615">
      <c r="A615" s="72" t="n">
        <v>599</v>
      </c>
      <c r="B615" s="21" t="inlineStr">
        <is>
          <t>2 этаж (отм. +3.950…+7.550)</t>
        </is>
      </c>
      <c r="C615" s="21" t="inlineStr">
        <is>
          <t>Ригели</t>
        </is>
      </c>
      <c r="D615" s="21" t="inlineStr">
        <is>
          <t>оси 1, 5 (отм. +7.550)</t>
        </is>
      </c>
      <c r="E615" s="21" t="inlineStr">
        <is>
          <t>Р-1, 5</t>
        </is>
      </c>
      <c r="F615" s="72" t="inlineStr">
        <is>
          <t>2</t>
        </is>
      </c>
      <c r="G615" s="21" t="inlineStr">
        <is>
          <t>Продольные угловые 4Ø28 (сеч.4-4/5-5), сквозные, концы с Аш</t>
        </is>
      </c>
      <c r="H615" s="51" t="n">
        <v>28</v>
      </c>
      <c r="I615" s="72" t="inlineStr">
        <is>
          <t>А500С</t>
        </is>
      </c>
      <c r="J615" s="72" t="inlineStr">
        <is>
          <t>—</t>
        </is>
      </c>
      <c r="K615" s="75" t="n">
        <v>2</v>
      </c>
      <c r="L615" s="51" t="n">
        <v>4</v>
      </c>
      <c r="M615" s="69" t="n">
        <v>20.5</v>
      </c>
      <c r="N615" s="70">
        <f>K615*L615*M615</f>
        <v/>
      </c>
      <c r="O615" s="37">
        <f>IFERROR(INDEX(Исходные!$B$19:$B$31,MATCH(H615,Исходные!$A$19:$A$31,0)),0)</f>
        <v/>
      </c>
      <c r="P615" s="76">
        <f>N615*O615</f>
        <v/>
      </c>
      <c r="Q615" s="21" t="inlineStr">
        <is>
          <t>АС-24 рама + АС-28 сеч.4-4/5-5 поз.2; длина = 20000+2×250</t>
        </is>
      </c>
      <c r="R615" s="77" t="inlineStr">
        <is>
          <t>по геометрии чертежа</t>
        </is>
      </c>
      <c r="S615" s="21" t="inlineStr">
        <is>
          <t>Стыки ванной сваркой без нахлёста: 1 на стержень (всего 8).</t>
        </is>
      </c>
      <c r="T615" s="21" t="inlineStr">
        <is>
          <t>Ригели, балки, плита, С-1</t>
        </is>
      </c>
      <c r="U615" s="49" t="n">
        <v>0</v>
      </c>
      <c r="V615" s="72" t="inlineStr">
        <is>
          <t>Р-1, 5</t>
        </is>
      </c>
      <c r="W615" s="49" t="n">
        <v>2</v>
      </c>
    </row>
    <row r="616">
      <c r="A616" s="72" t="n">
        <v>600</v>
      </c>
      <c r="B616" s="21" t="inlineStr">
        <is>
          <t>2 этаж (отм. +3.950…+7.550)</t>
        </is>
      </c>
      <c r="C616" s="21" t="inlineStr">
        <is>
          <t>Ригели</t>
        </is>
      </c>
      <c r="D616" s="21" t="inlineStr">
        <is>
          <t>оси 1, 5 (отм. +7.550)</t>
        </is>
      </c>
      <c r="E616" s="21" t="inlineStr">
        <is>
          <t>Р-1, 5</t>
        </is>
      </c>
      <c r="F616" s="72" t="inlineStr">
        <is>
          <t>6</t>
        </is>
      </c>
      <c r="G616" s="21" t="inlineStr">
        <is>
          <t>Продольные средние верх/низ 2Ø18 (сеч.4-4/5-5)</t>
        </is>
      </c>
      <c r="H616" s="51" t="n">
        <v>18</v>
      </c>
      <c r="I616" s="72" t="inlineStr">
        <is>
          <t>А500С</t>
        </is>
      </c>
      <c r="J616" s="72" t="inlineStr">
        <is>
          <t>—</t>
        </is>
      </c>
      <c r="K616" s="75" t="n">
        <v>2</v>
      </c>
      <c r="L616" s="51" t="n">
        <v>2</v>
      </c>
      <c r="M616" s="69" t="n">
        <v>20.5</v>
      </c>
      <c r="N616" s="70">
        <f>K616*L616*M616</f>
        <v/>
      </c>
      <c r="O616" s="37">
        <f>IFERROR(INDEX(Исходные!$B$19:$B$31,MATCH(H616,Исходные!$A$19:$A$31,0)),0)</f>
        <v/>
      </c>
      <c r="P616" s="76">
        <f>N616*O616</f>
        <v/>
      </c>
      <c r="Q616" s="21" t="inlineStr">
        <is>
          <t>АС-28 сеч.4-4/5-5 поз.6</t>
        </is>
      </c>
      <c r="R616" s="77" t="inlineStr">
        <is>
          <t>по геометрии чертежа</t>
        </is>
      </c>
      <c r="S616" s="21" t="inlineStr"/>
      <c r="T616" s="21" t="inlineStr">
        <is>
          <t>Ригели, балки, плита, С-1</t>
        </is>
      </c>
      <c r="U616" s="49" t="n">
        <v>0</v>
      </c>
      <c r="V616" s="72" t="inlineStr">
        <is>
          <t>Р-1, 5</t>
        </is>
      </c>
      <c r="W616" s="49" t="n">
        <v>2</v>
      </c>
    </row>
    <row r="617">
      <c r="A617" s="72" t="n">
        <v>601</v>
      </c>
      <c r="B617" s="21" t="inlineStr">
        <is>
          <t>2 этаж (отм. +3.950…+7.550)</t>
        </is>
      </c>
      <c r="C617" s="21" t="inlineStr">
        <is>
          <t>Ригели</t>
        </is>
      </c>
      <c r="D617" s="21" t="inlineStr">
        <is>
          <t>оси 1, 5 (отм. +7.550)</t>
        </is>
      </c>
      <c r="E617" s="21" t="inlineStr">
        <is>
          <t>Р-1, 5</t>
        </is>
      </c>
      <c r="F617" s="72" t="inlineStr">
        <is>
          <t>6-нахл</t>
        </is>
      </c>
      <c r="G617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617" s="51" t="n">
        <v>18</v>
      </c>
      <c r="I617" s="72" t="inlineStr">
        <is>
          <t>А500С</t>
        </is>
      </c>
      <c r="J617" s="72" t="inlineStr">
        <is>
          <t>—</t>
        </is>
      </c>
      <c r="K617" s="75" t="n">
        <v>4</v>
      </c>
      <c r="L617" s="51" t="n">
        <v>1</v>
      </c>
      <c r="M617" s="69" t="n">
        <v>0.144</v>
      </c>
      <c r="N617" s="70">
        <f>K617*L617*M617</f>
        <v/>
      </c>
      <c r="O617" s="37">
        <f>IFERROR(INDEX(Исходные!$B$19:$B$31,MATCH(H617,Исходные!$A$19:$A$31,0)),0)</f>
        <v/>
      </c>
      <c r="P617" s="76">
        <f>N617*O617</f>
        <v/>
      </c>
      <c r="Q617" s="21" t="inlineStr">
        <is>
          <t>АС-19 прим.1: Ø18 и менее — внахлёстку электродуговой сваркой, Lшва=8d = 144 мм</t>
        </is>
      </c>
      <c r="R617" s="77" t="inlineStr">
        <is>
          <t>по проекту (стыковка прутков 11,7 м)</t>
        </is>
      </c>
      <c r="S617" s="21" t="inlineStr">
        <is>
          <t>Чистая длина 20.500 м; кусков 2; стыков 1; Lнахл=1×0.144=0.144 м на стержень</t>
        </is>
      </c>
      <c r="T617" s="21" t="inlineStr">
        <is>
          <t>Ригели, балки, плита, С-1</t>
        </is>
      </c>
      <c r="U617" s="49" t="n">
        <v>0</v>
      </c>
      <c r="V617" s="72" t="inlineStr">
        <is>
          <t>Р-1, 5</t>
        </is>
      </c>
      <c r="W617" s="49" t="n">
        <v>2</v>
      </c>
    </row>
    <row r="618">
      <c r="A618" s="72" t="n">
        <v>602</v>
      </c>
      <c r="B618" s="21" t="inlineStr">
        <is>
          <t>2 этаж (отм. +3.950…+7.550)</t>
        </is>
      </c>
      <c r="C618" s="21" t="inlineStr">
        <is>
          <t>Ригели</t>
        </is>
      </c>
      <c r="D618" s="21" t="inlineStr">
        <is>
          <t>оси 1, 5 (отм. +7.550)</t>
        </is>
      </c>
      <c r="E618" s="21" t="inlineStr">
        <is>
          <t>Р-1, 5</t>
        </is>
      </c>
      <c r="F618" s="72" t="inlineStr">
        <is>
          <t>7</t>
        </is>
      </c>
      <c r="G618" s="21" t="inlineStr">
        <is>
          <t>Боковые стержни 2Ø16 (сеч.4-4/5-5)</t>
        </is>
      </c>
      <c r="H618" s="51" t="n">
        <v>16</v>
      </c>
      <c r="I618" s="72" t="inlineStr">
        <is>
          <t>А500С</t>
        </is>
      </c>
      <c r="J618" s="72" t="inlineStr">
        <is>
          <t>—</t>
        </is>
      </c>
      <c r="K618" s="75" t="n">
        <v>2</v>
      </c>
      <c r="L618" s="51" t="n">
        <v>2</v>
      </c>
      <c r="M618" s="69" t="n">
        <v>20.5</v>
      </c>
      <c r="N618" s="70">
        <f>K618*L618*M618</f>
        <v/>
      </c>
      <c r="O618" s="37">
        <f>IFERROR(INDEX(Исходные!$B$19:$B$31,MATCH(H618,Исходные!$A$19:$A$31,0)),0)</f>
        <v/>
      </c>
      <c r="P618" s="76">
        <f>N618*O618</f>
        <v/>
      </c>
      <c r="Q618" s="21" t="inlineStr">
        <is>
          <t>АС-28 сеч.4-4/5-5 «Боковые стержни 2Ø16»</t>
        </is>
      </c>
      <c r="R618" s="77" t="inlineStr">
        <is>
          <t>по геометрии чертежа</t>
        </is>
      </c>
      <c r="S618" s="21" t="inlineStr"/>
      <c r="T618" s="21" t="inlineStr">
        <is>
          <t>Ригели, балки, плита, С-1</t>
        </is>
      </c>
      <c r="U618" s="49" t="n">
        <v>0</v>
      </c>
      <c r="V618" s="72" t="inlineStr">
        <is>
          <t>Р-1, 5</t>
        </is>
      </c>
      <c r="W618" s="49" t="n">
        <v>2</v>
      </c>
    </row>
    <row r="619">
      <c r="A619" s="72" t="n">
        <v>603</v>
      </c>
      <c r="B619" s="21" t="inlineStr">
        <is>
          <t>2 этаж (отм. +3.950…+7.550)</t>
        </is>
      </c>
      <c r="C619" s="21" t="inlineStr">
        <is>
          <t>Ригели</t>
        </is>
      </c>
      <c r="D619" s="21" t="inlineStr">
        <is>
          <t>оси 1, 5 (отм. +7.550)</t>
        </is>
      </c>
      <c r="E619" s="21" t="inlineStr">
        <is>
          <t>Р-1, 5</t>
        </is>
      </c>
      <c r="F619" s="72" t="inlineStr">
        <is>
          <t>7-нахл</t>
        </is>
      </c>
      <c r="G619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619" s="51" t="n">
        <v>16</v>
      </c>
      <c r="I619" s="72" t="inlineStr">
        <is>
          <t>А500С</t>
        </is>
      </c>
      <c r="J619" s="72" t="inlineStr">
        <is>
          <t>—</t>
        </is>
      </c>
      <c r="K619" s="75" t="n">
        <v>4</v>
      </c>
      <c r="L619" s="51" t="n">
        <v>1</v>
      </c>
      <c r="M619" s="69" t="n">
        <v>0.128</v>
      </c>
      <c r="N619" s="70">
        <f>K619*L619*M619</f>
        <v/>
      </c>
      <c r="O619" s="37">
        <f>IFERROR(INDEX(Исходные!$B$19:$B$31,MATCH(H619,Исходные!$A$19:$A$31,0)),0)</f>
        <v/>
      </c>
      <c r="P619" s="76">
        <f>N619*O619</f>
        <v/>
      </c>
      <c r="Q619" s="21" t="inlineStr">
        <is>
          <t>АС-19 прим.1: Ø18 и менее — внахлёстку электродуговой сваркой, Lшва=8d = 128 мм</t>
        </is>
      </c>
      <c r="R619" s="77" t="inlineStr">
        <is>
          <t>по проекту (стыковка прутков 11,7 м)</t>
        </is>
      </c>
      <c r="S619" s="21" t="inlineStr">
        <is>
          <t>Чистая длина 20.500 м; кусков 2; стыков 1; Lнахл=1×0.128=0.128 м на стержень</t>
        </is>
      </c>
      <c r="T619" s="21" t="inlineStr">
        <is>
          <t>Ригели, балки, плита, С-1</t>
        </is>
      </c>
      <c r="U619" s="49" t="n">
        <v>0</v>
      </c>
      <c r="V619" s="72" t="inlineStr">
        <is>
          <t>Р-1, 5</t>
        </is>
      </c>
      <c r="W619" s="49" t="n">
        <v>2</v>
      </c>
    </row>
    <row r="620">
      <c r="A620" s="72" t="n">
        <v>604</v>
      </c>
      <c r="B620" s="21" t="inlineStr">
        <is>
          <t>2 этаж (отм. +3.950…+7.550)</t>
        </is>
      </c>
      <c r="C620" s="21" t="inlineStr">
        <is>
          <t>Ригели</t>
        </is>
      </c>
      <c r="D620" s="21" t="inlineStr">
        <is>
          <t>оси 1, 5 (отм. +7.550)</t>
        </is>
      </c>
      <c r="E620" s="21" t="inlineStr">
        <is>
          <t>Р-1, 5</t>
        </is>
      </c>
      <c r="F620" s="72" t="inlineStr">
        <is>
          <t>ОС</t>
        </is>
      </c>
      <c r="G620" s="21" t="inlineStr">
        <is>
          <t>ОС верх: 2Ø25, участок 0…1800 мм + 250 до торца</t>
        </is>
      </c>
      <c r="H620" s="51" t="n">
        <v>25</v>
      </c>
      <c r="I620" s="72" t="inlineStr">
        <is>
          <t>А500С</t>
        </is>
      </c>
      <c r="J620" s="72" t="inlineStr">
        <is>
          <t>—</t>
        </is>
      </c>
      <c r="K620" s="75" t="n">
        <v>2</v>
      </c>
      <c r="L620" s="51" t="n">
        <v>2</v>
      </c>
      <c r="M620" s="69" t="n">
        <v>2.05</v>
      </c>
      <c r="N620" s="70">
        <f>K620*L620*M620</f>
        <v/>
      </c>
      <c r="O620" s="37">
        <f>IFERROR(INDEX(Исходные!$B$19:$B$31,MATCH(H620,Исходные!$A$19:$A$31,0)),0)</f>
        <v/>
      </c>
      <c r="P620" s="76">
        <f>N620*O620</f>
        <v/>
      </c>
      <c r="Q620" s="21" t="inlineStr">
        <is>
          <t>АС-24 (отм. 7.550): выноска «ОС 2Ø25 А500С»; длина по привязкам отдельных стержней</t>
        </is>
      </c>
      <c r="R620" s="77" t="inlineStr">
        <is>
          <t>по геометрии чертежа</t>
        </is>
      </c>
      <c r="S620" s="21" t="inlineStr">
        <is>
          <t>Координаты от оси А: 0…1800 мм; конец до торца крайней колонны (+250)</t>
        </is>
      </c>
      <c r="T620" s="21" t="inlineStr">
        <is>
          <t>Ригели, балки, плита, С-1</t>
        </is>
      </c>
      <c r="U620" s="49" t="n">
        <v>0</v>
      </c>
      <c r="V620" s="72" t="inlineStr">
        <is>
          <t>Р-1, 5</t>
        </is>
      </c>
      <c r="W620" s="49" t="n">
        <v>2</v>
      </c>
    </row>
    <row r="621">
      <c r="A621" s="72" t="n">
        <v>605</v>
      </c>
      <c r="B621" s="21" t="inlineStr">
        <is>
          <t>2 этаж (отм. +3.950…+7.550)</t>
        </is>
      </c>
      <c r="C621" s="21" t="inlineStr">
        <is>
          <t>Ригели</t>
        </is>
      </c>
      <c r="D621" s="21" t="inlineStr">
        <is>
          <t>оси 1, 5 (отм. +7.550)</t>
        </is>
      </c>
      <c r="E621" s="21" t="inlineStr">
        <is>
          <t>Р-1, 5</t>
        </is>
      </c>
      <c r="F621" s="72" t="inlineStr">
        <is>
          <t>ОС</t>
        </is>
      </c>
      <c r="G621" s="21" t="inlineStr">
        <is>
          <t>ОС верх: 2Ø28, участок 4700…8500 мм</t>
        </is>
      </c>
      <c r="H621" s="51" t="n">
        <v>28</v>
      </c>
      <c r="I621" s="72" t="inlineStr">
        <is>
          <t>А500С</t>
        </is>
      </c>
      <c r="J621" s="72" t="inlineStr">
        <is>
          <t>—</t>
        </is>
      </c>
      <c r="K621" s="75" t="n">
        <v>2</v>
      </c>
      <c r="L621" s="51" t="n">
        <v>2</v>
      </c>
      <c r="M621" s="69" t="n">
        <v>3.8</v>
      </c>
      <c r="N621" s="70">
        <f>K621*L621*M621</f>
        <v/>
      </c>
      <c r="O621" s="37">
        <f>IFERROR(INDEX(Исходные!$B$19:$B$31,MATCH(H621,Исходные!$A$19:$A$31,0)),0)</f>
        <v/>
      </c>
      <c r="P621" s="76">
        <f>N621*O621</f>
        <v/>
      </c>
      <c r="Q621" s="21" t="inlineStr">
        <is>
          <t>АС-24 (отм. 7.550): выноска «ОС 2Ø28 А500С»; длина по привязкам отдельных стержней</t>
        </is>
      </c>
      <c r="R621" s="77" t="inlineStr">
        <is>
          <t>по геометрии чертежа</t>
        </is>
      </c>
      <c r="S621" s="21" t="inlineStr">
        <is>
          <t>Координаты от оси А: 4700…8500 мм</t>
        </is>
      </c>
      <c r="T621" s="21" t="inlineStr">
        <is>
          <t>Ригели, балки, плита, С-1</t>
        </is>
      </c>
      <c r="U621" s="49" t="n">
        <v>0</v>
      </c>
      <c r="V621" s="72" t="inlineStr">
        <is>
          <t>Р-1, 5</t>
        </is>
      </c>
      <c r="W621" s="49" t="n">
        <v>2</v>
      </c>
    </row>
    <row r="622">
      <c r="A622" s="72" t="n">
        <v>606</v>
      </c>
      <c r="B622" s="21" t="inlineStr">
        <is>
          <t>2 этаж (отм. +3.950…+7.550)</t>
        </is>
      </c>
      <c r="C622" s="21" t="inlineStr">
        <is>
          <t>Ригели</t>
        </is>
      </c>
      <c r="D622" s="21" t="inlineStr">
        <is>
          <t>оси 1, 5 (отм. +7.550)</t>
        </is>
      </c>
      <c r="E622" s="21" t="inlineStr">
        <is>
          <t>Р-1, 5</t>
        </is>
      </c>
      <c r="F622" s="72" t="inlineStr">
        <is>
          <t>ОС</t>
        </is>
      </c>
      <c r="G622" s="21" t="inlineStr">
        <is>
          <t>ОС верх: 2Ø32, участок 11500…15300 мм</t>
        </is>
      </c>
      <c r="H622" s="51" t="n">
        <v>32</v>
      </c>
      <c r="I622" s="72" t="inlineStr">
        <is>
          <t>А500С</t>
        </is>
      </c>
      <c r="J622" s="72" t="inlineStr">
        <is>
          <t>—</t>
        </is>
      </c>
      <c r="K622" s="75" t="n">
        <v>2</v>
      </c>
      <c r="L622" s="51" t="n">
        <v>2</v>
      </c>
      <c r="M622" s="69" t="n">
        <v>3.8</v>
      </c>
      <c r="N622" s="70">
        <f>K622*L622*M622</f>
        <v/>
      </c>
      <c r="O622" s="37">
        <f>IFERROR(INDEX(Исходные!$B$19:$B$31,MATCH(H622,Исходные!$A$19:$A$31,0)),0)</f>
        <v/>
      </c>
      <c r="P622" s="76">
        <f>N622*O622</f>
        <v/>
      </c>
      <c r="Q622" s="21" t="inlineStr">
        <is>
          <t>АС-24 (отм. 7.550): выноска «ОС 2Ø32 А500С»; длина по привязкам отдельных стержней</t>
        </is>
      </c>
      <c r="R622" s="77" t="inlineStr">
        <is>
          <t>по геометрии чертежа</t>
        </is>
      </c>
      <c r="S622" s="21" t="inlineStr">
        <is>
          <t>Координаты от оси А: 11500…15300 мм</t>
        </is>
      </c>
      <c r="T622" s="21" t="inlineStr">
        <is>
          <t>Ригели, балки, плита, С-1</t>
        </is>
      </c>
      <c r="U622" s="49" t="n">
        <v>0</v>
      </c>
      <c r="V622" s="72" t="inlineStr">
        <is>
          <t>Р-1, 5</t>
        </is>
      </c>
      <c r="W622" s="49" t="n">
        <v>2</v>
      </c>
    </row>
    <row r="623">
      <c r="A623" s="72" t="n">
        <v>607</v>
      </c>
      <c r="B623" s="21" t="inlineStr">
        <is>
          <t>2 этаж (отм. +3.950…+7.550)</t>
        </is>
      </c>
      <c r="C623" s="21" t="inlineStr">
        <is>
          <t>Ригели</t>
        </is>
      </c>
      <c r="D623" s="21" t="inlineStr">
        <is>
          <t>оси 1, 5 (отм. +7.550)</t>
        </is>
      </c>
      <c r="E623" s="21" t="inlineStr">
        <is>
          <t>Р-1, 5</t>
        </is>
      </c>
      <c r="F623" s="72" t="inlineStr">
        <is>
          <t>ОС</t>
        </is>
      </c>
      <c r="G623" s="21" t="inlineStr">
        <is>
          <t>ОС верх: 2Ø32, участок 18200…20000 мм + 250 до торца</t>
        </is>
      </c>
      <c r="H623" s="51" t="n">
        <v>32</v>
      </c>
      <c r="I623" s="72" t="inlineStr">
        <is>
          <t>А500С</t>
        </is>
      </c>
      <c r="J623" s="72" t="inlineStr">
        <is>
          <t>—</t>
        </is>
      </c>
      <c r="K623" s="75" t="n">
        <v>2</v>
      </c>
      <c r="L623" s="51" t="n">
        <v>2</v>
      </c>
      <c r="M623" s="69" t="n">
        <v>2.05</v>
      </c>
      <c r="N623" s="70">
        <f>K623*L623*M623</f>
        <v/>
      </c>
      <c r="O623" s="37">
        <f>IFERROR(INDEX(Исходные!$B$19:$B$31,MATCH(H623,Исходные!$A$19:$A$31,0)),0)</f>
        <v/>
      </c>
      <c r="P623" s="76">
        <f>N623*O623</f>
        <v/>
      </c>
      <c r="Q623" s="21" t="inlineStr">
        <is>
          <t>АС-24 (отм. 7.550): выноска «ОС 2Ø32 А500С»; длина по привязкам отдельных стержней</t>
        </is>
      </c>
      <c r="R623" s="77" t="inlineStr">
        <is>
          <t>по геометрии чертежа</t>
        </is>
      </c>
      <c r="S623" s="21" t="inlineStr">
        <is>
          <t>Координаты от оси А: 18200…20000 мм; конец до торца крайней колонны (+250)</t>
        </is>
      </c>
      <c r="T623" s="21" t="inlineStr">
        <is>
          <t>Ригели, балки, плита, С-1</t>
        </is>
      </c>
      <c r="U623" s="49" t="n">
        <v>0</v>
      </c>
      <c r="V623" s="72" t="inlineStr">
        <is>
          <t>Р-1, 5</t>
        </is>
      </c>
      <c r="W623" s="49" t="n">
        <v>2</v>
      </c>
    </row>
    <row r="624">
      <c r="A624" s="72" t="n">
        <v>608</v>
      </c>
      <c r="B624" s="21" t="inlineStr">
        <is>
          <t>2 этаж (отм. +3.950…+7.550)</t>
        </is>
      </c>
      <c r="C624" s="21" t="inlineStr">
        <is>
          <t>Ригели</t>
        </is>
      </c>
      <c r="D624" s="21" t="inlineStr">
        <is>
          <t>оси 1, 5 (отм. +7.550)</t>
        </is>
      </c>
      <c r="E624" s="21" t="inlineStr">
        <is>
          <t>Р-1, 5</t>
        </is>
      </c>
      <c r="F624" s="72" t="inlineStr">
        <is>
          <t>ОС</t>
        </is>
      </c>
      <c r="G624" s="21" t="inlineStr">
        <is>
          <t>ОС низ: 2Ø16, участок 8500…11500 мм</t>
        </is>
      </c>
      <c r="H624" s="51" t="n">
        <v>16</v>
      </c>
      <c r="I624" s="72" t="inlineStr">
        <is>
          <t>А500С</t>
        </is>
      </c>
      <c r="J624" s="72" t="inlineStr">
        <is>
          <t>—</t>
        </is>
      </c>
      <c r="K624" s="75" t="n">
        <v>2</v>
      </c>
      <c r="L624" s="51" t="n">
        <v>2</v>
      </c>
      <c r="M624" s="69" t="n">
        <v>3</v>
      </c>
      <c r="N624" s="70">
        <f>K624*L624*M624</f>
        <v/>
      </c>
      <c r="O624" s="37">
        <f>IFERROR(INDEX(Исходные!$B$19:$B$31,MATCH(H624,Исходные!$A$19:$A$31,0)),0)</f>
        <v/>
      </c>
      <c r="P624" s="76">
        <f>N624*O624</f>
        <v/>
      </c>
      <c r="Q624" s="21" t="inlineStr">
        <is>
          <t>АС-24 (отм. 7.550): выноска «ОС 2Ø16 А500С»; длина по привязкам отдельных стержней</t>
        </is>
      </c>
      <c r="R624" s="77" t="inlineStr">
        <is>
          <t>по геометрии чертежа</t>
        </is>
      </c>
      <c r="S624" s="21" t="inlineStr">
        <is>
          <t>Координаты от оси А: 8500…11500 мм</t>
        </is>
      </c>
      <c r="T624" s="21" t="inlineStr">
        <is>
          <t>Ригели, балки, плита, С-1</t>
        </is>
      </c>
      <c r="U624" s="49" t="n">
        <v>0</v>
      </c>
      <c r="V624" s="72" t="inlineStr">
        <is>
          <t>Р-1, 5</t>
        </is>
      </c>
      <c r="W624" s="49" t="n">
        <v>2</v>
      </c>
    </row>
    <row r="625">
      <c r="A625" s="72" t="n">
        <v>609</v>
      </c>
      <c r="B625" s="21" t="inlineStr">
        <is>
          <t>2 этаж (отм. +3.950…+7.550)</t>
        </is>
      </c>
      <c r="C625" s="21" t="inlineStr">
        <is>
          <t>Ригели</t>
        </is>
      </c>
      <c r="D625" s="21" t="inlineStr">
        <is>
          <t>оси 1, 5 (отм. +7.550)</t>
        </is>
      </c>
      <c r="E625" s="21" t="inlineStr">
        <is>
          <t>Р-1, 5</t>
        </is>
      </c>
      <c r="F625" s="72" t="inlineStr">
        <is>
          <t>ОС</t>
        </is>
      </c>
      <c r="G625" s="21" t="inlineStr">
        <is>
          <t>ОС низ: 2Ø16, участок 15300…18200 мм</t>
        </is>
      </c>
      <c r="H625" s="51" t="n">
        <v>16</v>
      </c>
      <c r="I625" s="72" t="inlineStr">
        <is>
          <t>А500С</t>
        </is>
      </c>
      <c r="J625" s="72" t="inlineStr">
        <is>
          <t>—</t>
        </is>
      </c>
      <c r="K625" s="75" t="n">
        <v>2</v>
      </c>
      <c r="L625" s="51" t="n">
        <v>2</v>
      </c>
      <c r="M625" s="69" t="n">
        <v>2.9</v>
      </c>
      <c r="N625" s="70">
        <f>K625*L625*M625</f>
        <v/>
      </c>
      <c r="O625" s="37">
        <f>IFERROR(INDEX(Исходные!$B$19:$B$31,MATCH(H625,Исходные!$A$19:$A$31,0)),0)</f>
        <v/>
      </c>
      <c r="P625" s="76">
        <f>N625*O625</f>
        <v/>
      </c>
      <c r="Q625" s="21" t="inlineStr">
        <is>
          <t>АС-24 (отм. 7.550): выноска «ОС 2Ø16 А500С»; длина по привязкам отдельных стержней</t>
        </is>
      </c>
      <c r="R625" s="77" t="inlineStr">
        <is>
          <t>по геометрии чертежа</t>
        </is>
      </c>
      <c r="S625" s="21" t="inlineStr">
        <is>
          <t>Координаты от оси А: 15300…18200 мм</t>
        </is>
      </c>
      <c r="T625" s="21" t="inlineStr">
        <is>
          <t>Ригели, балки, плита, С-1</t>
        </is>
      </c>
      <c r="U625" s="49" t="n">
        <v>0</v>
      </c>
      <c r="V625" s="72" t="inlineStr">
        <is>
          <t>Р-1, 5</t>
        </is>
      </c>
      <c r="W625" s="49" t="n">
        <v>2</v>
      </c>
    </row>
    <row r="626">
      <c r="A626" s="72" t="n">
        <v>610</v>
      </c>
      <c r="B626" s="21" t="inlineStr">
        <is>
          <t>2 этаж (отм. +3.950…+7.550)</t>
        </is>
      </c>
      <c r="C626" s="21" t="inlineStr">
        <is>
          <t>Ригели</t>
        </is>
      </c>
      <c r="D626" s="21" t="inlineStr">
        <is>
          <t>оси 1, 5 (отм. +7.550)</t>
        </is>
      </c>
      <c r="E626" s="21" t="inlineStr">
        <is>
          <t>Р-1, 5</t>
        </is>
      </c>
      <c r="F626" s="72" t="inlineStr">
        <is>
          <t>ОС</t>
        </is>
      </c>
      <c r="G626" s="21" t="inlineStr">
        <is>
          <t>Ос (бок) бок: 4Ø12, участок 0…1800 мм + 250 до торца</t>
        </is>
      </c>
      <c r="H626" s="51" t="n">
        <v>12</v>
      </c>
      <c r="I626" s="72" t="inlineStr">
        <is>
          <t>А500С</t>
        </is>
      </c>
      <c r="J626" s="72" t="inlineStr">
        <is>
          <t>—</t>
        </is>
      </c>
      <c r="K626" s="75" t="n">
        <v>2</v>
      </c>
      <c r="L626" s="51" t="n">
        <v>4</v>
      </c>
      <c r="M626" s="69" t="n">
        <v>2.05</v>
      </c>
      <c r="N626" s="70">
        <f>K626*L626*M626</f>
        <v/>
      </c>
      <c r="O626" s="37">
        <f>IFERROR(INDEX(Исходные!$B$19:$B$31,MATCH(H626,Исходные!$A$19:$A$31,0)),0)</f>
        <v/>
      </c>
      <c r="P626" s="76">
        <f>N626*O626</f>
        <v/>
      </c>
      <c r="Q626" s="21" t="inlineStr">
        <is>
          <t>АС-24 (отм. 7.550): выноска «Ос (бок) 4Ø12 А500С»; длина по привязкам отдельных стержней</t>
        </is>
      </c>
      <c r="R626" s="77" t="inlineStr">
        <is>
          <t>по геометрии чертежа</t>
        </is>
      </c>
      <c r="S626" s="21" t="inlineStr">
        <is>
          <t>Координаты от оси А: 0…1800 мм; конец до торца крайней колонны (+250)</t>
        </is>
      </c>
      <c r="T626" s="21" t="inlineStr">
        <is>
          <t>Ригели, балки, плита, С-1</t>
        </is>
      </c>
      <c r="U626" s="49" t="n">
        <v>0</v>
      </c>
      <c r="V626" s="72" t="inlineStr">
        <is>
          <t>Р-1, 5</t>
        </is>
      </c>
      <c r="W626" s="49" t="n">
        <v>2</v>
      </c>
    </row>
    <row r="627">
      <c r="A627" s="72" t="n">
        <v>611</v>
      </c>
      <c r="B627" s="21" t="inlineStr">
        <is>
          <t>2 этаж (отм. +3.950…+7.550)</t>
        </is>
      </c>
      <c r="C627" s="21" t="inlineStr">
        <is>
          <t>Ригели</t>
        </is>
      </c>
      <c r="D627" s="21" t="inlineStr">
        <is>
          <t>оси 1, 5 (отм. +7.550)</t>
        </is>
      </c>
      <c r="E627" s="21" t="inlineStr">
        <is>
          <t>Р-1, 5</t>
        </is>
      </c>
      <c r="F627" s="72" t="inlineStr">
        <is>
          <t>12</t>
        </is>
      </c>
      <c r="G627" s="21" t="inlineStr">
        <is>
          <t>Хомут Ø8 L=2060 ш.100 у опор, ш.150 в пролёте, 80×4 у балок — вне заштрихованных участков</t>
        </is>
      </c>
      <c r="H627" s="51" t="n">
        <v>8</v>
      </c>
      <c r="I627" s="72" t="inlineStr">
        <is>
          <t>А240</t>
        </is>
      </c>
      <c r="J627" s="72" t="inlineStr">
        <is>
          <t>100/150</t>
        </is>
      </c>
      <c r="K627" s="75" t="n">
        <v>2</v>
      </c>
      <c r="L627" s="51" t="n">
        <v>101</v>
      </c>
      <c r="M627" s="69" t="n">
        <v>2.06</v>
      </c>
      <c r="N627" s="70">
        <f>K627*L627*M627</f>
        <v/>
      </c>
      <c r="O627" s="37">
        <f>IFERROR(INDEX(Исходные!$B$19:$B$31,MATCH(H627,Исходные!$A$19:$A$31,0)),0)</f>
        <v/>
      </c>
      <c r="P627" s="76">
        <f>N627*O627</f>
        <v/>
      </c>
      <c r="Q627" s="21" t="inlineStr">
        <is>
          <t>АС-28 поз.12; АС-29 «Расстановка хомутов в ригелях»</t>
        </is>
      </c>
      <c r="R627" s="77" t="inlineStr">
        <is>
          <t>по проекту</t>
        </is>
      </c>
      <c r="S627" s="21" t="inlineStr">
        <is>
          <t>Пролёты в свету [(300, 6200), (6800, 13200), (13800, 19700)]</t>
        </is>
      </c>
      <c r="T627" s="21" t="inlineStr">
        <is>
          <t>Ригели, балки, плита, С-1</t>
        </is>
      </c>
      <c r="U627" s="49" t="n">
        <v>0</v>
      </c>
      <c r="V627" s="72" t="inlineStr">
        <is>
          <t>Р-1, 5</t>
        </is>
      </c>
      <c r="W627" s="49" t="n">
        <v>2</v>
      </c>
    </row>
    <row r="628">
      <c r="A628" s="72" t="n">
        <v>612</v>
      </c>
      <c r="B628" s="21" t="inlineStr">
        <is>
          <t>2 этаж (отм. +3.950…+7.550)</t>
        </is>
      </c>
      <c r="C628" s="21" t="inlineStr">
        <is>
          <t>Ригели</t>
        </is>
      </c>
      <c r="D628" s="21" t="inlineStr">
        <is>
          <t>оси 1, 5 (отм. +7.550)</t>
        </is>
      </c>
      <c r="E628" s="21" t="inlineStr">
        <is>
          <t>Р-1, 5</t>
        </is>
      </c>
      <c r="F628" s="72" t="inlineStr">
        <is>
          <t>13</t>
        </is>
      </c>
      <c r="G628" s="21" t="inlineStr">
        <is>
          <t>Хомут наружный Ø10 L=2060 ш.100 — заштрихованные участки</t>
        </is>
      </c>
      <c r="H628" s="51" t="n">
        <v>10</v>
      </c>
      <c r="I628" s="72" t="inlineStr">
        <is>
          <t>А240</t>
        </is>
      </c>
      <c r="J628" s="72" t="n">
        <v>100</v>
      </c>
      <c r="K628" s="75" t="n">
        <v>2</v>
      </c>
      <c r="L628" s="51" t="n">
        <v>47</v>
      </c>
      <c r="M628" s="69" t="n">
        <v>2.06</v>
      </c>
      <c r="N628" s="70">
        <f>K628*L628*M628</f>
        <v/>
      </c>
      <c r="O628" s="37">
        <f>IFERROR(INDEX(Исходные!$B$19:$B$31,MATCH(H628,Исходные!$A$19:$A$31,0)),0)</f>
        <v/>
      </c>
      <c r="P628" s="76">
        <f>N628*O628</f>
        <v/>
      </c>
      <c r="Q628" s="21" t="inlineStr">
        <is>
          <t>АС-24 штриховка у отм. 7.550; АС-28 Фрагмент №1, поз.13</t>
        </is>
      </c>
      <c r="R628" s="77" t="inlineStr">
        <is>
          <t>по проекту</t>
        </is>
      </c>
      <c r="S628" s="21" t="inlineStr">
        <is>
          <t>Участки (мм): одинарные [(300, 1700), (5100, 7900), (12100, 13500)], двойные []</t>
        </is>
      </c>
      <c r="T628" s="21" t="inlineStr">
        <is>
          <t>Ригели, балки, плита, С-1</t>
        </is>
      </c>
      <c r="U628" s="49" t="n">
        <v>0</v>
      </c>
      <c r="V628" s="72" t="inlineStr">
        <is>
          <t>Р-1, 5</t>
        </is>
      </c>
      <c r="W628" s="49" t="n">
        <v>2</v>
      </c>
    </row>
    <row r="629">
      <c r="A629" s="72" t="n">
        <v>613</v>
      </c>
      <c r="B629" s="21" t="inlineStr">
        <is>
          <t>2 этаж (отм. +3.950…+7.550)</t>
        </is>
      </c>
      <c r="C629" s="21" t="inlineStr">
        <is>
          <t>Ригели</t>
        </is>
      </c>
      <c r="D629" s="21" t="inlineStr">
        <is>
          <t>оси 1, 5 (отм. +7.550)</t>
        </is>
      </c>
      <c r="E629" s="21" t="inlineStr">
        <is>
          <t>Р-1, 5</t>
        </is>
      </c>
      <c r="F629" s="72" t="inlineStr">
        <is>
          <t>17</t>
        </is>
      </c>
      <c r="G629" s="21" t="inlineStr">
        <is>
          <t>Шпилька вертикальная Ø8 L=750: ш.200 у опор, ш.150 в пролёте</t>
        </is>
      </c>
      <c r="H629" s="51" t="n">
        <v>8</v>
      </c>
      <c r="I629" s="72" t="inlineStr">
        <is>
          <t>А240</t>
        </is>
      </c>
      <c r="J629" s="72" t="inlineStr">
        <is>
          <t>200/150</t>
        </is>
      </c>
      <c r="K629" s="75" t="n">
        <v>2</v>
      </c>
      <c r="L629" s="51" t="n">
        <v>99</v>
      </c>
      <c r="M629" s="69" t="n">
        <v>0.75</v>
      </c>
      <c r="N629" s="70">
        <f>K629*L629*M629</f>
        <v/>
      </c>
      <c r="O629" s="37">
        <f>IFERROR(INDEX(Исходные!$B$19:$B$31,MATCH(H629,Исходные!$A$19:$A$31,0)),0)</f>
        <v/>
      </c>
      <c r="P629" s="76">
        <f>N629*O629</f>
        <v/>
      </c>
      <c r="Q629" s="21" t="inlineStr">
        <is>
          <t>АС-28 сеч.4-4/5-5 поз.17</t>
        </is>
      </c>
      <c r="R629" s="77" t="inlineStr">
        <is>
          <t>по проекту</t>
        </is>
      </c>
      <c r="S629" s="21" t="inlineStr"/>
      <c r="T629" s="21" t="inlineStr">
        <is>
          <t>Ригели, балки, плита, С-1</t>
        </is>
      </c>
      <c r="U629" s="49" t="n">
        <v>0</v>
      </c>
      <c r="V629" s="72" t="inlineStr">
        <is>
          <t>Р-1, 5</t>
        </is>
      </c>
      <c r="W629" s="49" t="n">
        <v>2</v>
      </c>
    </row>
    <row r="630">
      <c r="A630" s="72" t="n">
        <v>614</v>
      </c>
      <c r="B630" s="21" t="inlineStr">
        <is>
          <t>2 этаж (отм. +3.950…+7.550)</t>
        </is>
      </c>
      <c r="C630" s="21" t="inlineStr">
        <is>
          <t>Ригели</t>
        </is>
      </c>
      <c r="D630" s="21" t="inlineStr">
        <is>
          <t>оси 1, 5 (отм. +7.550)</t>
        </is>
      </c>
      <c r="E630" s="21" t="inlineStr">
        <is>
          <t>Р-1, 5</t>
        </is>
      </c>
      <c r="F630" s="72" t="inlineStr">
        <is>
          <t>16</t>
        </is>
      </c>
      <c r="G630" s="21" t="inlineStr">
        <is>
          <t>Шпилька горизонтальная Ø8 L=580 ш.300</t>
        </is>
      </c>
      <c r="H630" s="51" t="n">
        <v>8</v>
      </c>
      <c r="I630" s="72" t="inlineStr">
        <is>
          <t>А240</t>
        </is>
      </c>
      <c r="J630" s="72" t="n">
        <v>300</v>
      </c>
      <c r="K630" s="75" t="n">
        <v>2</v>
      </c>
      <c r="L630" s="51" t="n">
        <v>62</v>
      </c>
      <c r="M630" s="69" t="n">
        <v>0.58</v>
      </c>
      <c r="N630" s="70">
        <f>K630*L630*M630</f>
        <v/>
      </c>
      <c r="O630" s="37">
        <f>IFERROR(INDEX(Исходные!$B$19:$B$31,MATCH(H630,Исходные!$A$19:$A$31,0)),0)</f>
        <v/>
      </c>
      <c r="P630" s="76">
        <f>N630*O630</f>
        <v/>
      </c>
      <c r="Q630" s="21" t="inlineStr">
        <is>
          <t>АС-28 «шп.Ø8 А240 ш.300», поз.16 L=580</t>
        </is>
      </c>
      <c r="R630" s="78" t="inlineStr">
        <is>
          <t>принято (уточнить)</t>
        </is>
      </c>
      <c r="S630" s="21" t="inlineStr"/>
      <c r="T630" s="21" t="inlineStr">
        <is>
          <t>Ригели, балки, плита, С-1</t>
        </is>
      </c>
      <c r="U630" s="49" t="n">
        <v>1</v>
      </c>
      <c r="V630" s="72" t="inlineStr">
        <is>
          <t>Р-1, 5</t>
        </is>
      </c>
      <c r="W630" s="49" t="n">
        <v>2</v>
      </c>
    </row>
    <row r="631">
      <c r="A631" s="72" t="n">
        <v>615</v>
      </c>
      <c r="B631" s="21" t="inlineStr">
        <is>
          <t>2 этаж (отм. +3.950…+7.550)</t>
        </is>
      </c>
      <c r="C631" s="21" t="inlineStr">
        <is>
          <t>Ригели</t>
        </is>
      </c>
      <c r="D631" s="21" t="inlineStr">
        <is>
          <t>ось 2 (отм. +7.550)</t>
        </is>
      </c>
      <c r="E631" s="21" t="inlineStr">
        <is>
          <t>Р-2</t>
        </is>
      </c>
      <c r="F631" s="72" t="inlineStr">
        <is>
          <t>2</t>
        </is>
      </c>
      <c r="G631" s="21" t="inlineStr">
        <is>
          <t>Продольные угловые 4Ø28 (сеч.4-4/5-5), сквозные, концы с Аш</t>
        </is>
      </c>
      <c r="H631" s="51" t="n">
        <v>28</v>
      </c>
      <c r="I631" s="72" t="inlineStr">
        <is>
          <t>А500С</t>
        </is>
      </c>
      <c r="J631" s="72" t="inlineStr">
        <is>
          <t>—</t>
        </is>
      </c>
      <c r="K631" s="75" t="n">
        <v>1</v>
      </c>
      <c r="L631" s="51" t="n">
        <v>4</v>
      </c>
      <c r="M631" s="69" t="n">
        <v>20.5</v>
      </c>
      <c r="N631" s="70">
        <f>K631*L631*M631</f>
        <v/>
      </c>
      <c r="O631" s="37">
        <f>IFERROR(INDEX(Исходные!$B$19:$B$31,MATCH(H631,Исходные!$A$19:$A$31,0)),0)</f>
        <v/>
      </c>
      <c r="P631" s="76">
        <f>N631*O631</f>
        <v/>
      </c>
      <c r="Q631" s="21" t="inlineStr">
        <is>
          <t>АС-25 рама + АС-28 сеч.4-4/5-5 поз.2; длина = 20000+2×250</t>
        </is>
      </c>
      <c r="R631" s="77" t="inlineStr">
        <is>
          <t>по геометрии чертежа</t>
        </is>
      </c>
      <c r="S631" s="21" t="inlineStr">
        <is>
          <t>Стыки ванной сваркой без нахлёста: 1 на стержень (всего 4).</t>
        </is>
      </c>
      <c r="T631" s="21" t="inlineStr">
        <is>
          <t>Ригели, балки, плита, С-1</t>
        </is>
      </c>
      <c r="U631" s="49" t="n">
        <v>0</v>
      </c>
      <c r="V631" s="72" t="inlineStr">
        <is>
          <t>Р-2</t>
        </is>
      </c>
      <c r="W631" s="49" t="n">
        <v>2</v>
      </c>
    </row>
    <row r="632">
      <c r="A632" s="72" t="n">
        <v>616</v>
      </c>
      <c r="B632" s="21" t="inlineStr">
        <is>
          <t>2 этаж (отм. +3.950…+7.550)</t>
        </is>
      </c>
      <c r="C632" s="21" t="inlineStr">
        <is>
          <t>Ригели</t>
        </is>
      </c>
      <c r="D632" s="21" t="inlineStr">
        <is>
          <t>ось 2 (отм. +7.550)</t>
        </is>
      </c>
      <c r="E632" s="21" t="inlineStr">
        <is>
          <t>Р-2</t>
        </is>
      </c>
      <c r="F632" s="72" t="inlineStr">
        <is>
          <t>6</t>
        </is>
      </c>
      <c r="G632" s="21" t="inlineStr">
        <is>
          <t>Продольные средние верх/низ 2Ø18 (сеч.4-4/5-5)</t>
        </is>
      </c>
      <c r="H632" s="51" t="n">
        <v>18</v>
      </c>
      <c r="I632" s="72" t="inlineStr">
        <is>
          <t>А500С</t>
        </is>
      </c>
      <c r="J632" s="72" t="inlineStr">
        <is>
          <t>—</t>
        </is>
      </c>
      <c r="K632" s="75" t="n">
        <v>1</v>
      </c>
      <c r="L632" s="51" t="n">
        <v>2</v>
      </c>
      <c r="M632" s="69" t="n">
        <v>20.5</v>
      </c>
      <c r="N632" s="70">
        <f>K632*L632*M632</f>
        <v/>
      </c>
      <c r="O632" s="37">
        <f>IFERROR(INDEX(Исходные!$B$19:$B$31,MATCH(H632,Исходные!$A$19:$A$31,0)),0)</f>
        <v/>
      </c>
      <c r="P632" s="76">
        <f>N632*O632</f>
        <v/>
      </c>
      <c r="Q632" s="21" t="inlineStr">
        <is>
          <t>АС-28 сеч.4-4/5-5 поз.6</t>
        </is>
      </c>
      <c r="R632" s="77" t="inlineStr">
        <is>
          <t>по геометрии чертежа</t>
        </is>
      </c>
      <c r="S632" s="21" t="inlineStr"/>
      <c r="T632" s="21" t="inlineStr">
        <is>
          <t>Ригели, балки, плита, С-1</t>
        </is>
      </c>
      <c r="U632" s="49" t="n">
        <v>0</v>
      </c>
      <c r="V632" s="72" t="inlineStr">
        <is>
          <t>Р-2</t>
        </is>
      </c>
      <c r="W632" s="49" t="n">
        <v>2</v>
      </c>
    </row>
    <row r="633">
      <c r="A633" s="72" t="n">
        <v>617</v>
      </c>
      <c r="B633" s="21" t="inlineStr">
        <is>
          <t>2 этаж (отм. +3.950…+7.550)</t>
        </is>
      </c>
      <c r="C633" s="21" t="inlineStr">
        <is>
          <t>Ригели</t>
        </is>
      </c>
      <c r="D633" s="21" t="inlineStr">
        <is>
          <t>ось 2 (отм. +7.550)</t>
        </is>
      </c>
      <c r="E633" s="21" t="inlineStr">
        <is>
          <t>Р-2</t>
        </is>
      </c>
      <c r="F633" s="72" t="inlineStr">
        <is>
          <t>6-нахл</t>
        </is>
      </c>
      <c r="G633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633" s="51" t="n">
        <v>18</v>
      </c>
      <c r="I633" s="72" t="inlineStr">
        <is>
          <t>А500С</t>
        </is>
      </c>
      <c r="J633" s="72" t="inlineStr">
        <is>
          <t>—</t>
        </is>
      </c>
      <c r="K633" s="75" t="n">
        <v>2</v>
      </c>
      <c r="L633" s="51" t="n">
        <v>1</v>
      </c>
      <c r="M633" s="69" t="n">
        <v>0.144</v>
      </c>
      <c r="N633" s="70">
        <f>K633*L633*M633</f>
        <v/>
      </c>
      <c r="O633" s="37">
        <f>IFERROR(INDEX(Исходные!$B$19:$B$31,MATCH(H633,Исходные!$A$19:$A$31,0)),0)</f>
        <v/>
      </c>
      <c r="P633" s="76">
        <f>N633*O633</f>
        <v/>
      </c>
      <c r="Q633" s="21" t="inlineStr">
        <is>
          <t>АС-19 прим.1: Ø18 и менее — внахлёстку электродуговой сваркой, Lшва=8d = 144 мм</t>
        </is>
      </c>
      <c r="R633" s="77" t="inlineStr">
        <is>
          <t>по проекту (стыковка прутков 11,7 м)</t>
        </is>
      </c>
      <c r="S633" s="21" t="inlineStr">
        <is>
          <t>Чистая длина 20.500 м; кусков 2; стыков 1; Lнахл=1×0.144=0.144 м на стержень</t>
        </is>
      </c>
      <c r="T633" s="21" t="inlineStr">
        <is>
          <t>Ригели, балки, плита, С-1</t>
        </is>
      </c>
      <c r="U633" s="49" t="n">
        <v>0</v>
      </c>
      <c r="V633" s="72" t="inlineStr">
        <is>
          <t>Р-2</t>
        </is>
      </c>
      <c r="W633" s="49" t="n">
        <v>2</v>
      </c>
    </row>
    <row r="634">
      <c r="A634" s="72" t="n">
        <v>618</v>
      </c>
      <c r="B634" s="21" t="inlineStr">
        <is>
          <t>2 этаж (отм. +3.950…+7.550)</t>
        </is>
      </c>
      <c r="C634" s="21" t="inlineStr">
        <is>
          <t>Ригели</t>
        </is>
      </c>
      <c r="D634" s="21" t="inlineStr">
        <is>
          <t>ось 2 (отм. +7.550)</t>
        </is>
      </c>
      <c r="E634" s="21" t="inlineStr">
        <is>
          <t>Р-2</t>
        </is>
      </c>
      <c r="F634" s="72" t="inlineStr">
        <is>
          <t>7</t>
        </is>
      </c>
      <c r="G634" s="21" t="inlineStr">
        <is>
          <t>Боковые стержни 2Ø16 (сеч.4-4/5-5)</t>
        </is>
      </c>
      <c r="H634" s="51" t="n">
        <v>16</v>
      </c>
      <c r="I634" s="72" t="inlineStr">
        <is>
          <t>А500С</t>
        </is>
      </c>
      <c r="J634" s="72" t="inlineStr">
        <is>
          <t>—</t>
        </is>
      </c>
      <c r="K634" s="75" t="n">
        <v>1</v>
      </c>
      <c r="L634" s="51" t="n">
        <v>2</v>
      </c>
      <c r="M634" s="69" t="n">
        <v>20.5</v>
      </c>
      <c r="N634" s="70">
        <f>K634*L634*M634</f>
        <v/>
      </c>
      <c r="O634" s="37">
        <f>IFERROR(INDEX(Исходные!$B$19:$B$31,MATCH(H634,Исходные!$A$19:$A$31,0)),0)</f>
        <v/>
      </c>
      <c r="P634" s="76">
        <f>N634*O634</f>
        <v/>
      </c>
      <c r="Q634" s="21" t="inlineStr">
        <is>
          <t>АС-28 сеч.4-4/5-5 «Боковые стержни 2Ø16»</t>
        </is>
      </c>
      <c r="R634" s="77" t="inlineStr">
        <is>
          <t>по геометрии чертежа</t>
        </is>
      </c>
      <c r="S634" s="21" t="inlineStr"/>
      <c r="T634" s="21" t="inlineStr">
        <is>
          <t>Ригели, балки, плита, С-1</t>
        </is>
      </c>
      <c r="U634" s="49" t="n">
        <v>0</v>
      </c>
      <c r="V634" s="72" t="inlineStr">
        <is>
          <t>Р-2</t>
        </is>
      </c>
      <c r="W634" s="49" t="n">
        <v>2</v>
      </c>
    </row>
    <row r="635">
      <c r="A635" s="72" t="n">
        <v>619</v>
      </c>
      <c r="B635" s="21" t="inlineStr">
        <is>
          <t>2 этаж (отм. +3.950…+7.550)</t>
        </is>
      </c>
      <c r="C635" s="21" t="inlineStr">
        <is>
          <t>Ригели</t>
        </is>
      </c>
      <c r="D635" s="21" t="inlineStr">
        <is>
          <t>ось 2 (отм. +7.550)</t>
        </is>
      </c>
      <c r="E635" s="21" t="inlineStr">
        <is>
          <t>Р-2</t>
        </is>
      </c>
      <c r="F635" s="72" t="inlineStr">
        <is>
          <t>7-нахл</t>
        </is>
      </c>
      <c r="G635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635" s="51" t="n">
        <v>16</v>
      </c>
      <c r="I635" s="72" t="inlineStr">
        <is>
          <t>А500С</t>
        </is>
      </c>
      <c r="J635" s="72" t="inlineStr">
        <is>
          <t>—</t>
        </is>
      </c>
      <c r="K635" s="75" t="n">
        <v>2</v>
      </c>
      <c r="L635" s="51" t="n">
        <v>1</v>
      </c>
      <c r="M635" s="69" t="n">
        <v>0.128</v>
      </c>
      <c r="N635" s="70">
        <f>K635*L635*M635</f>
        <v/>
      </c>
      <c r="O635" s="37">
        <f>IFERROR(INDEX(Исходные!$B$19:$B$31,MATCH(H635,Исходные!$A$19:$A$31,0)),0)</f>
        <v/>
      </c>
      <c r="P635" s="76">
        <f>N635*O635</f>
        <v/>
      </c>
      <c r="Q635" s="21" t="inlineStr">
        <is>
          <t>АС-19 прим.1: Ø18 и менее — внахлёстку электродуговой сваркой, Lшва=8d = 128 мм</t>
        </is>
      </c>
      <c r="R635" s="77" t="inlineStr">
        <is>
          <t>по проекту (стыковка прутков 11,7 м)</t>
        </is>
      </c>
      <c r="S635" s="21" t="inlineStr">
        <is>
          <t>Чистая длина 20.500 м; кусков 2; стыков 1; Lнахл=1×0.128=0.128 м на стержень</t>
        </is>
      </c>
      <c r="T635" s="21" t="inlineStr">
        <is>
          <t>Ригели, балки, плита, С-1</t>
        </is>
      </c>
      <c r="U635" s="49" t="n">
        <v>0</v>
      </c>
      <c r="V635" s="72" t="inlineStr">
        <is>
          <t>Р-2</t>
        </is>
      </c>
      <c r="W635" s="49" t="n">
        <v>2</v>
      </c>
    </row>
    <row r="636">
      <c r="A636" s="72" t="n">
        <v>620</v>
      </c>
      <c r="B636" s="21" t="inlineStr">
        <is>
          <t>2 этаж (отм. +3.950…+7.550)</t>
        </is>
      </c>
      <c r="C636" s="21" t="inlineStr">
        <is>
          <t>Ригели</t>
        </is>
      </c>
      <c r="D636" s="21" t="inlineStr">
        <is>
          <t>ось 2 (отм. +7.550)</t>
        </is>
      </c>
      <c r="E636" s="21" t="inlineStr">
        <is>
          <t>Р-2</t>
        </is>
      </c>
      <c r="F636" s="72" t="inlineStr">
        <is>
          <t>ОС</t>
        </is>
      </c>
      <c r="G636" s="21" t="inlineStr">
        <is>
          <t>ОС верх: 2Ø32, участок 1000…8500 мм</t>
        </is>
      </c>
      <c r="H636" s="51" t="n">
        <v>32</v>
      </c>
      <c r="I636" s="72" t="inlineStr">
        <is>
          <t>А500С</t>
        </is>
      </c>
      <c r="J636" s="72" t="inlineStr">
        <is>
          <t>—</t>
        </is>
      </c>
      <c r="K636" s="75" t="n">
        <v>1</v>
      </c>
      <c r="L636" s="51" t="n">
        <v>2</v>
      </c>
      <c r="M636" s="69" t="n">
        <v>7.5</v>
      </c>
      <c r="N636" s="70">
        <f>K636*L636*M636</f>
        <v/>
      </c>
      <c r="O636" s="37">
        <f>IFERROR(INDEX(Исходные!$B$19:$B$31,MATCH(H636,Исходные!$A$19:$A$31,0)),0)</f>
        <v/>
      </c>
      <c r="P636" s="76">
        <f>N636*O636</f>
        <v/>
      </c>
      <c r="Q636" s="21" t="inlineStr">
        <is>
          <t>АС-25 (отм. 7.550): выноска «ОС 2Ø32 А500С»; длина по привязкам отдельных стержней</t>
        </is>
      </c>
      <c r="R636" s="77" t="inlineStr">
        <is>
          <t>по геометрии чертежа</t>
        </is>
      </c>
      <c r="S636" s="21" t="inlineStr">
        <is>
          <t>Координаты от оси А: 1000…8500 мм</t>
        </is>
      </c>
      <c r="T636" s="21" t="inlineStr">
        <is>
          <t>Ригели, балки, плита, С-1</t>
        </is>
      </c>
      <c r="U636" s="49" t="n">
        <v>0</v>
      </c>
      <c r="V636" s="72" t="inlineStr">
        <is>
          <t>Р-2</t>
        </is>
      </c>
      <c r="W636" s="49" t="n">
        <v>2</v>
      </c>
    </row>
    <row r="637">
      <c r="A637" s="72" t="n">
        <v>621</v>
      </c>
      <c r="B637" s="21" t="inlineStr">
        <is>
          <t>2 этаж (отм. +3.950…+7.550)</t>
        </is>
      </c>
      <c r="C637" s="21" t="inlineStr">
        <is>
          <t>Ригели</t>
        </is>
      </c>
      <c r="D637" s="21" t="inlineStr">
        <is>
          <t>ось 2 (отм. +7.550)</t>
        </is>
      </c>
      <c r="E637" s="21" t="inlineStr">
        <is>
          <t>Р-2</t>
        </is>
      </c>
      <c r="F637" s="72" t="inlineStr">
        <is>
          <t>ОС</t>
        </is>
      </c>
      <c r="G637" s="21" t="inlineStr">
        <is>
          <t>ОС верх: 2Ø32, участок 11500…15100 мм</t>
        </is>
      </c>
      <c r="H637" s="51" t="n">
        <v>32</v>
      </c>
      <c r="I637" s="72" t="inlineStr">
        <is>
          <t>А500С</t>
        </is>
      </c>
      <c r="J637" s="72" t="inlineStr">
        <is>
          <t>—</t>
        </is>
      </c>
      <c r="K637" s="75" t="n">
        <v>1</v>
      </c>
      <c r="L637" s="51" t="n">
        <v>2</v>
      </c>
      <c r="M637" s="69" t="n">
        <v>3.6</v>
      </c>
      <c r="N637" s="70">
        <f>K637*L637*M637</f>
        <v/>
      </c>
      <c r="O637" s="37">
        <f>IFERROR(INDEX(Исходные!$B$19:$B$31,MATCH(H637,Исходные!$A$19:$A$31,0)),0)</f>
        <v/>
      </c>
      <c r="P637" s="76">
        <f>N637*O637</f>
        <v/>
      </c>
      <c r="Q637" s="21" t="inlineStr">
        <is>
          <t>АС-25 (отм. 7.550): выноска «ОС 2Ø32 А500С»; длина по привязкам отдельных стержней</t>
        </is>
      </c>
      <c r="R637" s="77" t="inlineStr">
        <is>
          <t>по геометрии чертежа</t>
        </is>
      </c>
      <c r="S637" s="21" t="inlineStr">
        <is>
          <t>Координаты от оси А: 11500…15100 мм</t>
        </is>
      </c>
      <c r="T637" s="21" t="inlineStr">
        <is>
          <t>Ригели, балки, плита, С-1</t>
        </is>
      </c>
      <c r="U637" s="49" t="n">
        <v>0</v>
      </c>
      <c r="V637" s="72" t="inlineStr">
        <is>
          <t>Р-2</t>
        </is>
      </c>
      <c r="W637" s="49" t="n">
        <v>2</v>
      </c>
    </row>
    <row r="638">
      <c r="A638" s="72" t="n">
        <v>622</v>
      </c>
      <c r="B638" s="21" t="inlineStr">
        <is>
          <t>2 этаж (отм. +3.950…+7.550)</t>
        </is>
      </c>
      <c r="C638" s="21" t="inlineStr">
        <is>
          <t>Ригели</t>
        </is>
      </c>
      <c r="D638" s="21" t="inlineStr">
        <is>
          <t>ось 2 (отм. +7.550)</t>
        </is>
      </c>
      <c r="E638" s="21" t="inlineStr">
        <is>
          <t>Р-2</t>
        </is>
      </c>
      <c r="F638" s="72" t="inlineStr">
        <is>
          <t>ОС</t>
        </is>
      </c>
      <c r="G638" s="21" t="inlineStr">
        <is>
          <t>ОС верх: 2Ø32, участок 17400…20000 мм + 250 до торца</t>
        </is>
      </c>
      <c r="H638" s="51" t="n">
        <v>32</v>
      </c>
      <c r="I638" s="72" t="inlineStr">
        <is>
          <t>А500С</t>
        </is>
      </c>
      <c r="J638" s="72" t="inlineStr">
        <is>
          <t>—</t>
        </is>
      </c>
      <c r="K638" s="75" t="n">
        <v>1</v>
      </c>
      <c r="L638" s="51" t="n">
        <v>2</v>
      </c>
      <c r="M638" s="69" t="n">
        <v>2.85</v>
      </c>
      <c r="N638" s="70">
        <f>K638*L638*M638</f>
        <v/>
      </c>
      <c r="O638" s="37">
        <f>IFERROR(INDEX(Исходные!$B$19:$B$31,MATCH(H638,Исходные!$A$19:$A$31,0)),0)</f>
        <v/>
      </c>
      <c r="P638" s="76">
        <f>N638*O638</f>
        <v/>
      </c>
      <c r="Q638" s="21" t="inlineStr">
        <is>
          <t>АС-25 (отм. 7.550): выноска «ОС 2Ø32 А500С»; длина по привязкам отдельных стержней</t>
        </is>
      </c>
      <c r="R638" s="77" t="inlineStr">
        <is>
          <t>по геометрии чертежа</t>
        </is>
      </c>
      <c r="S638" s="21" t="inlineStr">
        <is>
          <t>Координаты от оси А: 17400…20000 мм; конец до торца крайней колонны (+250)</t>
        </is>
      </c>
      <c r="T638" s="21" t="inlineStr">
        <is>
          <t>Ригели, балки, плита, С-1</t>
        </is>
      </c>
      <c r="U638" s="49" t="n">
        <v>0</v>
      </c>
      <c r="V638" s="72" t="inlineStr">
        <is>
          <t>Р-2</t>
        </is>
      </c>
      <c r="W638" s="49" t="n">
        <v>2</v>
      </c>
    </row>
    <row r="639">
      <c r="A639" s="72" t="n">
        <v>623</v>
      </c>
      <c r="B639" s="21" t="inlineStr">
        <is>
          <t>2 этаж (отм. +3.950…+7.550)</t>
        </is>
      </c>
      <c r="C639" s="21" t="inlineStr">
        <is>
          <t>Ригели</t>
        </is>
      </c>
      <c r="D639" s="21" t="inlineStr">
        <is>
          <t>ось 2 (отм. +7.550)</t>
        </is>
      </c>
      <c r="E639" s="21" t="inlineStr">
        <is>
          <t>Р-2</t>
        </is>
      </c>
      <c r="F639" s="72" t="inlineStr">
        <is>
          <t>ОС</t>
        </is>
      </c>
      <c r="G639" s="21" t="inlineStr">
        <is>
          <t>ОС верх 2-й ряд: 1Ø22, участок 1000…3400 мм</t>
        </is>
      </c>
      <c r="H639" s="51" t="n">
        <v>22</v>
      </c>
      <c r="I639" s="72" t="inlineStr">
        <is>
          <t>А500С</t>
        </is>
      </c>
      <c r="J639" s="72" t="inlineStr">
        <is>
          <t>—</t>
        </is>
      </c>
      <c r="K639" s="75" t="n">
        <v>1</v>
      </c>
      <c r="L639" s="51" t="n">
        <v>1</v>
      </c>
      <c r="M639" s="69" t="n">
        <v>2.4</v>
      </c>
      <c r="N639" s="70">
        <f>K639*L639*M639</f>
        <v/>
      </c>
      <c r="O639" s="37">
        <f>IFERROR(INDEX(Исходные!$B$19:$B$31,MATCH(H639,Исходные!$A$19:$A$31,0)),0)</f>
        <v/>
      </c>
      <c r="P639" s="76">
        <f>N639*O639</f>
        <v/>
      </c>
      <c r="Q639" s="21" t="inlineStr">
        <is>
          <t>АС-25 (отм. 7.550): выноска «ОС 1Ø22 А500С»; длина по привязкам отдельных стержней</t>
        </is>
      </c>
      <c r="R639" s="77" t="inlineStr">
        <is>
          <t>по геометрии чертежа</t>
        </is>
      </c>
      <c r="S639" s="21" t="inlineStr">
        <is>
          <t>Координаты от оси А: 1000…3400 мм</t>
        </is>
      </c>
      <c r="T639" s="21" t="inlineStr">
        <is>
          <t>Ригели, балки, плита, С-1</t>
        </is>
      </c>
      <c r="U639" s="49" t="n">
        <v>0</v>
      </c>
      <c r="V639" s="72" t="inlineStr">
        <is>
          <t>Р-2</t>
        </is>
      </c>
      <c r="W639" s="49" t="n">
        <v>2</v>
      </c>
    </row>
    <row r="640">
      <c r="A640" s="72" t="n">
        <v>624</v>
      </c>
      <c r="B640" s="21" t="inlineStr">
        <is>
          <t>2 этаж (отм. +3.950…+7.550)</t>
        </is>
      </c>
      <c r="C640" s="21" t="inlineStr">
        <is>
          <t>Ригели</t>
        </is>
      </c>
      <c r="D640" s="21" t="inlineStr">
        <is>
          <t>ось 2 (отм. +7.550)</t>
        </is>
      </c>
      <c r="E640" s="21" t="inlineStr">
        <is>
          <t>Р-2</t>
        </is>
      </c>
      <c r="F640" s="72" t="inlineStr">
        <is>
          <t>ОС</t>
        </is>
      </c>
      <c r="G640" s="21" t="inlineStr">
        <is>
          <t>ОС верх 2-й ряд: 2Ø14, участок 8000…12000 мм</t>
        </is>
      </c>
      <c r="H640" s="51" t="n">
        <v>14</v>
      </c>
      <c r="I640" s="72" t="inlineStr">
        <is>
          <t>А500С</t>
        </is>
      </c>
      <c r="J640" s="72" t="inlineStr">
        <is>
          <t>—</t>
        </is>
      </c>
      <c r="K640" s="75" t="n">
        <v>1</v>
      </c>
      <c r="L640" s="51" t="n">
        <v>2</v>
      </c>
      <c r="M640" s="69" t="n">
        <v>4</v>
      </c>
      <c r="N640" s="70">
        <f>K640*L640*M640</f>
        <v/>
      </c>
      <c r="O640" s="37">
        <f>IFERROR(INDEX(Исходные!$B$19:$B$31,MATCH(H640,Исходные!$A$19:$A$31,0)),0)</f>
        <v/>
      </c>
      <c r="P640" s="76">
        <f>N640*O640</f>
        <v/>
      </c>
      <c r="Q640" s="21" t="inlineStr">
        <is>
          <t>АС-25 (отм. 7.550): выноска «ОС 2Ø14 А500С»; длина по привязкам отдельных стержней</t>
        </is>
      </c>
      <c r="R640" s="77" t="inlineStr">
        <is>
          <t>по геометрии чертежа</t>
        </is>
      </c>
      <c r="S640" s="21" t="inlineStr">
        <is>
          <t>Координаты от оси А: 8000…12000 мм</t>
        </is>
      </c>
      <c r="T640" s="21" t="inlineStr">
        <is>
          <t>Ригели, балки, плита, С-1</t>
        </is>
      </c>
      <c r="U640" s="49" t="n">
        <v>0</v>
      </c>
      <c r="V640" s="72" t="inlineStr">
        <is>
          <t>Р-2</t>
        </is>
      </c>
      <c r="W640" s="49" t="n">
        <v>2</v>
      </c>
    </row>
    <row r="641">
      <c r="A641" s="72" t="n">
        <v>625</v>
      </c>
      <c r="B641" s="21" t="inlineStr">
        <is>
          <t>2 этаж (отм. +3.950…+7.550)</t>
        </is>
      </c>
      <c r="C641" s="21" t="inlineStr">
        <is>
          <t>Ригели</t>
        </is>
      </c>
      <c r="D641" s="21" t="inlineStr">
        <is>
          <t>ось 2 (отм. +7.550)</t>
        </is>
      </c>
      <c r="E641" s="21" t="inlineStr">
        <is>
          <t>Р-2</t>
        </is>
      </c>
      <c r="F641" s="72" t="inlineStr">
        <is>
          <t>ОС</t>
        </is>
      </c>
      <c r="G641" s="21" t="inlineStr">
        <is>
          <t>ОС низ: 2Ø28, участок 1000…11500 мм</t>
        </is>
      </c>
      <c r="H641" s="51" t="n">
        <v>28</v>
      </c>
      <c r="I641" s="72" t="inlineStr">
        <is>
          <t>А500С</t>
        </is>
      </c>
      <c r="J641" s="72" t="inlineStr">
        <is>
          <t>—</t>
        </is>
      </c>
      <c r="K641" s="75" t="n">
        <v>1</v>
      </c>
      <c r="L641" s="51" t="n">
        <v>2</v>
      </c>
      <c r="M641" s="69" t="n">
        <v>10.5</v>
      </c>
      <c r="N641" s="70">
        <f>K641*L641*M641</f>
        <v/>
      </c>
      <c r="O641" s="37">
        <f>IFERROR(INDEX(Исходные!$B$19:$B$31,MATCH(H641,Исходные!$A$19:$A$31,0)),0)</f>
        <v/>
      </c>
      <c r="P641" s="76">
        <f>N641*O641</f>
        <v/>
      </c>
      <c r="Q641" s="21" t="inlineStr">
        <is>
          <t>АС-25 (отм. 7.550): выноска «ОС 2Ø28 А500С»; длина по привязкам отдельных стержней</t>
        </is>
      </c>
      <c r="R641" s="77" t="inlineStr">
        <is>
          <t>по геометрии чертежа</t>
        </is>
      </c>
      <c r="S641" s="21" t="inlineStr">
        <is>
          <t>Координаты от оси А: 1000…11500 мм</t>
        </is>
      </c>
      <c r="T641" s="21" t="inlineStr">
        <is>
          <t>Ригели, балки, плита, С-1</t>
        </is>
      </c>
      <c r="U641" s="49" t="n">
        <v>0</v>
      </c>
      <c r="V641" s="72" t="inlineStr">
        <is>
          <t>Р-2</t>
        </is>
      </c>
      <c r="W641" s="49" t="n">
        <v>2</v>
      </c>
    </row>
    <row r="642">
      <c r="A642" s="72" t="n">
        <v>626</v>
      </c>
      <c r="B642" s="21" t="inlineStr">
        <is>
          <t>2 этаж (отм. +3.950…+7.550)</t>
        </is>
      </c>
      <c r="C642" s="21" t="inlineStr">
        <is>
          <t>Ригели</t>
        </is>
      </c>
      <c r="D642" s="21" t="inlineStr">
        <is>
          <t>ось 2 (отм. +7.550)</t>
        </is>
      </c>
      <c r="E642" s="21" t="inlineStr">
        <is>
          <t>Р-2</t>
        </is>
      </c>
      <c r="F642" s="72" t="inlineStr">
        <is>
          <t>ОС</t>
        </is>
      </c>
      <c r="G642" s="21" t="inlineStr">
        <is>
          <t>ОС низ: 2Ø20, участок 12800…15100 мм</t>
        </is>
      </c>
      <c r="H642" s="51" t="n">
        <v>20</v>
      </c>
      <c r="I642" s="72" t="inlineStr">
        <is>
          <t>А500С</t>
        </is>
      </c>
      <c r="J642" s="72" t="inlineStr">
        <is>
          <t>—</t>
        </is>
      </c>
      <c r="K642" s="75" t="n">
        <v>1</v>
      </c>
      <c r="L642" s="51" t="n">
        <v>2</v>
      </c>
      <c r="M642" s="69" t="n">
        <v>2.3</v>
      </c>
      <c r="N642" s="70">
        <f>K642*L642*M642</f>
        <v/>
      </c>
      <c r="O642" s="37">
        <f>IFERROR(INDEX(Исходные!$B$19:$B$31,MATCH(H642,Исходные!$A$19:$A$31,0)),0)</f>
        <v/>
      </c>
      <c r="P642" s="76">
        <f>N642*O642</f>
        <v/>
      </c>
      <c r="Q642" s="21" t="inlineStr">
        <is>
          <t>АС-25 (отм. 7.550): выноска «ОС 2Ø20 А500С»; длина по привязкам отдельных стержней</t>
        </is>
      </c>
      <c r="R642" s="77" t="inlineStr">
        <is>
          <t>по геометрии чертежа</t>
        </is>
      </c>
      <c r="S642" s="21" t="inlineStr">
        <is>
          <t>Координаты от оси А: 12800…15100 мм</t>
        </is>
      </c>
      <c r="T642" s="21" t="inlineStr">
        <is>
          <t>Ригели, балки, плита, С-1</t>
        </is>
      </c>
      <c r="U642" s="49" t="n">
        <v>0</v>
      </c>
      <c r="V642" s="72" t="inlineStr">
        <is>
          <t>Р-2</t>
        </is>
      </c>
      <c r="W642" s="49" t="n">
        <v>2</v>
      </c>
    </row>
    <row r="643">
      <c r="A643" s="72" t="n">
        <v>627</v>
      </c>
      <c r="B643" s="21" t="inlineStr">
        <is>
          <t>2 этаж (отм. +3.950…+7.550)</t>
        </is>
      </c>
      <c r="C643" s="21" t="inlineStr">
        <is>
          <t>Ригели</t>
        </is>
      </c>
      <c r="D643" s="21" t="inlineStr">
        <is>
          <t>ось 2 (отм. +7.550)</t>
        </is>
      </c>
      <c r="E643" s="21" t="inlineStr">
        <is>
          <t>Р-2</t>
        </is>
      </c>
      <c r="F643" s="72" t="inlineStr">
        <is>
          <t>ОС</t>
        </is>
      </c>
      <c r="G643" s="21" t="inlineStr">
        <is>
          <t>ОС низ: 2Ø20, участок 17400…20000 мм + 250 до торца</t>
        </is>
      </c>
      <c r="H643" s="51" t="n">
        <v>20</v>
      </c>
      <c r="I643" s="72" t="inlineStr">
        <is>
          <t>А500С</t>
        </is>
      </c>
      <c r="J643" s="72" t="inlineStr">
        <is>
          <t>—</t>
        </is>
      </c>
      <c r="K643" s="75" t="n">
        <v>1</v>
      </c>
      <c r="L643" s="51" t="n">
        <v>2</v>
      </c>
      <c r="M643" s="69" t="n">
        <v>2.85</v>
      </c>
      <c r="N643" s="70">
        <f>K643*L643*M643</f>
        <v/>
      </c>
      <c r="O643" s="37">
        <f>IFERROR(INDEX(Исходные!$B$19:$B$31,MATCH(H643,Исходные!$A$19:$A$31,0)),0)</f>
        <v/>
      </c>
      <c r="P643" s="76">
        <f>N643*O643</f>
        <v/>
      </c>
      <c r="Q643" s="21" t="inlineStr">
        <is>
          <t>АС-25 (отм. 7.550): выноска «ОС 2Ø20 А500С»; длина по привязкам отдельных стержней</t>
        </is>
      </c>
      <c r="R643" s="77" t="inlineStr">
        <is>
          <t>по геометрии чертежа</t>
        </is>
      </c>
      <c r="S643" s="21" t="inlineStr">
        <is>
          <t>Координаты от оси А: 17400…20000 мм; конец до торца крайней колонны (+250)</t>
        </is>
      </c>
      <c r="T643" s="21" t="inlineStr">
        <is>
          <t>Ригели, балки, плита, С-1</t>
        </is>
      </c>
      <c r="U643" s="49" t="n">
        <v>0</v>
      </c>
      <c r="V643" s="72" t="inlineStr">
        <is>
          <t>Р-2</t>
        </is>
      </c>
      <c r="W643" s="49" t="n">
        <v>2</v>
      </c>
    </row>
    <row r="644">
      <c r="A644" s="72" t="n">
        <v>628</v>
      </c>
      <c r="B644" s="21" t="inlineStr">
        <is>
          <t>2 этаж (отм. +3.950…+7.550)</t>
        </is>
      </c>
      <c r="C644" s="21" t="inlineStr">
        <is>
          <t>Ригели</t>
        </is>
      </c>
      <c r="D644" s="21" t="inlineStr">
        <is>
          <t>ось 2 (отм. +7.550)</t>
        </is>
      </c>
      <c r="E644" s="21" t="inlineStr">
        <is>
          <t>Р-2</t>
        </is>
      </c>
      <c r="F644" s="72" t="inlineStr">
        <is>
          <t>ОС</t>
        </is>
      </c>
      <c r="G644" s="21" t="inlineStr">
        <is>
          <t>ОС низ 2-й ряд: 2Ø14, участок 11500…14200 мм</t>
        </is>
      </c>
      <c r="H644" s="51" t="n">
        <v>14</v>
      </c>
      <c r="I644" s="72" t="inlineStr">
        <is>
          <t>А500С</t>
        </is>
      </c>
      <c r="J644" s="72" t="inlineStr">
        <is>
          <t>—</t>
        </is>
      </c>
      <c r="K644" s="75" t="n">
        <v>1</v>
      </c>
      <c r="L644" s="51" t="n">
        <v>2</v>
      </c>
      <c r="M644" s="69" t="n">
        <v>2.7</v>
      </c>
      <c r="N644" s="70">
        <f>K644*L644*M644</f>
        <v/>
      </c>
      <c r="O644" s="37">
        <f>IFERROR(INDEX(Исходные!$B$19:$B$31,MATCH(H644,Исходные!$A$19:$A$31,0)),0)</f>
        <v/>
      </c>
      <c r="P644" s="76">
        <f>N644*O644</f>
        <v/>
      </c>
      <c r="Q644" s="21" t="inlineStr">
        <is>
          <t>АС-25 (отм. 7.550): выноска «ОС 2Ø14 А500С»; длина по привязкам отдельных стержней</t>
        </is>
      </c>
      <c r="R644" s="77" t="inlineStr">
        <is>
          <t>по геометрии чертежа</t>
        </is>
      </c>
      <c r="S644" s="21" t="inlineStr">
        <is>
          <t>Координаты от оси А: 11500…14200 мм</t>
        </is>
      </c>
      <c r="T644" s="21" t="inlineStr">
        <is>
          <t>Ригели, балки, плита, С-1</t>
        </is>
      </c>
      <c r="U644" s="49" t="n">
        <v>0</v>
      </c>
      <c r="V644" s="72" t="inlineStr">
        <is>
          <t>Р-2</t>
        </is>
      </c>
      <c r="W644" s="49" t="n">
        <v>2</v>
      </c>
    </row>
    <row r="645">
      <c r="A645" s="72" t="n">
        <v>629</v>
      </c>
      <c r="B645" s="21" t="inlineStr">
        <is>
          <t>2 этаж (отм. +3.950…+7.550)</t>
        </is>
      </c>
      <c r="C645" s="21" t="inlineStr">
        <is>
          <t>Ригели</t>
        </is>
      </c>
      <c r="D645" s="21" t="inlineStr">
        <is>
          <t>ось 2 (отм. +7.550)</t>
        </is>
      </c>
      <c r="E645" s="21" t="inlineStr">
        <is>
          <t>Р-2</t>
        </is>
      </c>
      <c r="F645" s="72" t="inlineStr">
        <is>
          <t>ОС</t>
        </is>
      </c>
      <c r="G645" s="21" t="inlineStr">
        <is>
          <t>Ос (бок) бок: 2Ø14, участок 1000…3400 мм</t>
        </is>
      </c>
      <c r="H645" s="51" t="n">
        <v>14</v>
      </c>
      <c r="I645" s="72" t="inlineStr">
        <is>
          <t>А500С</t>
        </is>
      </c>
      <c r="J645" s="72" t="inlineStr">
        <is>
          <t>—</t>
        </is>
      </c>
      <c r="K645" s="75" t="n">
        <v>1</v>
      </c>
      <c r="L645" s="51" t="n">
        <v>2</v>
      </c>
      <c r="M645" s="69" t="n">
        <v>2.4</v>
      </c>
      <c r="N645" s="70">
        <f>K645*L645*M645</f>
        <v/>
      </c>
      <c r="O645" s="37">
        <f>IFERROR(INDEX(Исходные!$B$19:$B$31,MATCH(H645,Исходные!$A$19:$A$31,0)),0)</f>
        <v/>
      </c>
      <c r="P645" s="76">
        <f>N645*O645</f>
        <v/>
      </c>
      <c r="Q645" s="21" t="inlineStr">
        <is>
          <t>АС-25 (отм. 7.550): выноска «Ос (бок) 2Ø14 А500С»; длина по привязкам отдельных стержней</t>
        </is>
      </c>
      <c r="R645" s="77" t="inlineStr">
        <is>
          <t>по геометрии чертежа</t>
        </is>
      </c>
      <c r="S645" s="21" t="inlineStr">
        <is>
          <t>Координаты от оси А: 1000…3400 мм</t>
        </is>
      </c>
      <c r="T645" s="21" t="inlineStr">
        <is>
          <t>Ригели, балки, плита, С-1</t>
        </is>
      </c>
      <c r="U645" s="49" t="n">
        <v>0</v>
      </c>
      <c r="V645" s="72" t="inlineStr">
        <is>
          <t>Р-2</t>
        </is>
      </c>
      <c r="W645" s="49" t="n">
        <v>2</v>
      </c>
    </row>
    <row r="646">
      <c r="A646" s="72" t="n">
        <v>630</v>
      </c>
      <c r="B646" s="21" t="inlineStr">
        <is>
          <t>2 этаж (отм. +3.950…+7.550)</t>
        </is>
      </c>
      <c r="C646" s="21" t="inlineStr">
        <is>
          <t>Ригели</t>
        </is>
      </c>
      <c r="D646" s="21" t="inlineStr">
        <is>
          <t>ось 2 (отм. +7.550)</t>
        </is>
      </c>
      <c r="E646" s="21" t="inlineStr">
        <is>
          <t>Р-2</t>
        </is>
      </c>
      <c r="F646" s="72" t="inlineStr">
        <is>
          <t>ОС</t>
        </is>
      </c>
      <c r="G646" s="21" t="inlineStr">
        <is>
          <t>Ос (бок) бок: 4Ø14, участок 5100…14200 мм</t>
        </is>
      </c>
      <c r="H646" s="51" t="n">
        <v>14</v>
      </c>
      <c r="I646" s="72" t="inlineStr">
        <is>
          <t>А500С</t>
        </is>
      </c>
      <c r="J646" s="72" t="inlineStr">
        <is>
          <t>—</t>
        </is>
      </c>
      <c r="K646" s="75" t="n">
        <v>1</v>
      </c>
      <c r="L646" s="51" t="n">
        <v>4</v>
      </c>
      <c r="M646" s="69" t="n">
        <v>9.1</v>
      </c>
      <c r="N646" s="70">
        <f>K646*L646*M646</f>
        <v/>
      </c>
      <c r="O646" s="37">
        <f>IFERROR(INDEX(Исходные!$B$19:$B$31,MATCH(H646,Исходные!$A$19:$A$31,0)),0)</f>
        <v/>
      </c>
      <c r="P646" s="76">
        <f>N646*O646</f>
        <v/>
      </c>
      <c r="Q646" s="21" t="inlineStr">
        <is>
          <t>АС-25 (отм. 7.550): выноска «Ос (бок) 4Ø14 А500С»; длина по привязкам отдельных стержней</t>
        </is>
      </c>
      <c r="R646" s="77" t="inlineStr">
        <is>
          <t>по геометрии чертежа</t>
        </is>
      </c>
      <c r="S646" s="21" t="inlineStr">
        <is>
          <t>Координаты от оси А: 5100…14200 мм</t>
        </is>
      </c>
      <c r="T646" s="21" t="inlineStr">
        <is>
          <t>Ригели, балки, плита, С-1</t>
        </is>
      </c>
      <c r="U646" s="49" t="n">
        <v>0</v>
      </c>
      <c r="V646" s="72" t="inlineStr">
        <is>
          <t>Р-2</t>
        </is>
      </c>
      <c r="W646" s="49" t="n">
        <v>2</v>
      </c>
    </row>
    <row r="647">
      <c r="A647" s="72" t="n">
        <v>631</v>
      </c>
      <c r="B647" s="21" t="inlineStr">
        <is>
          <t>2 этаж (отм. +3.950…+7.550)</t>
        </is>
      </c>
      <c r="C647" s="21" t="inlineStr">
        <is>
          <t>Ригели</t>
        </is>
      </c>
      <c r="D647" s="21" t="inlineStr">
        <is>
          <t>ось 2 (отм. +7.550)</t>
        </is>
      </c>
      <c r="E647" s="21" t="inlineStr">
        <is>
          <t>Р-2</t>
        </is>
      </c>
      <c r="F647" s="72" t="inlineStr">
        <is>
          <t>ОС</t>
        </is>
      </c>
      <c r="G647" s="21" t="inlineStr">
        <is>
          <t>Ос (бок) бок: 2Ø14, участок 17400…20000 мм + 250 до торца</t>
        </is>
      </c>
      <c r="H647" s="51" t="n">
        <v>14</v>
      </c>
      <c r="I647" s="72" t="inlineStr">
        <is>
          <t>А500С</t>
        </is>
      </c>
      <c r="J647" s="72" t="inlineStr">
        <is>
          <t>—</t>
        </is>
      </c>
      <c r="K647" s="75" t="n">
        <v>1</v>
      </c>
      <c r="L647" s="51" t="n">
        <v>2</v>
      </c>
      <c r="M647" s="69" t="n">
        <v>2.85</v>
      </c>
      <c r="N647" s="70">
        <f>K647*L647*M647</f>
        <v/>
      </c>
      <c r="O647" s="37">
        <f>IFERROR(INDEX(Исходные!$B$19:$B$31,MATCH(H647,Исходные!$A$19:$A$31,0)),0)</f>
        <v/>
      </c>
      <c r="P647" s="76">
        <f>N647*O647</f>
        <v/>
      </c>
      <c r="Q647" s="21" t="inlineStr">
        <is>
          <t>АС-25 (отм. 7.550): выноска «Ос (бок) 2Ø14 А500С»; длина по привязкам отдельных стержней</t>
        </is>
      </c>
      <c r="R647" s="77" t="inlineStr">
        <is>
          <t>по геометрии чертежа</t>
        </is>
      </c>
      <c r="S647" s="21" t="inlineStr">
        <is>
          <t>Координаты от оси А: 17400…20000 мм; конец до торца крайней колонны (+250)</t>
        </is>
      </c>
      <c r="T647" s="21" t="inlineStr">
        <is>
          <t>Ригели, балки, плита, С-1</t>
        </is>
      </c>
      <c r="U647" s="49" t="n">
        <v>0</v>
      </c>
      <c r="V647" s="72" t="inlineStr">
        <is>
          <t>Р-2</t>
        </is>
      </c>
      <c r="W647" s="49" t="n">
        <v>2</v>
      </c>
    </row>
    <row r="648">
      <c r="A648" s="72" t="n">
        <v>632</v>
      </c>
      <c r="B648" s="21" t="inlineStr">
        <is>
          <t>2 этаж (отм. +3.950…+7.550)</t>
        </is>
      </c>
      <c r="C648" s="21" t="inlineStr">
        <is>
          <t>Ригели</t>
        </is>
      </c>
      <c r="D648" s="21" t="inlineStr">
        <is>
          <t>ось 2 (отм. +7.550)</t>
        </is>
      </c>
      <c r="E648" s="21" t="inlineStr">
        <is>
          <t>Р-2</t>
        </is>
      </c>
      <c r="F648" s="72" t="inlineStr">
        <is>
          <t>12</t>
        </is>
      </c>
      <c r="G648" s="21" t="inlineStr">
        <is>
          <t>Хомут Ø8 L=2060 ш.100 у опор, ш.150 в пролёте, 80×4 у балок — вне заштрихованных участков</t>
        </is>
      </c>
      <c r="H648" s="51" t="n">
        <v>8</v>
      </c>
      <c r="I648" s="72" t="inlineStr">
        <is>
          <t>А240</t>
        </is>
      </c>
      <c r="J648" s="72" t="inlineStr">
        <is>
          <t>100/150</t>
        </is>
      </c>
      <c r="K648" s="75" t="n">
        <v>1</v>
      </c>
      <c r="L648" s="51" t="n">
        <v>47</v>
      </c>
      <c r="M648" s="69" t="n">
        <v>2.06</v>
      </c>
      <c r="N648" s="70">
        <f>K648*L648*M648</f>
        <v/>
      </c>
      <c r="O648" s="37">
        <f>IFERROR(INDEX(Исходные!$B$19:$B$31,MATCH(H648,Исходные!$A$19:$A$31,0)),0)</f>
        <v/>
      </c>
      <c r="P648" s="76">
        <f>N648*O648</f>
        <v/>
      </c>
      <c r="Q648" s="21" t="inlineStr">
        <is>
          <t>АС-28 поз.12; АС-29 «Расстановка хомутов в ригелях»</t>
        </is>
      </c>
      <c r="R648" s="77" t="inlineStr">
        <is>
          <t>по проекту</t>
        </is>
      </c>
      <c r="S648" s="21" t="inlineStr">
        <is>
          <t>Пролёты в свету [(2000, 6200), (6800, 13200), (13800, 19000)]</t>
        </is>
      </c>
      <c r="T648" s="21" t="inlineStr">
        <is>
          <t>Ригели, балки, плита, С-1</t>
        </is>
      </c>
      <c r="U648" s="49" t="n">
        <v>0</v>
      </c>
      <c r="V648" s="72" t="inlineStr">
        <is>
          <t>Р-2</t>
        </is>
      </c>
      <c r="W648" s="49" t="n">
        <v>2</v>
      </c>
    </row>
    <row r="649">
      <c r="A649" s="72" t="n">
        <v>633</v>
      </c>
      <c r="B649" s="21" t="inlineStr">
        <is>
          <t>2 этаж (отм. +3.950…+7.550)</t>
        </is>
      </c>
      <c r="C649" s="21" t="inlineStr">
        <is>
          <t>Ригели</t>
        </is>
      </c>
      <c r="D649" s="21" t="inlineStr">
        <is>
          <t>ось 2 (отм. +7.550)</t>
        </is>
      </c>
      <c r="E649" s="21" t="inlineStr">
        <is>
          <t>Р-2</t>
        </is>
      </c>
      <c r="F649" s="72" t="inlineStr">
        <is>
          <t>13</t>
        </is>
      </c>
      <c r="G649" s="21" t="inlineStr">
        <is>
          <t>Хомут наружный Ø10 L=2060 ш.100 — заштрихованные участки</t>
        </is>
      </c>
      <c r="H649" s="51" t="n">
        <v>10</v>
      </c>
      <c r="I649" s="72" t="inlineStr">
        <is>
          <t>А240</t>
        </is>
      </c>
      <c r="J649" s="72" t="n">
        <v>100</v>
      </c>
      <c r="K649" s="75" t="n">
        <v>1</v>
      </c>
      <c r="L649" s="51" t="n">
        <v>92</v>
      </c>
      <c r="M649" s="69" t="n">
        <v>2.06</v>
      </c>
      <c r="N649" s="70">
        <f>K649*L649*M649</f>
        <v/>
      </c>
      <c r="O649" s="37">
        <f>IFERROR(INDEX(Исходные!$B$19:$B$31,MATCH(H649,Исходные!$A$19:$A$31,0)),0)</f>
        <v/>
      </c>
      <c r="P649" s="76">
        <f>N649*O649</f>
        <v/>
      </c>
      <c r="Q649" s="21" t="inlineStr">
        <is>
          <t>АС-25 штриховка у отм. 7.550; АС-28 Фрагмент №1, поз.13</t>
        </is>
      </c>
      <c r="R649" s="77" t="inlineStr">
        <is>
          <t>по проекту</t>
        </is>
      </c>
      <c r="S649" s="21" t="inlineStr">
        <is>
          <t>Участки (мм): одинарные [(16400, 17400)], двойные [(2000, 3200), (6500, 13500), (17400, 19000)]</t>
        </is>
      </c>
      <c r="T649" s="21" t="inlineStr">
        <is>
          <t>Ригели, балки, плита, С-1</t>
        </is>
      </c>
      <c r="U649" s="49" t="n">
        <v>0</v>
      </c>
      <c r="V649" s="72" t="inlineStr">
        <is>
          <t>Р-2</t>
        </is>
      </c>
      <c r="W649" s="49" t="n">
        <v>2</v>
      </c>
    </row>
    <row r="650">
      <c r="A650" s="72" t="n">
        <v>634</v>
      </c>
      <c r="B650" s="21" t="inlineStr">
        <is>
          <t>2 этаж (отм. +3.950…+7.550)</t>
        </is>
      </c>
      <c r="C650" s="21" t="inlineStr">
        <is>
          <t>Ригели</t>
        </is>
      </c>
      <c r="D650" s="21" t="inlineStr">
        <is>
          <t>ось 2 (отм. +7.550)</t>
        </is>
      </c>
      <c r="E650" s="21" t="inlineStr">
        <is>
          <t>Р-2</t>
        </is>
      </c>
      <c r="F650" s="72" t="inlineStr">
        <is>
          <t>15</t>
        </is>
      </c>
      <c r="G650" s="21" t="inlineStr">
        <is>
          <t>Хомут внутренний Ø10 L=1600 ш.100 — участки двойных хомутов</t>
        </is>
      </c>
      <c r="H650" s="51" t="n">
        <v>10</v>
      </c>
      <c r="I650" s="72" t="inlineStr">
        <is>
          <t>А240</t>
        </is>
      </c>
      <c r="J650" s="72" t="n">
        <v>100</v>
      </c>
      <c r="K650" s="75" t="n">
        <v>1</v>
      </c>
      <c r="L650" s="51" t="n">
        <v>86</v>
      </c>
      <c r="M650" s="69" t="n">
        <v>1.6</v>
      </c>
      <c r="N650" s="70">
        <f>K650*L650*M650</f>
        <v/>
      </c>
      <c r="O650" s="37">
        <f>IFERROR(INDEX(Исходные!$B$19:$B$31,MATCH(H650,Исходные!$A$19:$A$31,0)),0)</f>
        <v/>
      </c>
      <c r="P650" s="76">
        <f>N650*O650</f>
        <v/>
      </c>
      <c r="Q650" s="21" t="inlineStr">
        <is>
          <t>АС-25 двойная штриховка; АС-28 Фрагмент №1, поз.15</t>
        </is>
      </c>
      <c r="R650" s="77" t="inlineStr">
        <is>
          <t>по проекту</t>
        </is>
      </c>
      <c r="S650" s="21" t="inlineStr"/>
      <c r="T650" s="21" t="inlineStr">
        <is>
          <t>Ригели, балки, плита, С-1</t>
        </is>
      </c>
      <c r="U650" s="49" t="n">
        <v>0</v>
      </c>
      <c r="V650" s="72" t="inlineStr">
        <is>
          <t>Р-2</t>
        </is>
      </c>
      <c r="W650" s="49" t="n">
        <v>2</v>
      </c>
    </row>
    <row r="651">
      <c r="A651" s="72" t="n">
        <v>635</v>
      </c>
      <c r="B651" s="21" t="inlineStr">
        <is>
          <t>2 этаж (отм. +3.950…+7.550)</t>
        </is>
      </c>
      <c r="C651" s="21" t="inlineStr">
        <is>
          <t>Ригели</t>
        </is>
      </c>
      <c r="D651" s="21" t="inlineStr">
        <is>
          <t>ось 2 (отм. +7.550)</t>
        </is>
      </c>
      <c r="E651" s="21" t="inlineStr">
        <is>
          <t>Р-2</t>
        </is>
      </c>
      <c r="F651" s="72" t="inlineStr">
        <is>
          <t>17</t>
        </is>
      </c>
      <c r="G651" s="21" t="inlineStr">
        <is>
          <t>Шпилька вертикальная Ø8 L=750: ш.200 у опор, ш.150 в пролёте</t>
        </is>
      </c>
      <c r="H651" s="51" t="n">
        <v>8</v>
      </c>
      <c r="I651" s="72" t="inlineStr">
        <is>
          <t>А240</t>
        </is>
      </c>
      <c r="J651" s="72" t="inlineStr">
        <is>
          <t>200/150</t>
        </is>
      </c>
      <c r="K651" s="75" t="n">
        <v>1</v>
      </c>
      <c r="L651" s="51" t="n">
        <v>35</v>
      </c>
      <c r="M651" s="69" t="n">
        <v>0.75</v>
      </c>
      <c r="N651" s="70">
        <f>K651*L651*M651</f>
        <v/>
      </c>
      <c r="O651" s="37">
        <f>IFERROR(INDEX(Исходные!$B$19:$B$31,MATCH(H651,Исходные!$A$19:$A$31,0)),0)</f>
        <v/>
      </c>
      <c r="P651" s="76">
        <f>N651*O651</f>
        <v/>
      </c>
      <c r="Q651" s="21" t="inlineStr">
        <is>
          <t>АС-28 сеч.4-4/5-5 поз.17</t>
        </is>
      </c>
      <c r="R651" s="77" t="inlineStr">
        <is>
          <t>по проекту</t>
        </is>
      </c>
      <c r="S651" s="21" t="inlineStr"/>
      <c r="T651" s="21" t="inlineStr">
        <is>
          <t>Ригели, балки, плита, С-1</t>
        </is>
      </c>
      <c r="U651" s="49" t="n">
        <v>0</v>
      </c>
      <c r="V651" s="72" t="inlineStr">
        <is>
          <t>Р-2</t>
        </is>
      </c>
      <c r="W651" s="49" t="n">
        <v>2</v>
      </c>
    </row>
    <row r="652">
      <c r="A652" s="72" t="n">
        <v>636</v>
      </c>
      <c r="B652" s="21" t="inlineStr">
        <is>
          <t>2 этаж (отм. +3.950…+7.550)</t>
        </is>
      </c>
      <c r="C652" s="21" t="inlineStr">
        <is>
          <t>Ригели</t>
        </is>
      </c>
      <c r="D652" s="21" t="inlineStr">
        <is>
          <t>ось 2 (отм. +7.550)</t>
        </is>
      </c>
      <c r="E652" s="21" t="inlineStr">
        <is>
          <t>Р-2</t>
        </is>
      </c>
      <c r="F652" s="72" t="inlineStr">
        <is>
          <t>16</t>
        </is>
      </c>
      <c r="G652" s="21" t="inlineStr">
        <is>
          <t>Шпилька горизонтальная Ø8 L=580 ш.300</t>
        </is>
      </c>
      <c r="H652" s="51" t="n">
        <v>8</v>
      </c>
      <c r="I652" s="72" t="inlineStr">
        <is>
          <t>А240</t>
        </is>
      </c>
      <c r="J652" s="72" t="n">
        <v>300</v>
      </c>
      <c r="K652" s="75" t="n">
        <v>1</v>
      </c>
      <c r="L652" s="51" t="n">
        <v>54</v>
      </c>
      <c r="M652" s="69" t="n">
        <v>0.58</v>
      </c>
      <c r="N652" s="70">
        <f>K652*L652*M652</f>
        <v/>
      </c>
      <c r="O652" s="37">
        <f>IFERROR(INDEX(Исходные!$B$19:$B$31,MATCH(H652,Исходные!$A$19:$A$31,0)),0)</f>
        <v/>
      </c>
      <c r="P652" s="76">
        <f>N652*O652</f>
        <v/>
      </c>
      <c r="Q652" s="21" t="inlineStr">
        <is>
          <t>АС-28 «шп.Ø8 А240 ш.300», поз.16 L=580</t>
        </is>
      </c>
      <c r="R652" s="78" t="inlineStr">
        <is>
          <t>принято (уточнить)</t>
        </is>
      </c>
      <c r="S652" s="21" t="inlineStr"/>
      <c r="T652" s="21" t="inlineStr">
        <is>
          <t>Ригели, балки, плита, С-1</t>
        </is>
      </c>
      <c r="U652" s="49" t="n">
        <v>1</v>
      </c>
      <c r="V652" s="72" t="inlineStr">
        <is>
          <t>Р-2</t>
        </is>
      </c>
      <c r="W652" s="49" t="n">
        <v>2</v>
      </c>
    </row>
    <row r="653">
      <c r="A653" s="72" t="n">
        <v>637</v>
      </c>
      <c r="B653" s="21" t="inlineStr">
        <is>
          <t>2 этаж (отм. +3.950…+7.550)</t>
        </is>
      </c>
      <c r="C653" s="21" t="inlineStr">
        <is>
          <t>Ригели</t>
        </is>
      </c>
      <c r="D653" s="21" t="inlineStr">
        <is>
          <t>ось 3 (отм. +7.550)</t>
        </is>
      </c>
      <c r="E653" s="21" t="inlineStr">
        <is>
          <t>Р-3</t>
        </is>
      </c>
      <c r="F653" s="72" t="inlineStr">
        <is>
          <t>2</t>
        </is>
      </c>
      <c r="G653" s="21" t="inlineStr">
        <is>
          <t>Продольные угловые 4Ø28 (сеч.4-4/5-5), сквозные, концы с Аш</t>
        </is>
      </c>
      <c r="H653" s="51" t="n">
        <v>28</v>
      </c>
      <c r="I653" s="72" t="inlineStr">
        <is>
          <t>А500С</t>
        </is>
      </c>
      <c r="J653" s="72" t="inlineStr">
        <is>
          <t>—</t>
        </is>
      </c>
      <c r="K653" s="75" t="n">
        <v>1</v>
      </c>
      <c r="L653" s="51" t="n">
        <v>4</v>
      </c>
      <c r="M653" s="69" t="n">
        <v>20.5</v>
      </c>
      <c r="N653" s="70">
        <f>K653*L653*M653</f>
        <v/>
      </c>
      <c r="O653" s="37">
        <f>IFERROR(INDEX(Исходные!$B$19:$B$31,MATCH(H653,Исходные!$A$19:$A$31,0)),0)</f>
        <v/>
      </c>
      <c r="P653" s="76">
        <f>N653*O653</f>
        <v/>
      </c>
      <c r="Q653" s="21" t="inlineStr">
        <is>
          <t>АС-26 рама + АС-28 сеч.4-4/5-5 поз.2; длина = 20000+2×250</t>
        </is>
      </c>
      <c r="R653" s="77" t="inlineStr">
        <is>
          <t>по геометрии чертежа</t>
        </is>
      </c>
      <c r="S653" s="21" t="inlineStr">
        <is>
          <t>Стыки ванной сваркой без нахлёста: 1 на стержень (всего 4).</t>
        </is>
      </c>
      <c r="T653" s="21" t="inlineStr">
        <is>
          <t>Ригели, балки, плита, С-1</t>
        </is>
      </c>
      <c r="U653" s="49" t="n">
        <v>0</v>
      </c>
      <c r="V653" s="72" t="inlineStr">
        <is>
          <t>Р-3</t>
        </is>
      </c>
      <c r="W653" s="49" t="n">
        <v>2</v>
      </c>
    </row>
    <row r="654">
      <c r="A654" s="72" t="n">
        <v>638</v>
      </c>
      <c r="B654" s="21" t="inlineStr">
        <is>
          <t>2 этаж (отм. +3.950…+7.550)</t>
        </is>
      </c>
      <c r="C654" s="21" t="inlineStr">
        <is>
          <t>Ригели</t>
        </is>
      </c>
      <c r="D654" s="21" t="inlineStr">
        <is>
          <t>ось 3 (отм. +7.550)</t>
        </is>
      </c>
      <c r="E654" s="21" t="inlineStr">
        <is>
          <t>Р-3</t>
        </is>
      </c>
      <c r="F654" s="72" t="inlineStr">
        <is>
          <t>6</t>
        </is>
      </c>
      <c r="G654" s="21" t="inlineStr">
        <is>
          <t>Продольные средние верх/низ 2Ø18 (сеч.4-4/5-5)</t>
        </is>
      </c>
      <c r="H654" s="51" t="n">
        <v>18</v>
      </c>
      <c r="I654" s="72" t="inlineStr">
        <is>
          <t>А500С</t>
        </is>
      </c>
      <c r="J654" s="72" t="inlineStr">
        <is>
          <t>—</t>
        </is>
      </c>
      <c r="K654" s="75" t="n">
        <v>1</v>
      </c>
      <c r="L654" s="51" t="n">
        <v>2</v>
      </c>
      <c r="M654" s="69" t="n">
        <v>20.5</v>
      </c>
      <c r="N654" s="70">
        <f>K654*L654*M654</f>
        <v/>
      </c>
      <c r="O654" s="37">
        <f>IFERROR(INDEX(Исходные!$B$19:$B$31,MATCH(H654,Исходные!$A$19:$A$31,0)),0)</f>
        <v/>
      </c>
      <c r="P654" s="76">
        <f>N654*O654</f>
        <v/>
      </c>
      <c r="Q654" s="21" t="inlineStr">
        <is>
          <t>АС-28 сеч.4-4/5-5 поз.6</t>
        </is>
      </c>
      <c r="R654" s="77" t="inlineStr">
        <is>
          <t>по геометрии чертежа</t>
        </is>
      </c>
      <c r="S654" s="21" t="inlineStr"/>
      <c r="T654" s="21" t="inlineStr">
        <is>
          <t>Ригели, балки, плита, С-1</t>
        </is>
      </c>
      <c r="U654" s="49" t="n">
        <v>0</v>
      </c>
      <c r="V654" s="72" t="inlineStr">
        <is>
          <t>Р-3</t>
        </is>
      </c>
      <c r="W654" s="49" t="n">
        <v>2</v>
      </c>
    </row>
    <row r="655">
      <c r="A655" s="72" t="n">
        <v>639</v>
      </c>
      <c r="B655" s="21" t="inlineStr">
        <is>
          <t>2 этаж (отм. +3.950…+7.550)</t>
        </is>
      </c>
      <c r="C655" s="21" t="inlineStr">
        <is>
          <t>Ригели</t>
        </is>
      </c>
      <c r="D655" s="21" t="inlineStr">
        <is>
          <t>ось 3 (отм. +7.550)</t>
        </is>
      </c>
      <c r="E655" s="21" t="inlineStr">
        <is>
          <t>Р-3</t>
        </is>
      </c>
      <c r="F655" s="72" t="inlineStr">
        <is>
          <t>6-нахл</t>
        </is>
      </c>
      <c r="G655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655" s="51" t="n">
        <v>18</v>
      </c>
      <c r="I655" s="72" t="inlineStr">
        <is>
          <t>А500С</t>
        </is>
      </c>
      <c r="J655" s="72" t="inlineStr">
        <is>
          <t>—</t>
        </is>
      </c>
      <c r="K655" s="75" t="n">
        <v>2</v>
      </c>
      <c r="L655" s="51" t="n">
        <v>1</v>
      </c>
      <c r="M655" s="69" t="n">
        <v>0.144</v>
      </c>
      <c r="N655" s="70">
        <f>K655*L655*M655</f>
        <v/>
      </c>
      <c r="O655" s="37">
        <f>IFERROR(INDEX(Исходные!$B$19:$B$31,MATCH(H655,Исходные!$A$19:$A$31,0)),0)</f>
        <v/>
      </c>
      <c r="P655" s="76">
        <f>N655*O655</f>
        <v/>
      </c>
      <c r="Q655" s="21" t="inlineStr">
        <is>
          <t>АС-19 прим.1: Ø18 и менее — внахлёстку электродуговой сваркой, Lшва=8d = 144 мм</t>
        </is>
      </c>
      <c r="R655" s="77" t="inlineStr">
        <is>
          <t>по проекту (стыковка прутков 11,7 м)</t>
        </is>
      </c>
      <c r="S655" s="21" t="inlineStr">
        <is>
          <t>Чистая длина 20.500 м; кусков 2; стыков 1; Lнахл=1×0.144=0.144 м на стержень</t>
        </is>
      </c>
      <c r="T655" s="21" t="inlineStr">
        <is>
          <t>Ригели, балки, плита, С-1</t>
        </is>
      </c>
      <c r="U655" s="49" t="n">
        <v>0</v>
      </c>
      <c r="V655" s="72" t="inlineStr">
        <is>
          <t>Р-3</t>
        </is>
      </c>
      <c r="W655" s="49" t="n">
        <v>2</v>
      </c>
    </row>
    <row r="656">
      <c r="A656" s="72" t="n">
        <v>640</v>
      </c>
      <c r="B656" s="21" t="inlineStr">
        <is>
          <t>2 этаж (отм. +3.950…+7.550)</t>
        </is>
      </c>
      <c r="C656" s="21" t="inlineStr">
        <is>
          <t>Ригели</t>
        </is>
      </c>
      <c r="D656" s="21" t="inlineStr">
        <is>
          <t>ось 3 (отм. +7.550)</t>
        </is>
      </c>
      <c r="E656" s="21" t="inlineStr">
        <is>
          <t>Р-3</t>
        </is>
      </c>
      <c r="F656" s="72" t="inlineStr">
        <is>
          <t>7</t>
        </is>
      </c>
      <c r="G656" s="21" t="inlineStr">
        <is>
          <t>Боковые стержни 2Ø16 (сеч.4-4/5-5)</t>
        </is>
      </c>
      <c r="H656" s="51" t="n">
        <v>16</v>
      </c>
      <c r="I656" s="72" t="inlineStr">
        <is>
          <t>А500С</t>
        </is>
      </c>
      <c r="J656" s="72" t="inlineStr">
        <is>
          <t>—</t>
        </is>
      </c>
      <c r="K656" s="75" t="n">
        <v>1</v>
      </c>
      <c r="L656" s="51" t="n">
        <v>2</v>
      </c>
      <c r="M656" s="69" t="n">
        <v>20.5</v>
      </c>
      <c r="N656" s="70">
        <f>K656*L656*M656</f>
        <v/>
      </c>
      <c r="O656" s="37">
        <f>IFERROR(INDEX(Исходные!$B$19:$B$31,MATCH(H656,Исходные!$A$19:$A$31,0)),0)</f>
        <v/>
      </c>
      <c r="P656" s="76">
        <f>N656*O656</f>
        <v/>
      </c>
      <c r="Q656" s="21" t="inlineStr">
        <is>
          <t>АС-28 сеч.4-4/5-5 «Боковые стержни 2Ø16»</t>
        </is>
      </c>
      <c r="R656" s="77" t="inlineStr">
        <is>
          <t>по геометрии чертежа</t>
        </is>
      </c>
      <c r="S656" s="21" t="inlineStr"/>
      <c r="T656" s="21" t="inlineStr">
        <is>
          <t>Ригели, балки, плита, С-1</t>
        </is>
      </c>
      <c r="U656" s="49" t="n">
        <v>0</v>
      </c>
      <c r="V656" s="72" t="inlineStr">
        <is>
          <t>Р-3</t>
        </is>
      </c>
      <c r="W656" s="49" t="n">
        <v>2</v>
      </c>
    </row>
    <row r="657">
      <c r="A657" s="72" t="n">
        <v>641</v>
      </c>
      <c r="B657" s="21" t="inlineStr">
        <is>
          <t>2 этаж (отм. +3.950…+7.550)</t>
        </is>
      </c>
      <c r="C657" s="21" t="inlineStr">
        <is>
          <t>Ригели</t>
        </is>
      </c>
      <c r="D657" s="21" t="inlineStr">
        <is>
          <t>ось 3 (отм. +7.550)</t>
        </is>
      </c>
      <c r="E657" s="21" t="inlineStr">
        <is>
          <t>Р-3</t>
        </is>
      </c>
      <c r="F657" s="72" t="inlineStr">
        <is>
          <t>7-нахл</t>
        </is>
      </c>
      <c r="G657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657" s="51" t="n">
        <v>16</v>
      </c>
      <c r="I657" s="72" t="inlineStr">
        <is>
          <t>А500С</t>
        </is>
      </c>
      <c r="J657" s="72" t="inlineStr">
        <is>
          <t>—</t>
        </is>
      </c>
      <c r="K657" s="75" t="n">
        <v>2</v>
      </c>
      <c r="L657" s="51" t="n">
        <v>1</v>
      </c>
      <c r="M657" s="69" t="n">
        <v>0.128</v>
      </c>
      <c r="N657" s="70">
        <f>K657*L657*M657</f>
        <v/>
      </c>
      <c r="O657" s="37">
        <f>IFERROR(INDEX(Исходные!$B$19:$B$31,MATCH(H657,Исходные!$A$19:$A$31,0)),0)</f>
        <v/>
      </c>
      <c r="P657" s="76">
        <f>N657*O657</f>
        <v/>
      </c>
      <c r="Q657" s="21" t="inlineStr">
        <is>
          <t>АС-19 прим.1: Ø18 и менее — внахлёстку электродуговой сваркой, Lшва=8d = 128 мм</t>
        </is>
      </c>
      <c r="R657" s="77" t="inlineStr">
        <is>
          <t>по проекту (стыковка прутков 11,7 м)</t>
        </is>
      </c>
      <c r="S657" s="21" t="inlineStr">
        <is>
          <t>Чистая длина 20.500 м; кусков 2; стыков 1; Lнахл=1×0.128=0.128 м на стержень</t>
        </is>
      </c>
      <c r="T657" s="21" t="inlineStr">
        <is>
          <t>Ригели, балки, плита, С-1</t>
        </is>
      </c>
      <c r="U657" s="49" t="n">
        <v>0</v>
      </c>
      <c r="V657" s="72" t="inlineStr">
        <is>
          <t>Р-3</t>
        </is>
      </c>
      <c r="W657" s="49" t="n">
        <v>2</v>
      </c>
    </row>
    <row r="658">
      <c r="A658" s="72" t="n">
        <v>642</v>
      </c>
      <c r="B658" s="21" t="inlineStr">
        <is>
          <t>2 этаж (отм. +3.950…+7.550)</t>
        </is>
      </c>
      <c r="C658" s="21" t="inlineStr">
        <is>
          <t>Ригели</t>
        </is>
      </c>
      <c r="D658" s="21" t="inlineStr">
        <is>
          <t>ось 3 (отм. +7.550)</t>
        </is>
      </c>
      <c r="E658" s="21" t="inlineStr">
        <is>
          <t>Р-3</t>
        </is>
      </c>
      <c r="F658" s="72" t="inlineStr">
        <is>
          <t>ОС</t>
        </is>
      </c>
      <c r="G658" s="21" t="inlineStr">
        <is>
          <t>ОС верх: 2Ø28, участок 0…1800 мм + 250 до торца</t>
        </is>
      </c>
      <c r="H658" s="51" t="n">
        <v>28</v>
      </c>
      <c r="I658" s="72" t="inlineStr">
        <is>
          <t>А500С</t>
        </is>
      </c>
      <c r="J658" s="72" t="inlineStr">
        <is>
          <t>—</t>
        </is>
      </c>
      <c r="K658" s="75" t="n">
        <v>1</v>
      </c>
      <c r="L658" s="51" t="n">
        <v>2</v>
      </c>
      <c r="M658" s="69" t="n">
        <v>2.05</v>
      </c>
      <c r="N658" s="70">
        <f>K658*L658*M658</f>
        <v/>
      </c>
      <c r="O658" s="37">
        <f>IFERROR(INDEX(Исходные!$B$19:$B$31,MATCH(H658,Исходные!$A$19:$A$31,0)),0)</f>
        <v/>
      </c>
      <c r="P658" s="76">
        <f>N658*O658</f>
        <v/>
      </c>
      <c r="Q658" s="21" t="inlineStr">
        <is>
          <t>АС-26 (отм. 7.550): выноска «ОС 2Ø28 А500С»; длина по привязкам отдельных стержней</t>
        </is>
      </c>
      <c r="R658" s="77" t="inlineStr">
        <is>
          <t>по геометрии чертежа</t>
        </is>
      </c>
      <c r="S658" s="21" t="inlineStr">
        <is>
          <t>Координаты от оси А: 0…1800 мм; конец до торца крайней колонны (+250)</t>
        </is>
      </c>
      <c r="T658" s="21" t="inlineStr">
        <is>
          <t>Ригели, балки, плита, С-1</t>
        </is>
      </c>
      <c r="U658" s="49" t="n">
        <v>0</v>
      </c>
      <c r="V658" s="72" t="inlineStr">
        <is>
          <t>Р-3</t>
        </is>
      </c>
      <c r="W658" s="49" t="n">
        <v>2</v>
      </c>
    </row>
    <row r="659">
      <c r="A659" s="72" t="n">
        <v>643</v>
      </c>
      <c r="B659" s="21" t="inlineStr">
        <is>
          <t>2 этаж (отм. +3.950…+7.550)</t>
        </is>
      </c>
      <c r="C659" s="21" t="inlineStr">
        <is>
          <t>Ригели</t>
        </is>
      </c>
      <c r="D659" s="21" t="inlineStr">
        <is>
          <t>ось 3 (отм. +7.550)</t>
        </is>
      </c>
      <c r="E659" s="21" t="inlineStr">
        <is>
          <t>Р-3</t>
        </is>
      </c>
      <c r="F659" s="72" t="inlineStr">
        <is>
          <t>ОС</t>
        </is>
      </c>
      <c r="G659" s="21" t="inlineStr">
        <is>
          <t>ОС верх: 2Ø28, участок 4700…8500 мм</t>
        </is>
      </c>
      <c r="H659" s="51" t="n">
        <v>28</v>
      </c>
      <c r="I659" s="72" t="inlineStr">
        <is>
          <t>А500С</t>
        </is>
      </c>
      <c r="J659" s="72" t="inlineStr">
        <is>
          <t>—</t>
        </is>
      </c>
      <c r="K659" s="75" t="n">
        <v>1</v>
      </c>
      <c r="L659" s="51" t="n">
        <v>2</v>
      </c>
      <c r="M659" s="69" t="n">
        <v>3.8</v>
      </c>
      <c r="N659" s="70">
        <f>K659*L659*M659</f>
        <v/>
      </c>
      <c r="O659" s="37">
        <f>IFERROR(INDEX(Исходные!$B$19:$B$31,MATCH(H659,Исходные!$A$19:$A$31,0)),0)</f>
        <v/>
      </c>
      <c r="P659" s="76">
        <f>N659*O659</f>
        <v/>
      </c>
      <c r="Q659" s="21" t="inlineStr">
        <is>
          <t>АС-26 (отм. 7.550): выноска «ОС 2Ø28 А500С»; длина по привязкам отдельных стержней</t>
        </is>
      </c>
      <c r="R659" s="77" t="inlineStr">
        <is>
          <t>по геометрии чертежа</t>
        </is>
      </c>
      <c r="S659" s="21" t="inlineStr">
        <is>
          <t>Координаты от оси А: 4700…8500 мм</t>
        </is>
      </c>
      <c r="T659" s="21" t="inlineStr">
        <is>
          <t>Ригели, балки, плита, С-1</t>
        </is>
      </c>
      <c r="U659" s="49" t="n">
        <v>0</v>
      </c>
      <c r="V659" s="72" t="inlineStr">
        <is>
          <t>Р-3</t>
        </is>
      </c>
      <c r="W659" s="49" t="n">
        <v>2</v>
      </c>
    </row>
    <row r="660">
      <c r="A660" s="72" t="n">
        <v>644</v>
      </c>
      <c r="B660" s="21" t="inlineStr">
        <is>
          <t>2 этаж (отм. +3.950…+7.550)</t>
        </is>
      </c>
      <c r="C660" s="21" t="inlineStr">
        <is>
          <t>Ригели</t>
        </is>
      </c>
      <c r="D660" s="21" t="inlineStr">
        <is>
          <t>ось 3 (отм. +7.550)</t>
        </is>
      </c>
      <c r="E660" s="21" t="inlineStr">
        <is>
          <t>Р-3</t>
        </is>
      </c>
      <c r="F660" s="72" t="inlineStr">
        <is>
          <t>ОС</t>
        </is>
      </c>
      <c r="G660" s="21" t="inlineStr">
        <is>
          <t>ОС верх ств.: 2Ø25, участок 4700…8500 мм</t>
        </is>
      </c>
      <c r="H660" s="51" t="n">
        <v>25</v>
      </c>
      <c r="I660" s="72" t="inlineStr">
        <is>
          <t>А500С</t>
        </is>
      </c>
      <c r="J660" s="72" t="inlineStr">
        <is>
          <t>—</t>
        </is>
      </c>
      <c r="K660" s="75" t="n">
        <v>1</v>
      </c>
      <c r="L660" s="51" t="n">
        <v>2</v>
      </c>
      <c r="M660" s="69" t="n">
        <v>3.8</v>
      </c>
      <c r="N660" s="70">
        <f>K660*L660*M660</f>
        <v/>
      </c>
      <c r="O660" s="37">
        <f>IFERROR(INDEX(Исходные!$B$19:$B$31,MATCH(H660,Исходные!$A$19:$A$31,0)),0)</f>
        <v/>
      </c>
      <c r="P660" s="76">
        <f>N660*O660</f>
        <v/>
      </c>
      <c r="Q660" s="21" t="inlineStr">
        <is>
          <t>АС-26 (отм. 7.550): выноска «ОС 2Ø25 А500С»; длина по привязкам отдельных стержней</t>
        </is>
      </c>
      <c r="R660" s="77" t="inlineStr">
        <is>
          <t>по геометрии чертежа</t>
        </is>
      </c>
      <c r="S660" s="21" t="inlineStr">
        <is>
          <t>Координаты от оси А: 4700…8500 мм</t>
        </is>
      </c>
      <c r="T660" s="21" t="inlineStr">
        <is>
          <t>Ригели, балки, плита, С-1</t>
        </is>
      </c>
      <c r="U660" s="49" t="n">
        <v>0</v>
      </c>
      <c r="V660" s="72" t="inlineStr">
        <is>
          <t>Р-3</t>
        </is>
      </c>
      <c r="W660" s="49" t="n">
        <v>2</v>
      </c>
    </row>
    <row r="661">
      <c r="A661" s="72" t="n">
        <v>645</v>
      </c>
      <c r="B661" s="21" t="inlineStr">
        <is>
          <t>2 этаж (отм. +3.950…+7.550)</t>
        </is>
      </c>
      <c r="C661" s="21" t="inlineStr">
        <is>
          <t>Ригели</t>
        </is>
      </c>
      <c r="D661" s="21" t="inlineStr">
        <is>
          <t>ось 3 (отм. +7.550)</t>
        </is>
      </c>
      <c r="E661" s="21" t="inlineStr">
        <is>
          <t>Р-3</t>
        </is>
      </c>
      <c r="F661" s="72" t="inlineStr">
        <is>
          <t>ОС</t>
        </is>
      </c>
      <c r="G661" s="21" t="inlineStr">
        <is>
          <t>ОС верх: 2Ø28, участок 11500…15300 мм</t>
        </is>
      </c>
      <c r="H661" s="51" t="n">
        <v>28</v>
      </c>
      <c r="I661" s="72" t="inlineStr">
        <is>
          <t>А500С</t>
        </is>
      </c>
      <c r="J661" s="72" t="inlineStr">
        <is>
          <t>—</t>
        </is>
      </c>
      <c r="K661" s="75" t="n">
        <v>1</v>
      </c>
      <c r="L661" s="51" t="n">
        <v>2</v>
      </c>
      <c r="M661" s="69" t="n">
        <v>3.8</v>
      </c>
      <c r="N661" s="70">
        <f>K661*L661*M661</f>
        <v/>
      </c>
      <c r="O661" s="37">
        <f>IFERROR(INDEX(Исходные!$B$19:$B$31,MATCH(H661,Исходные!$A$19:$A$31,0)),0)</f>
        <v/>
      </c>
      <c r="P661" s="76">
        <f>N661*O661</f>
        <v/>
      </c>
      <c r="Q661" s="21" t="inlineStr">
        <is>
          <t>АС-26 (отм. 7.550): выноска «ОС 2Ø28 А500С»; длина по привязкам отдельных стержней</t>
        </is>
      </c>
      <c r="R661" s="77" t="inlineStr">
        <is>
          <t>по геометрии чертежа</t>
        </is>
      </c>
      <c r="S661" s="21" t="inlineStr">
        <is>
          <t>Координаты от оси А: 11500…15300 мм</t>
        </is>
      </c>
      <c r="T661" s="21" t="inlineStr">
        <is>
          <t>Ригели, балки, плита, С-1</t>
        </is>
      </c>
      <c r="U661" s="49" t="n">
        <v>0</v>
      </c>
      <c r="V661" s="72" t="inlineStr">
        <is>
          <t>Р-3</t>
        </is>
      </c>
      <c r="W661" s="49" t="n">
        <v>2</v>
      </c>
    </row>
    <row r="662">
      <c r="A662" s="72" t="n">
        <v>646</v>
      </c>
      <c r="B662" s="21" t="inlineStr">
        <is>
          <t>2 этаж (отм. +3.950…+7.550)</t>
        </is>
      </c>
      <c r="C662" s="21" t="inlineStr">
        <is>
          <t>Ригели</t>
        </is>
      </c>
      <c r="D662" s="21" t="inlineStr">
        <is>
          <t>ось 3 (отм. +7.550)</t>
        </is>
      </c>
      <c r="E662" s="21" t="inlineStr">
        <is>
          <t>Р-3</t>
        </is>
      </c>
      <c r="F662" s="72" t="inlineStr">
        <is>
          <t>ОС</t>
        </is>
      </c>
      <c r="G662" s="21" t="inlineStr">
        <is>
          <t>ОС верх ств.: 2Ø25, участок 11500…15300 мм</t>
        </is>
      </c>
      <c r="H662" s="51" t="n">
        <v>25</v>
      </c>
      <c r="I662" s="72" t="inlineStr">
        <is>
          <t>А500С</t>
        </is>
      </c>
      <c r="J662" s="72" t="inlineStr">
        <is>
          <t>—</t>
        </is>
      </c>
      <c r="K662" s="75" t="n">
        <v>1</v>
      </c>
      <c r="L662" s="51" t="n">
        <v>2</v>
      </c>
      <c r="M662" s="69" t="n">
        <v>3.8</v>
      </c>
      <c r="N662" s="70">
        <f>K662*L662*M662</f>
        <v/>
      </c>
      <c r="O662" s="37">
        <f>IFERROR(INDEX(Исходные!$B$19:$B$31,MATCH(H662,Исходные!$A$19:$A$31,0)),0)</f>
        <v/>
      </c>
      <c r="P662" s="76">
        <f>N662*O662</f>
        <v/>
      </c>
      <c r="Q662" s="21" t="inlineStr">
        <is>
          <t>АС-26 (отм. 7.550): выноска «ОС 2Ø25 А500С»; длина по привязкам отдельных стержней</t>
        </is>
      </c>
      <c r="R662" s="77" t="inlineStr">
        <is>
          <t>по геометрии чертежа</t>
        </is>
      </c>
      <c r="S662" s="21" t="inlineStr">
        <is>
          <t>Координаты от оси А: 11500…15300 мм</t>
        </is>
      </c>
      <c r="T662" s="21" t="inlineStr">
        <is>
          <t>Ригели, балки, плита, С-1</t>
        </is>
      </c>
      <c r="U662" s="49" t="n">
        <v>0</v>
      </c>
      <c r="V662" s="72" t="inlineStr">
        <is>
          <t>Р-3</t>
        </is>
      </c>
      <c r="W662" s="49" t="n">
        <v>2</v>
      </c>
    </row>
    <row r="663">
      <c r="A663" s="72" t="n">
        <v>647</v>
      </c>
      <c r="B663" s="21" t="inlineStr">
        <is>
          <t>2 этаж (отм. +3.950…+7.550)</t>
        </is>
      </c>
      <c r="C663" s="21" t="inlineStr">
        <is>
          <t>Ригели</t>
        </is>
      </c>
      <c r="D663" s="21" t="inlineStr">
        <is>
          <t>ось 3 (отм. +7.550)</t>
        </is>
      </c>
      <c r="E663" s="21" t="inlineStr">
        <is>
          <t>Р-3</t>
        </is>
      </c>
      <c r="F663" s="72" t="inlineStr">
        <is>
          <t>ОС</t>
        </is>
      </c>
      <c r="G663" s="21" t="inlineStr">
        <is>
          <t>ОС верх: 2Ø32, участок 18200…20000 мм + 250 до торца</t>
        </is>
      </c>
      <c r="H663" s="51" t="n">
        <v>32</v>
      </c>
      <c r="I663" s="72" t="inlineStr">
        <is>
          <t>А500С</t>
        </is>
      </c>
      <c r="J663" s="72" t="inlineStr">
        <is>
          <t>—</t>
        </is>
      </c>
      <c r="K663" s="75" t="n">
        <v>1</v>
      </c>
      <c r="L663" s="51" t="n">
        <v>2</v>
      </c>
      <c r="M663" s="69" t="n">
        <v>2.05</v>
      </c>
      <c r="N663" s="70">
        <f>K663*L663*M663</f>
        <v/>
      </c>
      <c r="O663" s="37">
        <f>IFERROR(INDEX(Исходные!$B$19:$B$31,MATCH(H663,Исходные!$A$19:$A$31,0)),0)</f>
        <v/>
      </c>
      <c r="P663" s="76">
        <f>N663*O663</f>
        <v/>
      </c>
      <c r="Q663" s="21" t="inlineStr">
        <is>
          <t>АС-26 (отм. 7.550): выноска «ОС 2Ø32 А500С»; длина по привязкам отдельных стержней</t>
        </is>
      </c>
      <c r="R663" s="77" t="inlineStr">
        <is>
          <t>по геометрии чертежа</t>
        </is>
      </c>
      <c r="S663" s="21" t="inlineStr">
        <is>
          <t>Координаты от оси А: 18200…20000 мм; конец до торца крайней колонны (+250)</t>
        </is>
      </c>
      <c r="T663" s="21" t="inlineStr">
        <is>
          <t>Ригели, балки, плита, С-1</t>
        </is>
      </c>
      <c r="U663" s="49" t="n">
        <v>0</v>
      </c>
      <c r="V663" s="72" t="inlineStr">
        <is>
          <t>Р-3</t>
        </is>
      </c>
      <c r="W663" s="49" t="n">
        <v>2</v>
      </c>
    </row>
    <row r="664">
      <c r="A664" s="72" t="n">
        <v>648</v>
      </c>
      <c r="B664" s="21" t="inlineStr">
        <is>
          <t>2 этаж (отм. +3.950…+7.550)</t>
        </is>
      </c>
      <c r="C664" s="21" t="inlineStr">
        <is>
          <t>Ригели</t>
        </is>
      </c>
      <c r="D664" s="21" t="inlineStr">
        <is>
          <t>ось 3 (отм. +7.550)</t>
        </is>
      </c>
      <c r="E664" s="21" t="inlineStr">
        <is>
          <t>Р-3</t>
        </is>
      </c>
      <c r="F664" s="72" t="inlineStr">
        <is>
          <t>ОС</t>
        </is>
      </c>
      <c r="G664" s="21" t="inlineStr">
        <is>
          <t>ОС низ: 2Ø16, участок 1800…4700 мм</t>
        </is>
      </c>
      <c r="H664" s="51" t="n">
        <v>16</v>
      </c>
      <c r="I664" s="72" t="inlineStr">
        <is>
          <t>А500С</t>
        </is>
      </c>
      <c r="J664" s="72" t="inlineStr">
        <is>
          <t>—</t>
        </is>
      </c>
      <c r="K664" s="75" t="n">
        <v>1</v>
      </c>
      <c r="L664" s="51" t="n">
        <v>2</v>
      </c>
      <c r="M664" s="69" t="n">
        <v>2.9</v>
      </c>
      <c r="N664" s="70">
        <f>K664*L664*M664</f>
        <v/>
      </c>
      <c r="O664" s="37">
        <f>IFERROR(INDEX(Исходные!$B$19:$B$31,MATCH(H664,Исходные!$A$19:$A$31,0)),0)</f>
        <v/>
      </c>
      <c r="P664" s="76">
        <f>N664*O664</f>
        <v/>
      </c>
      <c r="Q664" s="21" t="inlineStr">
        <is>
          <t>АС-26 (отм. 7.550): выноска «ОС 2Ø16 А500С»; длина по привязкам отдельных стержней</t>
        </is>
      </c>
      <c r="R664" s="77" t="inlineStr">
        <is>
          <t>по геометрии чертежа</t>
        </is>
      </c>
      <c r="S664" s="21" t="inlineStr">
        <is>
          <t>Координаты от оси А: 1800…4700 мм</t>
        </is>
      </c>
      <c r="T664" s="21" t="inlineStr">
        <is>
          <t>Ригели, балки, плита, С-1</t>
        </is>
      </c>
      <c r="U664" s="49" t="n">
        <v>0</v>
      </c>
      <c r="V664" s="72" t="inlineStr">
        <is>
          <t>Р-3</t>
        </is>
      </c>
      <c r="W664" s="49" t="n">
        <v>2</v>
      </c>
    </row>
    <row r="665">
      <c r="A665" s="72" t="n">
        <v>649</v>
      </c>
      <c r="B665" s="21" t="inlineStr">
        <is>
          <t>2 этаж (отм. +3.950…+7.550)</t>
        </is>
      </c>
      <c r="C665" s="21" t="inlineStr">
        <is>
          <t>Ригели</t>
        </is>
      </c>
      <c r="D665" s="21" t="inlineStr">
        <is>
          <t>ось 3 (отм. +7.550)</t>
        </is>
      </c>
      <c r="E665" s="21" t="inlineStr">
        <is>
          <t>Р-3</t>
        </is>
      </c>
      <c r="F665" s="72" t="inlineStr">
        <is>
          <t>ОС</t>
        </is>
      </c>
      <c r="G665" s="21" t="inlineStr">
        <is>
          <t>ОС низ: 2Ø28, участок 8500…11500 мм</t>
        </is>
      </c>
      <c r="H665" s="51" t="n">
        <v>28</v>
      </c>
      <c r="I665" s="72" t="inlineStr">
        <is>
          <t>А500С</t>
        </is>
      </c>
      <c r="J665" s="72" t="inlineStr">
        <is>
          <t>—</t>
        </is>
      </c>
      <c r="K665" s="75" t="n">
        <v>1</v>
      </c>
      <c r="L665" s="51" t="n">
        <v>2</v>
      </c>
      <c r="M665" s="69" t="n">
        <v>3</v>
      </c>
      <c r="N665" s="70">
        <f>K665*L665*M665</f>
        <v/>
      </c>
      <c r="O665" s="37">
        <f>IFERROR(INDEX(Исходные!$B$19:$B$31,MATCH(H665,Исходные!$A$19:$A$31,0)),0)</f>
        <v/>
      </c>
      <c r="P665" s="76">
        <f>N665*O665</f>
        <v/>
      </c>
      <c r="Q665" s="21" t="inlineStr">
        <is>
          <t>АС-26 (отм. 7.550): выноска «ОС 2Ø28 А500С»; длина по привязкам отдельных стержней</t>
        </is>
      </c>
      <c r="R665" s="77" t="inlineStr">
        <is>
          <t>по геометрии чертежа</t>
        </is>
      </c>
      <c r="S665" s="21" t="inlineStr">
        <is>
          <t>Координаты от оси А: 8500…11500 мм</t>
        </is>
      </c>
      <c r="T665" s="21" t="inlineStr">
        <is>
          <t>Ригели, балки, плита, С-1</t>
        </is>
      </c>
      <c r="U665" s="49" t="n">
        <v>0</v>
      </c>
      <c r="V665" s="72" t="inlineStr">
        <is>
          <t>Р-3</t>
        </is>
      </c>
      <c r="W665" s="49" t="n">
        <v>2</v>
      </c>
    </row>
    <row r="666">
      <c r="A666" s="72" t="n">
        <v>650</v>
      </c>
      <c r="B666" s="21" t="inlineStr">
        <is>
          <t>2 этаж (отм. +3.950…+7.550)</t>
        </is>
      </c>
      <c r="C666" s="21" t="inlineStr">
        <is>
          <t>Ригели</t>
        </is>
      </c>
      <c r="D666" s="21" t="inlineStr">
        <is>
          <t>ось 3 (отм. +7.550)</t>
        </is>
      </c>
      <c r="E666" s="21" t="inlineStr">
        <is>
          <t>Р-3</t>
        </is>
      </c>
      <c r="F666" s="72" t="inlineStr">
        <is>
          <t>ОС</t>
        </is>
      </c>
      <c r="G666" s="21" t="inlineStr">
        <is>
          <t>ОС низ: 2Ø18, участок 15300…20000 мм + 250 до торца</t>
        </is>
      </c>
      <c r="H666" s="51" t="n">
        <v>18</v>
      </c>
      <c r="I666" s="72" t="inlineStr">
        <is>
          <t>А500С</t>
        </is>
      </c>
      <c r="J666" s="72" t="inlineStr">
        <is>
          <t>—</t>
        </is>
      </c>
      <c r="K666" s="75" t="n">
        <v>1</v>
      </c>
      <c r="L666" s="51" t="n">
        <v>2</v>
      </c>
      <c r="M666" s="69" t="n">
        <v>4.95</v>
      </c>
      <c r="N666" s="70">
        <f>K666*L666*M666</f>
        <v/>
      </c>
      <c r="O666" s="37">
        <f>IFERROR(INDEX(Исходные!$B$19:$B$31,MATCH(H666,Исходные!$A$19:$A$31,0)),0)</f>
        <v/>
      </c>
      <c r="P666" s="76">
        <f>N666*O666</f>
        <v/>
      </c>
      <c r="Q666" s="21" t="inlineStr">
        <is>
          <t>АС-26 (отм. 7.550): выноска «ОС 2Ø18 А500С»; длина по привязкам отдельных стержней</t>
        </is>
      </c>
      <c r="R666" s="77" t="inlineStr">
        <is>
          <t>по геометрии чертежа</t>
        </is>
      </c>
      <c r="S666" s="21" t="inlineStr">
        <is>
          <t>Координаты от оси А: 15300…20000 мм; конец до торца крайней колонны (+250)</t>
        </is>
      </c>
      <c r="T666" s="21" t="inlineStr">
        <is>
          <t>Ригели, балки, плита, С-1</t>
        </is>
      </c>
      <c r="U666" s="49" t="n">
        <v>0</v>
      </c>
      <c r="V666" s="72" t="inlineStr">
        <is>
          <t>Р-3</t>
        </is>
      </c>
      <c r="W666" s="49" t="n">
        <v>2</v>
      </c>
    </row>
    <row r="667">
      <c r="A667" s="72" t="n">
        <v>651</v>
      </c>
      <c r="B667" s="21" t="inlineStr">
        <is>
          <t>2 этаж (отм. +3.950…+7.550)</t>
        </is>
      </c>
      <c r="C667" s="21" t="inlineStr">
        <is>
          <t>Ригели</t>
        </is>
      </c>
      <c r="D667" s="21" t="inlineStr">
        <is>
          <t>ось 3 (отм. +7.550)</t>
        </is>
      </c>
      <c r="E667" s="21" t="inlineStr">
        <is>
          <t>Р-3</t>
        </is>
      </c>
      <c r="F667" s="72" t="inlineStr">
        <is>
          <t>ОС</t>
        </is>
      </c>
      <c r="G667" s="21" t="inlineStr">
        <is>
          <t>Ос (бок) бок: 4Ø12, участок 4700…8500 мм</t>
        </is>
      </c>
      <c r="H667" s="51" t="n">
        <v>12</v>
      </c>
      <c r="I667" s="72" t="inlineStr">
        <is>
          <t>А500С</t>
        </is>
      </c>
      <c r="J667" s="72" t="inlineStr">
        <is>
          <t>—</t>
        </is>
      </c>
      <c r="K667" s="75" t="n">
        <v>1</v>
      </c>
      <c r="L667" s="51" t="n">
        <v>4</v>
      </c>
      <c r="M667" s="69" t="n">
        <v>3.8</v>
      </c>
      <c r="N667" s="70">
        <f>K667*L667*M667</f>
        <v/>
      </c>
      <c r="O667" s="37">
        <f>IFERROR(INDEX(Исходные!$B$19:$B$31,MATCH(H667,Исходные!$A$19:$A$31,0)),0)</f>
        <v/>
      </c>
      <c r="P667" s="76">
        <f>N667*O667</f>
        <v/>
      </c>
      <c r="Q667" s="21" t="inlineStr">
        <is>
          <t>АС-26 (отм. 7.550): выноска «Ос (бок) 4Ø12 А500С»; длина по привязкам отдельных стержней</t>
        </is>
      </c>
      <c r="R667" s="77" t="inlineStr">
        <is>
          <t>по геометрии чертежа</t>
        </is>
      </c>
      <c r="S667" s="21" t="inlineStr">
        <is>
          <t>Координаты от оси А: 4700…8500 мм</t>
        </is>
      </c>
      <c r="T667" s="21" t="inlineStr">
        <is>
          <t>Ригели, балки, плита, С-1</t>
        </is>
      </c>
      <c r="U667" s="49" t="n">
        <v>0</v>
      </c>
      <c r="V667" s="72" t="inlineStr">
        <is>
          <t>Р-3</t>
        </is>
      </c>
      <c r="W667" s="49" t="n">
        <v>2</v>
      </c>
    </row>
    <row r="668">
      <c r="A668" s="72" t="n">
        <v>652</v>
      </c>
      <c r="B668" s="21" t="inlineStr">
        <is>
          <t>2 этаж (отм. +3.950…+7.550)</t>
        </is>
      </c>
      <c r="C668" s="21" t="inlineStr">
        <is>
          <t>Ригели</t>
        </is>
      </c>
      <c r="D668" s="21" t="inlineStr">
        <is>
          <t>ось 3 (отм. +7.550)</t>
        </is>
      </c>
      <c r="E668" s="21" t="inlineStr">
        <is>
          <t>Р-3</t>
        </is>
      </c>
      <c r="F668" s="72" t="inlineStr">
        <is>
          <t>ОС</t>
        </is>
      </c>
      <c r="G668" s="21" t="inlineStr">
        <is>
          <t>Ос (бок) бок: 4Ø12, участок 11500…15300 мм</t>
        </is>
      </c>
      <c r="H668" s="51" t="n">
        <v>12</v>
      </c>
      <c r="I668" s="72" t="inlineStr">
        <is>
          <t>А500С</t>
        </is>
      </c>
      <c r="J668" s="72" t="inlineStr">
        <is>
          <t>—</t>
        </is>
      </c>
      <c r="K668" s="75" t="n">
        <v>1</v>
      </c>
      <c r="L668" s="51" t="n">
        <v>4</v>
      </c>
      <c r="M668" s="69" t="n">
        <v>3.8</v>
      </c>
      <c r="N668" s="70">
        <f>K668*L668*M668</f>
        <v/>
      </c>
      <c r="O668" s="37">
        <f>IFERROR(INDEX(Исходные!$B$19:$B$31,MATCH(H668,Исходные!$A$19:$A$31,0)),0)</f>
        <v/>
      </c>
      <c r="P668" s="76">
        <f>N668*O668</f>
        <v/>
      </c>
      <c r="Q668" s="21" t="inlineStr">
        <is>
          <t>АС-26 (отм. 7.550): выноска «Ос (бок) 4Ø12 А500С»; длина по привязкам отдельных стержней</t>
        </is>
      </c>
      <c r="R668" s="77" t="inlineStr">
        <is>
          <t>по геометрии чертежа</t>
        </is>
      </c>
      <c r="S668" s="21" t="inlineStr">
        <is>
          <t>Координаты от оси А: 11500…15300 мм</t>
        </is>
      </c>
      <c r="T668" s="21" t="inlineStr">
        <is>
          <t>Ригели, балки, плита, С-1</t>
        </is>
      </c>
      <c r="U668" s="49" t="n">
        <v>0</v>
      </c>
      <c r="V668" s="72" t="inlineStr">
        <is>
          <t>Р-3</t>
        </is>
      </c>
      <c r="W668" s="49" t="n">
        <v>2</v>
      </c>
    </row>
    <row r="669">
      <c r="A669" s="72" t="n">
        <v>653</v>
      </c>
      <c r="B669" s="21" t="inlineStr">
        <is>
          <t>2 этаж (отм. +3.950…+7.550)</t>
        </is>
      </c>
      <c r="C669" s="21" t="inlineStr">
        <is>
          <t>Ригели</t>
        </is>
      </c>
      <c r="D669" s="21" t="inlineStr">
        <is>
          <t>ось 3 (отм. +7.550)</t>
        </is>
      </c>
      <c r="E669" s="21" t="inlineStr">
        <is>
          <t>Р-3</t>
        </is>
      </c>
      <c r="F669" s="72" t="inlineStr">
        <is>
          <t>ОС</t>
        </is>
      </c>
      <c r="G669" s="21" t="inlineStr">
        <is>
          <t>Ос (бок) бок: 4Ø12, участок 18200…20000 мм + 250 до торца</t>
        </is>
      </c>
      <c r="H669" s="51" t="n">
        <v>12</v>
      </c>
      <c r="I669" s="72" t="inlineStr">
        <is>
          <t>А500С</t>
        </is>
      </c>
      <c r="J669" s="72" t="inlineStr">
        <is>
          <t>—</t>
        </is>
      </c>
      <c r="K669" s="75" t="n">
        <v>1</v>
      </c>
      <c r="L669" s="51" t="n">
        <v>4</v>
      </c>
      <c r="M669" s="69" t="n">
        <v>2.05</v>
      </c>
      <c r="N669" s="70">
        <f>K669*L669*M669</f>
        <v/>
      </c>
      <c r="O669" s="37">
        <f>IFERROR(INDEX(Исходные!$B$19:$B$31,MATCH(H669,Исходные!$A$19:$A$31,0)),0)</f>
        <v/>
      </c>
      <c r="P669" s="76">
        <f>N669*O669</f>
        <v/>
      </c>
      <c r="Q669" s="21" t="inlineStr">
        <is>
          <t>АС-26 (отм. 7.550): выноска «Ос (бок) 4Ø12 А500С»; длина по привязкам отдельных стержней</t>
        </is>
      </c>
      <c r="R669" s="77" t="inlineStr">
        <is>
          <t>по геометрии чертежа</t>
        </is>
      </c>
      <c r="S669" s="21" t="inlineStr">
        <is>
          <t>Координаты от оси А: 18200…20000 мм; конец до торца крайней колонны (+250)</t>
        </is>
      </c>
      <c r="T669" s="21" t="inlineStr">
        <is>
          <t>Ригели, балки, плита, С-1</t>
        </is>
      </c>
      <c r="U669" s="49" t="n">
        <v>0</v>
      </c>
      <c r="V669" s="72" t="inlineStr">
        <is>
          <t>Р-3</t>
        </is>
      </c>
      <c r="W669" s="49" t="n">
        <v>2</v>
      </c>
    </row>
    <row r="670">
      <c r="A670" s="72" t="n">
        <v>654</v>
      </c>
      <c r="B670" s="21" t="inlineStr">
        <is>
          <t>2 этаж (отм. +3.950…+7.550)</t>
        </is>
      </c>
      <c r="C670" s="21" t="inlineStr">
        <is>
          <t>Ригели</t>
        </is>
      </c>
      <c r="D670" s="21" t="inlineStr">
        <is>
          <t>ось 3 (отм. +7.550)</t>
        </is>
      </c>
      <c r="E670" s="21" t="inlineStr">
        <is>
          <t>Р-3</t>
        </is>
      </c>
      <c r="F670" s="72" t="inlineStr">
        <is>
          <t>12</t>
        </is>
      </c>
      <c r="G670" s="21" t="inlineStr">
        <is>
          <t>Хомут Ø8 L=2060 ш.100 у опор, ш.150 в пролёте, 80×4 у балок — вне заштрихованных участков</t>
        </is>
      </c>
      <c r="H670" s="51" t="n">
        <v>8</v>
      </c>
      <c r="I670" s="72" t="inlineStr">
        <is>
          <t>А240</t>
        </is>
      </c>
      <c r="J670" s="72" t="inlineStr">
        <is>
          <t>100/150</t>
        </is>
      </c>
      <c r="K670" s="75" t="n">
        <v>1</v>
      </c>
      <c r="L670" s="51" t="n">
        <v>52</v>
      </c>
      <c r="M670" s="69" t="n">
        <v>2.06</v>
      </c>
      <c r="N670" s="70">
        <f>K670*L670*M670</f>
        <v/>
      </c>
      <c r="O670" s="37">
        <f>IFERROR(INDEX(Исходные!$B$19:$B$31,MATCH(H670,Исходные!$A$19:$A$31,0)),0)</f>
        <v/>
      </c>
      <c r="P670" s="76">
        <f>N670*O670</f>
        <v/>
      </c>
      <c r="Q670" s="21" t="inlineStr">
        <is>
          <t>АС-28 поз.12; АС-29 «Расстановка хомутов в ригелях»</t>
        </is>
      </c>
      <c r="R670" s="77" t="inlineStr">
        <is>
          <t>по проекту</t>
        </is>
      </c>
      <c r="S670" s="21" t="inlineStr">
        <is>
          <t>Пролёты в свету [(300, 6200), (6800, 13200), (13800, 19700)]</t>
        </is>
      </c>
      <c r="T670" s="21" t="inlineStr">
        <is>
          <t>Ригели, балки, плита, С-1</t>
        </is>
      </c>
      <c r="U670" s="49" t="n">
        <v>0</v>
      </c>
      <c r="V670" s="72" t="inlineStr">
        <is>
          <t>Р-3</t>
        </is>
      </c>
      <c r="W670" s="49" t="n">
        <v>2</v>
      </c>
    </row>
    <row r="671">
      <c r="A671" s="72" t="n">
        <v>655</v>
      </c>
      <c r="B671" s="21" t="inlineStr">
        <is>
          <t>2 этаж (отм. +3.950…+7.550)</t>
        </is>
      </c>
      <c r="C671" s="21" t="inlineStr">
        <is>
          <t>Ригели</t>
        </is>
      </c>
      <c r="D671" s="21" t="inlineStr">
        <is>
          <t>ось 3 (отм. +7.550)</t>
        </is>
      </c>
      <c r="E671" s="21" t="inlineStr">
        <is>
          <t>Р-3</t>
        </is>
      </c>
      <c r="F671" s="72" t="inlineStr">
        <is>
          <t>13</t>
        </is>
      </c>
      <c r="G671" s="21" t="inlineStr">
        <is>
          <t>Хомут наружный Ø10 L=2060 ш.100 — заштрихованные участки</t>
        </is>
      </c>
      <c r="H671" s="51" t="n">
        <v>10</v>
      </c>
      <c r="I671" s="72" t="inlineStr">
        <is>
          <t>А240</t>
        </is>
      </c>
      <c r="J671" s="72" t="n">
        <v>100</v>
      </c>
      <c r="K671" s="75" t="n">
        <v>1</v>
      </c>
      <c r="L671" s="51" t="n">
        <v>106</v>
      </c>
      <c r="M671" s="69" t="n">
        <v>2.06</v>
      </c>
      <c r="N671" s="70">
        <f>K671*L671*M671</f>
        <v/>
      </c>
      <c r="O671" s="37">
        <f>IFERROR(INDEX(Исходные!$B$19:$B$31,MATCH(H671,Исходные!$A$19:$A$31,0)),0)</f>
        <v/>
      </c>
      <c r="P671" s="76">
        <f>N671*O671</f>
        <v/>
      </c>
      <c r="Q671" s="21" t="inlineStr">
        <is>
          <t>АС-26 штриховка у отм. 7.550; АС-28 Фрагмент №1, поз.13</t>
        </is>
      </c>
      <c r="R671" s="77" t="inlineStr">
        <is>
          <t>по проекту</t>
        </is>
      </c>
      <c r="S671" s="21" t="inlineStr">
        <is>
          <t>Участки (мм): одинарные [(0, 1500), (5000, 6500), (8500, 9400), (10400, 11400), (13500, 15000)], двойные [(6500, 8500), (11400, 13500), (18200, 20000)]</t>
        </is>
      </c>
      <c r="T671" s="21" t="inlineStr">
        <is>
          <t>Ригели, балки, плита, С-1</t>
        </is>
      </c>
      <c r="U671" s="49" t="n">
        <v>0</v>
      </c>
      <c r="V671" s="72" t="inlineStr">
        <is>
          <t>Р-3</t>
        </is>
      </c>
      <c r="W671" s="49" t="n">
        <v>2</v>
      </c>
    </row>
    <row r="672">
      <c r="A672" s="72" t="n">
        <v>656</v>
      </c>
      <c r="B672" s="21" t="inlineStr">
        <is>
          <t>2 этаж (отм. +3.950…+7.550)</t>
        </is>
      </c>
      <c r="C672" s="21" t="inlineStr">
        <is>
          <t>Ригели</t>
        </is>
      </c>
      <c r="D672" s="21" t="inlineStr">
        <is>
          <t>ось 3 (отм. +7.550)</t>
        </is>
      </c>
      <c r="E672" s="21" t="inlineStr">
        <is>
          <t>Р-3</t>
        </is>
      </c>
      <c r="F672" s="72" t="inlineStr">
        <is>
          <t>15</t>
        </is>
      </c>
      <c r="G672" s="21" t="inlineStr">
        <is>
          <t>Хомут внутренний Ø10 L=1600 ш.100 — участки двойных хомутов</t>
        </is>
      </c>
      <c r="H672" s="51" t="n">
        <v>10</v>
      </c>
      <c r="I672" s="72" t="inlineStr">
        <is>
          <t>А240</t>
        </is>
      </c>
      <c r="J672" s="72" t="n">
        <v>100</v>
      </c>
      <c r="K672" s="75" t="n">
        <v>1</v>
      </c>
      <c r="L672" s="51" t="n">
        <v>51</v>
      </c>
      <c r="M672" s="69" t="n">
        <v>1.6</v>
      </c>
      <c r="N672" s="70">
        <f>K672*L672*M672</f>
        <v/>
      </c>
      <c r="O672" s="37">
        <f>IFERROR(INDEX(Исходные!$B$19:$B$31,MATCH(H672,Исходные!$A$19:$A$31,0)),0)</f>
        <v/>
      </c>
      <c r="P672" s="76">
        <f>N672*O672</f>
        <v/>
      </c>
      <c r="Q672" s="21" t="inlineStr">
        <is>
          <t>АС-26 двойная штриховка; АС-28 Фрагмент №1, поз.15</t>
        </is>
      </c>
      <c r="R672" s="77" t="inlineStr">
        <is>
          <t>по проекту</t>
        </is>
      </c>
      <c r="S672" s="21" t="inlineStr"/>
      <c r="T672" s="21" t="inlineStr">
        <is>
          <t>Ригели, балки, плита, С-1</t>
        </is>
      </c>
      <c r="U672" s="49" t="n">
        <v>0</v>
      </c>
      <c r="V672" s="72" t="inlineStr">
        <is>
          <t>Р-3</t>
        </is>
      </c>
      <c r="W672" s="49" t="n">
        <v>2</v>
      </c>
    </row>
    <row r="673">
      <c r="A673" s="72" t="n">
        <v>657</v>
      </c>
      <c r="B673" s="21" t="inlineStr">
        <is>
          <t>2 этаж (отм. +3.950…+7.550)</t>
        </is>
      </c>
      <c r="C673" s="21" t="inlineStr">
        <is>
          <t>Ригели</t>
        </is>
      </c>
      <c r="D673" s="21" t="inlineStr">
        <is>
          <t>ось 3 (отм. +7.550)</t>
        </is>
      </c>
      <c r="E673" s="21" t="inlineStr">
        <is>
          <t>Р-3</t>
        </is>
      </c>
      <c r="F673" s="72" t="inlineStr">
        <is>
          <t>17</t>
        </is>
      </c>
      <c r="G673" s="21" t="inlineStr">
        <is>
          <t>Шпилька вертикальная Ø8 L=750: ш.200 у опор, ш.150 в пролёте</t>
        </is>
      </c>
      <c r="H673" s="51" t="n">
        <v>8</v>
      </c>
      <c r="I673" s="72" t="inlineStr">
        <is>
          <t>А240</t>
        </is>
      </c>
      <c r="J673" s="72" t="inlineStr">
        <is>
          <t>200/150</t>
        </is>
      </c>
      <c r="K673" s="75" t="n">
        <v>1</v>
      </c>
      <c r="L673" s="51" t="n">
        <v>72</v>
      </c>
      <c r="M673" s="69" t="n">
        <v>0.75</v>
      </c>
      <c r="N673" s="70">
        <f>K673*L673*M673</f>
        <v/>
      </c>
      <c r="O673" s="37">
        <f>IFERROR(INDEX(Исходные!$B$19:$B$31,MATCH(H673,Исходные!$A$19:$A$31,0)),0)</f>
        <v/>
      </c>
      <c r="P673" s="76">
        <f>N673*O673</f>
        <v/>
      </c>
      <c r="Q673" s="21" t="inlineStr">
        <is>
          <t>АС-28 сеч.4-4/5-5 поз.17</t>
        </is>
      </c>
      <c r="R673" s="77" t="inlineStr">
        <is>
          <t>по проекту</t>
        </is>
      </c>
      <c r="S673" s="21" t="inlineStr"/>
      <c r="T673" s="21" t="inlineStr">
        <is>
          <t>Ригели, балки, плита, С-1</t>
        </is>
      </c>
      <c r="U673" s="49" t="n">
        <v>0</v>
      </c>
      <c r="V673" s="72" t="inlineStr">
        <is>
          <t>Р-3</t>
        </is>
      </c>
      <c r="W673" s="49" t="n">
        <v>2</v>
      </c>
    </row>
    <row r="674">
      <c r="A674" s="72" t="n">
        <v>658</v>
      </c>
      <c r="B674" s="21" t="inlineStr">
        <is>
          <t>2 этаж (отм. +3.950…+7.550)</t>
        </is>
      </c>
      <c r="C674" s="21" t="inlineStr">
        <is>
          <t>Ригели</t>
        </is>
      </c>
      <c r="D674" s="21" t="inlineStr">
        <is>
          <t>ось 3 (отм. +7.550)</t>
        </is>
      </c>
      <c r="E674" s="21" t="inlineStr">
        <is>
          <t>Р-3</t>
        </is>
      </c>
      <c r="F674" s="72" t="inlineStr">
        <is>
          <t>16</t>
        </is>
      </c>
      <c r="G674" s="21" t="inlineStr">
        <is>
          <t>Шпилька горизонтальная Ø8 L=580 ш.300</t>
        </is>
      </c>
      <c r="H674" s="51" t="n">
        <v>8</v>
      </c>
      <c r="I674" s="72" t="inlineStr">
        <is>
          <t>А240</t>
        </is>
      </c>
      <c r="J674" s="72" t="n">
        <v>300</v>
      </c>
      <c r="K674" s="75" t="n">
        <v>1</v>
      </c>
      <c r="L674" s="51" t="n">
        <v>62</v>
      </c>
      <c r="M674" s="69" t="n">
        <v>0.58</v>
      </c>
      <c r="N674" s="70">
        <f>K674*L674*M674</f>
        <v/>
      </c>
      <c r="O674" s="37">
        <f>IFERROR(INDEX(Исходные!$B$19:$B$31,MATCH(H674,Исходные!$A$19:$A$31,0)),0)</f>
        <v/>
      </c>
      <c r="P674" s="76">
        <f>N674*O674</f>
        <v/>
      </c>
      <c r="Q674" s="21" t="inlineStr">
        <is>
          <t>АС-28 «шп.Ø8 А240 ш.300», поз.16 L=580</t>
        </is>
      </c>
      <c r="R674" s="78" t="inlineStr">
        <is>
          <t>принято (уточнить)</t>
        </is>
      </c>
      <c r="S674" s="21" t="inlineStr"/>
      <c r="T674" s="21" t="inlineStr">
        <is>
          <t>Ригели, балки, плита, С-1</t>
        </is>
      </c>
      <c r="U674" s="49" t="n">
        <v>1</v>
      </c>
      <c r="V674" s="72" t="inlineStr">
        <is>
          <t>Р-3</t>
        </is>
      </c>
      <c r="W674" s="49" t="n">
        <v>2</v>
      </c>
    </row>
    <row r="675">
      <c r="A675" s="72" t="n">
        <v>659</v>
      </c>
      <c r="B675" s="21" t="inlineStr">
        <is>
          <t>2 этаж (отм. +3.950…+7.550)</t>
        </is>
      </c>
      <c r="C675" s="21" t="inlineStr">
        <is>
          <t>Ригели</t>
        </is>
      </c>
      <c r="D675" s="21" t="inlineStr">
        <is>
          <t>ось 4 (отм. +7.550)</t>
        </is>
      </c>
      <c r="E675" s="21" t="inlineStr">
        <is>
          <t>Р-4</t>
        </is>
      </c>
      <c r="F675" s="72" t="inlineStr">
        <is>
          <t>2</t>
        </is>
      </c>
      <c r="G675" s="21" t="inlineStr">
        <is>
          <t>Продольные угловые 4Ø28 (сеч.4-4/5-5), сквозные, концы с Аш</t>
        </is>
      </c>
      <c r="H675" s="51" t="n">
        <v>28</v>
      </c>
      <c r="I675" s="72" t="inlineStr">
        <is>
          <t>А500С</t>
        </is>
      </c>
      <c r="J675" s="72" t="inlineStr">
        <is>
          <t>—</t>
        </is>
      </c>
      <c r="K675" s="75" t="n">
        <v>1</v>
      </c>
      <c r="L675" s="51" t="n">
        <v>4</v>
      </c>
      <c r="M675" s="69" t="n">
        <v>20.5</v>
      </c>
      <c r="N675" s="70">
        <f>K675*L675*M675</f>
        <v/>
      </c>
      <c r="O675" s="37">
        <f>IFERROR(INDEX(Исходные!$B$19:$B$31,MATCH(H675,Исходные!$A$19:$A$31,0)),0)</f>
        <v/>
      </c>
      <c r="P675" s="76">
        <f>N675*O675</f>
        <v/>
      </c>
      <c r="Q675" s="21" t="inlineStr">
        <is>
          <t>АС-27 рама + АС-28 сеч.4-4/5-5 поз.2; длина = 20000+2×250</t>
        </is>
      </c>
      <c r="R675" s="77" t="inlineStr">
        <is>
          <t>по геометрии чертежа</t>
        </is>
      </c>
      <c r="S675" s="21" t="inlineStr">
        <is>
          <t>Стыки ванной сваркой без нахлёста: 1 на стержень (всего 4).</t>
        </is>
      </c>
      <c r="T675" s="21" t="inlineStr">
        <is>
          <t>Ригели, балки, плита, С-1</t>
        </is>
      </c>
      <c r="U675" s="49" t="n">
        <v>0</v>
      </c>
      <c r="V675" s="72" t="inlineStr">
        <is>
          <t>Р-4</t>
        </is>
      </c>
      <c r="W675" s="49" t="n">
        <v>2</v>
      </c>
    </row>
    <row r="676">
      <c r="A676" s="72" t="n">
        <v>660</v>
      </c>
      <c r="B676" s="21" t="inlineStr">
        <is>
          <t>2 этаж (отм. +3.950…+7.550)</t>
        </is>
      </c>
      <c r="C676" s="21" t="inlineStr">
        <is>
          <t>Ригели</t>
        </is>
      </c>
      <c r="D676" s="21" t="inlineStr">
        <is>
          <t>ось 4 (отм. +7.550)</t>
        </is>
      </c>
      <c r="E676" s="21" t="inlineStr">
        <is>
          <t>Р-4</t>
        </is>
      </c>
      <c r="F676" s="72" t="inlineStr">
        <is>
          <t>6</t>
        </is>
      </c>
      <c r="G676" s="21" t="inlineStr">
        <is>
          <t>Продольные средние верх/низ 2Ø18 (сеч.4-4/5-5)</t>
        </is>
      </c>
      <c r="H676" s="51" t="n">
        <v>18</v>
      </c>
      <c r="I676" s="72" t="inlineStr">
        <is>
          <t>А500С</t>
        </is>
      </c>
      <c r="J676" s="72" t="inlineStr">
        <is>
          <t>—</t>
        </is>
      </c>
      <c r="K676" s="75" t="n">
        <v>1</v>
      </c>
      <c r="L676" s="51" t="n">
        <v>2</v>
      </c>
      <c r="M676" s="69" t="n">
        <v>20.5</v>
      </c>
      <c r="N676" s="70">
        <f>K676*L676*M676</f>
        <v/>
      </c>
      <c r="O676" s="37">
        <f>IFERROR(INDEX(Исходные!$B$19:$B$31,MATCH(H676,Исходные!$A$19:$A$31,0)),0)</f>
        <v/>
      </c>
      <c r="P676" s="76">
        <f>N676*O676</f>
        <v/>
      </c>
      <c r="Q676" s="21" t="inlineStr">
        <is>
          <t>АС-28 сеч.4-4/5-5 поз.6</t>
        </is>
      </c>
      <c r="R676" s="77" t="inlineStr">
        <is>
          <t>по геометрии чертежа</t>
        </is>
      </c>
      <c r="S676" s="21" t="inlineStr"/>
      <c r="T676" s="21" t="inlineStr">
        <is>
          <t>Ригели, балки, плита, С-1</t>
        </is>
      </c>
      <c r="U676" s="49" t="n">
        <v>0</v>
      </c>
      <c r="V676" s="72" t="inlineStr">
        <is>
          <t>Р-4</t>
        </is>
      </c>
      <c r="W676" s="49" t="n">
        <v>2</v>
      </c>
    </row>
    <row r="677">
      <c r="A677" s="72" t="n">
        <v>661</v>
      </c>
      <c r="B677" s="21" t="inlineStr">
        <is>
          <t>2 этаж (отм. +3.950…+7.550)</t>
        </is>
      </c>
      <c r="C677" s="21" t="inlineStr">
        <is>
          <t>Ригели</t>
        </is>
      </c>
      <c r="D677" s="21" t="inlineStr">
        <is>
          <t>ось 4 (отм. +7.550)</t>
        </is>
      </c>
      <c r="E677" s="21" t="inlineStr">
        <is>
          <t>Р-4</t>
        </is>
      </c>
      <c r="F677" s="72" t="inlineStr">
        <is>
          <t>6-нахл</t>
        </is>
      </c>
      <c r="G677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677" s="51" t="n">
        <v>18</v>
      </c>
      <c r="I677" s="72" t="inlineStr">
        <is>
          <t>А500С</t>
        </is>
      </c>
      <c r="J677" s="72" t="inlineStr">
        <is>
          <t>—</t>
        </is>
      </c>
      <c r="K677" s="75" t="n">
        <v>2</v>
      </c>
      <c r="L677" s="51" t="n">
        <v>1</v>
      </c>
      <c r="M677" s="69" t="n">
        <v>0.144</v>
      </c>
      <c r="N677" s="70">
        <f>K677*L677*M677</f>
        <v/>
      </c>
      <c r="O677" s="37">
        <f>IFERROR(INDEX(Исходные!$B$19:$B$31,MATCH(H677,Исходные!$A$19:$A$31,0)),0)</f>
        <v/>
      </c>
      <c r="P677" s="76">
        <f>N677*O677</f>
        <v/>
      </c>
      <c r="Q677" s="21" t="inlineStr">
        <is>
          <t>АС-19 прим.1: Ø18 и менее — внахлёстку электродуговой сваркой, Lшва=8d = 144 мм</t>
        </is>
      </c>
      <c r="R677" s="77" t="inlineStr">
        <is>
          <t>по проекту (стыковка прутков 11,7 м)</t>
        </is>
      </c>
      <c r="S677" s="21" t="inlineStr">
        <is>
          <t>Чистая длина 20.500 м; кусков 2; стыков 1; Lнахл=1×0.144=0.144 м на стержень</t>
        </is>
      </c>
      <c r="T677" s="21" t="inlineStr">
        <is>
          <t>Ригели, балки, плита, С-1</t>
        </is>
      </c>
      <c r="U677" s="49" t="n">
        <v>0</v>
      </c>
      <c r="V677" s="72" t="inlineStr">
        <is>
          <t>Р-4</t>
        </is>
      </c>
      <c r="W677" s="49" t="n">
        <v>2</v>
      </c>
    </row>
    <row r="678">
      <c r="A678" s="72" t="n">
        <v>662</v>
      </c>
      <c r="B678" s="21" t="inlineStr">
        <is>
          <t>2 этаж (отм. +3.950…+7.550)</t>
        </is>
      </c>
      <c r="C678" s="21" t="inlineStr">
        <is>
          <t>Ригели</t>
        </is>
      </c>
      <c r="D678" s="21" t="inlineStr">
        <is>
          <t>ось 4 (отм. +7.550)</t>
        </is>
      </c>
      <c r="E678" s="21" t="inlineStr">
        <is>
          <t>Р-4</t>
        </is>
      </c>
      <c r="F678" s="72" t="inlineStr">
        <is>
          <t>7</t>
        </is>
      </c>
      <c r="G678" s="21" t="inlineStr">
        <is>
          <t>Боковые стержни 2Ø16 (сеч.4-4/5-5)</t>
        </is>
      </c>
      <c r="H678" s="51" t="n">
        <v>16</v>
      </c>
      <c r="I678" s="72" t="inlineStr">
        <is>
          <t>А500С</t>
        </is>
      </c>
      <c r="J678" s="72" t="inlineStr">
        <is>
          <t>—</t>
        </is>
      </c>
      <c r="K678" s="75" t="n">
        <v>1</v>
      </c>
      <c r="L678" s="51" t="n">
        <v>2</v>
      </c>
      <c r="M678" s="69" t="n">
        <v>20.5</v>
      </c>
      <c r="N678" s="70">
        <f>K678*L678*M678</f>
        <v/>
      </c>
      <c r="O678" s="37">
        <f>IFERROR(INDEX(Исходные!$B$19:$B$31,MATCH(H678,Исходные!$A$19:$A$31,0)),0)</f>
        <v/>
      </c>
      <c r="P678" s="76">
        <f>N678*O678</f>
        <v/>
      </c>
      <c r="Q678" s="21" t="inlineStr">
        <is>
          <t>АС-28 сеч.4-4/5-5 «Боковые стержни 2Ø16»</t>
        </is>
      </c>
      <c r="R678" s="77" t="inlineStr">
        <is>
          <t>по геометрии чертежа</t>
        </is>
      </c>
      <c r="S678" s="21" t="inlineStr"/>
      <c r="T678" s="21" t="inlineStr">
        <is>
          <t>Ригели, балки, плита, С-1</t>
        </is>
      </c>
      <c r="U678" s="49" t="n">
        <v>0</v>
      </c>
      <c r="V678" s="72" t="inlineStr">
        <is>
          <t>Р-4</t>
        </is>
      </c>
      <c r="W678" s="49" t="n">
        <v>2</v>
      </c>
    </row>
    <row r="679">
      <c r="A679" s="72" t="n">
        <v>663</v>
      </c>
      <c r="B679" s="21" t="inlineStr">
        <is>
          <t>2 этаж (отм. +3.950…+7.550)</t>
        </is>
      </c>
      <c r="C679" s="21" t="inlineStr">
        <is>
          <t>Ригели</t>
        </is>
      </c>
      <c r="D679" s="21" t="inlineStr">
        <is>
          <t>ось 4 (отм. +7.550)</t>
        </is>
      </c>
      <c r="E679" s="21" t="inlineStr">
        <is>
          <t>Р-4</t>
        </is>
      </c>
      <c r="F679" s="72" t="inlineStr">
        <is>
          <t>7-нахл</t>
        </is>
      </c>
      <c r="G679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679" s="51" t="n">
        <v>16</v>
      </c>
      <c r="I679" s="72" t="inlineStr">
        <is>
          <t>А500С</t>
        </is>
      </c>
      <c r="J679" s="72" t="inlineStr">
        <is>
          <t>—</t>
        </is>
      </c>
      <c r="K679" s="75" t="n">
        <v>2</v>
      </c>
      <c r="L679" s="51" t="n">
        <v>1</v>
      </c>
      <c r="M679" s="69" t="n">
        <v>0.128</v>
      </c>
      <c r="N679" s="70">
        <f>K679*L679*M679</f>
        <v/>
      </c>
      <c r="O679" s="37">
        <f>IFERROR(INDEX(Исходные!$B$19:$B$31,MATCH(H679,Исходные!$A$19:$A$31,0)),0)</f>
        <v/>
      </c>
      <c r="P679" s="76">
        <f>N679*O679</f>
        <v/>
      </c>
      <c r="Q679" s="21" t="inlineStr">
        <is>
          <t>АС-19 прим.1: Ø18 и менее — внахлёстку электродуговой сваркой, Lшва=8d = 128 мм</t>
        </is>
      </c>
      <c r="R679" s="77" t="inlineStr">
        <is>
          <t>по проекту (стыковка прутков 11,7 м)</t>
        </is>
      </c>
      <c r="S679" s="21" t="inlineStr">
        <is>
          <t>Чистая длина 20.500 м; кусков 2; стыков 1; Lнахл=1×0.128=0.128 м на стержень</t>
        </is>
      </c>
      <c r="T679" s="21" t="inlineStr">
        <is>
          <t>Ригели, балки, плита, С-1</t>
        </is>
      </c>
      <c r="U679" s="49" t="n">
        <v>0</v>
      </c>
      <c r="V679" s="72" t="inlineStr">
        <is>
          <t>Р-4</t>
        </is>
      </c>
      <c r="W679" s="49" t="n">
        <v>2</v>
      </c>
    </row>
    <row r="680">
      <c r="A680" s="72" t="n">
        <v>664</v>
      </c>
      <c r="B680" s="21" t="inlineStr">
        <is>
          <t>2 этаж (отм. +3.950…+7.550)</t>
        </is>
      </c>
      <c r="C680" s="21" t="inlineStr">
        <is>
          <t>Ригели</t>
        </is>
      </c>
      <c r="D680" s="21" t="inlineStr">
        <is>
          <t>ось 4 (отм. +7.550)</t>
        </is>
      </c>
      <c r="E680" s="21" t="inlineStr">
        <is>
          <t>Р-4</t>
        </is>
      </c>
      <c r="F680" s="72" t="inlineStr">
        <is>
          <t>ОС</t>
        </is>
      </c>
      <c r="G680" s="21" t="inlineStr">
        <is>
          <t>ОС верх: 2Ø25, участок 1000…3400 мм</t>
        </is>
      </c>
      <c r="H680" s="51" t="n">
        <v>25</v>
      </c>
      <c r="I680" s="72" t="inlineStr">
        <is>
          <t>А500С</t>
        </is>
      </c>
      <c r="J680" s="72" t="inlineStr">
        <is>
          <t>—</t>
        </is>
      </c>
      <c r="K680" s="75" t="n">
        <v>1</v>
      </c>
      <c r="L680" s="51" t="n">
        <v>2</v>
      </c>
      <c r="M680" s="69" t="n">
        <v>2.4</v>
      </c>
      <c r="N680" s="70">
        <f>K680*L680*M680</f>
        <v/>
      </c>
      <c r="O680" s="37">
        <f>IFERROR(INDEX(Исходные!$B$19:$B$31,MATCH(H680,Исходные!$A$19:$A$31,0)),0)</f>
        <v/>
      </c>
      <c r="P680" s="76">
        <f>N680*O680</f>
        <v/>
      </c>
      <c r="Q680" s="21" t="inlineStr">
        <is>
          <t>АС-27 (отм. 7.550): выноска «ОС 2Ø25 А500С»; длина по привязкам отдельных стержней</t>
        </is>
      </c>
      <c r="R680" s="77" t="inlineStr">
        <is>
          <t>по геометрии чертежа</t>
        </is>
      </c>
      <c r="S680" s="21" t="inlineStr">
        <is>
          <t>Координаты от оси А: 1000…3400 мм</t>
        </is>
      </c>
      <c r="T680" s="21" t="inlineStr">
        <is>
          <t>Ригели, балки, плита, С-1</t>
        </is>
      </c>
      <c r="U680" s="49" t="n">
        <v>0</v>
      </c>
      <c r="V680" s="72" t="inlineStr">
        <is>
          <t>Р-4</t>
        </is>
      </c>
      <c r="W680" s="49" t="n">
        <v>2</v>
      </c>
    </row>
    <row r="681">
      <c r="A681" s="72" t="n">
        <v>665</v>
      </c>
      <c r="B681" s="21" t="inlineStr">
        <is>
          <t>2 этаж (отм. +3.950…+7.550)</t>
        </is>
      </c>
      <c r="C681" s="21" t="inlineStr">
        <is>
          <t>Ригели</t>
        </is>
      </c>
      <c r="D681" s="21" t="inlineStr">
        <is>
          <t>ось 4 (отм. +7.550)</t>
        </is>
      </c>
      <c r="E681" s="21" t="inlineStr">
        <is>
          <t>Р-4</t>
        </is>
      </c>
      <c r="F681" s="72" t="inlineStr">
        <is>
          <t>ОС</t>
        </is>
      </c>
      <c r="G681" s="21" t="inlineStr">
        <is>
          <t>ОС верх ств.: 2Ø25, участок 1000…3400 мм</t>
        </is>
      </c>
      <c r="H681" s="51" t="n">
        <v>25</v>
      </c>
      <c r="I681" s="72" t="inlineStr">
        <is>
          <t>А500С</t>
        </is>
      </c>
      <c r="J681" s="72" t="inlineStr">
        <is>
          <t>—</t>
        </is>
      </c>
      <c r="K681" s="75" t="n">
        <v>1</v>
      </c>
      <c r="L681" s="51" t="n">
        <v>2</v>
      </c>
      <c r="M681" s="69" t="n">
        <v>2.4</v>
      </c>
      <c r="N681" s="70">
        <f>K681*L681*M681</f>
        <v/>
      </c>
      <c r="O681" s="37">
        <f>IFERROR(INDEX(Исходные!$B$19:$B$31,MATCH(H681,Исходные!$A$19:$A$31,0)),0)</f>
        <v/>
      </c>
      <c r="P681" s="76">
        <f>N681*O681</f>
        <v/>
      </c>
      <c r="Q681" s="21" t="inlineStr">
        <is>
          <t>АС-27 (отм. 7.550): выноска «ОС 2Ø25 А500С»; длина по привязкам отдельных стержней</t>
        </is>
      </c>
      <c r="R681" s="77" t="inlineStr">
        <is>
          <t>по геометрии чертежа</t>
        </is>
      </c>
      <c r="S681" s="21" t="inlineStr">
        <is>
          <t>Координаты от оси А: 1000…3400 мм</t>
        </is>
      </c>
      <c r="T681" s="21" t="inlineStr">
        <is>
          <t>Ригели, балки, плита, С-1</t>
        </is>
      </c>
      <c r="U681" s="49" t="n">
        <v>0</v>
      </c>
      <c r="V681" s="72" t="inlineStr">
        <is>
          <t>Р-4</t>
        </is>
      </c>
      <c r="W681" s="49" t="n">
        <v>2</v>
      </c>
    </row>
    <row r="682">
      <c r="A682" s="72" t="n">
        <v>666</v>
      </c>
      <c r="B682" s="21" t="inlineStr">
        <is>
          <t>2 этаж (отм. +3.950…+7.550)</t>
        </is>
      </c>
      <c r="C682" s="21" t="inlineStr">
        <is>
          <t>Ригели</t>
        </is>
      </c>
      <c r="D682" s="21" t="inlineStr">
        <is>
          <t>ось 4 (отм. +7.550)</t>
        </is>
      </c>
      <c r="E682" s="21" t="inlineStr">
        <is>
          <t>Р-4</t>
        </is>
      </c>
      <c r="F682" s="72" t="inlineStr">
        <is>
          <t>ОС</t>
        </is>
      </c>
      <c r="G682" s="21" t="inlineStr">
        <is>
          <t>ОС верх: 2Ø32, участок 5100…8500 мм</t>
        </is>
      </c>
      <c r="H682" s="51" t="n">
        <v>32</v>
      </c>
      <c r="I682" s="72" t="inlineStr">
        <is>
          <t>А500С</t>
        </is>
      </c>
      <c r="J682" s="72" t="inlineStr">
        <is>
          <t>—</t>
        </is>
      </c>
      <c r="K682" s="75" t="n">
        <v>1</v>
      </c>
      <c r="L682" s="51" t="n">
        <v>2</v>
      </c>
      <c r="M682" s="69" t="n">
        <v>3.4</v>
      </c>
      <c r="N682" s="70">
        <f>K682*L682*M682</f>
        <v/>
      </c>
      <c r="O682" s="37">
        <f>IFERROR(INDEX(Исходные!$B$19:$B$31,MATCH(H682,Исходные!$A$19:$A$31,0)),0)</f>
        <v/>
      </c>
      <c r="P682" s="76">
        <f>N682*O682</f>
        <v/>
      </c>
      <c r="Q682" s="21" t="inlineStr">
        <is>
          <t>АС-27 (отм. 7.550): выноска «ОС 2Ø32 А500С»; длина по привязкам отдельных стержней</t>
        </is>
      </c>
      <c r="R682" s="77" t="inlineStr">
        <is>
          <t>по геометрии чертежа</t>
        </is>
      </c>
      <c r="S682" s="21" t="inlineStr">
        <is>
          <t>Координаты от оси А: 5100…8500 мм</t>
        </is>
      </c>
      <c r="T682" s="21" t="inlineStr">
        <is>
          <t>Ригели, балки, плита, С-1</t>
        </is>
      </c>
      <c r="U682" s="49" t="n">
        <v>0</v>
      </c>
      <c r="V682" s="72" t="inlineStr">
        <is>
          <t>Р-4</t>
        </is>
      </c>
      <c r="W682" s="49" t="n">
        <v>2</v>
      </c>
    </row>
    <row r="683">
      <c r="A683" s="72" t="n">
        <v>667</v>
      </c>
      <c r="B683" s="21" t="inlineStr">
        <is>
          <t>2 этаж (отм. +3.950…+7.550)</t>
        </is>
      </c>
      <c r="C683" s="21" t="inlineStr">
        <is>
          <t>Ригели</t>
        </is>
      </c>
      <c r="D683" s="21" t="inlineStr">
        <is>
          <t>ось 4 (отм. +7.550)</t>
        </is>
      </c>
      <c r="E683" s="21" t="inlineStr">
        <is>
          <t>Р-4</t>
        </is>
      </c>
      <c r="F683" s="72" t="inlineStr">
        <is>
          <t>ОС</t>
        </is>
      </c>
      <c r="G683" s="21" t="inlineStr">
        <is>
          <t>ОС верх: 2Ø32, участок 11500…15100 мм</t>
        </is>
      </c>
      <c r="H683" s="51" t="n">
        <v>32</v>
      </c>
      <c r="I683" s="72" t="inlineStr">
        <is>
          <t>А500С</t>
        </is>
      </c>
      <c r="J683" s="72" t="inlineStr">
        <is>
          <t>—</t>
        </is>
      </c>
      <c r="K683" s="75" t="n">
        <v>1</v>
      </c>
      <c r="L683" s="51" t="n">
        <v>2</v>
      </c>
      <c r="M683" s="69" t="n">
        <v>3.6</v>
      </c>
      <c r="N683" s="70">
        <f>K683*L683*M683</f>
        <v/>
      </c>
      <c r="O683" s="37">
        <f>IFERROR(INDEX(Исходные!$B$19:$B$31,MATCH(H683,Исходные!$A$19:$A$31,0)),0)</f>
        <v/>
      </c>
      <c r="P683" s="76">
        <f>N683*O683</f>
        <v/>
      </c>
      <c r="Q683" s="21" t="inlineStr">
        <is>
          <t>АС-27 (отм. 7.550): выноска «ОС 2Ø32 А500С»; длина по привязкам отдельных стержней</t>
        </is>
      </c>
      <c r="R683" s="77" t="inlineStr">
        <is>
          <t>по геометрии чертежа</t>
        </is>
      </c>
      <c r="S683" s="21" t="inlineStr">
        <is>
          <t>Координаты от оси А: 11500…15100 мм</t>
        </is>
      </c>
      <c r="T683" s="21" t="inlineStr">
        <is>
          <t>Ригели, балки, плита, С-1</t>
        </is>
      </c>
      <c r="U683" s="49" t="n">
        <v>0</v>
      </c>
      <c r="V683" s="72" t="inlineStr">
        <is>
          <t>Р-4</t>
        </is>
      </c>
      <c r="W683" s="49" t="n">
        <v>2</v>
      </c>
    </row>
    <row r="684">
      <c r="A684" s="72" t="n">
        <v>668</v>
      </c>
      <c r="B684" s="21" t="inlineStr">
        <is>
          <t>2 этаж (отм. +3.950…+7.550)</t>
        </is>
      </c>
      <c r="C684" s="21" t="inlineStr">
        <is>
          <t>Ригели</t>
        </is>
      </c>
      <c r="D684" s="21" t="inlineStr">
        <is>
          <t>ось 4 (отм. +7.550)</t>
        </is>
      </c>
      <c r="E684" s="21" t="inlineStr">
        <is>
          <t>Р-4</t>
        </is>
      </c>
      <c r="F684" s="72" t="inlineStr">
        <is>
          <t>ОС</t>
        </is>
      </c>
      <c r="G684" s="21" t="inlineStr">
        <is>
          <t>ОС верх: 2Ø32, участок 17400…20000 мм + 250 до торца</t>
        </is>
      </c>
      <c r="H684" s="51" t="n">
        <v>32</v>
      </c>
      <c r="I684" s="72" t="inlineStr">
        <is>
          <t>А500С</t>
        </is>
      </c>
      <c r="J684" s="72" t="inlineStr">
        <is>
          <t>—</t>
        </is>
      </c>
      <c r="K684" s="75" t="n">
        <v>1</v>
      </c>
      <c r="L684" s="51" t="n">
        <v>2</v>
      </c>
      <c r="M684" s="69" t="n">
        <v>2.85</v>
      </c>
      <c r="N684" s="70">
        <f>K684*L684*M684</f>
        <v/>
      </c>
      <c r="O684" s="37">
        <f>IFERROR(INDEX(Исходные!$B$19:$B$31,MATCH(H684,Исходные!$A$19:$A$31,0)),0)</f>
        <v/>
      </c>
      <c r="P684" s="76">
        <f>N684*O684</f>
        <v/>
      </c>
      <c r="Q684" s="21" t="inlineStr">
        <is>
          <t>АС-27 (отм. 7.550): выноска «ОС 2Ø32 А500С»; длина по привязкам отдельных стержней</t>
        </is>
      </c>
      <c r="R684" s="77" t="inlineStr">
        <is>
          <t>по геометрии чертежа</t>
        </is>
      </c>
      <c r="S684" s="21" t="inlineStr">
        <is>
          <t>Координаты от оси А: 17400…20000 мм; конец до торца крайней колонны (+250)</t>
        </is>
      </c>
      <c r="T684" s="21" t="inlineStr">
        <is>
          <t>Ригели, балки, плита, С-1</t>
        </is>
      </c>
      <c r="U684" s="49" t="n">
        <v>0</v>
      </c>
      <c r="V684" s="72" t="inlineStr">
        <is>
          <t>Р-4</t>
        </is>
      </c>
      <c r="W684" s="49" t="n">
        <v>2</v>
      </c>
    </row>
    <row r="685">
      <c r="A685" s="72" t="n">
        <v>669</v>
      </c>
      <c r="B685" s="21" t="inlineStr">
        <is>
          <t>2 этаж (отм. +3.950…+7.550)</t>
        </is>
      </c>
      <c r="C685" s="21" t="inlineStr">
        <is>
          <t>Ригели</t>
        </is>
      </c>
      <c r="D685" s="21" t="inlineStr">
        <is>
          <t>ось 4 (отм. +7.550)</t>
        </is>
      </c>
      <c r="E685" s="21" t="inlineStr">
        <is>
          <t>Р-4</t>
        </is>
      </c>
      <c r="F685" s="72" t="inlineStr">
        <is>
          <t>ОС</t>
        </is>
      </c>
      <c r="G685" s="21" t="inlineStr">
        <is>
          <t>ОС низ: 2Ø28, участок 1000…7200 мм</t>
        </is>
      </c>
      <c r="H685" s="51" t="n">
        <v>28</v>
      </c>
      <c r="I685" s="72" t="inlineStr">
        <is>
          <t>А500С</t>
        </is>
      </c>
      <c r="J685" s="72" t="inlineStr">
        <is>
          <t>—</t>
        </is>
      </c>
      <c r="K685" s="75" t="n">
        <v>1</v>
      </c>
      <c r="L685" s="51" t="n">
        <v>2</v>
      </c>
      <c r="M685" s="69" t="n">
        <v>6.2</v>
      </c>
      <c r="N685" s="70">
        <f>K685*L685*M685</f>
        <v/>
      </c>
      <c r="O685" s="37">
        <f>IFERROR(INDEX(Исходные!$B$19:$B$31,MATCH(H685,Исходные!$A$19:$A$31,0)),0)</f>
        <v/>
      </c>
      <c r="P685" s="76">
        <f>N685*O685</f>
        <v/>
      </c>
      <c r="Q685" s="21" t="inlineStr">
        <is>
          <t>АС-27 (отм. 7.550): выноска «ОС 2Ø28 А500С»; длина по привязкам отдельных стержней</t>
        </is>
      </c>
      <c r="R685" s="77" t="inlineStr">
        <is>
          <t>по геометрии чертежа</t>
        </is>
      </c>
      <c r="S685" s="21" t="inlineStr">
        <is>
          <t>Координаты от оси А: 1000…7200 мм</t>
        </is>
      </c>
      <c r="T685" s="21" t="inlineStr">
        <is>
          <t>Ригели, балки, плита, С-1</t>
        </is>
      </c>
      <c r="U685" s="49" t="n">
        <v>0</v>
      </c>
      <c r="V685" s="72" t="inlineStr">
        <is>
          <t>Р-4</t>
        </is>
      </c>
      <c r="W685" s="49" t="n">
        <v>2</v>
      </c>
    </row>
    <row r="686">
      <c r="A686" s="72" t="n">
        <v>670</v>
      </c>
      <c r="B686" s="21" t="inlineStr">
        <is>
          <t>2 этаж (отм. +3.950…+7.550)</t>
        </is>
      </c>
      <c r="C686" s="21" t="inlineStr">
        <is>
          <t>Ригели</t>
        </is>
      </c>
      <c r="D686" s="21" t="inlineStr">
        <is>
          <t>ось 4 (отм. +7.550)</t>
        </is>
      </c>
      <c r="E686" s="21" t="inlineStr">
        <is>
          <t>Р-4</t>
        </is>
      </c>
      <c r="F686" s="72" t="inlineStr">
        <is>
          <t>ОС</t>
        </is>
      </c>
      <c r="G686" s="21" t="inlineStr">
        <is>
          <t>ОС низ: 2Ø20, участок 8500…11500 мм</t>
        </is>
      </c>
      <c r="H686" s="51" t="n">
        <v>20</v>
      </c>
      <c r="I686" s="72" t="inlineStr">
        <is>
          <t>А500С</t>
        </is>
      </c>
      <c r="J686" s="72" t="inlineStr">
        <is>
          <t>—</t>
        </is>
      </c>
      <c r="K686" s="75" t="n">
        <v>1</v>
      </c>
      <c r="L686" s="51" t="n">
        <v>2</v>
      </c>
      <c r="M686" s="69" t="n">
        <v>3</v>
      </c>
      <c r="N686" s="70">
        <f>K686*L686*M686</f>
        <v/>
      </c>
      <c r="O686" s="37">
        <f>IFERROR(INDEX(Исходные!$B$19:$B$31,MATCH(H686,Исходные!$A$19:$A$31,0)),0)</f>
        <v/>
      </c>
      <c r="P686" s="76">
        <f>N686*O686</f>
        <v/>
      </c>
      <c r="Q686" s="21" t="inlineStr">
        <is>
          <t>АС-27 (отм. 7.550): выноска «ОС 2Ø20 А500С»; длина по привязкам отдельных стержней</t>
        </is>
      </c>
      <c r="R686" s="77" t="inlineStr">
        <is>
          <t>по геометрии чертежа</t>
        </is>
      </c>
      <c r="S686" s="21" t="inlineStr">
        <is>
          <t>Координаты от оси А: 8500…11500 мм</t>
        </is>
      </c>
      <c r="T686" s="21" t="inlineStr">
        <is>
          <t>Ригели, балки, плита, С-1</t>
        </is>
      </c>
      <c r="U686" s="49" t="n">
        <v>0</v>
      </c>
      <c r="V686" s="72" t="inlineStr">
        <is>
          <t>Р-4</t>
        </is>
      </c>
      <c r="W686" s="49" t="n">
        <v>2</v>
      </c>
    </row>
    <row r="687">
      <c r="A687" s="72" t="n">
        <v>671</v>
      </c>
      <c r="B687" s="21" t="inlineStr">
        <is>
          <t>2 этаж (отм. +3.950…+7.550)</t>
        </is>
      </c>
      <c r="C687" s="21" t="inlineStr">
        <is>
          <t>Ригели</t>
        </is>
      </c>
      <c r="D687" s="21" t="inlineStr">
        <is>
          <t>ось 4 (отм. +7.550)</t>
        </is>
      </c>
      <c r="E687" s="21" t="inlineStr">
        <is>
          <t>Р-4</t>
        </is>
      </c>
      <c r="F687" s="72" t="inlineStr">
        <is>
          <t>ОС</t>
        </is>
      </c>
      <c r="G687" s="21" t="inlineStr">
        <is>
          <t>ОС низ: 2Ø16, участок 11500…15100 мм</t>
        </is>
      </c>
      <c r="H687" s="51" t="n">
        <v>16</v>
      </c>
      <c r="I687" s="72" t="inlineStr">
        <is>
          <t>А500С</t>
        </is>
      </c>
      <c r="J687" s="72" t="inlineStr">
        <is>
          <t>—</t>
        </is>
      </c>
      <c r="K687" s="75" t="n">
        <v>1</v>
      </c>
      <c r="L687" s="51" t="n">
        <v>2</v>
      </c>
      <c r="M687" s="69" t="n">
        <v>3.6</v>
      </c>
      <c r="N687" s="70">
        <f>K687*L687*M687</f>
        <v/>
      </c>
      <c r="O687" s="37">
        <f>IFERROR(INDEX(Исходные!$B$19:$B$31,MATCH(H687,Исходные!$A$19:$A$31,0)),0)</f>
        <v/>
      </c>
      <c r="P687" s="76">
        <f>N687*O687</f>
        <v/>
      </c>
      <c r="Q687" s="21" t="inlineStr">
        <is>
          <t>АС-27 (отм. 7.550): выноска «ОС 2Ø16 А500С»; длина по привязкам отдельных стержней</t>
        </is>
      </c>
      <c r="R687" s="77" t="inlineStr">
        <is>
          <t>по геометрии чертежа</t>
        </is>
      </c>
      <c r="S687" s="21" t="inlineStr">
        <is>
          <t>Координаты от оси А: 11500…15100 мм</t>
        </is>
      </c>
      <c r="T687" s="21" t="inlineStr">
        <is>
          <t>Ригели, балки, плита, С-1</t>
        </is>
      </c>
      <c r="U687" s="49" t="n">
        <v>0</v>
      </c>
      <c r="V687" s="72" t="inlineStr">
        <is>
          <t>Р-4</t>
        </is>
      </c>
      <c r="W687" s="49" t="n">
        <v>2</v>
      </c>
    </row>
    <row r="688">
      <c r="A688" s="72" t="n">
        <v>672</v>
      </c>
      <c r="B688" s="21" t="inlineStr">
        <is>
          <t>2 этаж (отм. +3.950…+7.550)</t>
        </is>
      </c>
      <c r="C688" s="21" t="inlineStr">
        <is>
          <t>Ригели</t>
        </is>
      </c>
      <c r="D688" s="21" t="inlineStr">
        <is>
          <t>ось 4 (отм. +7.550)</t>
        </is>
      </c>
      <c r="E688" s="21" t="inlineStr">
        <is>
          <t>Р-4</t>
        </is>
      </c>
      <c r="F688" s="72" t="inlineStr">
        <is>
          <t>ОС</t>
        </is>
      </c>
      <c r="G688" s="21" t="inlineStr">
        <is>
          <t>ОС низ: 2Ø16, участок 17400…19700 мм</t>
        </is>
      </c>
      <c r="H688" s="51" t="n">
        <v>16</v>
      </c>
      <c r="I688" s="72" t="inlineStr">
        <is>
          <t>А500С</t>
        </is>
      </c>
      <c r="J688" s="72" t="inlineStr">
        <is>
          <t>—</t>
        </is>
      </c>
      <c r="K688" s="75" t="n">
        <v>1</v>
      </c>
      <c r="L688" s="51" t="n">
        <v>2</v>
      </c>
      <c r="M688" s="69" t="n">
        <v>2.3</v>
      </c>
      <c r="N688" s="70">
        <f>K688*L688*M688</f>
        <v/>
      </c>
      <c r="O688" s="37">
        <f>IFERROR(INDEX(Исходные!$B$19:$B$31,MATCH(H688,Исходные!$A$19:$A$31,0)),0)</f>
        <v/>
      </c>
      <c r="P688" s="76">
        <f>N688*O688</f>
        <v/>
      </c>
      <c r="Q688" s="21" t="inlineStr">
        <is>
          <t>АС-27 (отм. 7.550): выноска «ОС 2Ø16 А500С»; длина по привязкам отдельных стержней</t>
        </is>
      </c>
      <c r="R688" s="77" t="inlineStr">
        <is>
          <t>по геометрии чертежа</t>
        </is>
      </c>
      <c r="S688" s="21" t="inlineStr">
        <is>
          <t>Координаты от оси А: 17400…19700 мм</t>
        </is>
      </c>
      <c r="T688" s="21" t="inlineStr">
        <is>
          <t>Ригели, балки, плита, С-1</t>
        </is>
      </c>
      <c r="U688" s="49" t="n">
        <v>0</v>
      </c>
      <c r="V688" s="72" t="inlineStr">
        <is>
          <t>Р-4</t>
        </is>
      </c>
      <c r="W688" s="49" t="n">
        <v>2</v>
      </c>
    </row>
    <row r="689">
      <c r="A689" s="72" t="n">
        <v>673</v>
      </c>
      <c r="B689" s="21" t="inlineStr">
        <is>
          <t>2 этаж (отм. +3.950…+7.550)</t>
        </is>
      </c>
      <c r="C689" s="21" t="inlineStr">
        <is>
          <t>Ригели</t>
        </is>
      </c>
      <c r="D689" s="21" t="inlineStr">
        <is>
          <t>ось 4 (отм. +7.550)</t>
        </is>
      </c>
      <c r="E689" s="21" t="inlineStr">
        <is>
          <t>Р-4</t>
        </is>
      </c>
      <c r="F689" s="72" t="inlineStr">
        <is>
          <t>ОС</t>
        </is>
      </c>
      <c r="G689" s="21" t="inlineStr">
        <is>
          <t>ОС низ 2-й ряд: 2Ø14, участок 5100…8500 мм</t>
        </is>
      </c>
      <c r="H689" s="51" t="n">
        <v>14</v>
      </c>
      <c r="I689" s="72" t="inlineStr">
        <is>
          <t>А500С</t>
        </is>
      </c>
      <c r="J689" s="72" t="inlineStr">
        <is>
          <t>—</t>
        </is>
      </c>
      <c r="K689" s="75" t="n">
        <v>1</v>
      </c>
      <c r="L689" s="51" t="n">
        <v>2</v>
      </c>
      <c r="M689" s="69" t="n">
        <v>3.4</v>
      </c>
      <c r="N689" s="70">
        <f>K689*L689*M689</f>
        <v/>
      </c>
      <c r="O689" s="37">
        <f>IFERROR(INDEX(Исходные!$B$19:$B$31,MATCH(H689,Исходные!$A$19:$A$31,0)),0)</f>
        <v/>
      </c>
      <c r="P689" s="76">
        <f>N689*O689</f>
        <v/>
      </c>
      <c r="Q689" s="21" t="inlineStr">
        <is>
          <t>АС-27 (отм. 7.550): выноска «ОС 2Ø14 А500С»; длина по привязкам отдельных стержней</t>
        </is>
      </c>
      <c r="R689" s="77" t="inlineStr">
        <is>
          <t>по геометрии чертежа</t>
        </is>
      </c>
      <c r="S689" s="21" t="inlineStr">
        <is>
          <t>Координаты от оси А: 5100…8500 мм</t>
        </is>
      </c>
      <c r="T689" s="21" t="inlineStr">
        <is>
          <t>Ригели, балки, плита, С-1</t>
        </is>
      </c>
      <c r="U689" s="49" t="n">
        <v>0</v>
      </c>
      <c r="V689" s="72" t="inlineStr">
        <is>
          <t>Р-4</t>
        </is>
      </c>
      <c r="W689" s="49" t="n">
        <v>2</v>
      </c>
    </row>
    <row r="690">
      <c r="A690" s="72" t="n">
        <v>674</v>
      </c>
      <c r="B690" s="21" t="inlineStr">
        <is>
          <t>2 этаж (отм. +3.950…+7.550)</t>
        </is>
      </c>
      <c r="C690" s="21" t="inlineStr">
        <is>
          <t>Ригели</t>
        </is>
      </c>
      <c r="D690" s="21" t="inlineStr">
        <is>
          <t>ось 4 (отм. +7.550)</t>
        </is>
      </c>
      <c r="E690" s="21" t="inlineStr">
        <is>
          <t>Р-4</t>
        </is>
      </c>
      <c r="F690" s="72" t="inlineStr">
        <is>
          <t>ОС</t>
        </is>
      </c>
      <c r="G690" s="21" t="inlineStr">
        <is>
          <t>Ос (бок) бок: 4Ø12, участок 1000…3400 мм</t>
        </is>
      </c>
      <c r="H690" s="51" t="n">
        <v>12</v>
      </c>
      <c r="I690" s="72" t="inlineStr">
        <is>
          <t>А500С</t>
        </is>
      </c>
      <c r="J690" s="72" t="inlineStr">
        <is>
          <t>—</t>
        </is>
      </c>
      <c r="K690" s="75" t="n">
        <v>1</v>
      </c>
      <c r="L690" s="51" t="n">
        <v>4</v>
      </c>
      <c r="M690" s="69" t="n">
        <v>2.4</v>
      </c>
      <c r="N690" s="70">
        <f>K690*L690*M690</f>
        <v/>
      </c>
      <c r="O690" s="37">
        <f>IFERROR(INDEX(Исходные!$B$19:$B$31,MATCH(H690,Исходные!$A$19:$A$31,0)),0)</f>
        <v/>
      </c>
      <c r="P690" s="76">
        <f>N690*O690</f>
        <v/>
      </c>
      <c r="Q690" s="21" t="inlineStr">
        <is>
          <t>АС-27 (отм. 7.550): выноска «Ос (бок) 4Ø12 А500С»; длина по привязкам отдельных стержней</t>
        </is>
      </c>
      <c r="R690" s="77" t="inlineStr">
        <is>
          <t>по геометрии чертежа</t>
        </is>
      </c>
      <c r="S690" s="21" t="inlineStr">
        <is>
          <t>Координаты от оси А: 1000…3400 мм</t>
        </is>
      </c>
      <c r="T690" s="21" t="inlineStr">
        <is>
          <t>Ригели, балки, плита, С-1</t>
        </is>
      </c>
      <c r="U690" s="49" t="n">
        <v>0</v>
      </c>
      <c r="V690" s="72" t="inlineStr">
        <is>
          <t>Р-4</t>
        </is>
      </c>
      <c r="W690" s="49" t="n">
        <v>2</v>
      </c>
    </row>
    <row r="691">
      <c r="A691" s="72" t="n">
        <v>675</v>
      </c>
      <c r="B691" s="21" t="inlineStr">
        <is>
          <t>2 этаж (отм. +3.950…+7.550)</t>
        </is>
      </c>
      <c r="C691" s="21" t="inlineStr">
        <is>
          <t>Ригели</t>
        </is>
      </c>
      <c r="D691" s="21" t="inlineStr">
        <is>
          <t>ось 4 (отм. +7.550)</t>
        </is>
      </c>
      <c r="E691" s="21" t="inlineStr">
        <is>
          <t>Р-4</t>
        </is>
      </c>
      <c r="F691" s="72" t="inlineStr">
        <is>
          <t>ОС</t>
        </is>
      </c>
      <c r="G691" s="21" t="inlineStr">
        <is>
          <t>Ос (бок) бок: 4Ø12, участок 5100…8500 мм</t>
        </is>
      </c>
      <c r="H691" s="51" t="n">
        <v>12</v>
      </c>
      <c r="I691" s="72" t="inlineStr">
        <is>
          <t>А500С</t>
        </is>
      </c>
      <c r="J691" s="72" t="inlineStr">
        <is>
          <t>—</t>
        </is>
      </c>
      <c r="K691" s="75" t="n">
        <v>1</v>
      </c>
      <c r="L691" s="51" t="n">
        <v>4</v>
      </c>
      <c r="M691" s="69" t="n">
        <v>3.4</v>
      </c>
      <c r="N691" s="70">
        <f>K691*L691*M691</f>
        <v/>
      </c>
      <c r="O691" s="37">
        <f>IFERROR(INDEX(Исходные!$B$19:$B$31,MATCH(H691,Исходные!$A$19:$A$31,0)),0)</f>
        <v/>
      </c>
      <c r="P691" s="76">
        <f>N691*O691</f>
        <v/>
      </c>
      <c r="Q691" s="21" t="inlineStr">
        <is>
          <t>АС-27 (отм. 7.550): выноска «Ос (бок) 4Ø12 А500С»; длина по привязкам отдельных стержней</t>
        </is>
      </c>
      <c r="R691" s="77" t="inlineStr">
        <is>
          <t>по геометрии чертежа</t>
        </is>
      </c>
      <c r="S691" s="21" t="inlineStr">
        <is>
          <t>Координаты от оси А: 5100…8500 мм</t>
        </is>
      </c>
      <c r="T691" s="21" t="inlineStr">
        <is>
          <t>Ригели, балки, плита, С-1</t>
        </is>
      </c>
      <c r="U691" s="49" t="n">
        <v>0</v>
      </c>
      <c r="V691" s="72" t="inlineStr">
        <is>
          <t>Р-4</t>
        </is>
      </c>
      <c r="W691" s="49" t="n">
        <v>2</v>
      </c>
    </row>
    <row r="692">
      <c r="A692" s="72" t="n">
        <v>676</v>
      </c>
      <c r="B692" s="21" t="inlineStr">
        <is>
          <t>2 этаж (отм. +3.950…+7.550)</t>
        </is>
      </c>
      <c r="C692" s="21" t="inlineStr">
        <is>
          <t>Ригели</t>
        </is>
      </c>
      <c r="D692" s="21" t="inlineStr">
        <is>
          <t>ось 4 (отм. +7.550)</t>
        </is>
      </c>
      <c r="E692" s="21" t="inlineStr">
        <is>
          <t>Р-4</t>
        </is>
      </c>
      <c r="F692" s="72" t="inlineStr">
        <is>
          <t>ОС</t>
        </is>
      </c>
      <c r="G692" s="21" t="inlineStr">
        <is>
          <t>Ос (бок) бок: 4Ø12, участок 11500…15100 мм</t>
        </is>
      </c>
      <c r="H692" s="51" t="n">
        <v>12</v>
      </c>
      <c r="I692" s="72" t="inlineStr">
        <is>
          <t>А500С</t>
        </is>
      </c>
      <c r="J692" s="72" t="inlineStr">
        <is>
          <t>—</t>
        </is>
      </c>
      <c r="K692" s="75" t="n">
        <v>1</v>
      </c>
      <c r="L692" s="51" t="n">
        <v>4</v>
      </c>
      <c r="M692" s="69" t="n">
        <v>3.6</v>
      </c>
      <c r="N692" s="70">
        <f>K692*L692*M692</f>
        <v/>
      </c>
      <c r="O692" s="37">
        <f>IFERROR(INDEX(Исходные!$B$19:$B$31,MATCH(H692,Исходные!$A$19:$A$31,0)),0)</f>
        <v/>
      </c>
      <c r="P692" s="76">
        <f>N692*O692</f>
        <v/>
      </c>
      <c r="Q692" s="21" t="inlineStr">
        <is>
          <t>АС-27 (отм. 7.550): выноска «Ос (бок) 4Ø12 А500С»; длина по привязкам отдельных стержней</t>
        </is>
      </c>
      <c r="R692" s="77" t="inlineStr">
        <is>
          <t>по геометрии чертежа</t>
        </is>
      </c>
      <c r="S692" s="21" t="inlineStr">
        <is>
          <t>Координаты от оси А: 11500…15100 мм</t>
        </is>
      </c>
      <c r="T692" s="21" t="inlineStr">
        <is>
          <t>Ригели, балки, плита, С-1</t>
        </is>
      </c>
      <c r="U692" s="49" t="n">
        <v>0</v>
      </c>
      <c r="V692" s="72" t="inlineStr">
        <is>
          <t>Р-4</t>
        </is>
      </c>
      <c r="W692" s="49" t="n">
        <v>2</v>
      </c>
    </row>
    <row r="693">
      <c r="A693" s="72" t="n">
        <v>677</v>
      </c>
      <c r="B693" s="21" t="inlineStr">
        <is>
          <t>2 этаж (отм. +3.950…+7.550)</t>
        </is>
      </c>
      <c r="C693" s="21" t="inlineStr">
        <is>
          <t>Ригели</t>
        </is>
      </c>
      <c r="D693" s="21" t="inlineStr">
        <is>
          <t>ось 4 (отм. +7.550)</t>
        </is>
      </c>
      <c r="E693" s="21" t="inlineStr">
        <is>
          <t>Р-4</t>
        </is>
      </c>
      <c r="F693" s="72" t="inlineStr">
        <is>
          <t>ОС</t>
        </is>
      </c>
      <c r="G693" s="21" t="inlineStr">
        <is>
          <t>Ос (бок) бок: 4Ø12, участок 17400…19700 мм</t>
        </is>
      </c>
      <c r="H693" s="51" t="n">
        <v>12</v>
      </c>
      <c r="I693" s="72" t="inlineStr">
        <is>
          <t>А500С</t>
        </is>
      </c>
      <c r="J693" s="72" t="inlineStr">
        <is>
          <t>—</t>
        </is>
      </c>
      <c r="K693" s="75" t="n">
        <v>1</v>
      </c>
      <c r="L693" s="51" t="n">
        <v>4</v>
      </c>
      <c r="M693" s="69" t="n">
        <v>2.3</v>
      </c>
      <c r="N693" s="70">
        <f>K693*L693*M693</f>
        <v/>
      </c>
      <c r="O693" s="37">
        <f>IFERROR(INDEX(Исходные!$B$19:$B$31,MATCH(H693,Исходные!$A$19:$A$31,0)),0)</f>
        <v/>
      </c>
      <c r="P693" s="76">
        <f>N693*O693</f>
        <v/>
      </c>
      <c r="Q693" s="21" t="inlineStr">
        <is>
          <t>АС-27 (отм. 7.550): выноска «Ос (бок) 4Ø12 А500С»; длина по привязкам отдельных стержней</t>
        </is>
      </c>
      <c r="R693" s="77" t="inlineStr">
        <is>
          <t>по геометрии чертежа</t>
        </is>
      </c>
      <c r="S693" s="21" t="inlineStr">
        <is>
          <t>Координаты от оси А: 17400…19700 мм</t>
        </is>
      </c>
      <c r="T693" s="21" t="inlineStr">
        <is>
          <t>Ригели, балки, плита, С-1</t>
        </is>
      </c>
      <c r="U693" s="49" t="n">
        <v>0</v>
      </c>
      <c r="V693" s="72" t="inlineStr">
        <is>
          <t>Р-4</t>
        </is>
      </c>
      <c r="W693" s="49" t="n">
        <v>2</v>
      </c>
    </row>
    <row r="694">
      <c r="A694" s="72" t="n">
        <v>678</v>
      </c>
      <c r="B694" s="21" t="inlineStr">
        <is>
          <t>2 этаж (отм. +3.950…+7.550)</t>
        </is>
      </c>
      <c r="C694" s="21" t="inlineStr">
        <is>
          <t>Ригели</t>
        </is>
      </c>
      <c r="D694" s="21" t="inlineStr">
        <is>
          <t>ось 4 (отм. +7.550)</t>
        </is>
      </c>
      <c r="E694" s="21" t="inlineStr">
        <is>
          <t>Р-4</t>
        </is>
      </c>
      <c r="F694" s="72" t="inlineStr">
        <is>
          <t>12</t>
        </is>
      </c>
      <c r="G694" s="21" t="inlineStr">
        <is>
          <t>Хомут Ø8 L=2060 ш.100 у опор, ш.150 в пролёте, 80×4 у балок — вне заштрихованных участков</t>
        </is>
      </c>
      <c r="H694" s="51" t="n">
        <v>8</v>
      </c>
      <c r="I694" s="72" t="inlineStr">
        <is>
          <t>А240</t>
        </is>
      </c>
      <c r="J694" s="72" t="inlineStr">
        <is>
          <t>100/150</t>
        </is>
      </c>
      <c r="K694" s="75" t="n">
        <v>1</v>
      </c>
      <c r="L694" s="51" t="n">
        <v>51</v>
      </c>
      <c r="M694" s="69" t="n">
        <v>2.06</v>
      </c>
      <c r="N694" s="70">
        <f>K694*L694*M694</f>
        <v/>
      </c>
      <c r="O694" s="37">
        <f>IFERROR(INDEX(Исходные!$B$19:$B$31,MATCH(H694,Исходные!$A$19:$A$31,0)),0)</f>
        <v/>
      </c>
      <c r="P694" s="76">
        <f>N694*O694</f>
        <v/>
      </c>
      <c r="Q694" s="21" t="inlineStr">
        <is>
          <t>АС-28 поз.12; АС-29 «Расстановка хомутов в ригелях»</t>
        </is>
      </c>
      <c r="R694" s="77" t="inlineStr">
        <is>
          <t>по проекту</t>
        </is>
      </c>
      <c r="S694" s="21" t="inlineStr">
        <is>
          <t>Пролёты в свету [(2000, 6200), (6800, 13200), (13800, 19000)]</t>
        </is>
      </c>
      <c r="T694" s="21" t="inlineStr">
        <is>
          <t>Ригели, балки, плита, С-1</t>
        </is>
      </c>
      <c r="U694" s="49" t="n">
        <v>0</v>
      </c>
      <c r="V694" s="72" t="inlineStr">
        <is>
          <t>Р-4</t>
        </is>
      </c>
      <c r="W694" s="49" t="n">
        <v>2</v>
      </c>
    </row>
    <row r="695">
      <c r="A695" s="72" t="n">
        <v>679</v>
      </c>
      <c r="B695" s="21" t="inlineStr">
        <is>
          <t>2 этаж (отм. +3.950…+7.550)</t>
        </is>
      </c>
      <c r="C695" s="21" t="inlineStr">
        <is>
          <t>Ригели</t>
        </is>
      </c>
      <c r="D695" s="21" t="inlineStr">
        <is>
          <t>ось 4 (отм. +7.550)</t>
        </is>
      </c>
      <c r="E695" s="21" t="inlineStr">
        <is>
          <t>Р-4</t>
        </is>
      </c>
      <c r="F695" s="72" t="inlineStr">
        <is>
          <t>13</t>
        </is>
      </c>
      <c r="G695" s="21" t="inlineStr">
        <is>
          <t>Хомут наружный Ø10 L=2060 ш.100 — заштрихованные участки</t>
        </is>
      </c>
      <c r="H695" s="51" t="n">
        <v>10</v>
      </c>
      <c r="I695" s="72" t="inlineStr">
        <is>
          <t>А240</t>
        </is>
      </c>
      <c r="J695" s="72" t="n">
        <v>100</v>
      </c>
      <c r="K695" s="75" t="n">
        <v>1</v>
      </c>
      <c r="L695" s="51" t="n">
        <v>87</v>
      </c>
      <c r="M695" s="69" t="n">
        <v>2.06</v>
      </c>
      <c r="N695" s="70">
        <f>K695*L695*M695</f>
        <v/>
      </c>
      <c r="O695" s="37">
        <f>IFERROR(INDEX(Исходные!$B$19:$B$31,MATCH(H695,Исходные!$A$19:$A$31,0)),0)</f>
        <v/>
      </c>
      <c r="P695" s="76">
        <f>N695*O695</f>
        <v/>
      </c>
      <c r="Q695" s="21" t="inlineStr">
        <is>
          <t>АС-27 штриховка у отм. 7.550; АС-28 Фрагмент №1, поз.13</t>
        </is>
      </c>
      <c r="R695" s="77" t="inlineStr">
        <is>
          <t>по проекту</t>
        </is>
      </c>
      <c r="S695" s="21" t="inlineStr">
        <is>
          <t>Участки (мм): одинарные [(8400, 9400), (10400, 11400), (16400, 17400)], двойные [(2000, 3200), (6500, 8400), (11400, 13500), (17400, 19000)]</t>
        </is>
      </c>
      <c r="T695" s="21" t="inlineStr">
        <is>
          <t>Ригели, балки, плита, С-1</t>
        </is>
      </c>
      <c r="U695" s="49" t="n">
        <v>0</v>
      </c>
      <c r="V695" s="72" t="inlineStr">
        <is>
          <t>Р-4</t>
        </is>
      </c>
      <c r="W695" s="49" t="n">
        <v>2</v>
      </c>
    </row>
    <row r="696">
      <c r="A696" s="72" t="n">
        <v>680</v>
      </c>
      <c r="B696" s="21" t="inlineStr">
        <is>
          <t>2 этаж (отм. +3.950…+7.550)</t>
        </is>
      </c>
      <c r="C696" s="21" t="inlineStr">
        <is>
          <t>Ригели</t>
        </is>
      </c>
      <c r="D696" s="21" t="inlineStr">
        <is>
          <t>ось 4 (отм. +7.550)</t>
        </is>
      </c>
      <c r="E696" s="21" t="inlineStr">
        <is>
          <t>Р-4</t>
        </is>
      </c>
      <c r="F696" s="72" t="inlineStr">
        <is>
          <t>15</t>
        </is>
      </c>
      <c r="G696" s="21" t="inlineStr">
        <is>
          <t>Хомут внутренний Ø10 L=1600 ш.100 — участки двойных хомутов</t>
        </is>
      </c>
      <c r="H696" s="51" t="n">
        <v>10</v>
      </c>
      <c r="I696" s="72" t="inlineStr">
        <is>
          <t>А240</t>
        </is>
      </c>
      <c r="J696" s="72" t="n">
        <v>100</v>
      </c>
      <c r="K696" s="75" t="n">
        <v>1</v>
      </c>
      <c r="L696" s="51" t="n">
        <v>61</v>
      </c>
      <c r="M696" s="69" t="n">
        <v>1.6</v>
      </c>
      <c r="N696" s="70">
        <f>K696*L696*M696</f>
        <v/>
      </c>
      <c r="O696" s="37">
        <f>IFERROR(INDEX(Исходные!$B$19:$B$31,MATCH(H696,Исходные!$A$19:$A$31,0)),0)</f>
        <v/>
      </c>
      <c r="P696" s="76">
        <f>N696*O696</f>
        <v/>
      </c>
      <c r="Q696" s="21" t="inlineStr">
        <is>
          <t>АС-27 двойная штриховка; АС-28 Фрагмент №1, поз.15</t>
        </is>
      </c>
      <c r="R696" s="77" t="inlineStr">
        <is>
          <t>по проекту</t>
        </is>
      </c>
      <c r="S696" s="21" t="inlineStr"/>
      <c r="T696" s="21" t="inlineStr">
        <is>
          <t>Ригели, балки, плита, С-1</t>
        </is>
      </c>
      <c r="U696" s="49" t="n">
        <v>0</v>
      </c>
      <c r="V696" s="72" t="inlineStr">
        <is>
          <t>Р-4</t>
        </is>
      </c>
      <c r="W696" s="49" t="n">
        <v>2</v>
      </c>
    </row>
    <row r="697">
      <c r="A697" s="72" t="n">
        <v>681</v>
      </c>
      <c r="B697" s="21" t="inlineStr">
        <is>
          <t>2 этаж (отм. +3.950…+7.550)</t>
        </is>
      </c>
      <c r="C697" s="21" t="inlineStr">
        <is>
          <t>Ригели</t>
        </is>
      </c>
      <c r="D697" s="21" t="inlineStr">
        <is>
          <t>ось 4 (отм. +7.550)</t>
        </is>
      </c>
      <c r="E697" s="21" t="inlineStr">
        <is>
          <t>Р-4</t>
        </is>
      </c>
      <c r="F697" s="72" t="inlineStr">
        <is>
          <t>17</t>
        </is>
      </c>
      <c r="G697" s="21" t="inlineStr">
        <is>
          <t>Шпилька вертикальная Ø8 L=750: ш.200 у опор, ш.150 в пролёте</t>
        </is>
      </c>
      <c r="H697" s="51" t="n">
        <v>8</v>
      </c>
      <c r="I697" s="72" t="inlineStr">
        <is>
          <t>А240</t>
        </is>
      </c>
      <c r="J697" s="72" t="inlineStr">
        <is>
          <t>200/150</t>
        </is>
      </c>
      <c r="K697" s="75" t="n">
        <v>1</v>
      </c>
      <c r="L697" s="51" t="n">
        <v>52</v>
      </c>
      <c r="M697" s="69" t="n">
        <v>0.75</v>
      </c>
      <c r="N697" s="70">
        <f>K697*L697*M697</f>
        <v/>
      </c>
      <c r="O697" s="37">
        <f>IFERROR(INDEX(Исходные!$B$19:$B$31,MATCH(H697,Исходные!$A$19:$A$31,0)),0)</f>
        <v/>
      </c>
      <c r="P697" s="76">
        <f>N697*O697</f>
        <v/>
      </c>
      <c r="Q697" s="21" t="inlineStr">
        <is>
          <t>АС-28 сеч.4-4/5-5 поз.17</t>
        </is>
      </c>
      <c r="R697" s="77" t="inlineStr">
        <is>
          <t>по проекту</t>
        </is>
      </c>
      <c r="S697" s="21" t="inlineStr"/>
      <c r="T697" s="21" t="inlineStr">
        <is>
          <t>Ригели, балки, плита, С-1</t>
        </is>
      </c>
      <c r="U697" s="49" t="n">
        <v>0</v>
      </c>
      <c r="V697" s="72" t="inlineStr">
        <is>
          <t>Р-4</t>
        </is>
      </c>
      <c r="W697" s="49" t="n">
        <v>2</v>
      </c>
    </row>
    <row r="698">
      <c r="A698" s="72" t="n">
        <v>682</v>
      </c>
      <c r="B698" s="21" t="inlineStr">
        <is>
          <t>2 этаж (отм. +3.950…+7.550)</t>
        </is>
      </c>
      <c r="C698" s="21" t="inlineStr">
        <is>
          <t>Ригели</t>
        </is>
      </c>
      <c r="D698" s="21" t="inlineStr">
        <is>
          <t>ось 4 (отм. +7.550)</t>
        </is>
      </c>
      <c r="E698" s="21" t="inlineStr">
        <is>
          <t>Р-4</t>
        </is>
      </c>
      <c r="F698" s="72" t="inlineStr">
        <is>
          <t>16</t>
        </is>
      </c>
      <c r="G698" s="21" t="inlineStr">
        <is>
          <t>Шпилька горизонтальная Ø8 L=580 ш.300</t>
        </is>
      </c>
      <c r="H698" s="51" t="n">
        <v>8</v>
      </c>
      <c r="I698" s="72" t="inlineStr">
        <is>
          <t>А240</t>
        </is>
      </c>
      <c r="J698" s="72" t="n">
        <v>300</v>
      </c>
      <c r="K698" s="75" t="n">
        <v>1</v>
      </c>
      <c r="L698" s="51" t="n">
        <v>54</v>
      </c>
      <c r="M698" s="69" t="n">
        <v>0.58</v>
      </c>
      <c r="N698" s="70">
        <f>K698*L698*M698</f>
        <v/>
      </c>
      <c r="O698" s="37">
        <f>IFERROR(INDEX(Исходные!$B$19:$B$31,MATCH(H698,Исходные!$A$19:$A$31,0)),0)</f>
        <v/>
      </c>
      <c r="P698" s="76">
        <f>N698*O698</f>
        <v/>
      </c>
      <c r="Q698" s="21" t="inlineStr">
        <is>
          <t>АС-28 «шп.Ø8 А240 ш.300», поз.16 L=580</t>
        </is>
      </c>
      <c r="R698" s="78" t="inlineStr">
        <is>
          <t>принято (уточнить)</t>
        </is>
      </c>
      <c r="S698" s="21" t="inlineStr"/>
      <c r="T698" s="21" t="inlineStr">
        <is>
          <t>Ригели, балки, плита, С-1</t>
        </is>
      </c>
      <c r="U698" s="49" t="n">
        <v>1</v>
      </c>
      <c r="V698" s="72" t="inlineStr">
        <is>
          <t>Р-4</t>
        </is>
      </c>
      <c r="W698" s="49" t="n">
        <v>2</v>
      </c>
    </row>
    <row r="699">
      <c r="A699" s="74" t="inlineStr">
        <is>
          <t>2.4. ПЛИТА ПЕРЕКРЫТИЯ: сетки, доп. зоны, край, фиксаторы — отм. +7.550 (АС-48)</t>
        </is>
      </c>
      <c r="B699" s="33" t="n"/>
      <c r="C699" s="33" t="n"/>
      <c r="D699" s="33" t="n"/>
      <c r="E699" s="33" t="n"/>
      <c r="F699" s="33" t="n"/>
      <c r="G699" s="33" t="n"/>
      <c r="H699" s="33" t="n"/>
      <c r="I699" s="33" t="n"/>
      <c r="J699" s="33" t="n"/>
      <c r="K699" s="33" t="n"/>
      <c r="L699" s="33" t="n"/>
      <c r="M699" s="33" t="n"/>
      <c r="N699" s="33" t="n"/>
      <c r="O699" s="33" t="n"/>
      <c r="P699" s="33" t="n"/>
      <c r="Q699" s="33" t="n"/>
      <c r="R699" s="33" t="n"/>
      <c r="S699" s="33" t="n"/>
      <c r="T699" s="33" t="n"/>
      <c r="U699" s="33" t="n"/>
      <c r="V699" s="33" t="n"/>
      <c r="W699" s="34" t="n"/>
    </row>
    <row r="700">
      <c r="A700" s="72" t="n">
        <v>683</v>
      </c>
      <c r="B700" s="21" t="inlineStr">
        <is>
          <t>2 этаж (отм. +3.950…+7.550)</t>
        </is>
      </c>
      <c r="C700" s="21" t="inlineStr">
        <is>
          <t>Плита перекрытия</t>
        </is>
      </c>
      <c r="D700" s="21" t="inlineStr">
        <is>
          <t>1–5 / А–Г</t>
        </is>
      </c>
      <c r="E700" s="21" t="inlineStr">
        <is>
          <t>ПМ-7.550</t>
        </is>
      </c>
      <c r="F700" s="72" t="inlineStr">
        <is>
          <t>НX</t>
        </is>
      </c>
      <c r="G700" s="21" t="inlineStr">
        <is>
          <t>Нижняя осн. сетка, направление X (вдоль осей 1–5)</t>
        </is>
      </c>
      <c r="H700" s="51" t="n">
        <v>10</v>
      </c>
      <c r="I700" s="72" t="inlineStr">
        <is>
          <t>А500С</t>
        </is>
      </c>
      <c r="J700" s="72" t="n">
        <v>200</v>
      </c>
      <c r="K700" s="75" t="n">
        <v>1</v>
      </c>
      <c r="L700" s="51" t="n">
        <v>26</v>
      </c>
      <c r="M700" s="69" t="n">
        <v>27.32</v>
      </c>
      <c r="N700" s="70">
        <f>K700*L700*M700</f>
        <v/>
      </c>
      <c r="O700" s="37">
        <f>IFERROR(INDEX(Исходные!$B$19:$B$31,MATCH(H700,Исходные!$A$19:$A$31,0)),0)</f>
        <v/>
      </c>
      <c r="P700" s="76">
        <f>N700*O700</f>
        <v/>
      </c>
      <c r="Q700" s="21" t="inlineStr">
        <is>
          <t>АС-50/АС-51 «Осн. сетка Ø10 А500С ш.200×200»; контур — АС-48 (край 420, проём лестницы 13725…18200)</t>
        </is>
      </c>
      <c r="R700" s="77" t="inlineStr">
        <is>
          <t>по геометрии чертежа</t>
        </is>
      </c>
      <c r="S700" s="21" t="inlineStr"/>
      <c r="T700" s="21" t="inlineStr">
        <is>
          <t>Ригели, балки, плита, С-1</t>
        </is>
      </c>
      <c r="U700" s="49" t="n">
        <v>0</v>
      </c>
      <c r="V700" s="72" t="inlineStr">
        <is>
          <t>П-сетка</t>
        </is>
      </c>
      <c r="W700" s="49" t="n">
        <v>2</v>
      </c>
    </row>
    <row r="701">
      <c r="A701" s="72" t="n">
        <v>684</v>
      </c>
      <c r="B701" s="21" t="inlineStr">
        <is>
          <t>2 этаж (отм. +3.950…+7.550)</t>
        </is>
      </c>
      <c r="C701" s="21" t="inlineStr">
        <is>
          <t>Плита перекрытия</t>
        </is>
      </c>
      <c r="D701" s="21" t="inlineStr">
        <is>
          <t>1–5 / А–Г</t>
        </is>
      </c>
      <c r="E701" s="21" t="inlineStr">
        <is>
          <t>ПМ-7.550</t>
        </is>
      </c>
      <c r="F701" s="72" t="inlineStr">
        <is>
          <t>НX-нахл</t>
        </is>
      </c>
      <c r="G701" s="21" t="inlineStr">
        <is>
          <t>Нахлёсты стыков к поз. «Нижняя осн. сетка, направление X (вдоль осей 1–5)» (L=27.320 м &gt; 11,7 м): 3 куска, 2 стык(а) на стержень × 26 стерж.</t>
        </is>
      </c>
      <c r="H701" s="51" t="n">
        <v>10</v>
      </c>
      <c r="I701" s="72" t="inlineStr">
        <is>
          <t>А500С</t>
        </is>
      </c>
      <c r="J701" s="72" t="inlineStr">
        <is>
          <t>—</t>
        </is>
      </c>
      <c r="K701" s="75" t="n">
        <v>26</v>
      </c>
      <c r="L701" s="51" t="n">
        <v>2</v>
      </c>
      <c r="M701" s="69" t="n">
        <v>0.4</v>
      </c>
      <c r="N701" s="70">
        <f>K701*L701*M701</f>
        <v/>
      </c>
      <c r="O701" s="37">
        <f>IFERROR(INDEX(Исходные!$B$19:$B$31,MATCH(H701,Исходные!$A$19:$A$31,0)),0)</f>
        <v/>
      </c>
      <c r="P701" s="76">
        <f>N701*O701</f>
        <v/>
      </c>
      <c r="Q701" s="21" t="inlineStr">
        <is>
          <t>АС-58 «Деталь стыка арматуры армирования плиты»: нахлёст 400 мм для Ø10</t>
        </is>
      </c>
      <c r="R701" s="77" t="inlineStr">
        <is>
          <t>по проекту (стыковка прутков 11,7 м)</t>
        </is>
      </c>
      <c r="S701" s="21" t="inlineStr">
        <is>
          <t>Чистая длина 27.320 м; кусков 3; стыков 2; Lнахл=2×0.400=0.8 м на стержень</t>
        </is>
      </c>
      <c r="T701" s="21" t="inlineStr">
        <is>
          <t>Ригели, балки, плита, С-1</t>
        </is>
      </c>
      <c r="U701" s="49" t="n">
        <v>0</v>
      </c>
      <c r="V701" s="72" t="inlineStr">
        <is>
          <t>П-сетка</t>
        </is>
      </c>
      <c r="W701" s="49" t="n">
        <v>2</v>
      </c>
    </row>
    <row r="702">
      <c r="A702" s="72" t="n">
        <v>685</v>
      </c>
      <c r="B702" s="21" t="inlineStr">
        <is>
          <t>2 этаж (отм. +3.950…+7.550)</t>
        </is>
      </c>
      <c r="C702" s="21" t="inlineStr">
        <is>
          <t>Плита перекрытия</t>
        </is>
      </c>
      <c r="D702" s="21" t="inlineStr">
        <is>
          <t>1–5 / А–Г</t>
        </is>
      </c>
      <c r="E702" s="21" t="inlineStr">
        <is>
          <t>ПМ-7.550</t>
        </is>
      </c>
      <c r="F702" s="72" t="inlineStr">
        <is>
          <t>НX</t>
        </is>
      </c>
      <c r="G702" s="21" t="inlineStr">
        <is>
          <t>Нижняя осн. сетка, направление X (вдоль осей 1–5)</t>
        </is>
      </c>
      <c r="H702" s="51" t="n">
        <v>10</v>
      </c>
      <c r="I702" s="72" t="inlineStr">
        <is>
          <t>А500С</t>
        </is>
      </c>
      <c r="J702" s="72" t="n">
        <v>200</v>
      </c>
      <c r="K702" s="75" t="n">
        <v>1</v>
      </c>
      <c r="L702" s="51" t="n">
        <v>49</v>
      </c>
      <c r="M702" s="69" t="n">
        <v>25.6</v>
      </c>
      <c r="N702" s="70">
        <f>K702*L702*M702</f>
        <v/>
      </c>
      <c r="O702" s="37">
        <f>IFERROR(INDEX(Исходные!$B$19:$B$31,MATCH(H702,Исходные!$A$19:$A$31,0)),0)</f>
        <v/>
      </c>
      <c r="P702" s="76">
        <f>N702*O702</f>
        <v/>
      </c>
      <c r="Q702" s="21" t="inlineStr">
        <is>
          <t>АС-50/АС-51 «Осн. сетка Ø10 А500С ш.200×200»; контур — АС-48 (край 420, проём лестницы 13725…18200)</t>
        </is>
      </c>
      <c r="R702" s="77" t="inlineStr">
        <is>
          <t>по геометрии чертежа</t>
        </is>
      </c>
      <c r="S702" s="21" t="inlineStr"/>
      <c r="T702" s="21" t="inlineStr">
        <is>
          <t>Ригели, балки, плита, С-1</t>
        </is>
      </c>
      <c r="U702" s="49" t="n">
        <v>0</v>
      </c>
      <c r="V702" s="72" t="inlineStr">
        <is>
          <t>П-сетка</t>
        </is>
      </c>
      <c r="W702" s="49" t="n">
        <v>2</v>
      </c>
    </row>
    <row r="703">
      <c r="A703" s="72" t="n">
        <v>686</v>
      </c>
      <c r="B703" s="21" t="inlineStr">
        <is>
          <t>2 этаж (отм. +3.950…+7.550)</t>
        </is>
      </c>
      <c r="C703" s="21" t="inlineStr">
        <is>
          <t>Плита перекрытия</t>
        </is>
      </c>
      <c r="D703" s="21" t="inlineStr">
        <is>
          <t>1–5 / А–Г</t>
        </is>
      </c>
      <c r="E703" s="21" t="inlineStr">
        <is>
          <t>ПМ-7.550</t>
        </is>
      </c>
      <c r="F703" s="72" t="inlineStr">
        <is>
          <t>НX-нахл</t>
        </is>
      </c>
      <c r="G703" s="21" t="inlineStr">
        <is>
          <t>Нахлёсты стыков к поз. «Нижняя осн. сетка, направление X (вдоль осей 1–5)» (L=25.600 м &gt; 11,7 м): 3 куска, 2 стык(а) на стержень × 49 стерж.</t>
        </is>
      </c>
      <c r="H703" s="51" t="n">
        <v>10</v>
      </c>
      <c r="I703" s="72" t="inlineStr">
        <is>
          <t>А500С</t>
        </is>
      </c>
      <c r="J703" s="72" t="inlineStr">
        <is>
          <t>—</t>
        </is>
      </c>
      <c r="K703" s="75" t="n">
        <v>49</v>
      </c>
      <c r="L703" s="51" t="n">
        <v>2</v>
      </c>
      <c r="M703" s="69" t="n">
        <v>0.4</v>
      </c>
      <c r="N703" s="70">
        <f>K703*L703*M703</f>
        <v/>
      </c>
      <c r="O703" s="37">
        <f>IFERROR(INDEX(Исходные!$B$19:$B$31,MATCH(H703,Исходные!$A$19:$A$31,0)),0)</f>
        <v/>
      </c>
      <c r="P703" s="76">
        <f>N703*O703</f>
        <v/>
      </c>
      <c r="Q703" s="21" t="inlineStr">
        <is>
          <t>АС-58 «Деталь стыка арматуры армирования плиты»: нахлёст 400 мм для Ø10</t>
        </is>
      </c>
      <c r="R703" s="77" t="inlineStr">
        <is>
          <t>по проекту (стыковка прутков 11,7 м)</t>
        </is>
      </c>
      <c r="S703" s="21" t="inlineStr">
        <is>
          <t>Чистая длина 25.600 м; кусков 3; стыков 2; Lнахл=2×0.400=0.8 м на стержень</t>
        </is>
      </c>
      <c r="T703" s="21" t="inlineStr">
        <is>
          <t>Ригели, балки, плита, С-1</t>
        </is>
      </c>
      <c r="U703" s="49" t="n">
        <v>0</v>
      </c>
      <c r="V703" s="72" t="inlineStr">
        <is>
          <t>П-сетка</t>
        </is>
      </c>
      <c r="W703" s="49" t="n">
        <v>2</v>
      </c>
    </row>
    <row r="704">
      <c r="A704" s="72" t="n">
        <v>687</v>
      </c>
      <c r="B704" s="21" t="inlineStr">
        <is>
          <t>2 этаж (отм. +3.950…+7.550)</t>
        </is>
      </c>
      <c r="C704" s="21" t="inlineStr">
        <is>
          <t>Плита перекрытия</t>
        </is>
      </c>
      <c r="D704" s="21" t="inlineStr">
        <is>
          <t>1–5 / А–Г</t>
        </is>
      </c>
      <c r="E704" s="21" t="inlineStr">
        <is>
          <t>ПМ-7.550</t>
        </is>
      </c>
      <c r="F704" s="72" t="inlineStr">
        <is>
          <t>НX</t>
        </is>
      </c>
      <c r="G704" s="21" t="inlineStr">
        <is>
          <t>Нижняя осн. сетка, направление X (вдоль осей 1–5)</t>
        </is>
      </c>
      <c r="H704" s="51" t="n">
        <v>10</v>
      </c>
      <c r="I704" s="72" t="inlineStr">
        <is>
          <t>А500С</t>
        </is>
      </c>
      <c r="J704" s="72" t="n">
        <v>200</v>
      </c>
      <c r="K704" s="75" t="n">
        <v>1</v>
      </c>
      <c r="L704" s="51" t="n">
        <v>1</v>
      </c>
      <c r="M704" s="69" t="n">
        <v>22.2</v>
      </c>
      <c r="N704" s="70">
        <f>K704*L704*M704</f>
        <v/>
      </c>
      <c r="O704" s="37">
        <f>IFERROR(INDEX(Исходные!$B$19:$B$31,MATCH(H704,Исходные!$A$19:$A$31,0)),0)</f>
        <v/>
      </c>
      <c r="P704" s="76">
        <f>N704*O704</f>
        <v/>
      </c>
      <c r="Q704" s="21" t="inlineStr">
        <is>
          <t>АС-50/АС-51 «Осн. сетка Ø10 А500С ш.200×200»; контур — АС-48 (край 420, проём лестницы 13725…18200)</t>
        </is>
      </c>
      <c r="R704" s="77" t="inlineStr">
        <is>
          <t>по геометрии чертежа</t>
        </is>
      </c>
      <c r="S704" s="21" t="inlineStr"/>
      <c r="T704" s="21" t="inlineStr">
        <is>
          <t>Ригели, балки, плита, С-1</t>
        </is>
      </c>
      <c r="U704" s="49" t="n">
        <v>0</v>
      </c>
      <c r="V704" s="72" t="inlineStr">
        <is>
          <t>П-сетка</t>
        </is>
      </c>
      <c r="W704" s="49" t="n">
        <v>2</v>
      </c>
    </row>
    <row r="705">
      <c r="A705" s="72" t="n">
        <v>688</v>
      </c>
      <c r="B705" s="21" t="inlineStr">
        <is>
          <t>2 этаж (отм. +3.950…+7.550)</t>
        </is>
      </c>
      <c r="C705" s="21" t="inlineStr">
        <is>
          <t>Плита перекрытия</t>
        </is>
      </c>
      <c r="D705" s="21" t="inlineStr">
        <is>
          <t>1–5 / А–Г</t>
        </is>
      </c>
      <c r="E705" s="21" t="inlineStr">
        <is>
          <t>ПМ-7.550</t>
        </is>
      </c>
      <c r="F705" s="72" t="inlineStr">
        <is>
          <t>НX-нахл</t>
        </is>
      </c>
      <c r="G705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705" s="51" t="n">
        <v>10</v>
      </c>
      <c r="I705" s="72" t="inlineStr">
        <is>
          <t>А500С</t>
        </is>
      </c>
      <c r="J705" s="72" t="inlineStr">
        <is>
          <t>—</t>
        </is>
      </c>
      <c r="K705" s="75" t="n">
        <v>1</v>
      </c>
      <c r="L705" s="51" t="n">
        <v>1</v>
      </c>
      <c r="M705" s="69" t="n">
        <v>0.4</v>
      </c>
      <c r="N705" s="70">
        <f>K705*L705*M705</f>
        <v/>
      </c>
      <c r="O705" s="37">
        <f>IFERROR(INDEX(Исходные!$B$19:$B$31,MATCH(H705,Исходные!$A$19:$A$31,0)),0)</f>
        <v/>
      </c>
      <c r="P705" s="76">
        <f>N705*O705</f>
        <v/>
      </c>
      <c r="Q705" s="21" t="inlineStr">
        <is>
          <t>АС-58 «Деталь стыка арматуры армирования плиты»: нахлёст 400 мм для Ø10</t>
        </is>
      </c>
      <c r="R705" s="77" t="inlineStr">
        <is>
          <t>по проекту (стыковка прутков 11,7 м)</t>
        </is>
      </c>
      <c r="S705" s="21" t="inlineStr">
        <is>
          <t>Чистая длина 22.200 м; кусков 2; стыков 1; Lнахл=1×0.400=0.4 м на стержень</t>
        </is>
      </c>
      <c r="T705" s="21" t="inlineStr">
        <is>
          <t>Ригели, балки, плита, С-1</t>
        </is>
      </c>
      <c r="U705" s="49" t="n">
        <v>0</v>
      </c>
      <c r="V705" s="72" t="inlineStr">
        <is>
          <t>П-сетка</t>
        </is>
      </c>
      <c r="W705" s="49" t="n">
        <v>2</v>
      </c>
    </row>
    <row r="706">
      <c r="A706" s="72" t="n">
        <v>689</v>
      </c>
      <c r="B706" s="21" t="inlineStr">
        <is>
          <t>2 этаж (отм. +3.950…+7.550)</t>
        </is>
      </c>
      <c r="C706" s="21" t="inlineStr">
        <is>
          <t>Плита перекрытия</t>
        </is>
      </c>
      <c r="D706" s="21" t="inlineStr">
        <is>
          <t>1–5 / А–Г</t>
        </is>
      </c>
      <c r="E706" s="21" t="inlineStr">
        <is>
          <t>ПМ-7.550</t>
        </is>
      </c>
      <c r="F706" s="72" t="inlineStr">
        <is>
          <t>НX</t>
        </is>
      </c>
      <c r="G706" s="21" t="inlineStr">
        <is>
          <t>Нижняя осн. сетка, направление X (вдоль осей 1–5)</t>
        </is>
      </c>
      <c r="H706" s="51" t="n">
        <v>10</v>
      </c>
      <c r="I706" s="72" t="inlineStr">
        <is>
          <t>А500С</t>
        </is>
      </c>
      <c r="J706" s="72" t="n">
        <v>200</v>
      </c>
      <c r="K706" s="75" t="n">
        <v>1</v>
      </c>
      <c r="L706" s="51" t="n">
        <v>16</v>
      </c>
      <c r="M706" s="69" t="n">
        <v>15.62</v>
      </c>
      <c r="N706" s="70">
        <f>K706*L706*M706</f>
        <v/>
      </c>
      <c r="O706" s="37">
        <f>IFERROR(INDEX(Исходные!$B$19:$B$31,MATCH(H706,Исходные!$A$19:$A$31,0)),0)</f>
        <v/>
      </c>
      <c r="P706" s="76">
        <f>N706*O706</f>
        <v/>
      </c>
      <c r="Q706" s="21" t="inlineStr">
        <is>
          <t>АС-50/АС-51 «Осн. сетка Ø10 А500С ш.200×200»; контур — АС-48 (край 420, проём лестницы 13725…18200)</t>
        </is>
      </c>
      <c r="R706" s="77" t="inlineStr">
        <is>
          <t>по геометрии чертежа</t>
        </is>
      </c>
      <c r="S706" s="21" t="inlineStr"/>
      <c r="T706" s="21" t="inlineStr">
        <is>
          <t>Ригели, балки, плита, С-1</t>
        </is>
      </c>
      <c r="U706" s="49" t="n">
        <v>0</v>
      </c>
      <c r="V706" s="72" t="inlineStr">
        <is>
          <t>П-сетка</t>
        </is>
      </c>
      <c r="W706" s="49" t="n">
        <v>2</v>
      </c>
    </row>
    <row r="707">
      <c r="A707" s="72" t="n">
        <v>690</v>
      </c>
      <c r="B707" s="21" t="inlineStr">
        <is>
          <t>2 этаж (отм. +3.950…+7.550)</t>
        </is>
      </c>
      <c r="C707" s="21" t="inlineStr">
        <is>
          <t>Плита перекрытия</t>
        </is>
      </c>
      <c r="D707" s="21" t="inlineStr">
        <is>
          <t>1–5 / А–Г</t>
        </is>
      </c>
      <c r="E707" s="21" t="inlineStr">
        <is>
          <t>ПМ-7.550</t>
        </is>
      </c>
      <c r="F707" s="72" t="inlineStr">
        <is>
          <t>НX-нахл</t>
        </is>
      </c>
      <c r="G707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707" s="51" t="n">
        <v>10</v>
      </c>
      <c r="I707" s="72" t="inlineStr">
        <is>
          <t>А500С</t>
        </is>
      </c>
      <c r="J707" s="72" t="inlineStr">
        <is>
          <t>—</t>
        </is>
      </c>
      <c r="K707" s="75" t="n">
        <v>16</v>
      </c>
      <c r="L707" s="51" t="n">
        <v>1</v>
      </c>
      <c r="M707" s="69" t="n">
        <v>0.4</v>
      </c>
      <c r="N707" s="70">
        <f>K707*L707*M707</f>
        <v/>
      </c>
      <c r="O707" s="37">
        <f>IFERROR(INDEX(Исходные!$B$19:$B$31,MATCH(H707,Исходные!$A$19:$A$31,0)),0)</f>
        <v/>
      </c>
      <c r="P707" s="76">
        <f>N707*O707</f>
        <v/>
      </c>
      <c r="Q707" s="21" t="inlineStr">
        <is>
          <t>АС-58 «Деталь стыка арматуры армирования плиты»: нахлёст 400 мм для Ø10</t>
        </is>
      </c>
      <c r="R707" s="77" t="inlineStr">
        <is>
          <t>по проекту (стыковка прутков 11,7 м)</t>
        </is>
      </c>
      <c r="S707" s="21" t="inlineStr">
        <is>
          <t>Чистая длина 15.620 м; кусков 2; стыков 1; Lнахл=1×0.400=0.4 м на стержень</t>
        </is>
      </c>
      <c r="T707" s="21" t="inlineStr">
        <is>
          <t>Ригели, балки, плита, С-1</t>
        </is>
      </c>
      <c r="U707" s="49" t="n">
        <v>0</v>
      </c>
      <c r="V707" s="72" t="inlineStr">
        <is>
          <t>П-сетка</t>
        </is>
      </c>
      <c r="W707" s="49" t="n">
        <v>2</v>
      </c>
    </row>
    <row r="708">
      <c r="A708" s="72" t="n">
        <v>691</v>
      </c>
      <c r="B708" s="21" t="inlineStr">
        <is>
          <t>2 этаж (отм. +3.950…+7.550)</t>
        </is>
      </c>
      <c r="C708" s="21" t="inlineStr">
        <is>
          <t>Плита перекрытия</t>
        </is>
      </c>
      <c r="D708" s="21" t="inlineStr">
        <is>
          <t>1–5 / А–Г</t>
        </is>
      </c>
      <c r="E708" s="21" t="inlineStr">
        <is>
          <t>ПМ-7.550</t>
        </is>
      </c>
      <c r="F708" s="72" t="inlineStr">
        <is>
          <t>НX</t>
        </is>
      </c>
      <c r="G708" s="21" t="inlineStr">
        <is>
          <t>Нижняя осн. сетка, направление X (вдоль осей 1–5)</t>
        </is>
      </c>
      <c r="H708" s="51" t="n">
        <v>10</v>
      </c>
      <c r="I708" s="72" t="inlineStr">
        <is>
          <t>А500С</t>
        </is>
      </c>
      <c r="J708" s="72" t="n">
        <v>200</v>
      </c>
      <c r="K708" s="75" t="n">
        <v>1</v>
      </c>
      <c r="L708" s="51" t="n">
        <v>12</v>
      </c>
      <c r="M708" s="69" t="n">
        <v>13.9</v>
      </c>
      <c r="N708" s="70">
        <f>K708*L708*M708</f>
        <v/>
      </c>
      <c r="O708" s="37">
        <f>IFERROR(INDEX(Исходные!$B$19:$B$31,MATCH(H708,Исходные!$A$19:$A$31,0)),0)</f>
        <v/>
      </c>
      <c r="P708" s="76">
        <f>N708*O708</f>
        <v/>
      </c>
      <c r="Q708" s="21" t="inlineStr">
        <is>
          <t>АС-50/АС-51 «Осн. сетка Ø10 А500С ш.200×200»; контур — АС-48 (край 420, проём лестницы 13725…18200)</t>
        </is>
      </c>
      <c r="R708" s="77" t="inlineStr">
        <is>
          <t>по геометрии чертежа</t>
        </is>
      </c>
      <c r="S708" s="21" t="inlineStr"/>
      <c r="T708" s="21" t="inlineStr">
        <is>
          <t>Ригели, балки, плита, С-1</t>
        </is>
      </c>
      <c r="U708" s="49" t="n">
        <v>0</v>
      </c>
      <c r="V708" s="72" t="inlineStr">
        <is>
          <t>П-сетка</t>
        </is>
      </c>
      <c r="W708" s="49" t="n">
        <v>2</v>
      </c>
    </row>
    <row r="709">
      <c r="A709" s="72" t="n">
        <v>692</v>
      </c>
      <c r="B709" s="21" t="inlineStr">
        <is>
          <t>2 этаж (отм. +3.950…+7.550)</t>
        </is>
      </c>
      <c r="C709" s="21" t="inlineStr">
        <is>
          <t>Плита перекрытия</t>
        </is>
      </c>
      <c r="D709" s="21" t="inlineStr">
        <is>
          <t>1–5 / А–Г</t>
        </is>
      </c>
      <c r="E709" s="21" t="inlineStr">
        <is>
          <t>ПМ-7.550</t>
        </is>
      </c>
      <c r="F709" s="72" t="inlineStr">
        <is>
          <t>НX-нахл</t>
        </is>
      </c>
      <c r="G709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709" s="51" t="n">
        <v>10</v>
      </c>
      <c r="I709" s="72" t="inlineStr">
        <is>
          <t>А500С</t>
        </is>
      </c>
      <c r="J709" s="72" t="inlineStr">
        <is>
          <t>—</t>
        </is>
      </c>
      <c r="K709" s="75" t="n">
        <v>12</v>
      </c>
      <c r="L709" s="51" t="n">
        <v>1</v>
      </c>
      <c r="M709" s="69" t="n">
        <v>0.4</v>
      </c>
      <c r="N709" s="70">
        <f>K709*L709*M709</f>
        <v/>
      </c>
      <c r="O709" s="37">
        <f>IFERROR(INDEX(Исходные!$B$19:$B$31,MATCH(H709,Исходные!$A$19:$A$31,0)),0)</f>
        <v/>
      </c>
      <c r="P709" s="76">
        <f>N709*O709</f>
        <v/>
      </c>
      <c r="Q709" s="21" t="inlineStr">
        <is>
          <t>АС-58 «Деталь стыка арматуры армирования плиты»: нахлёст 400 мм для Ø10</t>
        </is>
      </c>
      <c r="R709" s="77" t="inlineStr">
        <is>
          <t>по проекту (стыковка прутков 11,7 м)</t>
        </is>
      </c>
      <c r="S709" s="21" t="inlineStr">
        <is>
          <t>Чистая длина 13.900 м; кусков 2; стыков 1; Lнахл=1×0.400=0.4 м на стержень</t>
        </is>
      </c>
      <c r="T709" s="21" t="inlineStr">
        <is>
          <t>Ригели, балки, плита, С-1</t>
        </is>
      </c>
      <c r="U709" s="49" t="n">
        <v>0</v>
      </c>
      <c r="V709" s="72" t="inlineStr">
        <is>
          <t>П-сетка</t>
        </is>
      </c>
      <c r="W709" s="49" t="n">
        <v>2</v>
      </c>
    </row>
    <row r="710">
      <c r="A710" s="72" t="n">
        <v>693</v>
      </c>
      <c r="B710" s="21" t="inlineStr">
        <is>
          <t>2 этаж (отм. +3.950…+7.550)</t>
        </is>
      </c>
      <c r="C710" s="21" t="inlineStr">
        <is>
          <t>Плита перекрытия</t>
        </is>
      </c>
      <c r="D710" s="21" t="inlineStr">
        <is>
          <t>1–5 / А–Г</t>
        </is>
      </c>
      <c r="E710" s="21" t="inlineStr">
        <is>
          <t>ПМ-7.550</t>
        </is>
      </c>
      <c r="F710" s="72" t="inlineStr">
        <is>
          <t>НX</t>
        </is>
      </c>
      <c r="G710" s="21" t="inlineStr">
        <is>
          <t>Нижняя осн. сетка, направление X (вдоль осей 1–5)</t>
        </is>
      </c>
      <c r="H710" s="51" t="n">
        <v>10</v>
      </c>
      <c r="I710" s="72" t="inlineStr">
        <is>
          <t>А500С</t>
        </is>
      </c>
      <c r="J710" s="72" t="n">
        <v>200</v>
      </c>
      <c r="K710" s="75" t="n">
        <v>1</v>
      </c>
      <c r="L710" s="51" t="n">
        <v>1</v>
      </c>
      <c r="M710" s="69" t="n">
        <v>10.77</v>
      </c>
      <c r="N710" s="70">
        <f>K710*L710*M710</f>
        <v/>
      </c>
      <c r="O710" s="37">
        <f>IFERROR(INDEX(Исходные!$B$19:$B$31,MATCH(H710,Исходные!$A$19:$A$31,0)),0)</f>
        <v/>
      </c>
      <c r="P710" s="76">
        <f>N710*O710</f>
        <v/>
      </c>
      <c r="Q710" s="21" t="inlineStr">
        <is>
          <t>АС-50/АС-51 «Осн. сетка Ø10 А500С ш.200×200»; контур — АС-48 (край 420, проём лестницы 13725…18200)</t>
        </is>
      </c>
      <c r="R710" s="77" t="inlineStr">
        <is>
          <t>по геометрии чертежа</t>
        </is>
      </c>
      <c r="S710" s="21" t="inlineStr"/>
      <c r="T710" s="21" t="inlineStr">
        <is>
          <t>Ригели, балки, плита, С-1</t>
        </is>
      </c>
      <c r="U710" s="49" t="n">
        <v>0</v>
      </c>
      <c r="V710" s="72" t="inlineStr">
        <is>
          <t>П-сетка</t>
        </is>
      </c>
      <c r="W710" s="49" t="n">
        <v>2</v>
      </c>
    </row>
    <row r="711">
      <c r="A711" s="72" t="n">
        <v>694</v>
      </c>
      <c r="B711" s="21" t="inlineStr">
        <is>
          <t>2 этаж (отм. +3.950…+7.550)</t>
        </is>
      </c>
      <c r="C711" s="21" t="inlineStr">
        <is>
          <t>Плита перекрытия</t>
        </is>
      </c>
      <c r="D711" s="21" t="inlineStr">
        <is>
          <t>1–5 / А–Г</t>
        </is>
      </c>
      <c r="E711" s="21" t="inlineStr">
        <is>
          <t>ПМ-7.550</t>
        </is>
      </c>
      <c r="F711" s="72" t="inlineStr">
        <is>
          <t>НX</t>
        </is>
      </c>
      <c r="G711" s="21" t="inlineStr">
        <is>
          <t>Нижняя осн. сетка, направление X (вдоль осей 1–5)</t>
        </is>
      </c>
      <c r="H711" s="51" t="n">
        <v>10</v>
      </c>
      <c r="I711" s="72" t="inlineStr">
        <is>
          <t>А500С</t>
        </is>
      </c>
      <c r="J711" s="72" t="n">
        <v>200</v>
      </c>
      <c r="K711" s="75" t="n">
        <v>1</v>
      </c>
      <c r="L711" s="51" t="n">
        <v>14</v>
      </c>
      <c r="M711" s="69" t="n">
        <v>7.97</v>
      </c>
      <c r="N711" s="70">
        <f>K711*L711*M711</f>
        <v/>
      </c>
      <c r="O711" s="37">
        <f>IFERROR(INDEX(Исходные!$B$19:$B$31,MATCH(H711,Исходные!$A$19:$A$31,0)),0)</f>
        <v/>
      </c>
      <c r="P711" s="76">
        <f>N711*O711</f>
        <v/>
      </c>
      <c r="Q711" s="21" t="inlineStr">
        <is>
          <t>АС-50/АС-51 «Осн. сетка Ø10 А500С ш.200×200»; контур — АС-48 (край 420, проём лестницы 13725…18200)</t>
        </is>
      </c>
      <c r="R711" s="77" t="inlineStr">
        <is>
          <t>по геометрии чертежа</t>
        </is>
      </c>
      <c r="S711" s="21" t="inlineStr"/>
      <c r="T711" s="21" t="inlineStr">
        <is>
          <t>Ригели, балки, плита, С-1</t>
        </is>
      </c>
      <c r="U711" s="49" t="n">
        <v>0</v>
      </c>
      <c r="V711" s="72" t="inlineStr">
        <is>
          <t>П-сетка</t>
        </is>
      </c>
      <c r="W711" s="49" t="n">
        <v>2</v>
      </c>
    </row>
    <row r="712">
      <c r="A712" s="72" t="n">
        <v>695</v>
      </c>
      <c r="B712" s="21" t="inlineStr">
        <is>
          <t>2 этаж (отм. +3.950…+7.550)</t>
        </is>
      </c>
      <c r="C712" s="21" t="inlineStr">
        <is>
          <t>Плита перекрытия</t>
        </is>
      </c>
      <c r="D712" s="21" t="inlineStr">
        <is>
          <t>1–5 / А–Г</t>
        </is>
      </c>
      <c r="E712" s="21" t="inlineStr">
        <is>
          <t>ПМ-7.550</t>
        </is>
      </c>
      <c r="F712" s="72" t="inlineStr">
        <is>
          <t>НX</t>
        </is>
      </c>
      <c r="G712" s="21" t="inlineStr">
        <is>
          <t>Нижняя осн. сетка, направление X (вдоль осей 1–5)</t>
        </is>
      </c>
      <c r="H712" s="51" t="n">
        <v>10</v>
      </c>
      <c r="I712" s="72" t="inlineStr">
        <is>
          <t>А500С</t>
        </is>
      </c>
      <c r="J712" s="72" t="n">
        <v>200</v>
      </c>
      <c r="K712" s="75" t="n">
        <v>1</v>
      </c>
      <c r="L712" s="51" t="n">
        <v>9</v>
      </c>
      <c r="M712" s="69" t="n">
        <v>7.95</v>
      </c>
      <c r="N712" s="70">
        <f>K712*L712*M712</f>
        <v/>
      </c>
      <c r="O712" s="37">
        <f>IFERROR(INDEX(Исходные!$B$19:$B$31,MATCH(H712,Исходные!$A$19:$A$31,0)),0)</f>
        <v/>
      </c>
      <c r="P712" s="76">
        <f>N712*O712</f>
        <v/>
      </c>
      <c r="Q712" s="21" t="inlineStr">
        <is>
          <t>АС-50/АС-51 «Осн. сетка Ø10 А500С ш.200×200»; контур — АС-48 (край 420, проём лестницы 13725…18200)</t>
        </is>
      </c>
      <c r="R712" s="77" t="inlineStr">
        <is>
          <t>по геометрии чертежа</t>
        </is>
      </c>
      <c r="S712" s="21" t="inlineStr"/>
      <c r="T712" s="21" t="inlineStr">
        <is>
          <t>Ригели, балки, плита, С-1</t>
        </is>
      </c>
      <c r="U712" s="49" t="n">
        <v>0</v>
      </c>
      <c r="V712" s="72" t="inlineStr">
        <is>
          <t>П-сетка</t>
        </is>
      </c>
      <c r="W712" s="49" t="n">
        <v>2</v>
      </c>
    </row>
    <row r="713">
      <c r="A713" s="72" t="n">
        <v>696</v>
      </c>
      <c r="B713" s="21" t="inlineStr">
        <is>
          <t>2 этаж (отм. +3.950…+7.550)</t>
        </is>
      </c>
      <c r="C713" s="21" t="inlineStr">
        <is>
          <t>Плита перекрытия</t>
        </is>
      </c>
      <c r="D713" s="21" t="inlineStr">
        <is>
          <t>1–5 / А–Г</t>
        </is>
      </c>
      <c r="E713" s="21" t="inlineStr">
        <is>
          <t>ПМ-7.550</t>
        </is>
      </c>
      <c r="F713" s="72" t="inlineStr">
        <is>
          <t>НX</t>
        </is>
      </c>
      <c r="G713" s="21" t="inlineStr">
        <is>
          <t>Нижняя осн. сетка, направление X (вдоль осей 1–5)</t>
        </is>
      </c>
      <c r="H713" s="51" t="n">
        <v>10</v>
      </c>
      <c r="I713" s="72" t="inlineStr">
        <is>
          <t>А500С</t>
        </is>
      </c>
      <c r="J713" s="72" t="n">
        <v>200</v>
      </c>
      <c r="K713" s="75" t="n">
        <v>1</v>
      </c>
      <c r="L713" s="51" t="n">
        <v>13</v>
      </c>
      <c r="M713" s="69" t="n">
        <v>7.17</v>
      </c>
      <c r="N713" s="70">
        <f>K713*L713*M713</f>
        <v/>
      </c>
      <c r="O713" s="37">
        <f>IFERROR(INDEX(Исходные!$B$19:$B$31,MATCH(H713,Исходные!$A$19:$A$31,0)),0)</f>
        <v/>
      </c>
      <c r="P713" s="76">
        <f>N713*O713</f>
        <v/>
      </c>
      <c r="Q713" s="21" t="inlineStr">
        <is>
          <t>АС-50/АС-51 «Осн. сетка Ø10 А500С ш.200×200»; контур — АС-48 (край 420, проём лестницы 13725…18200)</t>
        </is>
      </c>
      <c r="R713" s="77" t="inlineStr">
        <is>
          <t>по геометрии чертежа</t>
        </is>
      </c>
      <c r="S713" s="21" t="inlineStr"/>
      <c r="T713" s="21" t="inlineStr">
        <is>
          <t>Ригели, балки, плита, С-1</t>
        </is>
      </c>
      <c r="U713" s="49" t="n">
        <v>0</v>
      </c>
      <c r="V713" s="72" t="inlineStr">
        <is>
          <t>П-сетка</t>
        </is>
      </c>
      <c r="W713" s="49" t="n">
        <v>2</v>
      </c>
    </row>
    <row r="714">
      <c r="A714" s="72" t="n">
        <v>697</v>
      </c>
      <c r="B714" s="21" t="inlineStr">
        <is>
          <t>2 этаж (отм. +3.950…+7.550)</t>
        </is>
      </c>
      <c r="C714" s="21" t="inlineStr">
        <is>
          <t>Плита перекрытия</t>
        </is>
      </c>
      <c r="D714" s="21" t="inlineStr">
        <is>
          <t>1–5 / А–Г</t>
        </is>
      </c>
      <c r="E714" s="21" t="inlineStr">
        <is>
          <t>ПМ-7.550</t>
        </is>
      </c>
      <c r="F714" s="72" t="inlineStr">
        <is>
          <t>НX</t>
        </is>
      </c>
      <c r="G714" s="21" t="inlineStr">
        <is>
          <t>Нижняя осн. сетка, направление X (вдоль осей 1–5)</t>
        </is>
      </c>
      <c r="H714" s="51" t="n">
        <v>10</v>
      </c>
      <c r="I714" s="72" t="inlineStr">
        <is>
          <t>А500С</t>
        </is>
      </c>
      <c r="J714" s="72" t="n">
        <v>200</v>
      </c>
      <c r="K714" s="75" t="n">
        <v>1</v>
      </c>
      <c r="L714" s="51" t="n">
        <v>9</v>
      </c>
      <c r="M714" s="69" t="n">
        <v>3.78</v>
      </c>
      <c r="N714" s="70">
        <f>K714*L714*M714</f>
        <v/>
      </c>
      <c r="O714" s="37">
        <f>IFERROR(INDEX(Исходные!$B$19:$B$31,MATCH(H714,Исходные!$A$19:$A$31,0)),0)</f>
        <v/>
      </c>
      <c r="P714" s="76">
        <f>N714*O714</f>
        <v/>
      </c>
      <c r="Q714" s="21" t="inlineStr">
        <is>
          <t>АС-50/АС-51 «Осн. сетка Ø10 А500С ш.200×200»; контур — АС-48 (край 420, проём лестницы 13725…18200)</t>
        </is>
      </c>
      <c r="R714" s="77" t="inlineStr">
        <is>
          <t>по геометрии чертежа</t>
        </is>
      </c>
      <c r="S714" s="21" t="inlineStr"/>
      <c r="T714" s="21" t="inlineStr">
        <is>
          <t>Ригели, балки, плита, С-1</t>
        </is>
      </c>
      <c r="U714" s="49" t="n">
        <v>0</v>
      </c>
      <c r="V714" s="72" t="inlineStr">
        <is>
          <t>П-сетка</t>
        </is>
      </c>
      <c r="W714" s="49" t="n">
        <v>2</v>
      </c>
    </row>
    <row r="715">
      <c r="A715" s="72" t="n">
        <v>698</v>
      </c>
      <c r="B715" s="21" t="inlineStr">
        <is>
          <t>2 этаж (отм. +3.950…+7.550)</t>
        </is>
      </c>
      <c r="C715" s="21" t="inlineStr">
        <is>
          <t>Плита перекрытия</t>
        </is>
      </c>
      <c r="D715" s="21" t="inlineStr">
        <is>
          <t>1–5 / А–Г</t>
        </is>
      </c>
      <c r="E715" s="21" t="inlineStr">
        <is>
          <t>ПМ-7.550</t>
        </is>
      </c>
      <c r="F715" s="72" t="inlineStr">
        <is>
          <t>НY</t>
        </is>
      </c>
      <c r="G715" s="21" t="inlineStr">
        <is>
          <t>Нижняя осн. сетка, направление Y (вдоль осей А–Г)</t>
        </is>
      </c>
      <c r="H715" s="51" t="n">
        <v>10</v>
      </c>
      <c r="I715" s="72" t="inlineStr">
        <is>
          <t>А500С</t>
        </is>
      </c>
      <c r="J715" s="72" t="n">
        <v>200</v>
      </c>
      <c r="K715" s="75" t="n">
        <v>1</v>
      </c>
      <c r="L715" s="51" t="n">
        <v>40</v>
      </c>
      <c r="M715" s="69" t="n">
        <v>22.32</v>
      </c>
      <c r="N715" s="70">
        <f>K715*L715*M715</f>
        <v/>
      </c>
      <c r="O715" s="37">
        <f>IFERROR(INDEX(Исходные!$B$19:$B$31,MATCH(H715,Исходные!$A$19:$A$31,0)),0)</f>
        <v/>
      </c>
      <c r="P715" s="76">
        <f>N715*O715</f>
        <v/>
      </c>
      <c r="Q715" s="21" t="inlineStr">
        <is>
          <t>АС-50/АС-51 «Осн. сетка Ø10 А500С ш.200×200»; контур — АС-48 (край 420, проём лестницы 13725…18200)</t>
        </is>
      </c>
      <c r="R715" s="77" t="inlineStr">
        <is>
          <t>по геометрии чертежа</t>
        </is>
      </c>
      <c r="S715" s="21" t="inlineStr"/>
      <c r="T715" s="21" t="inlineStr">
        <is>
          <t>Ригели, балки, плита, С-1</t>
        </is>
      </c>
      <c r="U715" s="49" t="n">
        <v>0</v>
      </c>
      <c r="V715" s="72" t="inlineStr">
        <is>
          <t>П-сетка</t>
        </is>
      </c>
      <c r="W715" s="49" t="n">
        <v>2</v>
      </c>
    </row>
    <row r="716">
      <c r="A716" s="72" t="n">
        <v>699</v>
      </c>
      <c r="B716" s="21" t="inlineStr">
        <is>
          <t>2 этаж (отм. +3.950…+7.550)</t>
        </is>
      </c>
      <c r="C716" s="21" t="inlineStr">
        <is>
          <t>Плита перекрытия</t>
        </is>
      </c>
      <c r="D716" s="21" t="inlineStr">
        <is>
          <t>1–5 / А–Г</t>
        </is>
      </c>
      <c r="E716" s="21" t="inlineStr">
        <is>
          <t>ПМ-7.550</t>
        </is>
      </c>
      <c r="F716" s="72" t="inlineStr">
        <is>
          <t>НY-нахл</t>
        </is>
      </c>
      <c r="G716" s="21" t="inlineStr">
        <is>
          <t>Нахлёсты стыков к поз. «Нижняя осн. сетка, направление Y (вдоль осей А–Г)» (L=22.320 м &gt; 11,7 м): 2 куска, 1 стык(а) на стержень × 40 стерж.</t>
        </is>
      </c>
      <c r="H716" s="51" t="n">
        <v>10</v>
      </c>
      <c r="I716" s="72" t="inlineStr">
        <is>
          <t>А500С</t>
        </is>
      </c>
      <c r="J716" s="72" t="inlineStr">
        <is>
          <t>—</t>
        </is>
      </c>
      <c r="K716" s="75" t="n">
        <v>40</v>
      </c>
      <c r="L716" s="51" t="n">
        <v>1</v>
      </c>
      <c r="M716" s="69" t="n">
        <v>0.4</v>
      </c>
      <c r="N716" s="70">
        <f>K716*L716*M716</f>
        <v/>
      </c>
      <c r="O716" s="37">
        <f>IFERROR(INDEX(Исходные!$B$19:$B$31,MATCH(H716,Исходные!$A$19:$A$31,0)),0)</f>
        <v/>
      </c>
      <c r="P716" s="76">
        <f>N716*O716</f>
        <v/>
      </c>
      <c r="Q716" s="21" t="inlineStr">
        <is>
          <t>АС-58 «Деталь стыка арматуры армирования плиты»: нахлёст 400 мм для Ø10</t>
        </is>
      </c>
      <c r="R716" s="77" t="inlineStr">
        <is>
          <t>по проекту (стыковка прутков 11,7 м)</t>
        </is>
      </c>
      <c r="S716" s="21" t="inlineStr">
        <is>
          <t>Чистая длина 22.320 м; кусков 2; стыков 1; Lнахл=1×0.400=0.4 м на стержень</t>
        </is>
      </c>
      <c r="T716" s="21" t="inlineStr">
        <is>
          <t>Ригели, балки, плита, С-1</t>
        </is>
      </c>
      <c r="U716" s="49" t="n">
        <v>0</v>
      </c>
      <c r="V716" s="72" t="inlineStr">
        <is>
          <t>П-сетка</t>
        </is>
      </c>
      <c r="W716" s="49" t="n">
        <v>2</v>
      </c>
    </row>
    <row r="717">
      <c r="A717" s="72" t="n">
        <v>700</v>
      </c>
      <c r="B717" s="21" t="inlineStr">
        <is>
          <t>2 этаж (отм. +3.950…+7.550)</t>
        </is>
      </c>
      <c r="C717" s="21" t="inlineStr">
        <is>
          <t>Плита перекрытия</t>
        </is>
      </c>
      <c r="D717" s="21" t="inlineStr">
        <is>
          <t>1–5 / А–Г</t>
        </is>
      </c>
      <c r="E717" s="21" t="inlineStr">
        <is>
          <t>ПМ-7.550</t>
        </is>
      </c>
      <c r="F717" s="72" t="inlineStr">
        <is>
          <t>НY</t>
        </is>
      </c>
      <c r="G717" s="21" t="inlineStr">
        <is>
          <t>Нижняя осн. сетка, направление Y (вдоль осей А–Г)</t>
        </is>
      </c>
      <c r="H717" s="51" t="n">
        <v>10</v>
      </c>
      <c r="I717" s="72" t="inlineStr">
        <is>
          <t>А500С</t>
        </is>
      </c>
      <c r="J717" s="72" t="n">
        <v>200</v>
      </c>
      <c r="K717" s="75" t="n">
        <v>1</v>
      </c>
      <c r="L717" s="51" t="n">
        <v>41</v>
      </c>
      <c r="M717" s="69" t="n">
        <v>20.6</v>
      </c>
      <c r="N717" s="70">
        <f>K717*L717*M717</f>
        <v/>
      </c>
      <c r="O717" s="37">
        <f>IFERROR(INDEX(Исходные!$B$19:$B$31,MATCH(H717,Исходные!$A$19:$A$31,0)),0)</f>
        <v/>
      </c>
      <c r="P717" s="76">
        <f>N717*O717</f>
        <v/>
      </c>
      <c r="Q717" s="21" t="inlineStr">
        <is>
          <t>АС-50/АС-51 «Осн. сетка Ø10 А500С ш.200×200»; контур — АС-48 (край 420, проём лестницы 13725…18200)</t>
        </is>
      </c>
      <c r="R717" s="77" t="inlineStr">
        <is>
          <t>по геометрии чертежа</t>
        </is>
      </c>
      <c r="S717" s="21" t="inlineStr"/>
      <c r="T717" s="21" t="inlineStr">
        <is>
          <t>Ригели, балки, плита, С-1</t>
        </is>
      </c>
      <c r="U717" s="49" t="n">
        <v>0</v>
      </c>
      <c r="V717" s="72" t="inlineStr">
        <is>
          <t>П-сетка</t>
        </is>
      </c>
      <c r="W717" s="49" t="n">
        <v>2</v>
      </c>
    </row>
    <row r="718">
      <c r="A718" s="72" t="n">
        <v>701</v>
      </c>
      <c r="B718" s="21" t="inlineStr">
        <is>
          <t>2 этаж (отм. +3.950…+7.550)</t>
        </is>
      </c>
      <c r="C718" s="21" t="inlineStr">
        <is>
          <t>Плита перекрытия</t>
        </is>
      </c>
      <c r="D718" s="21" t="inlineStr">
        <is>
          <t>1–5 / А–Г</t>
        </is>
      </c>
      <c r="E718" s="21" t="inlineStr">
        <is>
          <t>ПМ-7.550</t>
        </is>
      </c>
      <c r="F718" s="72" t="inlineStr">
        <is>
          <t>НY-нахл</t>
        </is>
      </c>
      <c r="G718" s="21" t="inlineStr">
        <is>
          <t>Нахлёсты стыков к поз. «Нижняя осн. сетка, направление Y (вдоль осей А–Г)» (L=20.600 м &gt; 11,7 м): 2 куска, 1 стык(а) на стержень × 41 стерж.</t>
        </is>
      </c>
      <c r="H718" s="51" t="n">
        <v>10</v>
      </c>
      <c r="I718" s="72" t="inlineStr">
        <is>
          <t>А500С</t>
        </is>
      </c>
      <c r="J718" s="72" t="inlineStr">
        <is>
          <t>—</t>
        </is>
      </c>
      <c r="K718" s="75" t="n">
        <v>41</v>
      </c>
      <c r="L718" s="51" t="n">
        <v>1</v>
      </c>
      <c r="M718" s="69" t="n">
        <v>0.4</v>
      </c>
      <c r="N718" s="70">
        <f>K718*L718*M718</f>
        <v/>
      </c>
      <c r="O718" s="37">
        <f>IFERROR(INDEX(Исходные!$B$19:$B$31,MATCH(H718,Исходные!$A$19:$A$31,0)),0)</f>
        <v/>
      </c>
      <c r="P718" s="76">
        <f>N718*O718</f>
        <v/>
      </c>
      <c r="Q718" s="21" t="inlineStr">
        <is>
          <t>АС-58 «Деталь стыка арматуры армирования плиты»: нахлёст 400 мм для Ø10</t>
        </is>
      </c>
      <c r="R718" s="77" t="inlineStr">
        <is>
          <t>по проекту (стыковка прутков 11,7 м)</t>
        </is>
      </c>
      <c r="S718" s="21" t="inlineStr">
        <is>
          <t>Чистая длина 20.600 м; кусков 2; стыков 1; Lнахл=1×0.400=0.4 м на стержень</t>
        </is>
      </c>
      <c r="T718" s="21" t="inlineStr">
        <is>
          <t>Ригели, балки, плита, С-1</t>
        </is>
      </c>
      <c r="U718" s="49" t="n">
        <v>0</v>
      </c>
      <c r="V718" s="72" t="inlineStr">
        <is>
          <t>П-сетка</t>
        </is>
      </c>
      <c r="W718" s="49" t="n">
        <v>2</v>
      </c>
    </row>
    <row r="719">
      <c r="A719" s="72" t="n">
        <v>702</v>
      </c>
      <c r="B719" s="21" t="inlineStr">
        <is>
          <t>2 этаж (отм. +3.950…+7.550)</t>
        </is>
      </c>
      <c r="C719" s="21" t="inlineStr">
        <is>
          <t>Плита перекрытия</t>
        </is>
      </c>
      <c r="D719" s="21" t="inlineStr">
        <is>
          <t>1–5 / А–Г</t>
        </is>
      </c>
      <c r="E719" s="21" t="inlineStr">
        <is>
          <t>ПМ-7.550</t>
        </is>
      </c>
      <c r="F719" s="72" t="inlineStr">
        <is>
          <t>НY</t>
        </is>
      </c>
      <c r="G719" s="21" t="inlineStr">
        <is>
          <t>Нижняя осн. сетка, направление Y (вдоль осей А–Г)</t>
        </is>
      </c>
      <c r="H719" s="51" t="n">
        <v>10</v>
      </c>
      <c r="I719" s="72" t="inlineStr">
        <is>
          <t>А500С</t>
        </is>
      </c>
      <c r="J719" s="72" t="n">
        <v>200</v>
      </c>
      <c r="K719" s="75" t="n">
        <v>1</v>
      </c>
      <c r="L719" s="51" t="n">
        <v>26</v>
      </c>
      <c r="M719" s="69" t="n">
        <v>20.48</v>
      </c>
      <c r="N719" s="70">
        <f>K719*L719*M719</f>
        <v/>
      </c>
      <c r="O719" s="37">
        <f>IFERROR(INDEX(Исходные!$B$19:$B$31,MATCH(H719,Исходные!$A$19:$A$31,0)),0)</f>
        <v/>
      </c>
      <c r="P719" s="76">
        <f>N719*O719</f>
        <v/>
      </c>
      <c r="Q719" s="21" t="inlineStr">
        <is>
          <t>АС-50/АС-51 «Осн. сетка Ø10 А500С ш.200×200»; контур — АС-48 (край 420, проём лестницы 13725…18200)</t>
        </is>
      </c>
      <c r="R719" s="77" t="inlineStr">
        <is>
          <t>по геометрии чертежа</t>
        </is>
      </c>
      <c r="S719" s="21" t="inlineStr"/>
      <c r="T719" s="21" t="inlineStr">
        <is>
          <t>Ригели, балки, плита, С-1</t>
        </is>
      </c>
      <c r="U719" s="49" t="n">
        <v>0</v>
      </c>
      <c r="V719" s="72" t="inlineStr">
        <is>
          <t>П-сетка</t>
        </is>
      </c>
      <c r="W719" s="49" t="n">
        <v>2</v>
      </c>
    </row>
    <row r="720">
      <c r="A720" s="72" t="n">
        <v>703</v>
      </c>
      <c r="B720" s="21" t="inlineStr">
        <is>
          <t>2 этаж (отм. +3.950…+7.550)</t>
        </is>
      </c>
      <c r="C720" s="21" t="inlineStr">
        <is>
          <t>Плита перекрытия</t>
        </is>
      </c>
      <c r="D720" s="21" t="inlineStr">
        <is>
          <t>1–5 / А–Г</t>
        </is>
      </c>
      <c r="E720" s="21" t="inlineStr">
        <is>
          <t>ПМ-7.550</t>
        </is>
      </c>
      <c r="F720" s="72" t="inlineStr">
        <is>
          <t>НY-нахл</t>
        </is>
      </c>
      <c r="G720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720" s="51" t="n">
        <v>10</v>
      </c>
      <c r="I720" s="72" t="inlineStr">
        <is>
          <t>А500С</t>
        </is>
      </c>
      <c r="J720" s="72" t="inlineStr">
        <is>
          <t>—</t>
        </is>
      </c>
      <c r="K720" s="75" t="n">
        <v>26</v>
      </c>
      <c r="L720" s="51" t="n">
        <v>1</v>
      </c>
      <c r="M720" s="69" t="n">
        <v>0.4</v>
      </c>
      <c r="N720" s="70">
        <f>K720*L720*M720</f>
        <v/>
      </c>
      <c r="O720" s="37">
        <f>IFERROR(INDEX(Исходные!$B$19:$B$31,MATCH(H720,Исходные!$A$19:$A$31,0)),0)</f>
        <v/>
      </c>
      <c r="P720" s="76">
        <f>N720*O720</f>
        <v/>
      </c>
      <c r="Q720" s="21" t="inlineStr">
        <is>
          <t>АС-58 «Деталь стыка арматуры армирования плиты»: нахлёст 400 мм для Ø10</t>
        </is>
      </c>
      <c r="R720" s="77" t="inlineStr">
        <is>
          <t>по проекту (стыковка прутков 11,7 м)</t>
        </is>
      </c>
      <c r="S720" s="21" t="inlineStr">
        <is>
          <t>Чистая длина 20.480 м; кусков 2; стыков 1; Lнахл=1×0.400=0.4 м на стержень</t>
        </is>
      </c>
      <c r="T720" s="21" t="inlineStr">
        <is>
          <t>Ригели, балки, плита, С-1</t>
        </is>
      </c>
      <c r="U720" s="49" t="n">
        <v>0</v>
      </c>
      <c r="V720" s="72" t="inlineStr">
        <is>
          <t>П-сетка</t>
        </is>
      </c>
      <c r="W720" s="49" t="n">
        <v>2</v>
      </c>
    </row>
    <row r="721">
      <c r="A721" s="72" t="n">
        <v>704</v>
      </c>
      <c r="B721" s="21" t="inlineStr">
        <is>
          <t>2 этаж (отм. +3.950…+7.550)</t>
        </is>
      </c>
      <c r="C721" s="21" t="inlineStr">
        <is>
          <t>Плита перекрытия</t>
        </is>
      </c>
      <c r="D721" s="21" t="inlineStr">
        <is>
          <t>1–5 / А–Г</t>
        </is>
      </c>
      <c r="E721" s="21" t="inlineStr">
        <is>
          <t>ПМ-7.550</t>
        </is>
      </c>
      <c r="F721" s="72" t="inlineStr">
        <is>
          <t>НY</t>
        </is>
      </c>
      <c r="G721" s="21" t="inlineStr">
        <is>
          <t>Нижняя осн. сетка, направление Y (вдоль осей А–Г)</t>
        </is>
      </c>
      <c r="H721" s="51" t="n">
        <v>10</v>
      </c>
      <c r="I721" s="72" t="inlineStr">
        <is>
          <t>А500С</t>
        </is>
      </c>
      <c r="J721" s="72" t="n">
        <v>200</v>
      </c>
      <c r="K721" s="75" t="n">
        <v>1</v>
      </c>
      <c r="L721" s="51" t="n">
        <v>2</v>
      </c>
      <c r="M721" s="69" t="n">
        <v>19.01</v>
      </c>
      <c r="N721" s="70">
        <f>K721*L721*M721</f>
        <v/>
      </c>
      <c r="O721" s="37">
        <f>IFERROR(INDEX(Исходные!$B$19:$B$31,MATCH(H721,Исходные!$A$19:$A$31,0)),0)</f>
        <v/>
      </c>
      <c r="P721" s="76">
        <f>N721*O721</f>
        <v/>
      </c>
      <c r="Q721" s="21" t="inlineStr">
        <is>
          <t>АС-50/АС-51 «Осн. сетка Ø10 А500С ш.200×200»; контур — АС-48 (край 420, проём лестницы 13725…18200)</t>
        </is>
      </c>
      <c r="R721" s="77" t="inlineStr">
        <is>
          <t>по геометрии чертежа</t>
        </is>
      </c>
      <c r="S721" s="21" t="inlineStr"/>
      <c r="T721" s="21" t="inlineStr">
        <is>
          <t>Ригели, балки, плита, С-1</t>
        </is>
      </c>
      <c r="U721" s="49" t="n">
        <v>0</v>
      </c>
      <c r="V721" s="72" t="inlineStr">
        <is>
          <t>П-сетка</t>
        </is>
      </c>
      <c r="W721" s="49" t="n">
        <v>2</v>
      </c>
    </row>
    <row r="722">
      <c r="A722" s="72" t="n">
        <v>705</v>
      </c>
      <c r="B722" s="21" t="inlineStr">
        <is>
          <t>2 этаж (отм. +3.950…+7.550)</t>
        </is>
      </c>
      <c r="C722" s="21" t="inlineStr">
        <is>
          <t>Плита перекрытия</t>
        </is>
      </c>
      <c r="D722" s="21" t="inlineStr">
        <is>
          <t>1–5 / А–Г</t>
        </is>
      </c>
      <c r="E722" s="21" t="inlineStr">
        <is>
          <t>ПМ-7.550</t>
        </is>
      </c>
      <c r="F722" s="72" t="inlineStr">
        <is>
          <t>НY-нахл</t>
        </is>
      </c>
      <c r="G722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722" s="51" t="n">
        <v>10</v>
      </c>
      <c r="I722" s="72" t="inlineStr">
        <is>
          <t>А500С</t>
        </is>
      </c>
      <c r="J722" s="72" t="inlineStr">
        <is>
          <t>—</t>
        </is>
      </c>
      <c r="K722" s="75" t="n">
        <v>2</v>
      </c>
      <c r="L722" s="51" t="n">
        <v>1</v>
      </c>
      <c r="M722" s="69" t="n">
        <v>0.4</v>
      </c>
      <c r="N722" s="70">
        <f>K722*L722*M722</f>
        <v/>
      </c>
      <c r="O722" s="37">
        <f>IFERROR(INDEX(Исходные!$B$19:$B$31,MATCH(H722,Исходные!$A$19:$A$31,0)),0)</f>
        <v/>
      </c>
      <c r="P722" s="76">
        <f>N722*O722</f>
        <v/>
      </c>
      <c r="Q722" s="21" t="inlineStr">
        <is>
          <t>АС-58 «Деталь стыка арматуры армирования плиты»: нахлёст 400 мм для Ø10</t>
        </is>
      </c>
      <c r="R722" s="77" t="inlineStr">
        <is>
          <t>по проекту (стыковка прутков 11,7 м)</t>
        </is>
      </c>
      <c r="S722" s="21" t="inlineStr">
        <is>
          <t>Чистая длина 19.010 м; кусков 2; стыков 1; Lнахл=1×0.400=0.4 м на стержень</t>
        </is>
      </c>
      <c r="T722" s="21" t="inlineStr">
        <is>
          <t>Ригели, балки, плита, С-1</t>
        </is>
      </c>
      <c r="U722" s="49" t="n">
        <v>0</v>
      </c>
      <c r="V722" s="72" t="inlineStr">
        <is>
          <t>П-сетка</t>
        </is>
      </c>
      <c r="W722" s="49" t="n">
        <v>2</v>
      </c>
    </row>
    <row r="723">
      <c r="A723" s="72" t="n">
        <v>706</v>
      </c>
      <c r="B723" s="21" t="inlineStr">
        <is>
          <t>2 этаж (отм. +3.950…+7.550)</t>
        </is>
      </c>
      <c r="C723" s="21" t="inlineStr">
        <is>
          <t>Плита перекрытия</t>
        </is>
      </c>
      <c r="D723" s="21" t="inlineStr">
        <is>
          <t>1–5 / А–Г</t>
        </is>
      </c>
      <c r="E723" s="21" t="inlineStr">
        <is>
          <t>ПМ-7.550</t>
        </is>
      </c>
      <c r="F723" s="72" t="inlineStr">
        <is>
          <t>НY</t>
        </is>
      </c>
      <c r="G723" s="21" t="inlineStr">
        <is>
          <t>Нижняя осн. сетка, направление Y (вдоль осей А–Г)</t>
        </is>
      </c>
      <c r="H723" s="51" t="n">
        <v>10</v>
      </c>
      <c r="I723" s="72" t="inlineStr">
        <is>
          <t>А500С</t>
        </is>
      </c>
      <c r="J723" s="72" t="n">
        <v>200</v>
      </c>
      <c r="K723" s="75" t="n">
        <v>1</v>
      </c>
      <c r="L723" s="51" t="n">
        <v>3</v>
      </c>
      <c r="M723" s="69" t="n">
        <v>17.28</v>
      </c>
      <c r="N723" s="70">
        <f>K723*L723*M723</f>
        <v/>
      </c>
      <c r="O723" s="37">
        <f>IFERROR(INDEX(Исходные!$B$19:$B$31,MATCH(H723,Исходные!$A$19:$A$31,0)),0)</f>
        <v/>
      </c>
      <c r="P723" s="76">
        <f>N723*O723</f>
        <v/>
      </c>
      <c r="Q723" s="21" t="inlineStr">
        <is>
          <t>АС-50/АС-51 «Осн. сетка Ø10 А500С ш.200×200»; контур — АС-48 (край 420, проём лестницы 13725…18200)</t>
        </is>
      </c>
      <c r="R723" s="77" t="inlineStr">
        <is>
          <t>по геометрии чертежа</t>
        </is>
      </c>
      <c r="S723" s="21" t="inlineStr"/>
      <c r="T723" s="21" t="inlineStr">
        <is>
          <t>Ригели, балки, плита, С-1</t>
        </is>
      </c>
      <c r="U723" s="49" t="n">
        <v>0</v>
      </c>
      <c r="V723" s="72" t="inlineStr">
        <is>
          <t>П-сетка</t>
        </is>
      </c>
      <c r="W723" s="49" t="n">
        <v>2</v>
      </c>
    </row>
    <row r="724">
      <c r="A724" s="72" t="n">
        <v>707</v>
      </c>
      <c r="B724" s="21" t="inlineStr">
        <is>
          <t>2 этаж (отм. +3.950…+7.550)</t>
        </is>
      </c>
      <c r="C724" s="21" t="inlineStr">
        <is>
          <t>Плита перекрытия</t>
        </is>
      </c>
      <c r="D724" s="21" t="inlineStr">
        <is>
          <t>1–5 / А–Г</t>
        </is>
      </c>
      <c r="E724" s="21" t="inlineStr">
        <is>
          <t>ПМ-7.550</t>
        </is>
      </c>
      <c r="F724" s="72" t="inlineStr">
        <is>
          <t>НY-нахл</t>
        </is>
      </c>
      <c r="G724" s="21" t="inlineStr">
        <is>
          <t>Нахлёсты стыков к поз. «Нижняя осн. сетка, направление Y (вдоль осей А–Г)» (L=17.280 м &gt; 11,7 м): 2 куска, 1 стык(а) на стержень × 3 стерж.</t>
        </is>
      </c>
      <c r="H724" s="51" t="n">
        <v>10</v>
      </c>
      <c r="I724" s="72" t="inlineStr">
        <is>
          <t>А500С</t>
        </is>
      </c>
      <c r="J724" s="72" t="inlineStr">
        <is>
          <t>—</t>
        </is>
      </c>
      <c r="K724" s="75" t="n">
        <v>3</v>
      </c>
      <c r="L724" s="51" t="n">
        <v>1</v>
      </c>
      <c r="M724" s="69" t="n">
        <v>0.4</v>
      </c>
      <c r="N724" s="70">
        <f>K724*L724*M724</f>
        <v/>
      </c>
      <c r="O724" s="37">
        <f>IFERROR(INDEX(Исходные!$B$19:$B$31,MATCH(H724,Исходные!$A$19:$A$31,0)),0)</f>
        <v/>
      </c>
      <c r="P724" s="76">
        <f>N724*O724</f>
        <v/>
      </c>
      <c r="Q724" s="21" t="inlineStr">
        <is>
          <t>АС-58 «Деталь стыка арматуры армирования плиты»: нахлёст 400 мм для Ø10</t>
        </is>
      </c>
      <c r="R724" s="77" t="inlineStr">
        <is>
          <t>по проекту (стыковка прутков 11,7 м)</t>
        </is>
      </c>
      <c r="S724" s="21" t="inlineStr">
        <is>
          <t>Чистая длина 17.280 м; кусков 2; стыков 1; Lнахл=1×0.400=0.4 м на стержень</t>
        </is>
      </c>
      <c r="T724" s="21" t="inlineStr">
        <is>
          <t>Ригели, балки, плита, С-1</t>
        </is>
      </c>
      <c r="U724" s="49" t="n">
        <v>0</v>
      </c>
      <c r="V724" s="72" t="inlineStr">
        <is>
          <t>П-сетка</t>
        </is>
      </c>
      <c r="W724" s="49" t="n">
        <v>2</v>
      </c>
    </row>
    <row r="725">
      <c r="A725" s="72" t="n">
        <v>708</v>
      </c>
      <c r="B725" s="21" t="inlineStr">
        <is>
          <t>2 этаж (отм. +3.950…+7.550)</t>
        </is>
      </c>
      <c r="C725" s="21" t="inlineStr">
        <is>
          <t>Плита перекрытия</t>
        </is>
      </c>
      <c r="D725" s="21" t="inlineStr">
        <is>
          <t>1–5 / А–Г</t>
        </is>
      </c>
      <c r="E725" s="21" t="inlineStr">
        <is>
          <t>ПМ-7.550</t>
        </is>
      </c>
      <c r="F725" s="72" t="inlineStr">
        <is>
          <t>НY</t>
        </is>
      </c>
      <c r="G725" s="21" t="inlineStr">
        <is>
          <t>Нижняя осн. сетка, направление Y (вдоль осей А–Г)</t>
        </is>
      </c>
      <c r="H725" s="51" t="n">
        <v>10</v>
      </c>
      <c r="I725" s="72" t="inlineStr">
        <is>
          <t>А500С</t>
        </is>
      </c>
      <c r="J725" s="72" t="n">
        <v>200</v>
      </c>
      <c r="K725" s="75" t="n">
        <v>1</v>
      </c>
      <c r="L725" s="51" t="n">
        <v>17</v>
      </c>
      <c r="M725" s="69" t="n">
        <v>15.6</v>
      </c>
      <c r="N725" s="70">
        <f>K725*L725*M725</f>
        <v/>
      </c>
      <c r="O725" s="37">
        <f>IFERROR(INDEX(Исходные!$B$19:$B$31,MATCH(H725,Исходные!$A$19:$A$31,0)),0)</f>
        <v/>
      </c>
      <c r="P725" s="76">
        <f>N725*O725</f>
        <v/>
      </c>
      <c r="Q725" s="21" t="inlineStr">
        <is>
          <t>АС-50/АС-51 «Осн. сетка Ø10 А500С ш.200×200»; контур — АС-48 (край 420, проём лестницы 13725…18200)</t>
        </is>
      </c>
      <c r="R725" s="77" t="inlineStr">
        <is>
          <t>по геометрии чертежа</t>
        </is>
      </c>
      <c r="S725" s="21" t="inlineStr"/>
      <c r="T725" s="21" t="inlineStr">
        <is>
          <t>Ригели, балки, плита, С-1</t>
        </is>
      </c>
      <c r="U725" s="49" t="n">
        <v>0</v>
      </c>
      <c r="V725" s="72" t="inlineStr">
        <is>
          <t>П-сетка</t>
        </is>
      </c>
      <c r="W725" s="49" t="n">
        <v>2</v>
      </c>
    </row>
    <row r="726">
      <c r="A726" s="72" t="n">
        <v>709</v>
      </c>
      <c r="B726" s="21" t="inlineStr">
        <is>
          <t>2 этаж (отм. +3.950…+7.550)</t>
        </is>
      </c>
      <c r="C726" s="21" t="inlineStr">
        <is>
          <t>Плита перекрытия</t>
        </is>
      </c>
      <c r="D726" s="21" t="inlineStr">
        <is>
          <t>1–5 / А–Г</t>
        </is>
      </c>
      <c r="E726" s="21" t="inlineStr">
        <is>
          <t>ПМ-7.550</t>
        </is>
      </c>
      <c r="F726" s="72" t="inlineStr">
        <is>
          <t>НY-нахл</t>
        </is>
      </c>
      <c r="G726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726" s="51" t="n">
        <v>10</v>
      </c>
      <c r="I726" s="72" t="inlineStr">
        <is>
          <t>А500С</t>
        </is>
      </c>
      <c r="J726" s="72" t="inlineStr">
        <is>
          <t>—</t>
        </is>
      </c>
      <c r="K726" s="75" t="n">
        <v>17</v>
      </c>
      <c r="L726" s="51" t="n">
        <v>1</v>
      </c>
      <c r="M726" s="69" t="n">
        <v>0.4</v>
      </c>
      <c r="N726" s="70">
        <f>K726*L726*M726</f>
        <v/>
      </c>
      <c r="O726" s="37">
        <f>IFERROR(INDEX(Исходные!$B$19:$B$31,MATCH(H726,Исходные!$A$19:$A$31,0)),0)</f>
        <v/>
      </c>
      <c r="P726" s="76">
        <f>N726*O726</f>
        <v/>
      </c>
      <c r="Q726" s="21" t="inlineStr">
        <is>
          <t>АС-58 «Деталь стыка арматуры армирования плиты»: нахлёст 400 мм для Ø10</t>
        </is>
      </c>
      <c r="R726" s="77" t="inlineStr">
        <is>
          <t>по проекту (стыковка прутков 11,7 м)</t>
        </is>
      </c>
      <c r="S726" s="21" t="inlineStr">
        <is>
          <t>Чистая длина 15.600 м; кусков 2; стыков 1; Lнахл=1×0.400=0.4 м на стержень</t>
        </is>
      </c>
      <c r="T726" s="21" t="inlineStr">
        <is>
          <t>Ригели, балки, плита, С-1</t>
        </is>
      </c>
      <c r="U726" s="49" t="n">
        <v>0</v>
      </c>
      <c r="V726" s="72" t="inlineStr">
        <is>
          <t>П-сетка</t>
        </is>
      </c>
      <c r="W726" s="49" t="n">
        <v>2</v>
      </c>
    </row>
    <row r="727">
      <c r="A727" s="72" t="n">
        <v>710</v>
      </c>
      <c r="B727" s="21" t="inlineStr">
        <is>
          <t>2 этаж (отм. +3.950…+7.550)</t>
        </is>
      </c>
      <c r="C727" s="21" t="inlineStr">
        <is>
          <t>Плита перекрытия</t>
        </is>
      </c>
      <c r="D727" s="21" t="inlineStr">
        <is>
          <t>1–5 / А–Г</t>
        </is>
      </c>
      <c r="E727" s="21" t="inlineStr">
        <is>
          <t>ПМ-7.550</t>
        </is>
      </c>
      <c r="F727" s="72" t="inlineStr">
        <is>
          <t>НY</t>
        </is>
      </c>
      <c r="G727" s="21" t="inlineStr">
        <is>
          <t>Нижняя осн. сетка, направление Y (вдоль осей А–Г)</t>
        </is>
      </c>
      <c r="H727" s="51" t="n">
        <v>10</v>
      </c>
      <c r="I727" s="72" t="inlineStr">
        <is>
          <t>А500С</t>
        </is>
      </c>
      <c r="J727" s="72" t="n">
        <v>200</v>
      </c>
      <c r="K727" s="75" t="n">
        <v>1</v>
      </c>
      <c r="L727" s="51" t="n">
        <v>18</v>
      </c>
      <c r="M727" s="69" t="n">
        <v>4.15</v>
      </c>
      <c r="N727" s="70">
        <f>K727*L727*M727</f>
        <v/>
      </c>
      <c r="O727" s="37">
        <f>IFERROR(INDEX(Исходные!$B$19:$B$31,MATCH(H727,Исходные!$A$19:$A$31,0)),0)</f>
        <v/>
      </c>
      <c r="P727" s="76">
        <f>N727*O727</f>
        <v/>
      </c>
      <c r="Q727" s="21" t="inlineStr">
        <is>
          <t>АС-50/АС-51 «Осн. сетка Ø10 А500С ш.200×200»; контур — АС-48 (край 420, проём лестницы 13725…18200)</t>
        </is>
      </c>
      <c r="R727" s="77" t="inlineStr">
        <is>
          <t>по геометрии чертежа</t>
        </is>
      </c>
      <c r="S727" s="21" t="inlineStr"/>
      <c r="T727" s="21" t="inlineStr">
        <is>
          <t>Ригели, балки, плита, С-1</t>
        </is>
      </c>
      <c r="U727" s="49" t="n">
        <v>0</v>
      </c>
      <c r="V727" s="72" t="inlineStr">
        <is>
          <t>П-сетка</t>
        </is>
      </c>
      <c r="W727" s="49" t="n">
        <v>2</v>
      </c>
    </row>
    <row r="728">
      <c r="A728" s="72" t="n">
        <v>711</v>
      </c>
      <c r="B728" s="21" t="inlineStr">
        <is>
          <t>2 этаж (отм. +3.950…+7.550)</t>
        </is>
      </c>
      <c r="C728" s="21" t="inlineStr">
        <is>
          <t>Плита перекрытия</t>
        </is>
      </c>
      <c r="D728" s="21" t="inlineStr">
        <is>
          <t>1–5 / А–Г</t>
        </is>
      </c>
      <c r="E728" s="21" t="inlineStr">
        <is>
          <t>ПМ-7.550</t>
        </is>
      </c>
      <c r="F728" s="72" t="inlineStr">
        <is>
          <t>НY</t>
        </is>
      </c>
      <c r="G728" s="21" t="inlineStr">
        <is>
          <t>Нижняя осн. сетка, направление Y (вдоль осей А–Г)</t>
        </is>
      </c>
      <c r="H728" s="51" t="n">
        <v>10</v>
      </c>
      <c r="I728" s="72" t="inlineStr">
        <is>
          <t>А500С</t>
        </is>
      </c>
      <c r="J728" s="72" t="n">
        <v>200</v>
      </c>
      <c r="K728" s="75" t="n">
        <v>1</v>
      </c>
      <c r="L728" s="51" t="n">
        <v>22</v>
      </c>
      <c r="M728" s="69" t="n">
        <v>0.6</v>
      </c>
      <c r="N728" s="70">
        <f>K728*L728*M728</f>
        <v/>
      </c>
      <c r="O728" s="37">
        <f>IFERROR(INDEX(Исходные!$B$19:$B$31,MATCH(H728,Исходные!$A$19:$A$31,0)),0)</f>
        <v/>
      </c>
      <c r="P728" s="76">
        <f>N728*O728</f>
        <v/>
      </c>
      <c r="Q728" s="21" t="inlineStr">
        <is>
          <t>АС-50/АС-51 «Осн. сетка Ø10 А500С ш.200×200»; контур — АС-48 (край 420, проём лестницы 13725…18200)</t>
        </is>
      </c>
      <c r="R728" s="77" t="inlineStr">
        <is>
          <t>по геометрии чертежа</t>
        </is>
      </c>
      <c r="S728" s="21" t="inlineStr"/>
      <c r="T728" s="21" t="inlineStr">
        <is>
          <t>Ригели, балки, плита, С-1</t>
        </is>
      </c>
      <c r="U728" s="49" t="n">
        <v>0</v>
      </c>
      <c r="V728" s="72" t="inlineStr">
        <is>
          <t>П-сетка</t>
        </is>
      </c>
      <c r="W728" s="49" t="n">
        <v>2</v>
      </c>
    </row>
    <row r="729">
      <c r="A729" s="72" t="n">
        <v>712</v>
      </c>
      <c r="B729" s="21" t="inlineStr">
        <is>
          <t>2 этаж (отм. +3.950…+7.550)</t>
        </is>
      </c>
      <c r="C729" s="21" t="inlineStr">
        <is>
          <t>Плита перекрытия</t>
        </is>
      </c>
      <c r="D729" s="21" t="inlineStr">
        <is>
          <t>1–5 / А–Г</t>
        </is>
      </c>
      <c r="E729" s="21" t="inlineStr">
        <is>
          <t>ПМ-7.550</t>
        </is>
      </c>
      <c r="F729" s="72" t="inlineStr">
        <is>
          <t>ВX</t>
        </is>
      </c>
      <c r="G729" s="21" t="inlineStr">
        <is>
          <t>Верхняя осн. сетка, направление X (вдоль осей 1–5)</t>
        </is>
      </c>
      <c r="H729" s="51" t="n">
        <v>10</v>
      </c>
      <c r="I729" s="72" t="inlineStr">
        <is>
          <t>А500С</t>
        </is>
      </c>
      <c r="J729" s="72" t="n">
        <v>200</v>
      </c>
      <c r="K729" s="75" t="n">
        <v>1</v>
      </c>
      <c r="L729" s="51" t="n">
        <v>26</v>
      </c>
      <c r="M729" s="69" t="n">
        <v>27.32</v>
      </c>
      <c r="N729" s="70">
        <f>K729*L729*M729</f>
        <v/>
      </c>
      <c r="O729" s="37">
        <f>IFERROR(INDEX(Исходные!$B$19:$B$31,MATCH(H729,Исходные!$A$19:$A$31,0)),0)</f>
        <v/>
      </c>
      <c r="P729" s="76">
        <f>N729*O729</f>
        <v/>
      </c>
      <c r="Q729" s="21" t="inlineStr">
        <is>
          <t>АС-50/АС-51 «Осн. сетка Ø10 А500С ш.200×200»; контур — АС-48 (край 420, проём лестницы 13725…18200)</t>
        </is>
      </c>
      <c r="R729" s="77" t="inlineStr">
        <is>
          <t>по геометрии чертежа</t>
        </is>
      </c>
      <c r="S729" s="21" t="inlineStr"/>
      <c r="T729" s="21" t="inlineStr">
        <is>
          <t>Ригели, балки, плита, С-1</t>
        </is>
      </c>
      <c r="U729" s="49" t="n">
        <v>0</v>
      </c>
      <c r="V729" s="72" t="inlineStr">
        <is>
          <t>П-сетка</t>
        </is>
      </c>
      <c r="W729" s="49" t="n">
        <v>2</v>
      </c>
    </row>
    <row r="730">
      <c r="A730" s="72" t="n">
        <v>713</v>
      </c>
      <c r="B730" s="21" t="inlineStr">
        <is>
          <t>2 этаж (отм. +3.950…+7.550)</t>
        </is>
      </c>
      <c r="C730" s="21" t="inlineStr">
        <is>
          <t>Плита перекрытия</t>
        </is>
      </c>
      <c r="D730" s="21" t="inlineStr">
        <is>
          <t>1–5 / А–Г</t>
        </is>
      </c>
      <c r="E730" s="21" t="inlineStr">
        <is>
          <t>ПМ-7.550</t>
        </is>
      </c>
      <c r="F730" s="72" t="inlineStr">
        <is>
          <t>ВX-нахл</t>
        </is>
      </c>
      <c r="G730" s="21" t="inlineStr">
        <is>
          <t>Нахлёсты стыков к поз. «Верхняя осн. сетка, направление X (вдоль осей 1–5)» (L=27.320 м &gt; 11,7 м): 3 куска, 2 стык(а) на стержень × 26 стерж.</t>
        </is>
      </c>
      <c r="H730" s="51" t="n">
        <v>10</v>
      </c>
      <c r="I730" s="72" t="inlineStr">
        <is>
          <t>А500С</t>
        </is>
      </c>
      <c r="J730" s="72" t="inlineStr">
        <is>
          <t>—</t>
        </is>
      </c>
      <c r="K730" s="75" t="n">
        <v>26</v>
      </c>
      <c r="L730" s="51" t="n">
        <v>2</v>
      </c>
      <c r="M730" s="69" t="n">
        <v>0.4</v>
      </c>
      <c r="N730" s="70">
        <f>K730*L730*M730</f>
        <v/>
      </c>
      <c r="O730" s="37">
        <f>IFERROR(INDEX(Исходные!$B$19:$B$31,MATCH(H730,Исходные!$A$19:$A$31,0)),0)</f>
        <v/>
      </c>
      <c r="P730" s="76">
        <f>N730*O730</f>
        <v/>
      </c>
      <c r="Q730" s="21" t="inlineStr">
        <is>
          <t>АС-58 «Деталь стыка арматуры армирования плиты»: нахлёст 400 мм для Ø10</t>
        </is>
      </c>
      <c r="R730" s="77" t="inlineStr">
        <is>
          <t>по проекту (стыковка прутков 11,7 м)</t>
        </is>
      </c>
      <c r="S730" s="21" t="inlineStr">
        <is>
          <t>Чистая длина 27.320 м; кусков 3; стыков 2; Lнахл=2×0.400=0.8 м на стержень</t>
        </is>
      </c>
      <c r="T730" s="21" t="inlineStr">
        <is>
          <t>Ригели, балки, плита, С-1</t>
        </is>
      </c>
      <c r="U730" s="49" t="n">
        <v>0</v>
      </c>
      <c r="V730" s="72" t="inlineStr">
        <is>
          <t>П-сетка</t>
        </is>
      </c>
      <c r="W730" s="49" t="n">
        <v>2</v>
      </c>
    </row>
    <row r="731">
      <c r="A731" s="72" t="n">
        <v>714</v>
      </c>
      <c r="B731" s="21" t="inlineStr">
        <is>
          <t>2 этаж (отм. +3.950…+7.550)</t>
        </is>
      </c>
      <c r="C731" s="21" t="inlineStr">
        <is>
          <t>Плита перекрытия</t>
        </is>
      </c>
      <c r="D731" s="21" t="inlineStr">
        <is>
          <t>1–5 / А–Г</t>
        </is>
      </c>
      <c r="E731" s="21" t="inlineStr">
        <is>
          <t>ПМ-7.550</t>
        </is>
      </c>
      <c r="F731" s="72" t="inlineStr">
        <is>
          <t>ВX</t>
        </is>
      </c>
      <c r="G731" s="21" t="inlineStr">
        <is>
          <t>Верхняя осн. сетка, направление X (вдоль осей 1–5)</t>
        </is>
      </c>
      <c r="H731" s="51" t="n">
        <v>10</v>
      </c>
      <c r="I731" s="72" t="inlineStr">
        <is>
          <t>А500С</t>
        </is>
      </c>
      <c r="J731" s="72" t="n">
        <v>200</v>
      </c>
      <c r="K731" s="75" t="n">
        <v>1</v>
      </c>
      <c r="L731" s="51" t="n">
        <v>49</v>
      </c>
      <c r="M731" s="69" t="n">
        <v>25.6</v>
      </c>
      <c r="N731" s="70">
        <f>K731*L731*M731</f>
        <v/>
      </c>
      <c r="O731" s="37">
        <f>IFERROR(INDEX(Исходные!$B$19:$B$31,MATCH(H731,Исходные!$A$19:$A$31,0)),0)</f>
        <v/>
      </c>
      <c r="P731" s="76">
        <f>N731*O731</f>
        <v/>
      </c>
      <c r="Q731" s="21" t="inlineStr">
        <is>
          <t>АС-50/АС-51 «Осн. сетка Ø10 А500С ш.200×200»; контур — АС-48 (край 420, проём лестницы 13725…18200)</t>
        </is>
      </c>
      <c r="R731" s="77" t="inlineStr">
        <is>
          <t>по геометрии чертежа</t>
        </is>
      </c>
      <c r="S731" s="21" t="inlineStr"/>
      <c r="T731" s="21" t="inlineStr">
        <is>
          <t>Ригели, балки, плита, С-1</t>
        </is>
      </c>
      <c r="U731" s="49" t="n">
        <v>0</v>
      </c>
      <c r="V731" s="72" t="inlineStr">
        <is>
          <t>П-сетка</t>
        </is>
      </c>
      <c r="W731" s="49" t="n">
        <v>2</v>
      </c>
    </row>
    <row r="732">
      <c r="A732" s="72" t="n">
        <v>715</v>
      </c>
      <c r="B732" s="21" t="inlineStr">
        <is>
          <t>2 этаж (отм. +3.950…+7.550)</t>
        </is>
      </c>
      <c r="C732" s="21" t="inlineStr">
        <is>
          <t>Плита перекрытия</t>
        </is>
      </c>
      <c r="D732" s="21" t="inlineStr">
        <is>
          <t>1–5 / А–Г</t>
        </is>
      </c>
      <c r="E732" s="21" t="inlineStr">
        <is>
          <t>ПМ-7.550</t>
        </is>
      </c>
      <c r="F732" s="72" t="inlineStr">
        <is>
          <t>ВX-нахл</t>
        </is>
      </c>
      <c r="G732" s="21" t="inlineStr">
        <is>
          <t>Нахлёсты стыков к поз. «Верхняя осн. сетка, направление X (вдоль осей 1–5)» (L=25.600 м &gt; 11,7 м): 3 куска, 2 стык(а) на стержень × 49 стерж.</t>
        </is>
      </c>
      <c r="H732" s="51" t="n">
        <v>10</v>
      </c>
      <c r="I732" s="72" t="inlineStr">
        <is>
          <t>А500С</t>
        </is>
      </c>
      <c r="J732" s="72" t="inlineStr">
        <is>
          <t>—</t>
        </is>
      </c>
      <c r="K732" s="75" t="n">
        <v>49</v>
      </c>
      <c r="L732" s="51" t="n">
        <v>2</v>
      </c>
      <c r="M732" s="69" t="n">
        <v>0.4</v>
      </c>
      <c r="N732" s="70">
        <f>K732*L732*M732</f>
        <v/>
      </c>
      <c r="O732" s="37">
        <f>IFERROR(INDEX(Исходные!$B$19:$B$31,MATCH(H732,Исходные!$A$19:$A$31,0)),0)</f>
        <v/>
      </c>
      <c r="P732" s="76">
        <f>N732*O732</f>
        <v/>
      </c>
      <c r="Q732" s="21" t="inlineStr">
        <is>
          <t>АС-58 «Деталь стыка арматуры армирования плиты»: нахлёст 400 мм для Ø10</t>
        </is>
      </c>
      <c r="R732" s="77" t="inlineStr">
        <is>
          <t>по проекту (стыковка прутков 11,7 м)</t>
        </is>
      </c>
      <c r="S732" s="21" t="inlineStr">
        <is>
          <t>Чистая длина 25.600 м; кусков 3; стыков 2; Lнахл=2×0.400=0.8 м на стержень</t>
        </is>
      </c>
      <c r="T732" s="21" t="inlineStr">
        <is>
          <t>Ригели, балки, плита, С-1</t>
        </is>
      </c>
      <c r="U732" s="49" t="n">
        <v>0</v>
      </c>
      <c r="V732" s="72" t="inlineStr">
        <is>
          <t>П-сетка</t>
        </is>
      </c>
      <c r="W732" s="49" t="n">
        <v>2</v>
      </c>
    </row>
    <row r="733">
      <c r="A733" s="72" t="n">
        <v>716</v>
      </c>
      <c r="B733" s="21" t="inlineStr">
        <is>
          <t>2 этаж (отм. +3.950…+7.550)</t>
        </is>
      </c>
      <c r="C733" s="21" t="inlineStr">
        <is>
          <t>Плита перекрытия</t>
        </is>
      </c>
      <c r="D733" s="21" t="inlineStr">
        <is>
          <t>1–5 / А–Г</t>
        </is>
      </c>
      <c r="E733" s="21" t="inlineStr">
        <is>
          <t>ПМ-7.550</t>
        </is>
      </c>
      <c r="F733" s="72" t="inlineStr">
        <is>
          <t>ВX</t>
        </is>
      </c>
      <c r="G733" s="21" t="inlineStr">
        <is>
          <t>Верхняя осн. сетка, направление X (вдоль осей 1–5)</t>
        </is>
      </c>
      <c r="H733" s="51" t="n">
        <v>10</v>
      </c>
      <c r="I733" s="72" t="inlineStr">
        <is>
          <t>А500С</t>
        </is>
      </c>
      <c r="J733" s="72" t="n">
        <v>200</v>
      </c>
      <c r="K733" s="75" t="n">
        <v>1</v>
      </c>
      <c r="L733" s="51" t="n">
        <v>1</v>
      </c>
      <c r="M733" s="69" t="n">
        <v>22.2</v>
      </c>
      <c r="N733" s="70">
        <f>K733*L733*M733</f>
        <v/>
      </c>
      <c r="O733" s="37">
        <f>IFERROR(INDEX(Исходные!$B$19:$B$31,MATCH(H733,Исходные!$A$19:$A$31,0)),0)</f>
        <v/>
      </c>
      <c r="P733" s="76">
        <f>N733*O733</f>
        <v/>
      </c>
      <c r="Q733" s="21" t="inlineStr">
        <is>
          <t>АС-50/АС-51 «Осн. сетка Ø10 А500С ш.200×200»; контур — АС-48 (край 420, проём лестницы 13725…18200)</t>
        </is>
      </c>
      <c r="R733" s="77" t="inlineStr">
        <is>
          <t>по геометрии чертежа</t>
        </is>
      </c>
      <c r="S733" s="21" t="inlineStr"/>
      <c r="T733" s="21" t="inlineStr">
        <is>
          <t>Ригели, балки, плита, С-1</t>
        </is>
      </c>
      <c r="U733" s="49" t="n">
        <v>0</v>
      </c>
      <c r="V733" s="72" t="inlineStr">
        <is>
          <t>П-сетка</t>
        </is>
      </c>
      <c r="W733" s="49" t="n">
        <v>2</v>
      </c>
    </row>
    <row r="734">
      <c r="A734" s="72" t="n">
        <v>717</v>
      </c>
      <c r="B734" s="21" t="inlineStr">
        <is>
          <t>2 этаж (отм. +3.950…+7.550)</t>
        </is>
      </c>
      <c r="C734" s="21" t="inlineStr">
        <is>
          <t>Плита перекрытия</t>
        </is>
      </c>
      <c r="D734" s="21" t="inlineStr">
        <is>
          <t>1–5 / А–Г</t>
        </is>
      </c>
      <c r="E734" s="21" t="inlineStr">
        <is>
          <t>ПМ-7.550</t>
        </is>
      </c>
      <c r="F734" s="72" t="inlineStr">
        <is>
          <t>ВX-нахл</t>
        </is>
      </c>
      <c r="G734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734" s="51" t="n">
        <v>10</v>
      </c>
      <c r="I734" s="72" t="inlineStr">
        <is>
          <t>А500С</t>
        </is>
      </c>
      <c r="J734" s="72" t="inlineStr">
        <is>
          <t>—</t>
        </is>
      </c>
      <c r="K734" s="75" t="n">
        <v>1</v>
      </c>
      <c r="L734" s="51" t="n">
        <v>1</v>
      </c>
      <c r="M734" s="69" t="n">
        <v>0.4</v>
      </c>
      <c r="N734" s="70">
        <f>K734*L734*M734</f>
        <v/>
      </c>
      <c r="O734" s="37">
        <f>IFERROR(INDEX(Исходные!$B$19:$B$31,MATCH(H734,Исходные!$A$19:$A$31,0)),0)</f>
        <v/>
      </c>
      <c r="P734" s="76">
        <f>N734*O734</f>
        <v/>
      </c>
      <c r="Q734" s="21" t="inlineStr">
        <is>
          <t>АС-58 «Деталь стыка арматуры армирования плиты»: нахлёст 400 мм для Ø10</t>
        </is>
      </c>
      <c r="R734" s="77" t="inlineStr">
        <is>
          <t>по проекту (стыковка прутков 11,7 м)</t>
        </is>
      </c>
      <c r="S734" s="21" t="inlineStr">
        <is>
          <t>Чистая длина 22.200 м; кусков 2; стыков 1; Lнахл=1×0.400=0.4 м на стержень</t>
        </is>
      </c>
      <c r="T734" s="21" t="inlineStr">
        <is>
          <t>Ригели, балки, плита, С-1</t>
        </is>
      </c>
      <c r="U734" s="49" t="n">
        <v>0</v>
      </c>
      <c r="V734" s="72" t="inlineStr">
        <is>
          <t>П-сетка</t>
        </is>
      </c>
      <c r="W734" s="49" t="n">
        <v>2</v>
      </c>
    </row>
    <row r="735">
      <c r="A735" s="72" t="n">
        <v>718</v>
      </c>
      <c r="B735" s="21" t="inlineStr">
        <is>
          <t>2 этаж (отм. +3.950…+7.550)</t>
        </is>
      </c>
      <c r="C735" s="21" t="inlineStr">
        <is>
          <t>Плита перекрытия</t>
        </is>
      </c>
      <c r="D735" s="21" t="inlineStr">
        <is>
          <t>1–5 / А–Г</t>
        </is>
      </c>
      <c r="E735" s="21" t="inlineStr">
        <is>
          <t>ПМ-7.550</t>
        </is>
      </c>
      <c r="F735" s="72" t="inlineStr">
        <is>
          <t>ВX</t>
        </is>
      </c>
      <c r="G735" s="21" t="inlineStr">
        <is>
          <t>Верхняя осн. сетка, направление X (вдоль осей 1–5)</t>
        </is>
      </c>
      <c r="H735" s="51" t="n">
        <v>10</v>
      </c>
      <c r="I735" s="72" t="inlineStr">
        <is>
          <t>А500С</t>
        </is>
      </c>
      <c r="J735" s="72" t="n">
        <v>200</v>
      </c>
      <c r="K735" s="75" t="n">
        <v>1</v>
      </c>
      <c r="L735" s="51" t="n">
        <v>16</v>
      </c>
      <c r="M735" s="69" t="n">
        <v>15.62</v>
      </c>
      <c r="N735" s="70">
        <f>K735*L735*M735</f>
        <v/>
      </c>
      <c r="O735" s="37">
        <f>IFERROR(INDEX(Исходные!$B$19:$B$31,MATCH(H735,Исходные!$A$19:$A$31,0)),0)</f>
        <v/>
      </c>
      <c r="P735" s="76">
        <f>N735*O735</f>
        <v/>
      </c>
      <c r="Q735" s="21" t="inlineStr">
        <is>
          <t>АС-50/АС-51 «Осн. сетка Ø10 А500С ш.200×200»; контур — АС-48 (край 420, проём лестницы 13725…18200)</t>
        </is>
      </c>
      <c r="R735" s="77" t="inlineStr">
        <is>
          <t>по геометрии чертежа</t>
        </is>
      </c>
      <c r="S735" s="21" t="inlineStr"/>
      <c r="T735" s="21" t="inlineStr">
        <is>
          <t>Ригели, балки, плита, С-1</t>
        </is>
      </c>
      <c r="U735" s="49" t="n">
        <v>0</v>
      </c>
      <c r="V735" s="72" t="inlineStr">
        <is>
          <t>П-сетка</t>
        </is>
      </c>
      <c r="W735" s="49" t="n">
        <v>2</v>
      </c>
    </row>
    <row r="736">
      <c r="A736" s="72" t="n">
        <v>719</v>
      </c>
      <c r="B736" s="21" t="inlineStr">
        <is>
          <t>2 этаж (отм. +3.950…+7.550)</t>
        </is>
      </c>
      <c r="C736" s="21" t="inlineStr">
        <is>
          <t>Плита перекрытия</t>
        </is>
      </c>
      <c r="D736" s="21" t="inlineStr">
        <is>
          <t>1–5 / А–Г</t>
        </is>
      </c>
      <c r="E736" s="21" t="inlineStr">
        <is>
          <t>ПМ-7.550</t>
        </is>
      </c>
      <c r="F736" s="72" t="inlineStr">
        <is>
          <t>ВX-нахл</t>
        </is>
      </c>
      <c r="G736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736" s="51" t="n">
        <v>10</v>
      </c>
      <c r="I736" s="72" t="inlineStr">
        <is>
          <t>А500С</t>
        </is>
      </c>
      <c r="J736" s="72" t="inlineStr">
        <is>
          <t>—</t>
        </is>
      </c>
      <c r="K736" s="75" t="n">
        <v>16</v>
      </c>
      <c r="L736" s="51" t="n">
        <v>1</v>
      </c>
      <c r="M736" s="69" t="n">
        <v>0.4</v>
      </c>
      <c r="N736" s="70">
        <f>K736*L736*M736</f>
        <v/>
      </c>
      <c r="O736" s="37">
        <f>IFERROR(INDEX(Исходные!$B$19:$B$31,MATCH(H736,Исходные!$A$19:$A$31,0)),0)</f>
        <v/>
      </c>
      <c r="P736" s="76">
        <f>N736*O736</f>
        <v/>
      </c>
      <c r="Q736" s="21" t="inlineStr">
        <is>
          <t>АС-58 «Деталь стыка арматуры армирования плиты»: нахлёст 400 мм для Ø10</t>
        </is>
      </c>
      <c r="R736" s="77" t="inlineStr">
        <is>
          <t>по проекту (стыковка прутков 11,7 м)</t>
        </is>
      </c>
      <c r="S736" s="21" t="inlineStr">
        <is>
          <t>Чистая длина 15.620 м; кусков 2; стыков 1; Lнахл=1×0.400=0.4 м на стержень</t>
        </is>
      </c>
      <c r="T736" s="21" t="inlineStr">
        <is>
          <t>Ригели, балки, плита, С-1</t>
        </is>
      </c>
      <c r="U736" s="49" t="n">
        <v>0</v>
      </c>
      <c r="V736" s="72" t="inlineStr">
        <is>
          <t>П-сетка</t>
        </is>
      </c>
      <c r="W736" s="49" t="n">
        <v>2</v>
      </c>
    </row>
    <row r="737">
      <c r="A737" s="72" t="n">
        <v>720</v>
      </c>
      <c r="B737" s="21" t="inlineStr">
        <is>
          <t>2 этаж (отм. +3.950…+7.550)</t>
        </is>
      </c>
      <c r="C737" s="21" t="inlineStr">
        <is>
          <t>Плита перекрытия</t>
        </is>
      </c>
      <c r="D737" s="21" t="inlineStr">
        <is>
          <t>1–5 / А–Г</t>
        </is>
      </c>
      <c r="E737" s="21" t="inlineStr">
        <is>
          <t>ПМ-7.550</t>
        </is>
      </c>
      <c r="F737" s="72" t="inlineStr">
        <is>
          <t>ВX</t>
        </is>
      </c>
      <c r="G737" s="21" t="inlineStr">
        <is>
          <t>Верхняя осн. сетка, направление X (вдоль осей 1–5)</t>
        </is>
      </c>
      <c r="H737" s="51" t="n">
        <v>10</v>
      </c>
      <c r="I737" s="72" t="inlineStr">
        <is>
          <t>А500С</t>
        </is>
      </c>
      <c r="J737" s="72" t="n">
        <v>200</v>
      </c>
      <c r="K737" s="75" t="n">
        <v>1</v>
      </c>
      <c r="L737" s="51" t="n">
        <v>12</v>
      </c>
      <c r="M737" s="69" t="n">
        <v>13.9</v>
      </c>
      <c r="N737" s="70">
        <f>K737*L737*M737</f>
        <v/>
      </c>
      <c r="O737" s="37">
        <f>IFERROR(INDEX(Исходные!$B$19:$B$31,MATCH(H737,Исходные!$A$19:$A$31,0)),0)</f>
        <v/>
      </c>
      <c r="P737" s="76">
        <f>N737*O737</f>
        <v/>
      </c>
      <c r="Q737" s="21" t="inlineStr">
        <is>
          <t>АС-50/АС-51 «Осн. сетка Ø10 А500С ш.200×200»; контур — АС-48 (край 420, проём лестницы 13725…18200)</t>
        </is>
      </c>
      <c r="R737" s="77" t="inlineStr">
        <is>
          <t>по геометрии чертежа</t>
        </is>
      </c>
      <c r="S737" s="21" t="inlineStr"/>
      <c r="T737" s="21" t="inlineStr">
        <is>
          <t>Ригели, балки, плита, С-1</t>
        </is>
      </c>
      <c r="U737" s="49" t="n">
        <v>0</v>
      </c>
      <c r="V737" s="72" t="inlineStr">
        <is>
          <t>П-сетка</t>
        </is>
      </c>
      <c r="W737" s="49" t="n">
        <v>2</v>
      </c>
    </row>
    <row r="738">
      <c r="A738" s="72" t="n">
        <v>721</v>
      </c>
      <c r="B738" s="21" t="inlineStr">
        <is>
          <t>2 этаж (отм. +3.950…+7.550)</t>
        </is>
      </c>
      <c r="C738" s="21" t="inlineStr">
        <is>
          <t>Плита перекрытия</t>
        </is>
      </c>
      <c r="D738" s="21" t="inlineStr">
        <is>
          <t>1–5 / А–Г</t>
        </is>
      </c>
      <c r="E738" s="21" t="inlineStr">
        <is>
          <t>ПМ-7.550</t>
        </is>
      </c>
      <c r="F738" s="72" t="inlineStr">
        <is>
          <t>ВX-нахл</t>
        </is>
      </c>
      <c r="G738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738" s="51" t="n">
        <v>10</v>
      </c>
      <c r="I738" s="72" t="inlineStr">
        <is>
          <t>А500С</t>
        </is>
      </c>
      <c r="J738" s="72" t="inlineStr">
        <is>
          <t>—</t>
        </is>
      </c>
      <c r="K738" s="75" t="n">
        <v>12</v>
      </c>
      <c r="L738" s="51" t="n">
        <v>1</v>
      </c>
      <c r="M738" s="69" t="n">
        <v>0.4</v>
      </c>
      <c r="N738" s="70">
        <f>K738*L738*M738</f>
        <v/>
      </c>
      <c r="O738" s="37">
        <f>IFERROR(INDEX(Исходные!$B$19:$B$31,MATCH(H738,Исходные!$A$19:$A$31,0)),0)</f>
        <v/>
      </c>
      <c r="P738" s="76">
        <f>N738*O738</f>
        <v/>
      </c>
      <c r="Q738" s="21" t="inlineStr">
        <is>
          <t>АС-58 «Деталь стыка арматуры армирования плиты»: нахлёст 400 мм для Ø10</t>
        </is>
      </c>
      <c r="R738" s="77" t="inlineStr">
        <is>
          <t>по проекту (стыковка прутков 11,7 м)</t>
        </is>
      </c>
      <c r="S738" s="21" t="inlineStr">
        <is>
          <t>Чистая длина 13.900 м; кусков 2; стыков 1; Lнахл=1×0.400=0.4 м на стержень</t>
        </is>
      </c>
      <c r="T738" s="21" t="inlineStr">
        <is>
          <t>Ригели, балки, плита, С-1</t>
        </is>
      </c>
      <c r="U738" s="49" t="n">
        <v>0</v>
      </c>
      <c r="V738" s="72" t="inlineStr">
        <is>
          <t>П-сетка</t>
        </is>
      </c>
      <c r="W738" s="49" t="n">
        <v>2</v>
      </c>
    </row>
    <row r="739">
      <c r="A739" s="72" t="n">
        <v>722</v>
      </c>
      <c r="B739" s="21" t="inlineStr">
        <is>
          <t>2 этаж (отм. +3.950…+7.550)</t>
        </is>
      </c>
      <c r="C739" s="21" t="inlineStr">
        <is>
          <t>Плита перекрытия</t>
        </is>
      </c>
      <c r="D739" s="21" t="inlineStr">
        <is>
          <t>1–5 / А–Г</t>
        </is>
      </c>
      <c r="E739" s="21" t="inlineStr">
        <is>
          <t>ПМ-7.550</t>
        </is>
      </c>
      <c r="F739" s="72" t="inlineStr">
        <is>
          <t>ВX</t>
        </is>
      </c>
      <c r="G739" s="21" t="inlineStr">
        <is>
          <t>Верхняя осн. сетка, направление X (вдоль осей 1–5)</t>
        </is>
      </c>
      <c r="H739" s="51" t="n">
        <v>10</v>
      </c>
      <c r="I739" s="72" t="inlineStr">
        <is>
          <t>А500С</t>
        </is>
      </c>
      <c r="J739" s="72" t="n">
        <v>200</v>
      </c>
      <c r="K739" s="75" t="n">
        <v>1</v>
      </c>
      <c r="L739" s="51" t="n">
        <v>1</v>
      </c>
      <c r="M739" s="69" t="n">
        <v>10.77</v>
      </c>
      <c r="N739" s="70">
        <f>K739*L739*M739</f>
        <v/>
      </c>
      <c r="O739" s="37">
        <f>IFERROR(INDEX(Исходные!$B$19:$B$31,MATCH(H739,Исходные!$A$19:$A$31,0)),0)</f>
        <v/>
      </c>
      <c r="P739" s="76">
        <f>N739*O739</f>
        <v/>
      </c>
      <c r="Q739" s="21" t="inlineStr">
        <is>
          <t>АС-50/АС-51 «Осн. сетка Ø10 А500С ш.200×200»; контур — АС-48 (край 420, проём лестницы 13725…18200)</t>
        </is>
      </c>
      <c r="R739" s="77" t="inlineStr">
        <is>
          <t>по геометрии чертежа</t>
        </is>
      </c>
      <c r="S739" s="21" t="inlineStr"/>
      <c r="T739" s="21" t="inlineStr">
        <is>
          <t>Ригели, балки, плита, С-1</t>
        </is>
      </c>
      <c r="U739" s="49" t="n">
        <v>0</v>
      </c>
      <c r="V739" s="72" t="inlineStr">
        <is>
          <t>П-сетка</t>
        </is>
      </c>
      <c r="W739" s="49" t="n">
        <v>2</v>
      </c>
    </row>
    <row r="740">
      <c r="A740" s="72" t="n">
        <v>723</v>
      </c>
      <c r="B740" s="21" t="inlineStr">
        <is>
          <t>2 этаж (отм. +3.950…+7.550)</t>
        </is>
      </c>
      <c r="C740" s="21" t="inlineStr">
        <is>
          <t>Плита перекрытия</t>
        </is>
      </c>
      <c r="D740" s="21" t="inlineStr">
        <is>
          <t>1–5 / А–Г</t>
        </is>
      </c>
      <c r="E740" s="21" t="inlineStr">
        <is>
          <t>ПМ-7.550</t>
        </is>
      </c>
      <c r="F740" s="72" t="inlineStr">
        <is>
          <t>ВX</t>
        </is>
      </c>
      <c r="G740" s="21" t="inlineStr">
        <is>
          <t>Верхняя осн. сетка, направление X (вдоль осей 1–5)</t>
        </is>
      </c>
      <c r="H740" s="51" t="n">
        <v>10</v>
      </c>
      <c r="I740" s="72" t="inlineStr">
        <is>
          <t>А500С</t>
        </is>
      </c>
      <c r="J740" s="72" t="n">
        <v>200</v>
      </c>
      <c r="K740" s="75" t="n">
        <v>1</v>
      </c>
      <c r="L740" s="51" t="n">
        <v>14</v>
      </c>
      <c r="M740" s="69" t="n">
        <v>7.97</v>
      </c>
      <c r="N740" s="70">
        <f>K740*L740*M740</f>
        <v/>
      </c>
      <c r="O740" s="37">
        <f>IFERROR(INDEX(Исходные!$B$19:$B$31,MATCH(H740,Исходные!$A$19:$A$31,0)),0)</f>
        <v/>
      </c>
      <c r="P740" s="76">
        <f>N740*O740</f>
        <v/>
      </c>
      <c r="Q740" s="21" t="inlineStr">
        <is>
          <t>АС-50/АС-51 «Осн. сетка Ø10 А500С ш.200×200»; контур — АС-48 (край 420, проём лестницы 13725…18200)</t>
        </is>
      </c>
      <c r="R740" s="77" t="inlineStr">
        <is>
          <t>по геометрии чертежа</t>
        </is>
      </c>
      <c r="S740" s="21" t="inlineStr"/>
      <c r="T740" s="21" t="inlineStr">
        <is>
          <t>Ригели, балки, плита, С-1</t>
        </is>
      </c>
      <c r="U740" s="49" t="n">
        <v>0</v>
      </c>
      <c r="V740" s="72" t="inlineStr">
        <is>
          <t>П-сетка</t>
        </is>
      </c>
      <c r="W740" s="49" t="n">
        <v>2</v>
      </c>
    </row>
    <row r="741">
      <c r="A741" s="72" t="n">
        <v>724</v>
      </c>
      <c r="B741" s="21" t="inlineStr">
        <is>
          <t>2 этаж (отм. +3.950…+7.550)</t>
        </is>
      </c>
      <c r="C741" s="21" t="inlineStr">
        <is>
          <t>Плита перекрытия</t>
        </is>
      </c>
      <c r="D741" s="21" t="inlineStr">
        <is>
          <t>1–5 / А–Г</t>
        </is>
      </c>
      <c r="E741" s="21" t="inlineStr">
        <is>
          <t>ПМ-7.550</t>
        </is>
      </c>
      <c r="F741" s="72" t="inlineStr">
        <is>
          <t>ВX</t>
        </is>
      </c>
      <c r="G741" s="21" t="inlineStr">
        <is>
          <t>Верхняя осн. сетка, направление X (вдоль осей 1–5)</t>
        </is>
      </c>
      <c r="H741" s="51" t="n">
        <v>10</v>
      </c>
      <c r="I741" s="72" t="inlineStr">
        <is>
          <t>А500С</t>
        </is>
      </c>
      <c r="J741" s="72" t="n">
        <v>200</v>
      </c>
      <c r="K741" s="75" t="n">
        <v>1</v>
      </c>
      <c r="L741" s="51" t="n">
        <v>9</v>
      </c>
      <c r="M741" s="69" t="n">
        <v>7.95</v>
      </c>
      <c r="N741" s="70">
        <f>K741*L741*M741</f>
        <v/>
      </c>
      <c r="O741" s="37">
        <f>IFERROR(INDEX(Исходные!$B$19:$B$31,MATCH(H741,Исходные!$A$19:$A$31,0)),0)</f>
        <v/>
      </c>
      <c r="P741" s="76">
        <f>N741*O741</f>
        <v/>
      </c>
      <c r="Q741" s="21" t="inlineStr">
        <is>
          <t>АС-50/АС-51 «Осн. сетка Ø10 А500С ш.200×200»; контур — АС-48 (край 420, проём лестницы 13725…18200)</t>
        </is>
      </c>
      <c r="R741" s="77" t="inlineStr">
        <is>
          <t>по геометрии чертежа</t>
        </is>
      </c>
      <c r="S741" s="21" t="inlineStr"/>
      <c r="T741" s="21" t="inlineStr">
        <is>
          <t>Ригели, балки, плита, С-1</t>
        </is>
      </c>
      <c r="U741" s="49" t="n">
        <v>0</v>
      </c>
      <c r="V741" s="72" t="inlineStr">
        <is>
          <t>П-сетка</t>
        </is>
      </c>
      <c r="W741" s="49" t="n">
        <v>2</v>
      </c>
    </row>
    <row r="742">
      <c r="A742" s="72" t="n">
        <v>725</v>
      </c>
      <c r="B742" s="21" t="inlineStr">
        <is>
          <t>2 этаж (отм. +3.950…+7.550)</t>
        </is>
      </c>
      <c r="C742" s="21" t="inlineStr">
        <is>
          <t>Плита перекрытия</t>
        </is>
      </c>
      <c r="D742" s="21" t="inlineStr">
        <is>
          <t>1–5 / А–Г</t>
        </is>
      </c>
      <c r="E742" s="21" t="inlineStr">
        <is>
          <t>ПМ-7.550</t>
        </is>
      </c>
      <c r="F742" s="72" t="inlineStr">
        <is>
          <t>ВX</t>
        </is>
      </c>
      <c r="G742" s="21" t="inlineStr">
        <is>
          <t>Верхняя осн. сетка, направление X (вдоль осей 1–5)</t>
        </is>
      </c>
      <c r="H742" s="51" t="n">
        <v>10</v>
      </c>
      <c r="I742" s="72" t="inlineStr">
        <is>
          <t>А500С</t>
        </is>
      </c>
      <c r="J742" s="72" t="n">
        <v>200</v>
      </c>
      <c r="K742" s="75" t="n">
        <v>1</v>
      </c>
      <c r="L742" s="51" t="n">
        <v>13</v>
      </c>
      <c r="M742" s="69" t="n">
        <v>7.17</v>
      </c>
      <c r="N742" s="70">
        <f>K742*L742*M742</f>
        <v/>
      </c>
      <c r="O742" s="37">
        <f>IFERROR(INDEX(Исходные!$B$19:$B$31,MATCH(H742,Исходные!$A$19:$A$31,0)),0)</f>
        <v/>
      </c>
      <c r="P742" s="76">
        <f>N742*O742</f>
        <v/>
      </c>
      <c r="Q742" s="21" t="inlineStr">
        <is>
          <t>АС-50/АС-51 «Осн. сетка Ø10 А500С ш.200×200»; контур — АС-48 (край 420, проём лестницы 13725…18200)</t>
        </is>
      </c>
      <c r="R742" s="77" t="inlineStr">
        <is>
          <t>по геометрии чертежа</t>
        </is>
      </c>
      <c r="S742" s="21" t="inlineStr"/>
      <c r="T742" s="21" t="inlineStr">
        <is>
          <t>Ригели, балки, плита, С-1</t>
        </is>
      </c>
      <c r="U742" s="49" t="n">
        <v>0</v>
      </c>
      <c r="V742" s="72" t="inlineStr">
        <is>
          <t>П-сетка</t>
        </is>
      </c>
      <c r="W742" s="49" t="n">
        <v>2</v>
      </c>
    </row>
    <row r="743">
      <c r="A743" s="72" t="n">
        <v>726</v>
      </c>
      <c r="B743" s="21" t="inlineStr">
        <is>
          <t>2 этаж (отм. +3.950…+7.550)</t>
        </is>
      </c>
      <c r="C743" s="21" t="inlineStr">
        <is>
          <t>Плита перекрытия</t>
        </is>
      </c>
      <c r="D743" s="21" t="inlineStr">
        <is>
          <t>1–5 / А–Г</t>
        </is>
      </c>
      <c r="E743" s="21" t="inlineStr">
        <is>
          <t>ПМ-7.550</t>
        </is>
      </c>
      <c r="F743" s="72" t="inlineStr">
        <is>
          <t>ВX</t>
        </is>
      </c>
      <c r="G743" s="21" t="inlineStr">
        <is>
          <t>Верхняя осн. сетка, направление X (вдоль осей 1–5)</t>
        </is>
      </c>
      <c r="H743" s="51" t="n">
        <v>10</v>
      </c>
      <c r="I743" s="72" t="inlineStr">
        <is>
          <t>А500С</t>
        </is>
      </c>
      <c r="J743" s="72" t="n">
        <v>200</v>
      </c>
      <c r="K743" s="75" t="n">
        <v>1</v>
      </c>
      <c r="L743" s="51" t="n">
        <v>9</v>
      </c>
      <c r="M743" s="69" t="n">
        <v>3.78</v>
      </c>
      <c r="N743" s="70">
        <f>K743*L743*M743</f>
        <v/>
      </c>
      <c r="O743" s="37">
        <f>IFERROR(INDEX(Исходные!$B$19:$B$31,MATCH(H743,Исходные!$A$19:$A$31,0)),0)</f>
        <v/>
      </c>
      <c r="P743" s="76">
        <f>N743*O743</f>
        <v/>
      </c>
      <c r="Q743" s="21" t="inlineStr">
        <is>
          <t>АС-50/АС-51 «Осн. сетка Ø10 А500С ш.200×200»; контур — АС-48 (край 420, проём лестницы 13725…18200)</t>
        </is>
      </c>
      <c r="R743" s="77" t="inlineStr">
        <is>
          <t>по геометрии чертежа</t>
        </is>
      </c>
      <c r="S743" s="21" t="inlineStr"/>
      <c r="T743" s="21" t="inlineStr">
        <is>
          <t>Ригели, балки, плита, С-1</t>
        </is>
      </c>
      <c r="U743" s="49" t="n">
        <v>0</v>
      </c>
      <c r="V743" s="72" t="inlineStr">
        <is>
          <t>П-сетка</t>
        </is>
      </c>
      <c r="W743" s="49" t="n">
        <v>2</v>
      </c>
    </row>
    <row r="744">
      <c r="A744" s="72" t="n">
        <v>727</v>
      </c>
      <c r="B744" s="21" t="inlineStr">
        <is>
          <t>2 этаж (отм. +3.950…+7.550)</t>
        </is>
      </c>
      <c r="C744" s="21" t="inlineStr">
        <is>
          <t>Плита перекрытия</t>
        </is>
      </c>
      <c r="D744" s="21" t="inlineStr">
        <is>
          <t>1–5 / А–Г</t>
        </is>
      </c>
      <c r="E744" s="21" t="inlineStr">
        <is>
          <t>ПМ-7.550</t>
        </is>
      </c>
      <c r="F744" s="72" t="inlineStr">
        <is>
          <t>ВY</t>
        </is>
      </c>
      <c r="G744" s="21" t="inlineStr">
        <is>
          <t>Верхняя осн. сетка, направление Y (вдоль осей А–Г)</t>
        </is>
      </c>
      <c r="H744" s="51" t="n">
        <v>10</v>
      </c>
      <c r="I744" s="72" t="inlineStr">
        <is>
          <t>А500С</t>
        </is>
      </c>
      <c r="J744" s="72" t="n">
        <v>200</v>
      </c>
      <c r="K744" s="75" t="n">
        <v>1</v>
      </c>
      <c r="L744" s="51" t="n">
        <v>40</v>
      </c>
      <c r="M744" s="69" t="n">
        <v>22.32</v>
      </c>
      <c r="N744" s="70">
        <f>K744*L744*M744</f>
        <v/>
      </c>
      <c r="O744" s="37">
        <f>IFERROR(INDEX(Исходные!$B$19:$B$31,MATCH(H744,Исходные!$A$19:$A$31,0)),0)</f>
        <v/>
      </c>
      <c r="P744" s="76">
        <f>N744*O744</f>
        <v/>
      </c>
      <c r="Q744" s="21" t="inlineStr">
        <is>
          <t>АС-50/АС-51 «Осн. сетка Ø10 А500С ш.200×200»; контур — АС-48 (край 420, проём лестницы 13725…18200)</t>
        </is>
      </c>
      <c r="R744" s="77" t="inlineStr">
        <is>
          <t>по геометрии чертежа</t>
        </is>
      </c>
      <c r="S744" s="21" t="inlineStr"/>
      <c r="T744" s="21" t="inlineStr">
        <is>
          <t>Ригели, балки, плита, С-1</t>
        </is>
      </c>
      <c r="U744" s="49" t="n">
        <v>0</v>
      </c>
      <c r="V744" s="72" t="inlineStr">
        <is>
          <t>П-сетка</t>
        </is>
      </c>
      <c r="W744" s="49" t="n">
        <v>2</v>
      </c>
    </row>
    <row r="745">
      <c r="A745" s="72" t="n">
        <v>728</v>
      </c>
      <c r="B745" s="21" t="inlineStr">
        <is>
          <t>2 этаж (отм. +3.950…+7.550)</t>
        </is>
      </c>
      <c r="C745" s="21" t="inlineStr">
        <is>
          <t>Плита перекрытия</t>
        </is>
      </c>
      <c r="D745" s="21" t="inlineStr">
        <is>
          <t>1–5 / А–Г</t>
        </is>
      </c>
      <c r="E745" s="21" t="inlineStr">
        <is>
          <t>ПМ-7.550</t>
        </is>
      </c>
      <c r="F745" s="72" t="inlineStr">
        <is>
          <t>ВY-нахл</t>
        </is>
      </c>
      <c r="G745" s="21" t="inlineStr">
        <is>
          <t>Нахлёсты стыков к поз. «Верхняя осн. сетка, направление Y (вдоль осей А–Г)» (L=22.320 м &gt; 11,7 м): 2 куска, 1 стык(а) на стержень × 40 стерж.</t>
        </is>
      </c>
      <c r="H745" s="51" t="n">
        <v>10</v>
      </c>
      <c r="I745" s="72" t="inlineStr">
        <is>
          <t>А500С</t>
        </is>
      </c>
      <c r="J745" s="72" t="inlineStr">
        <is>
          <t>—</t>
        </is>
      </c>
      <c r="K745" s="75" t="n">
        <v>40</v>
      </c>
      <c r="L745" s="51" t="n">
        <v>1</v>
      </c>
      <c r="M745" s="69" t="n">
        <v>0.4</v>
      </c>
      <c r="N745" s="70">
        <f>K745*L745*M745</f>
        <v/>
      </c>
      <c r="O745" s="37">
        <f>IFERROR(INDEX(Исходные!$B$19:$B$31,MATCH(H745,Исходные!$A$19:$A$31,0)),0)</f>
        <v/>
      </c>
      <c r="P745" s="76">
        <f>N745*O745</f>
        <v/>
      </c>
      <c r="Q745" s="21" t="inlineStr">
        <is>
          <t>АС-58 «Деталь стыка арматуры армирования плиты»: нахлёст 400 мм для Ø10</t>
        </is>
      </c>
      <c r="R745" s="77" t="inlineStr">
        <is>
          <t>по проекту (стыковка прутков 11,7 м)</t>
        </is>
      </c>
      <c r="S745" s="21" t="inlineStr">
        <is>
          <t>Чистая длина 22.320 м; кусков 2; стыков 1; Lнахл=1×0.400=0.4 м на стержень</t>
        </is>
      </c>
      <c r="T745" s="21" t="inlineStr">
        <is>
          <t>Ригели, балки, плита, С-1</t>
        </is>
      </c>
      <c r="U745" s="49" t="n">
        <v>0</v>
      </c>
      <c r="V745" s="72" t="inlineStr">
        <is>
          <t>П-сетка</t>
        </is>
      </c>
      <c r="W745" s="49" t="n">
        <v>2</v>
      </c>
    </row>
    <row r="746">
      <c r="A746" s="72" t="n">
        <v>729</v>
      </c>
      <c r="B746" s="21" t="inlineStr">
        <is>
          <t>2 этаж (отм. +3.950…+7.550)</t>
        </is>
      </c>
      <c r="C746" s="21" t="inlineStr">
        <is>
          <t>Плита перекрытия</t>
        </is>
      </c>
      <c r="D746" s="21" t="inlineStr">
        <is>
          <t>1–5 / А–Г</t>
        </is>
      </c>
      <c r="E746" s="21" t="inlineStr">
        <is>
          <t>ПМ-7.550</t>
        </is>
      </c>
      <c r="F746" s="72" t="inlineStr">
        <is>
          <t>ВY</t>
        </is>
      </c>
      <c r="G746" s="21" t="inlineStr">
        <is>
          <t>Верхняя осн. сетка, направление Y (вдоль осей А–Г)</t>
        </is>
      </c>
      <c r="H746" s="51" t="n">
        <v>10</v>
      </c>
      <c r="I746" s="72" t="inlineStr">
        <is>
          <t>А500С</t>
        </is>
      </c>
      <c r="J746" s="72" t="n">
        <v>200</v>
      </c>
      <c r="K746" s="75" t="n">
        <v>1</v>
      </c>
      <c r="L746" s="51" t="n">
        <v>41</v>
      </c>
      <c r="M746" s="69" t="n">
        <v>20.6</v>
      </c>
      <c r="N746" s="70">
        <f>K746*L746*M746</f>
        <v/>
      </c>
      <c r="O746" s="37">
        <f>IFERROR(INDEX(Исходные!$B$19:$B$31,MATCH(H746,Исходные!$A$19:$A$31,0)),0)</f>
        <v/>
      </c>
      <c r="P746" s="76">
        <f>N746*O746</f>
        <v/>
      </c>
      <c r="Q746" s="21" t="inlineStr">
        <is>
          <t>АС-50/АС-51 «Осн. сетка Ø10 А500С ш.200×200»; контур — АС-48 (край 420, проём лестницы 13725…18200)</t>
        </is>
      </c>
      <c r="R746" s="77" t="inlineStr">
        <is>
          <t>по геометрии чертежа</t>
        </is>
      </c>
      <c r="S746" s="21" t="inlineStr"/>
      <c r="T746" s="21" t="inlineStr">
        <is>
          <t>Ригели, балки, плита, С-1</t>
        </is>
      </c>
      <c r="U746" s="49" t="n">
        <v>0</v>
      </c>
      <c r="V746" s="72" t="inlineStr">
        <is>
          <t>П-сетка</t>
        </is>
      </c>
      <c r="W746" s="49" t="n">
        <v>2</v>
      </c>
    </row>
    <row r="747">
      <c r="A747" s="72" t="n">
        <v>730</v>
      </c>
      <c r="B747" s="21" t="inlineStr">
        <is>
          <t>2 этаж (отм. +3.950…+7.550)</t>
        </is>
      </c>
      <c r="C747" s="21" t="inlineStr">
        <is>
          <t>Плита перекрытия</t>
        </is>
      </c>
      <c r="D747" s="21" t="inlineStr">
        <is>
          <t>1–5 / А–Г</t>
        </is>
      </c>
      <c r="E747" s="21" t="inlineStr">
        <is>
          <t>ПМ-7.550</t>
        </is>
      </c>
      <c r="F747" s="72" t="inlineStr">
        <is>
          <t>ВY-нахл</t>
        </is>
      </c>
      <c r="G747" s="21" t="inlineStr">
        <is>
          <t>Нахлёсты стыков к поз. «Верхняя осн. сетка, направление Y (вдоль осей А–Г)» (L=20.600 м &gt; 11,7 м): 2 куска, 1 стык(а) на стержень × 41 стерж.</t>
        </is>
      </c>
      <c r="H747" s="51" t="n">
        <v>10</v>
      </c>
      <c r="I747" s="72" t="inlineStr">
        <is>
          <t>А500С</t>
        </is>
      </c>
      <c r="J747" s="72" t="inlineStr">
        <is>
          <t>—</t>
        </is>
      </c>
      <c r="K747" s="75" t="n">
        <v>41</v>
      </c>
      <c r="L747" s="51" t="n">
        <v>1</v>
      </c>
      <c r="M747" s="69" t="n">
        <v>0.4</v>
      </c>
      <c r="N747" s="70">
        <f>K747*L747*M747</f>
        <v/>
      </c>
      <c r="O747" s="37">
        <f>IFERROR(INDEX(Исходные!$B$19:$B$31,MATCH(H747,Исходные!$A$19:$A$31,0)),0)</f>
        <v/>
      </c>
      <c r="P747" s="76">
        <f>N747*O747</f>
        <v/>
      </c>
      <c r="Q747" s="21" t="inlineStr">
        <is>
          <t>АС-58 «Деталь стыка арматуры армирования плиты»: нахлёст 400 мм для Ø10</t>
        </is>
      </c>
      <c r="R747" s="77" t="inlineStr">
        <is>
          <t>по проекту (стыковка прутков 11,7 м)</t>
        </is>
      </c>
      <c r="S747" s="21" t="inlineStr">
        <is>
          <t>Чистая длина 20.600 м; кусков 2; стыков 1; Lнахл=1×0.400=0.4 м на стержень</t>
        </is>
      </c>
      <c r="T747" s="21" t="inlineStr">
        <is>
          <t>Ригели, балки, плита, С-1</t>
        </is>
      </c>
      <c r="U747" s="49" t="n">
        <v>0</v>
      </c>
      <c r="V747" s="72" t="inlineStr">
        <is>
          <t>П-сетка</t>
        </is>
      </c>
      <c r="W747" s="49" t="n">
        <v>2</v>
      </c>
    </row>
    <row r="748">
      <c r="A748" s="72" t="n">
        <v>731</v>
      </c>
      <c r="B748" s="21" t="inlineStr">
        <is>
          <t>2 этаж (отм. +3.950…+7.550)</t>
        </is>
      </c>
      <c r="C748" s="21" t="inlineStr">
        <is>
          <t>Плита перекрытия</t>
        </is>
      </c>
      <c r="D748" s="21" t="inlineStr">
        <is>
          <t>1–5 / А–Г</t>
        </is>
      </c>
      <c r="E748" s="21" t="inlineStr">
        <is>
          <t>ПМ-7.550</t>
        </is>
      </c>
      <c r="F748" s="72" t="inlineStr">
        <is>
          <t>ВY</t>
        </is>
      </c>
      <c r="G748" s="21" t="inlineStr">
        <is>
          <t>Верхняя осн. сетка, направление Y (вдоль осей А–Г)</t>
        </is>
      </c>
      <c r="H748" s="51" t="n">
        <v>10</v>
      </c>
      <c r="I748" s="72" t="inlineStr">
        <is>
          <t>А500С</t>
        </is>
      </c>
      <c r="J748" s="72" t="n">
        <v>200</v>
      </c>
      <c r="K748" s="75" t="n">
        <v>1</v>
      </c>
      <c r="L748" s="51" t="n">
        <v>26</v>
      </c>
      <c r="M748" s="69" t="n">
        <v>20.48</v>
      </c>
      <c r="N748" s="70">
        <f>K748*L748*M748</f>
        <v/>
      </c>
      <c r="O748" s="37">
        <f>IFERROR(INDEX(Исходные!$B$19:$B$31,MATCH(H748,Исходные!$A$19:$A$31,0)),0)</f>
        <v/>
      </c>
      <c r="P748" s="76">
        <f>N748*O748</f>
        <v/>
      </c>
      <c r="Q748" s="21" t="inlineStr">
        <is>
          <t>АС-50/АС-51 «Осн. сетка Ø10 А500С ш.200×200»; контур — АС-48 (край 420, проём лестницы 13725…18200)</t>
        </is>
      </c>
      <c r="R748" s="77" t="inlineStr">
        <is>
          <t>по геометрии чертежа</t>
        </is>
      </c>
      <c r="S748" s="21" t="inlineStr"/>
      <c r="T748" s="21" t="inlineStr">
        <is>
          <t>Ригели, балки, плита, С-1</t>
        </is>
      </c>
      <c r="U748" s="49" t="n">
        <v>0</v>
      </c>
      <c r="V748" s="72" t="inlineStr">
        <is>
          <t>П-сетка</t>
        </is>
      </c>
      <c r="W748" s="49" t="n">
        <v>2</v>
      </c>
    </row>
    <row r="749">
      <c r="A749" s="72" t="n">
        <v>732</v>
      </c>
      <c r="B749" s="21" t="inlineStr">
        <is>
          <t>2 этаж (отм. +3.950…+7.550)</t>
        </is>
      </c>
      <c r="C749" s="21" t="inlineStr">
        <is>
          <t>Плита перекрытия</t>
        </is>
      </c>
      <c r="D749" s="21" t="inlineStr">
        <is>
          <t>1–5 / А–Г</t>
        </is>
      </c>
      <c r="E749" s="21" t="inlineStr">
        <is>
          <t>ПМ-7.550</t>
        </is>
      </c>
      <c r="F749" s="72" t="inlineStr">
        <is>
          <t>ВY-нахл</t>
        </is>
      </c>
      <c r="G749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749" s="51" t="n">
        <v>10</v>
      </c>
      <c r="I749" s="72" t="inlineStr">
        <is>
          <t>А500С</t>
        </is>
      </c>
      <c r="J749" s="72" t="inlineStr">
        <is>
          <t>—</t>
        </is>
      </c>
      <c r="K749" s="75" t="n">
        <v>26</v>
      </c>
      <c r="L749" s="51" t="n">
        <v>1</v>
      </c>
      <c r="M749" s="69" t="n">
        <v>0.4</v>
      </c>
      <c r="N749" s="70">
        <f>K749*L749*M749</f>
        <v/>
      </c>
      <c r="O749" s="37">
        <f>IFERROR(INDEX(Исходные!$B$19:$B$31,MATCH(H749,Исходные!$A$19:$A$31,0)),0)</f>
        <v/>
      </c>
      <c r="P749" s="76">
        <f>N749*O749</f>
        <v/>
      </c>
      <c r="Q749" s="21" t="inlineStr">
        <is>
          <t>АС-58 «Деталь стыка арматуры армирования плиты»: нахлёст 400 мм для Ø10</t>
        </is>
      </c>
      <c r="R749" s="77" t="inlineStr">
        <is>
          <t>по проекту (стыковка прутков 11,7 м)</t>
        </is>
      </c>
      <c r="S749" s="21" t="inlineStr">
        <is>
          <t>Чистая длина 20.480 м; кусков 2; стыков 1; Lнахл=1×0.400=0.4 м на стержень</t>
        </is>
      </c>
      <c r="T749" s="21" t="inlineStr">
        <is>
          <t>Ригели, балки, плита, С-1</t>
        </is>
      </c>
      <c r="U749" s="49" t="n">
        <v>0</v>
      </c>
      <c r="V749" s="72" t="inlineStr">
        <is>
          <t>П-сетка</t>
        </is>
      </c>
      <c r="W749" s="49" t="n">
        <v>2</v>
      </c>
    </row>
    <row r="750">
      <c r="A750" s="72" t="n">
        <v>733</v>
      </c>
      <c r="B750" s="21" t="inlineStr">
        <is>
          <t>2 этаж (отм. +3.950…+7.550)</t>
        </is>
      </c>
      <c r="C750" s="21" t="inlineStr">
        <is>
          <t>Плита перекрытия</t>
        </is>
      </c>
      <c r="D750" s="21" t="inlineStr">
        <is>
          <t>1–5 / А–Г</t>
        </is>
      </c>
      <c r="E750" s="21" t="inlineStr">
        <is>
          <t>ПМ-7.550</t>
        </is>
      </c>
      <c r="F750" s="72" t="inlineStr">
        <is>
          <t>ВY</t>
        </is>
      </c>
      <c r="G750" s="21" t="inlineStr">
        <is>
          <t>Верхняя осн. сетка, направление Y (вдоль осей А–Г)</t>
        </is>
      </c>
      <c r="H750" s="51" t="n">
        <v>10</v>
      </c>
      <c r="I750" s="72" t="inlineStr">
        <is>
          <t>А500С</t>
        </is>
      </c>
      <c r="J750" s="72" t="n">
        <v>200</v>
      </c>
      <c r="K750" s="75" t="n">
        <v>1</v>
      </c>
      <c r="L750" s="51" t="n">
        <v>2</v>
      </c>
      <c r="M750" s="69" t="n">
        <v>19.01</v>
      </c>
      <c r="N750" s="70">
        <f>K750*L750*M750</f>
        <v/>
      </c>
      <c r="O750" s="37">
        <f>IFERROR(INDEX(Исходные!$B$19:$B$31,MATCH(H750,Исходные!$A$19:$A$31,0)),0)</f>
        <v/>
      </c>
      <c r="P750" s="76">
        <f>N750*O750</f>
        <v/>
      </c>
      <c r="Q750" s="21" t="inlineStr">
        <is>
          <t>АС-50/АС-51 «Осн. сетка Ø10 А500С ш.200×200»; контур — АС-48 (край 420, проём лестницы 13725…18200)</t>
        </is>
      </c>
      <c r="R750" s="77" t="inlineStr">
        <is>
          <t>по геометрии чертежа</t>
        </is>
      </c>
      <c r="S750" s="21" t="inlineStr"/>
      <c r="T750" s="21" t="inlineStr">
        <is>
          <t>Ригели, балки, плита, С-1</t>
        </is>
      </c>
      <c r="U750" s="49" t="n">
        <v>0</v>
      </c>
      <c r="V750" s="72" t="inlineStr">
        <is>
          <t>П-сетка</t>
        </is>
      </c>
      <c r="W750" s="49" t="n">
        <v>2</v>
      </c>
    </row>
    <row r="751">
      <c r="A751" s="72" t="n">
        <v>734</v>
      </c>
      <c r="B751" s="21" t="inlineStr">
        <is>
          <t>2 этаж (отм. +3.950…+7.550)</t>
        </is>
      </c>
      <c r="C751" s="21" t="inlineStr">
        <is>
          <t>Плита перекрытия</t>
        </is>
      </c>
      <c r="D751" s="21" t="inlineStr">
        <is>
          <t>1–5 / А–Г</t>
        </is>
      </c>
      <c r="E751" s="21" t="inlineStr">
        <is>
          <t>ПМ-7.550</t>
        </is>
      </c>
      <c r="F751" s="72" t="inlineStr">
        <is>
          <t>ВY-нахл</t>
        </is>
      </c>
      <c r="G751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751" s="51" t="n">
        <v>10</v>
      </c>
      <c r="I751" s="72" t="inlineStr">
        <is>
          <t>А500С</t>
        </is>
      </c>
      <c r="J751" s="72" t="inlineStr">
        <is>
          <t>—</t>
        </is>
      </c>
      <c r="K751" s="75" t="n">
        <v>2</v>
      </c>
      <c r="L751" s="51" t="n">
        <v>1</v>
      </c>
      <c r="M751" s="69" t="n">
        <v>0.4</v>
      </c>
      <c r="N751" s="70">
        <f>K751*L751*M751</f>
        <v/>
      </c>
      <c r="O751" s="37">
        <f>IFERROR(INDEX(Исходные!$B$19:$B$31,MATCH(H751,Исходные!$A$19:$A$31,0)),0)</f>
        <v/>
      </c>
      <c r="P751" s="76">
        <f>N751*O751</f>
        <v/>
      </c>
      <c r="Q751" s="21" t="inlineStr">
        <is>
          <t>АС-58 «Деталь стыка арматуры армирования плиты»: нахлёст 400 мм для Ø10</t>
        </is>
      </c>
      <c r="R751" s="77" t="inlineStr">
        <is>
          <t>по проекту (стыковка прутков 11,7 м)</t>
        </is>
      </c>
      <c r="S751" s="21" t="inlineStr">
        <is>
          <t>Чистая длина 19.010 м; кусков 2; стыков 1; Lнахл=1×0.400=0.4 м на стержень</t>
        </is>
      </c>
      <c r="T751" s="21" t="inlineStr">
        <is>
          <t>Ригели, балки, плита, С-1</t>
        </is>
      </c>
      <c r="U751" s="49" t="n">
        <v>0</v>
      </c>
      <c r="V751" s="72" t="inlineStr">
        <is>
          <t>П-сетка</t>
        </is>
      </c>
      <c r="W751" s="49" t="n">
        <v>2</v>
      </c>
    </row>
    <row r="752">
      <c r="A752" s="72" t="n">
        <v>735</v>
      </c>
      <c r="B752" s="21" t="inlineStr">
        <is>
          <t>2 этаж (отм. +3.950…+7.550)</t>
        </is>
      </c>
      <c r="C752" s="21" t="inlineStr">
        <is>
          <t>Плита перекрытия</t>
        </is>
      </c>
      <c r="D752" s="21" t="inlineStr">
        <is>
          <t>1–5 / А–Г</t>
        </is>
      </c>
      <c r="E752" s="21" t="inlineStr">
        <is>
          <t>ПМ-7.550</t>
        </is>
      </c>
      <c r="F752" s="72" t="inlineStr">
        <is>
          <t>ВY</t>
        </is>
      </c>
      <c r="G752" s="21" t="inlineStr">
        <is>
          <t>Верхняя осн. сетка, направление Y (вдоль осей А–Г)</t>
        </is>
      </c>
      <c r="H752" s="51" t="n">
        <v>10</v>
      </c>
      <c r="I752" s="72" t="inlineStr">
        <is>
          <t>А500С</t>
        </is>
      </c>
      <c r="J752" s="72" t="n">
        <v>200</v>
      </c>
      <c r="K752" s="75" t="n">
        <v>1</v>
      </c>
      <c r="L752" s="51" t="n">
        <v>3</v>
      </c>
      <c r="M752" s="69" t="n">
        <v>17.28</v>
      </c>
      <c r="N752" s="70">
        <f>K752*L752*M752</f>
        <v/>
      </c>
      <c r="O752" s="37">
        <f>IFERROR(INDEX(Исходные!$B$19:$B$31,MATCH(H752,Исходные!$A$19:$A$31,0)),0)</f>
        <v/>
      </c>
      <c r="P752" s="76">
        <f>N752*O752</f>
        <v/>
      </c>
      <c r="Q752" s="21" t="inlineStr">
        <is>
          <t>АС-50/АС-51 «Осн. сетка Ø10 А500С ш.200×200»; контур — АС-48 (край 420, проём лестницы 13725…18200)</t>
        </is>
      </c>
      <c r="R752" s="77" t="inlineStr">
        <is>
          <t>по геометрии чертежа</t>
        </is>
      </c>
      <c r="S752" s="21" t="inlineStr"/>
      <c r="T752" s="21" t="inlineStr">
        <is>
          <t>Ригели, балки, плита, С-1</t>
        </is>
      </c>
      <c r="U752" s="49" t="n">
        <v>0</v>
      </c>
      <c r="V752" s="72" t="inlineStr">
        <is>
          <t>П-сетка</t>
        </is>
      </c>
      <c r="W752" s="49" t="n">
        <v>2</v>
      </c>
    </row>
    <row r="753">
      <c r="A753" s="72" t="n">
        <v>736</v>
      </c>
      <c r="B753" s="21" t="inlineStr">
        <is>
          <t>2 этаж (отм. +3.950…+7.550)</t>
        </is>
      </c>
      <c r="C753" s="21" t="inlineStr">
        <is>
          <t>Плита перекрытия</t>
        </is>
      </c>
      <c r="D753" s="21" t="inlineStr">
        <is>
          <t>1–5 / А–Г</t>
        </is>
      </c>
      <c r="E753" s="21" t="inlineStr">
        <is>
          <t>ПМ-7.550</t>
        </is>
      </c>
      <c r="F753" s="72" t="inlineStr">
        <is>
          <t>ВY-нахл</t>
        </is>
      </c>
      <c r="G753" s="21" t="inlineStr">
        <is>
          <t>Нахлёсты стыков к поз. «Верхняя осн. сетка, направление Y (вдоль осей А–Г)» (L=17.280 м &gt; 11,7 м): 2 куска, 1 стык(а) на стержень × 3 стерж.</t>
        </is>
      </c>
      <c r="H753" s="51" t="n">
        <v>10</v>
      </c>
      <c r="I753" s="72" t="inlineStr">
        <is>
          <t>А500С</t>
        </is>
      </c>
      <c r="J753" s="72" t="inlineStr">
        <is>
          <t>—</t>
        </is>
      </c>
      <c r="K753" s="75" t="n">
        <v>3</v>
      </c>
      <c r="L753" s="51" t="n">
        <v>1</v>
      </c>
      <c r="M753" s="69" t="n">
        <v>0.4</v>
      </c>
      <c r="N753" s="70">
        <f>K753*L753*M753</f>
        <v/>
      </c>
      <c r="O753" s="37">
        <f>IFERROR(INDEX(Исходные!$B$19:$B$31,MATCH(H753,Исходные!$A$19:$A$31,0)),0)</f>
        <v/>
      </c>
      <c r="P753" s="76">
        <f>N753*O753</f>
        <v/>
      </c>
      <c r="Q753" s="21" t="inlineStr">
        <is>
          <t>АС-58 «Деталь стыка арматуры армирования плиты»: нахлёст 400 мм для Ø10</t>
        </is>
      </c>
      <c r="R753" s="77" t="inlineStr">
        <is>
          <t>по проекту (стыковка прутков 11,7 м)</t>
        </is>
      </c>
      <c r="S753" s="21" t="inlineStr">
        <is>
          <t>Чистая длина 17.280 м; кусков 2; стыков 1; Lнахл=1×0.400=0.4 м на стержень</t>
        </is>
      </c>
      <c r="T753" s="21" t="inlineStr">
        <is>
          <t>Ригели, балки, плита, С-1</t>
        </is>
      </c>
      <c r="U753" s="49" t="n">
        <v>0</v>
      </c>
      <c r="V753" s="72" t="inlineStr">
        <is>
          <t>П-сетка</t>
        </is>
      </c>
      <c r="W753" s="49" t="n">
        <v>2</v>
      </c>
    </row>
    <row r="754">
      <c r="A754" s="72" t="n">
        <v>737</v>
      </c>
      <c r="B754" s="21" t="inlineStr">
        <is>
          <t>2 этаж (отм. +3.950…+7.550)</t>
        </is>
      </c>
      <c r="C754" s="21" t="inlineStr">
        <is>
          <t>Плита перекрытия</t>
        </is>
      </c>
      <c r="D754" s="21" t="inlineStr">
        <is>
          <t>1–5 / А–Г</t>
        </is>
      </c>
      <c r="E754" s="21" t="inlineStr">
        <is>
          <t>ПМ-7.550</t>
        </is>
      </c>
      <c r="F754" s="72" t="inlineStr">
        <is>
          <t>ВY</t>
        </is>
      </c>
      <c r="G754" s="21" t="inlineStr">
        <is>
          <t>Верхняя осн. сетка, направление Y (вдоль осей А–Г)</t>
        </is>
      </c>
      <c r="H754" s="51" t="n">
        <v>10</v>
      </c>
      <c r="I754" s="72" t="inlineStr">
        <is>
          <t>А500С</t>
        </is>
      </c>
      <c r="J754" s="72" t="n">
        <v>200</v>
      </c>
      <c r="K754" s="75" t="n">
        <v>1</v>
      </c>
      <c r="L754" s="51" t="n">
        <v>17</v>
      </c>
      <c r="M754" s="69" t="n">
        <v>15.6</v>
      </c>
      <c r="N754" s="70">
        <f>K754*L754*M754</f>
        <v/>
      </c>
      <c r="O754" s="37">
        <f>IFERROR(INDEX(Исходные!$B$19:$B$31,MATCH(H754,Исходные!$A$19:$A$31,0)),0)</f>
        <v/>
      </c>
      <c r="P754" s="76">
        <f>N754*O754</f>
        <v/>
      </c>
      <c r="Q754" s="21" t="inlineStr">
        <is>
          <t>АС-50/АС-51 «Осн. сетка Ø10 А500С ш.200×200»; контур — АС-48 (край 420, проём лестницы 13725…18200)</t>
        </is>
      </c>
      <c r="R754" s="77" t="inlineStr">
        <is>
          <t>по геометрии чертежа</t>
        </is>
      </c>
      <c r="S754" s="21" t="inlineStr"/>
      <c r="T754" s="21" t="inlineStr">
        <is>
          <t>Ригели, балки, плита, С-1</t>
        </is>
      </c>
      <c r="U754" s="49" t="n">
        <v>0</v>
      </c>
      <c r="V754" s="72" t="inlineStr">
        <is>
          <t>П-сетка</t>
        </is>
      </c>
      <c r="W754" s="49" t="n">
        <v>2</v>
      </c>
    </row>
    <row r="755">
      <c r="A755" s="72" t="n">
        <v>738</v>
      </c>
      <c r="B755" s="21" t="inlineStr">
        <is>
          <t>2 этаж (отм. +3.950…+7.550)</t>
        </is>
      </c>
      <c r="C755" s="21" t="inlineStr">
        <is>
          <t>Плита перекрытия</t>
        </is>
      </c>
      <c r="D755" s="21" t="inlineStr">
        <is>
          <t>1–5 / А–Г</t>
        </is>
      </c>
      <c r="E755" s="21" t="inlineStr">
        <is>
          <t>ПМ-7.550</t>
        </is>
      </c>
      <c r="F755" s="72" t="inlineStr">
        <is>
          <t>ВY-нахл</t>
        </is>
      </c>
      <c r="G755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755" s="51" t="n">
        <v>10</v>
      </c>
      <c r="I755" s="72" t="inlineStr">
        <is>
          <t>А500С</t>
        </is>
      </c>
      <c r="J755" s="72" t="inlineStr">
        <is>
          <t>—</t>
        </is>
      </c>
      <c r="K755" s="75" t="n">
        <v>17</v>
      </c>
      <c r="L755" s="51" t="n">
        <v>1</v>
      </c>
      <c r="M755" s="69" t="n">
        <v>0.4</v>
      </c>
      <c r="N755" s="70">
        <f>K755*L755*M755</f>
        <v/>
      </c>
      <c r="O755" s="37">
        <f>IFERROR(INDEX(Исходные!$B$19:$B$31,MATCH(H755,Исходные!$A$19:$A$31,0)),0)</f>
        <v/>
      </c>
      <c r="P755" s="76">
        <f>N755*O755</f>
        <v/>
      </c>
      <c r="Q755" s="21" t="inlineStr">
        <is>
          <t>АС-58 «Деталь стыка арматуры армирования плиты»: нахлёст 400 мм для Ø10</t>
        </is>
      </c>
      <c r="R755" s="77" t="inlineStr">
        <is>
          <t>по проекту (стыковка прутков 11,7 м)</t>
        </is>
      </c>
      <c r="S755" s="21" t="inlineStr">
        <is>
          <t>Чистая длина 15.600 м; кусков 2; стыков 1; Lнахл=1×0.400=0.4 м на стержень</t>
        </is>
      </c>
      <c r="T755" s="21" t="inlineStr">
        <is>
          <t>Ригели, балки, плита, С-1</t>
        </is>
      </c>
      <c r="U755" s="49" t="n">
        <v>0</v>
      </c>
      <c r="V755" s="72" t="inlineStr">
        <is>
          <t>П-сетка</t>
        </is>
      </c>
      <c r="W755" s="49" t="n">
        <v>2</v>
      </c>
    </row>
    <row r="756">
      <c r="A756" s="72" t="n">
        <v>739</v>
      </c>
      <c r="B756" s="21" t="inlineStr">
        <is>
          <t>2 этаж (отм. +3.950…+7.550)</t>
        </is>
      </c>
      <c r="C756" s="21" t="inlineStr">
        <is>
          <t>Плита перекрытия</t>
        </is>
      </c>
      <c r="D756" s="21" t="inlineStr">
        <is>
          <t>1–5 / А–Г</t>
        </is>
      </c>
      <c r="E756" s="21" t="inlineStr">
        <is>
          <t>ПМ-7.550</t>
        </is>
      </c>
      <c r="F756" s="72" t="inlineStr">
        <is>
          <t>ВY</t>
        </is>
      </c>
      <c r="G756" s="21" t="inlineStr">
        <is>
          <t>Верхняя осн. сетка, направление Y (вдоль осей А–Г)</t>
        </is>
      </c>
      <c r="H756" s="51" t="n">
        <v>10</v>
      </c>
      <c r="I756" s="72" t="inlineStr">
        <is>
          <t>А500С</t>
        </is>
      </c>
      <c r="J756" s="72" t="n">
        <v>200</v>
      </c>
      <c r="K756" s="75" t="n">
        <v>1</v>
      </c>
      <c r="L756" s="51" t="n">
        <v>18</v>
      </c>
      <c r="M756" s="69" t="n">
        <v>4.15</v>
      </c>
      <c r="N756" s="70">
        <f>K756*L756*M756</f>
        <v/>
      </c>
      <c r="O756" s="37">
        <f>IFERROR(INDEX(Исходные!$B$19:$B$31,MATCH(H756,Исходные!$A$19:$A$31,0)),0)</f>
        <v/>
      </c>
      <c r="P756" s="76">
        <f>N756*O756</f>
        <v/>
      </c>
      <c r="Q756" s="21" t="inlineStr">
        <is>
          <t>АС-50/АС-51 «Осн. сетка Ø10 А500С ш.200×200»; контур — АС-48 (край 420, проём лестницы 13725…18200)</t>
        </is>
      </c>
      <c r="R756" s="77" t="inlineStr">
        <is>
          <t>по геометрии чертежа</t>
        </is>
      </c>
      <c r="S756" s="21" t="inlineStr"/>
      <c r="T756" s="21" t="inlineStr">
        <is>
          <t>Ригели, балки, плита, С-1</t>
        </is>
      </c>
      <c r="U756" s="49" t="n">
        <v>0</v>
      </c>
      <c r="V756" s="72" t="inlineStr">
        <is>
          <t>П-сетка</t>
        </is>
      </c>
      <c r="W756" s="49" t="n">
        <v>2</v>
      </c>
    </row>
    <row r="757">
      <c r="A757" s="72" t="n">
        <v>740</v>
      </c>
      <c r="B757" s="21" t="inlineStr">
        <is>
          <t>2 этаж (отм. +3.950…+7.550)</t>
        </is>
      </c>
      <c r="C757" s="21" t="inlineStr">
        <is>
          <t>Плита перекрытия</t>
        </is>
      </c>
      <c r="D757" s="21" t="inlineStr">
        <is>
          <t>1–5 / А–Г</t>
        </is>
      </c>
      <c r="E757" s="21" t="inlineStr">
        <is>
          <t>ПМ-7.550</t>
        </is>
      </c>
      <c r="F757" s="72" t="inlineStr">
        <is>
          <t>ВY</t>
        </is>
      </c>
      <c r="G757" s="21" t="inlineStr">
        <is>
          <t>Верхняя осн. сетка, направление Y (вдоль осей А–Г)</t>
        </is>
      </c>
      <c r="H757" s="51" t="n">
        <v>10</v>
      </c>
      <c r="I757" s="72" t="inlineStr">
        <is>
          <t>А500С</t>
        </is>
      </c>
      <c r="J757" s="72" t="n">
        <v>200</v>
      </c>
      <c r="K757" s="75" t="n">
        <v>1</v>
      </c>
      <c r="L757" s="51" t="n">
        <v>22</v>
      </c>
      <c r="M757" s="69" t="n">
        <v>0.6</v>
      </c>
      <c r="N757" s="70">
        <f>K757*L757*M757</f>
        <v/>
      </c>
      <c r="O757" s="37">
        <f>IFERROR(INDEX(Исходные!$B$19:$B$31,MATCH(H757,Исходные!$A$19:$A$31,0)),0)</f>
        <v/>
      </c>
      <c r="P757" s="76">
        <f>N757*O757</f>
        <v/>
      </c>
      <c r="Q757" s="21" t="inlineStr">
        <is>
          <t>АС-50/АС-51 «Осн. сетка Ø10 А500С ш.200×200»; контур — АС-48 (край 420, проём лестницы 13725…18200)</t>
        </is>
      </c>
      <c r="R757" s="77" t="inlineStr">
        <is>
          <t>по геометрии чертежа</t>
        </is>
      </c>
      <c r="S757" s="21" t="inlineStr"/>
      <c r="T757" s="21" t="inlineStr">
        <is>
          <t>Ригели, балки, плита, С-1</t>
        </is>
      </c>
      <c r="U757" s="49" t="n">
        <v>0</v>
      </c>
      <c r="V757" s="72" t="inlineStr">
        <is>
          <t>П-сетка</t>
        </is>
      </c>
      <c r="W757" s="49" t="n">
        <v>2</v>
      </c>
    </row>
    <row r="758">
      <c r="A758" s="72" t="n">
        <v>741</v>
      </c>
      <c r="B758" s="21" t="inlineStr">
        <is>
          <t>2 этаж (отм. +3.950…+7.550)</t>
        </is>
      </c>
      <c r="C758" s="21" t="inlineStr">
        <is>
          <t>Плита перекрытия</t>
        </is>
      </c>
      <c r="D758" s="21" t="inlineStr">
        <is>
          <t>см. описание</t>
        </is>
      </c>
      <c r="E758" s="21" t="inlineStr">
        <is>
          <t>ПМ-7.550</t>
        </is>
      </c>
      <c r="F758" s="72" t="inlineStr">
        <is>
          <t>дн</t>
        </is>
      </c>
      <c r="G758" s="21" t="inlineStr">
        <is>
          <t>Доп. нижние, зона оси 2–3 / Б–В, вдоль X (7500…12550)</t>
        </is>
      </c>
      <c r="H758" s="51" t="n">
        <v>10</v>
      </c>
      <c r="I758" s="72" t="inlineStr">
        <is>
          <t>А500С</t>
        </is>
      </c>
      <c r="J758" s="72" t="n">
        <v>200</v>
      </c>
      <c r="K758" s="75" t="n">
        <v>1</v>
      </c>
      <c r="L758" s="51" t="n">
        <v>22</v>
      </c>
      <c r="M758" s="69" t="n">
        <v>5.05</v>
      </c>
      <c r="N758" s="70">
        <f>K758*L758*M758</f>
        <v/>
      </c>
      <c r="O758" s="37">
        <f>IFERROR(INDEX(Исходные!$B$19:$B$31,MATCH(H758,Исходные!$A$19:$A$31,0)),0)</f>
        <v/>
      </c>
      <c r="P758" s="76">
        <f>N758*O758</f>
        <v/>
      </c>
      <c r="Q758" s="21" t="inlineStr">
        <is>
          <t>АС-50 «Нижняя сетка 3.950÷14.750» (одна для всех этажей)</t>
        </is>
      </c>
      <c r="R758" s="77" t="inlineStr">
        <is>
          <t>по проекту</t>
        </is>
      </c>
      <c r="S758" s="21" t="inlineStr"/>
      <c r="T758" s="21" t="inlineStr">
        <is>
          <t>Ригели, балки, плита, С-1</t>
        </is>
      </c>
      <c r="U758" s="49" t="n">
        <v>0</v>
      </c>
      <c r="V758" s="72" t="inlineStr">
        <is>
          <t>П-доп-низ</t>
        </is>
      </c>
      <c r="W758" s="49" t="n">
        <v>2</v>
      </c>
    </row>
    <row r="759">
      <c r="A759" s="72" t="n">
        <v>742</v>
      </c>
      <c r="B759" s="21" t="inlineStr">
        <is>
          <t>2 этаж (отм. +3.950…+7.550)</t>
        </is>
      </c>
      <c r="C759" s="21" t="inlineStr">
        <is>
          <t>Плита перекрытия</t>
        </is>
      </c>
      <c r="D759" s="21" t="inlineStr">
        <is>
          <t>см. описание</t>
        </is>
      </c>
      <c r="E759" s="21" t="inlineStr">
        <is>
          <t>ПМ-7.550</t>
        </is>
      </c>
      <c r="F759" s="72" t="inlineStr">
        <is>
          <t>дн</t>
        </is>
      </c>
      <c r="G759" s="21" t="inlineStr">
        <is>
          <t>Доп. нижние, зона оси 2–3 / Б–В, вдоль Y (8000…12500)</t>
        </is>
      </c>
      <c r="H759" s="51" t="n">
        <v>10</v>
      </c>
      <c r="I759" s="72" t="inlineStr">
        <is>
          <t>А500С</t>
        </is>
      </c>
      <c r="J759" s="72" t="n">
        <v>200</v>
      </c>
      <c r="K759" s="75" t="n">
        <v>1</v>
      </c>
      <c r="L759" s="51" t="n">
        <v>25</v>
      </c>
      <c r="M759" s="69" t="n">
        <v>4.5</v>
      </c>
      <c r="N759" s="70">
        <f>K759*L759*M759</f>
        <v/>
      </c>
      <c r="O759" s="37">
        <f>IFERROR(INDEX(Исходные!$B$19:$B$31,MATCH(H759,Исходные!$A$19:$A$31,0)),0)</f>
        <v/>
      </c>
      <c r="P759" s="76">
        <f>N759*O759</f>
        <v/>
      </c>
      <c r="Q759" s="21" t="inlineStr">
        <is>
          <t>АС-50 «Нижняя сетка 3.950÷14.750» (одна для всех этажей)</t>
        </is>
      </c>
      <c r="R759" s="77" t="inlineStr">
        <is>
          <t>по проекту</t>
        </is>
      </c>
      <c r="S759" s="21" t="inlineStr"/>
      <c r="T759" s="21" t="inlineStr">
        <is>
          <t>Ригели, балки, плита, С-1</t>
        </is>
      </c>
      <c r="U759" s="49" t="n">
        <v>0</v>
      </c>
      <c r="V759" s="72" t="inlineStr">
        <is>
          <t>П-доп-низ</t>
        </is>
      </c>
      <c r="W759" s="49" t="n">
        <v>2</v>
      </c>
    </row>
    <row r="760">
      <c r="A760" s="72" t="n">
        <v>743</v>
      </c>
      <c r="B760" s="21" t="inlineStr">
        <is>
          <t>2 этаж (отм. +3.950…+7.550)</t>
        </is>
      </c>
      <c r="C760" s="21" t="inlineStr">
        <is>
          <t>Плита перекрытия</t>
        </is>
      </c>
      <c r="D760" s="21" t="inlineStr">
        <is>
          <t>см. описание</t>
        </is>
      </c>
      <c r="E760" s="21" t="inlineStr">
        <is>
          <t>ПМ-7.550</t>
        </is>
      </c>
      <c r="F760" s="72" t="inlineStr">
        <is>
          <t>дн</t>
        </is>
      </c>
      <c r="G760" s="21" t="inlineStr">
        <is>
          <t>Доп. нижние, зона оси 3–4 / Б–В, вдоль X (14800…18425)</t>
        </is>
      </c>
      <c r="H760" s="51" t="n">
        <v>10</v>
      </c>
      <c r="I760" s="72" t="inlineStr">
        <is>
          <t>А500С</t>
        </is>
      </c>
      <c r="J760" s="72" t="n">
        <v>200</v>
      </c>
      <c r="K760" s="75" t="n">
        <v>1</v>
      </c>
      <c r="L760" s="51" t="n">
        <v>20</v>
      </c>
      <c r="M760" s="69" t="n">
        <v>3.625</v>
      </c>
      <c r="N760" s="70">
        <f>K760*L760*M760</f>
        <v/>
      </c>
      <c r="O760" s="37">
        <f>IFERROR(INDEX(Исходные!$B$19:$B$31,MATCH(H760,Исходные!$A$19:$A$31,0)),0)</f>
        <v/>
      </c>
      <c r="P760" s="76">
        <f>N760*O760</f>
        <v/>
      </c>
      <c r="Q760" s="21" t="inlineStr">
        <is>
          <t>АС-50 «Нижняя сетка 3.950÷14.750» (одна для всех этажей)</t>
        </is>
      </c>
      <c r="R760" s="77" t="inlineStr">
        <is>
          <t>по проекту</t>
        </is>
      </c>
      <c r="S760" s="21" t="inlineStr"/>
      <c r="T760" s="21" t="inlineStr">
        <is>
          <t>Ригели, балки, плита, С-1</t>
        </is>
      </c>
      <c r="U760" s="49" t="n">
        <v>0</v>
      </c>
      <c r="V760" s="72" t="inlineStr">
        <is>
          <t>П-доп-низ</t>
        </is>
      </c>
      <c r="W760" s="49" t="n">
        <v>2</v>
      </c>
    </row>
    <row r="761">
      <c r="A761" s="72" t="n">
        <v>744</v>
      </c>
      <c r="B761" s="21" t="inlineStr">
        <is>
          <t>2 этаж (отм. +3.950…+7.550)</t>
        </is>
      </c>
      <c r="C761" s="21" t="inlineStr">
        <is>
          <t>Плита перекрытия</t>
        </is>
      </c>
      <c r="D761" s="21" t="inlineStr">
        <is>
          <t>см. описание</t>
        </is>
      </c>
      <c r="E761" s="21" t="inlineStr">
        <is>
          <t>ПМ-7.550</t>
        </is>
      </c>
      <c r="F761" s="72" t="inlineStr">
        <is>
          <t>дн</t>
        </is>
      </c>
      <c r="G761" s="21" t="inlineStr">
        <is>
          <t>Доп. нижние, зона оси 3–4 / Б–В, вдоль Y (8000…12500)</t>
        </is>
      </c>
      <c r="H761" s="51" t="n">
        <v>10</v>
      </c>
      <c r="I761" s="72" t="inlineStr">
        <is>
          <t>А500С</t>
        </is>
      </c>
      <c r="J761" s="72" t="n">
        <v>200</v>
      </c>
      <c r="K761" s="75" t="n">
        <v>1</v>
      </c>
      <c r="L761" s="51" t="n">
        <v>17</v>
      </c>
      <c r="M761" s="69" t="n">
        <v>4.5</v>
      </c>
      <c r="N761" s="70">
        <f>K761*L761*M761</f>
        <v/>
      </c>
      <c r="O761" s="37">
        <f>IFERROR(INDEX(Исходные!$B$19:$B$31,MATCH(H761,Исходные!$A$19:$A$31,0)),0)</f>
        <v/>
      </c>
      <c r="P761" s="76">
        <f>N761*O761</f>
        <v/>
      </c>
      <c r="Q761" s="21" t="inlineStr">
        <is>
          <t>АС-50 «Нижняя сетка 3.950÷14.750» (одна для всех этажей)</t>
        </is>
      </c>
      <c r="R761" s="77" t="inlineStr">
        <is>
          <t>по проекту</t>
        </is>
      </c>
      <c r="S761" s="21" t="inlineStr"/>
      <c r="T761" s="21" t="inlineStr">
        <is>
          <t>Ригели, балки, плита, С-1</t>
        </is>
      </c>
      <c r="U761" s="49" t="n">
        <v>0</v>
      </c>
      <c r="V761" s="72" t="inlineStr">
        <is>
          <t>П-доп-низ</t>
        </is>
      </c>
      <c r="W761" s="49" t="n">
        <v>2</v>
      </c>
    </row>
    <row r="762">
      <c r="A762" s="72" t="n">
        <v>745</v>
      </c>
      <c r="B762" s="21" t="inlineStr">
        <is>
          <t>2 этаж (отм. +3.950…+7.550)</t>
        </is>
      </c>
      <c r="C762" s="21" t="inlineStr">
        <is>
          <t>Плита перекрытия</t>
        </is>
      </c>
      <c r="D762" s="21" t="inlineStr">
        <is>
          <t>см. описание</t>
        </is>
      </c>
      <c r="E762" s="21" t="inlineStr">
        <is>
          <t>ПМ-7.550</t>
        </is>
      </c>
      <c r="F762" s="72" t="inlineStr">
        <is>
          <t>дн</t>
        </is>
      </c>
      <c r="G762" s="21" t="inlineStr">
        <is>
          <t>Доп. нижние, эркер у оси А (оси 1–2), вдоль Y (−1000…+200)</t>
        </is>
      </c>
      <c r="H762" s="51" t="n">
        <v>10</v>
      </c>
      <c r="I762" s="72" t="inlineStr">
        <is>
          <t>А500С</t>
        </is>
      </c>
      <c r="J762" s="72" t="n">
        <v>200</v>
      </c>
      <c r="K762" s="75" t="n">
        <v>1</v>
      </c>
      <c r="L762" s="51" t="n">
        <v>17</v>
      </c>
      <c r="M762" s="69" t="n">
        <v>1.2</v>
      </c>
      <c r="N762" s="70">
        <f>K762*L762*M762</f>
        <v/>
      </c>
      <c r="O762" s="37">
        <f>IFERROR(INDEX(Исходные!$B$19:$B$31,MATCH(H762,Исходные!$A$19:$A$31,0)),0)</f>
        <v/>
      </c>
      <c r="P762" s="76">
        <f>N762*O762</f>
        <v/>
      </c>
      <c r="Q762" s="21" t="inlineStr">
        <is>
          <t>АС-50 «Нижняя сетка 3.950÷14.750» (одна для всех этажей)</t>
        </is>
      </c>
      <c r="R762" s="77" t="inlineStr">
        <is>
          <t>по проекту</t>
        </is>
      </c>
      <c r="S762" s="21" t="inlineStr"/>
      <c r="T762" s="21" t="inlineStr">
        <is>
          <t>Ригели, балки, плита, С-1</t>
        </is>
      </c>
      <c r="U762" s="49" t="n">
        <v>0</v>
      </c>
      <c r="V762" s="72" t="inlineStr">
        <is>
          <t>П-доп-низ</t>
        </is>
      </c>
      <c r="W762" s="49" t="n">
        <v>2</v>
      </c>
    </row>
    <row r="763">
      <c r="A763" s="72" t="n">
        <v>746</v>
      </c>
      <c r="B763" s="21" t="inlineStr">
        <is>
          <t>2 этаж (отм. +3.950…+7.550)</t>
        </is>
      </c>
      <c r="C763" s="21" t="inlineStr">
        <is>
          <t>Плита перекрытия</t>
        </is>
      </c>
      <c r="D763" s="21" t="inlineStr">
        <is>
          <t>см. описание</t>
        </is>
      </c>
      <c r="E763" s="21" t="inlineStr">
        <is>
          <t>ПМ-7.550</t>
        </is>
      </c>
      <c r="F763" s="72" t="inlineStr">
        <is>
          <t>дв</t>
        </is>
      </c>
      <c r="G763" s="21" t="inlineStr">
        <is>
          <t>Доп. верхние, эркер у оси 1 (Г–В), вдоль X, −1000…+200</t>
        </is>
      </c>
      <c r="H763" s="51" t="n">
        <v>10</v>
      </c>
      <c r="I763" s="72" t="inlineStr">
        <is>
          <t>А500С</t>
        </is>
      </c>
      <c r="J763" s="72" t="n">
        <v>200</v>
      </c>
      <c r="K763" s="75" t="n">
        <v>1</v>
      </c>
      <c r="L763" s="51" t="n">
        <v>18</v>
      </c>
      <c r="M763" s="69" t="n">
        <v>1.2</v>
      </c>
      <c r="N763" s="70">
        <f>K763*L763*M763</f>
        <v/>
      </c>
      <c r="O763" s="37">
        <f>IFERROR(INDEX(Исходные!$B$19:$B$31,MATCH(H763,Исходные!$A$19:$A$31,0)),0)</f>
        <v/>
      </c>
      <c r="P763" s="76">
        <f>N763*O763</f>
        <v/>
      </c>
      <c r="Q763" s="21" t="inlineStr">
        <is>
          <t>АС-51 «Верхняя сетка 3.950÷14.750» (одна для всех этажей)</t>
        </is>
      </c>
      <c r="R763" s="77" t="inlineStr">
        <is>
          <t>по проекту</t>
        </is>
      </c>
      <c r="S763" s="21" t="inlineStr"/>
      <c r="T763" s="21" t="inlineStr">
        <is>
          <t>Ригели, балки, плита, С-1</t>
        </is>
      </c>
      <c r="U763" s="49" t="n">
        <v>0</v>
      </c>
      <c r="V763" s="72" t="inlineStr">
        <is>
          <t>П-доп-верх</t>
        </is>
      </c>
      <c r="W763" s="49" t="n">
        <v>2</v>
      </c>
    </row>
    <row r="764">
      <c r="A764" s="72" t="n">
        <v>747</v>
      </c>
      <c r="B764" s="21" t="inlineStr">
        <is>
          <t>2 этаж (отм. +3.950…+7.550)</t>
        </is>
      </c>
      <c r="C764" s="21" t="inlineStr">
        <is>
          <t>Плита перекрытия</t>
        </is>
      </c>
      <c r="D764" s="21" t="inlineStr">
        <is>
          <t>см. описание</t>
        </is>
      </c>
      <c r="E764" s="21" t="inlineStr">
        <is>
          <t>ПМ-7.550</t>
        </is>
      </c>
      <c r="F764" s="72" t="inlineStr">
        <is>
          <t>дв</t>
        </is>
      </c>
      <c r="G764" s="21" t="inlineStr">
        <is>
          <t>Доп. верхние, ригель оси 2 (Г–В), вдоль X, 6300…7500</t>
        </is>
      </c>
      <c r="H764" s="51" t="n">
        <v>10</v>
      </c>
      <c r="I764" s="72" t="inlineStr">
        <is>
          <t>А500С</t>
        </is>
      </c>
      <c r="J764" s="72" t="n">
        <v>200</v>
      </c>
      <c r="K764" s="75" t="n">
        <v>1</v>
      </c>
      <c r="L764" s="51" t="n">
        <v>11</v>
      </c>
      <c r="M764" s="69" t="n">
        <v>1.2</v>
      </c>
      <c r="N764" s="70">
        <f>K764*L764*M764</f>
        <v/>
      </c>
      <c r="O764" s="37">
        <f>IFERROR(INDEX(Исходные!$B$19:$B$31,MATCH(H764,Исходные!$A$19:$A$31,0)),0)</f>
        <v/>
      </c>
      <c r="P764" s="76">
        <f>N764*O764</f>
        <v/>
      </c>
      <c r="Q764" s="21" t="inlineStr">
        <is>
          <t>АС-51 «Верхняя сетка 3.950÷14.750» (одна для всех этажей)</t>
        </is>
      </c>
      <c r="R764" s="77" t="inlineStr">
        <is>
          <t>по проекту</t>
        </is>
      </c>
      <c r="S764" s="21" t="inlineStr"/>
      <c r="T764" s="21" t="inlineStr">
        <is>
          <t>Ригели, балки, плита, С-1</t>
        </is>
      </c>
      <c r="U764" s="49" t="n">
        <v>0</v>
      </c>
      <c r="V764" s="72" t="inlineStr">
        <is>
          <t>П-доп-верх</t>
        </is>
      </c>
      <c r="W764" s="49" t="n">
        <v>2</v>
      </c>
    </row>
    <row r="765">
      <c r="A765" s="72" t="n">
        <v>748</v>
      </c>
      <c r="B765" s="21" t="inlineStr">
        <is>
          <t>2 этаж (отм. +3.950…+7.550)</t>
        </is>
      </c>
      <c r="C765" s="21" t="inlineStr">
        <is>
          <t>Плита перекрытия</t>
        </is>
      </c>
      <c r="D765" s="21" t="inlineStr">
        <is>
          <t>см. описание</t>
        </is>
      </c>
      <c r="E765" s="21" t="inlineStr">
        <is>
          <t>ПМ-7.550</t>
        </is>
      </c>
      <c r="F765" s="72" t="inlineStr">
        <is>
          <t>дв</t>
        </is>
      </c>
      <c r="G765" s="21" t="inlineStr">
        <is>
          <t>Доп. верхние, эркер у оси 1 (В–Б), вдоль X, −1000…+200</t>
        </is>
      </c>
      <c r="H765" s="51" t="n">
        <v>10</v>
      </c>
      <c r="I765" s="72" t="inlineStr">
        <is>
          <t>А500С</t>
        </is>
      </c>
      <c r="J765" s="72" t="n">
        <v>200</v>
      </c>
      <c r="K765" s="75" t="n">
        <v>1</v>
      </c>
      <c r="L765" s="51" t="n">
        <v>18</v>
      </c>
      <c r="M765" s="69" t="n">
        <v>1.2</v>
      </c>
      <c r="N765" s="70">
        <f>K765*L765*M765</f>
        <v/>
      </c>
      <c r="O765" s="37">
        <f>IFERROR(INDEX(Исходные!$B$19:$B$31,MATCH(H765,Исходные!$A$19:$A$31,0)),0)</f>
        <v/>
      </c>
      <c r="P765" s="76">
        <f>N765*O765</f>
        <v/>
      </c>
      <c r="Q765" s="21" t="inlineStr">
        <is>
          <t>АС-51 «Верхняя сетка 3.950÷14.750» (одна для всех этажей)</t>
        </is>
      </c>
      <c r="R765" s="77" t="inlineStr">
        <is>
          <t>по проекту</t>
        </is>
      </c>
      <c r="S765" s="21" t="inlineStr"/>
      <c r="T765" s="21" t="inlineStr">
        <is>
          <t>Ригели, балки, плита, С-1</t>
        </is>
      </c>
      <c r="U765" s="49" t="n">
        <v>0</v>
      </c>
      <c r="V765" s="72" t="inlineStr">
        <is>
          <t>П-доп-верх</t>
        </is>
      </c>
      <c r="W765" s="49" t="n">
        <v>2</v>
      </c>
    </row>
    <row r="766">
      <c r="A766" s="72" t="n">
        <v>749</v>
      </c>
      <c r="B766" s="21" t="inlineStr">
        <is>
          <t>2 этаж (отм. +3.950…+7.550)</t>
        </is>
      </c>
      <c r="C766" s="21" t="inlineStr">
        <is>
          <t>Плита перекрытия</t>
        </is>
      </c>
      <c r="D766" s="21" t="inlineStr">
        <is>
          <t>см. описание</t>
        </is>
      </c>
      <c r="E766" s="21" t="inlineStr">
        <is>
          <t>ПМ-7.550</t>
        </is>
      </c>
      <c r="F766" s="72" t="inlineStr">
        <is>
          <t>дв</t>
        </is>
      </c>
      <c r="G766" s="21" t="inlineStr">
        <is>
          <t>Доп. верхние, ригель оси 2 (В–Б), вдоль X, 6300…7700 — Ø12 (выноска «Ø12 А500С ш.200», Y 10260…12620)</t>
        </is>
      </c>
      <c r="H766" s="51" t="n">
        <v>12</v>
      </c>
      <c r="I766" s="72" t="inlineStr">
        <is>
          <t>А500С</t>
        </is>
      </c>
      <c r="J766" s="72" t="n">
        <v>200</v>
      </c>
      <c r="K766" s="75" t="n">
        <v>1</v>
      </c>
      <c r="L766" s="51" t="n">
        <v>12</v>
      </c>
      <c r="M766" s="69" t="n">
        <v>1.4</v>
      </c>
      <c r="N766" s="70">
        <f>K766*L766*M766</f>
        <v/>
      </c>
      <c r="O766" s="37">
        <f>IFERROR(INDEX(Исходные!$B$19:$B$31,MATCH(H766,Исходные!$A$19:$A$31,0)),0)</f>
        <v/>
      </c>
      <c r="P766" s="76">
        <f>N766*O766</f>
        <v/>
      </c>
      <c r="Q766" s="21" t="inlineStr">
        <is>
          <t>АС-51 «Верхняя сетка 3.950÷14.750» (одна для всех этажей)</t>
        </is>
      </c>
      <c r="R766" s="77" t="inlineStr">
        <is>
          <t>по проекту</t>
        </is>
      </c>
      <c r="S766" s="21" t="inlineStr"/>
      <c r="T766" s="21" t="inlineStr">
        <is>
          <t>Ригели, балки, плита, С-1</t>
        </is>
      </c>
      <c r="U766" s="49" t="n">
        <v>0</v>
      </c>
      <c r="V766" s="72" t="inlineStr">
        <is>
          <t>П-доп-верх</t>
        </is>
      </c>
      <c r="W766" s="49" t="n">
        <v>2</v>
      </c>
    </row>
    <row r="767">
      <c r="A767" s="72" t="n">
        <v>750</v>
      </c>
      <c r="B767" s="21" t="inlineStr">
        <is>
          <t>2 этаж (отм. +3.950…+7.550)</t>
        </is>
      </c>
      <c r="C767" s="21" t="inlineStr">
        <is>
          <t>Плита перекрытия</t>
        </is>
      </c>
      <c r="D767" s="21" t="inlineStr">
        <is>
          <t>см. описание</t>
        </is>
      </c>
      <c r="E767" s="21" t="inlineStr">
        <is>
          <t>ПМ-7.550</t>
        </is>
      </c>
      <c r="F767" s="72" t="inlineStr">
        <is>
          <t>дв</t>
        </is>
      </c>
      <c r="G767" s="21" t="inlineStr">
        <is>
          <t>Доп. верхние, ригель оси 2 (В–Б), вдоль X, 6300…7700 — остальные</t>
        </is>
      </c>
      <c r="H767" s="51" t="n">
        <v>10</v>
      </c>
      <c r="I767" s="72" t="inlineStr">
        <is>
          <t>А500С</t>
        </is>
      </c>
      <c r="J767" s="72" t="n">
        <v>200</v>
      </c>
      <c r="K767" s="75" t="n">
        <v>1</v>
      </c>
      <c r="L767" s="51" t="n">
        <v>18</v>
      </c>
      <c r="M767" s="69" t="n">
        <v>1.4</v>
      </c>
      <c r="N767" s="70">
        <f>K767*L767*M767</f>
        <v/>
      </c>
      <c r="O767" s="37">
        <f>IFERROR(INDEX(Исходные!$B$19:$B$31,MATCH(H767,Исходные!$A$19:$A$31,0)),0)</f>
        <v/>
      </c>
      <c r="P767" s="76">
        <f>N767*O767</f>
        <v/>
      </c>
      <c r="Q767" s="21" t="inlineStr">
        <is>
          <t>АС-51 «Верхняя сетка 3.950÷14.750» (одна для всех этажей)</t>
        </is>
      </c>
      <c r="R767" s="77" t="inlineStr">
        <is>
          <t>по проекту</t>
        </is>
      </c>
      <c r="S767" s="21" t="inlineStr"/>
      <c r="T767" s="21" t="inlineStr">
        <is>
          <t>Ригели, балки, плита, С-1</t>
        </is>
      </c>
      <c r="U767" s="49" t="n">
        <v>0</v>
      </c>
      <c r="V767" s="72" t="inlineStr">
        <is>
          <t>П-доп-верх</t>
        </is>
      </c>
      <c r="W767" s="49" t="n">
        <v>2</v>
      </c>
    </row>
    <row r="768">
      <c r="A768" s="72" t="n">
        <v>751</v>
      </c>
      <c r="B768" s="21" t="inlineStr">
        <is>
          <t>2 этаж (отм. +3.950…+7.550)</t>
        </is>
      </c>
      <c r="C768" s="21" t="inlineStr">
        <is>
          <t>Плита перекрытия</t>
        </is>
      </c>
      <c r="D768" s="21" t="inlineStr">
        <is>
          <t>см. описание</t>
        </is>
      </c>
      <c r="E768" s="21" t="inlineStr">
        <is>
          <t>ПМ-7.550</t>
        </is>
      </c>
      <c r="F768" s="72" t="inlineStr">
        <is>
          <t>дв</t>
        </is>
      </c>
      <c r="G768" s="21" t="inlineStr">
        <is>
          <t>Доп. верхние, ригель оси 3 (В–Б), вдоль X, 12300…14500 — Ø12 (выноска «Ø12»)</t>
        </is>
      </c>
      <c r="H768" s="51" t="n">
        <v>12</v>
      </c>
      <c r="I768" s="72" t="inlineStr">
        <is>
          <t>А500С</t>
        </is>
      </c>
      <c r="J768" s="72" t="n">
        <v>200</v>
      </c>
      <c r="K768" s="75" t="n">
        <v>1</v>
      </c>
      <c r="L768" s="51" t="n">
        <v>12</v>
      </c>
      <c r="M768" s="69" t="n">
        <v>2.2</v>
      </c>
      <c r="N768" s="70">
        <f>K768*L768*M768</f>
        <v/>
      </c>
      <c r="O768" s="37">
        <f>IFERROR(INDEX(Исходные!$B$19:$B$31,MATCH(H768,Исходные!$A$19:$A$31,0)),0)</f>
        <v/>
      </c>
      <c r="P768" s="76">
        <f>N768*O768</f>
        <v/>
      </c>
      <c r="Q768" s="21" t="inlineStr">
        <is>
          <t>АС-51 «Верхняя сетка 3.950÷14.750» (одна для всех этажей)</t>
        </is>
      </c>
      <c r="R768" s="77" t="inlineStr">
        <is>
          <t>по проекту</t>
        </is>
      </c>
      <c r="S768" s="21" t="inlineStr"/>
      <c r="T768" s="21" t="inlineStr">
        <is>
          <t>Ригели, балки, плита, С-1</t>
        </is>
      </c>
      <c r="U768" s="49" t="n">
        <v>0</v>
      </c>
      <c r="V768" s="72" t="inlineStr">
        <is>
          <t>П-доп-верх</t>
        </is>
      </c>
      <c r="W768" s="49" t="n">
        <v>2</v>
      </c>
    </row>
    <row r="769">
      <c r="A769" s="72" t="n">
        <v>752</v>
      </c>
      <c r="B769" s="21" t="inlineStr">
        <is>
          <t>2 этаж (отм. +3.950…+7.550)</t>
        </is>
      </c>
      <c r="C769" s="21" t="inlineStr">
        <is>
          <t>Плита перекрытия</t>
        </is>
      </c>
      <c r="D769" s="21" t="inlineStr">
        <is>
          <t>см. описание</t>
        </is>
      </c>
      <c r="E769" s="21" t="inlineStr">
        <is>
          <t>ПМ-7.550</t>
        </is>
      </c>
      <c r="F769" s="72" t="inlineStr">
        <is>
          <t>дв</t>
        </is>
      </c>
      <c r="G769" s="21" t="inlineStr">
        <is>
          <t>Доп. верхние, ригель оси 3 (В–Б), вдоль X, 12300…14500 — остальные</t>
        </is>
      </c>
      <c r="H769" s="51" t="n">
        <v>10</v>
      </c>
      <c r="I769" s="72" t="inlineStr">
        <is>
          <t>А500С</t>
        </is>
      </c>
      <c r="J769" s="72" t="n">
        <v>200</v>
      </c>
      <c r="K769" s="75" t="n">
        <v>1</v>
      </c>
      <c r="L769" s="51" t="n">
        <v>18</v>
      </c>
      <c r="M769" s="69" t="n">
        <v>2.2</v>
      </c>
      <c r="N769" s="70">
        <f>K769*L769*M769</f>
        <v/>
      </c>
      <c r="O769" s="37">
        <f>IFERROR(INDEX(Исходные!$B$19:$B$31,MATCH(H769,Исходные!$A$19:$A$31,0)),0)</f>
        <v/>
      </c>
      <c r="P769" s="76">
        <f>N769*O769</f>
        <v/>
      </c>
      <c r="Q769" s="21" t="inlineStr">
        <is>
          <t>АС-51 «Верхняя сетка 3.950÷14.750» (одна для всех этажей)</t>
        </is>
      </c>
      <c r="R769" s="77" t="inlineStr">
        <is>
          <t>по проекту</t>
        </is>
      </c>
      <c r="S769" s="21" t="inlineStr"/>
      <c r="T769" s="21" t="inlineStr">
        <is>
          <t>Ригели, балки, плита, С-1</t>
        </is>
      </c>
      <c r="U769" s="49" t="n">
        <v>0</v>
      </c>
      <c r="V769" s="72" t="inlineStr">
        <is>
          <t>П-доп-верх</t>
        </is>
      </c>
      <c r="W769" s="49" t="n">
        <v>2</v>
      </c>
    </row>
    <row r="770">
      <c r="A770" s="72" t="n">
        <v>753</v>
      </c>
      <c r="B770" s="21" t="inlineStr">
        <is>
          <t>2 этаж (отм. +3.950…+7.550)</t>
        </is>
      </c>
      <c r="C770" s="21" t="inlineStr">
        <is>
          <t>Плита перекрытия</t>
        </is>
      </c>
      <c r="D770" s="21" t="inlineStr">
        <is>
          <t>см. описание</t>
        </is>
      </c>
      <c r="E770" s="21" t="inlineStr">
        <is>
          <t>ПМ-7.550</t>
        </is>
      </c>
      <c r="F770" s="72" t="inlineStr">
        <is>
          <t>дв</t>
        </is>
      </c>
      <c r="G770" s="21" t="inlineStr">
        <is>
          <t>Доп. верхние, ригель оси 4 (В–Б), вдоль X, 19000…20200</t>
        </is>
      </c>
      <c r="H770" s="51" t="n">
        <v>10</v>
      </c>
      <c r="I770" s="72" t="inlineStr">
        <is>
          <t>А500С</t>
        </is>
      </c>
      <c r="J770" s="72" t="n">
        <v>200</v>
      </c>
      <c r="K770" s="75" t="n">
        <v>1</v>
      </c>
      <c r="L770" s="51" t="n">
        <v>24</v>
      </c>
      <c r="M770" s="69" t="n">
        <v>1.2</v>
      </c>
      <c r="N770" s="70">
        <f>K770*L770*M770</f>
        <v/>
      </c>
      <c r="O770" s="37">
        <f>IFERROR(INDEX(Исходные!$B$19:$B$31,MATCH(H770,Исходные!$A$19:$A$31,0)),0)</f>
        <v/>
      </c>
      <c r="P770" s="76">
        <f>N770*O770</f>
        <v/>
      </c>
      <c r="Q770" s="21" t="inlineStr">
        <is>
          <t>АС-51 «Верхняя сетка 3.950÷14.750» (одна для всех этажей)</t>
        </is>
      </c>
      <c r="R770" s="77" t="inlineStr">
        <is>
          <t>по проекту</t>
        </is>
      </c>
      <c r="S770" s="21" t="inlineStr"/>
      <c r="T770" s="21" t="inlineStr">
        <is>
          <t>Ригели, балки, плита, С-1</t>
        </is>
      </c>
      <c r="U770" s="49" t="n">
        <v>0</v>
      </c>
      <c r="V770" s="72" t="inlineStr">
        <is>
          <t>П-доп-верх</t>
        </is>
      </c>
      <c r="W770" s="49" t="n">
        <v>2</v>
      </c>
    </row>
    <row r="771">
      <c r="A771" s="72" t="n">
        <v>754</v>
      </c>
      <c r="B771" s="21" t="inlineStr">
        <is>
          <t>2 этаж (отм. +3.950…+7.550)</t>
        </is>
      </c>
      <c r="C771" s="21" t="inlineStr">
        <is>
          <t>Плита перекрытия</t>
        </is>
      </c>
      <c r="D771" s="21" t="inlineStr">
        <is>
          <t>см. описание</t>
        </is>
      </c>
      <c r="E771" s="21" t="inlineStr">
        <is>
          <t>ПМ-7.550</t>
        </is>
      </c>
      <c r="F771" s="72" t="inlineStr">
        <is>
          <t>дв</t>
        </is>
      </c>
      <c r="G771" s="21" t="inlineStr">
        <is>
          <t>Доп. верхние, ригель оси 2 (Б–А), вдоль X, 5500…7500</t>
        </is>
      </c>
      <c r="H771" s="51" t="n">
        <v>10</v>
      </c>
      <c r="I771" s="72" t="inlineStr">
        <is>
          <t>А500С</t>
        </is>
      </c>
      <c r="J771" s="72" t="n">
        <v>200</v>
      </c>
      <c r="K771" s="75" t="n">
        <v>1</v>
      </c>
      <c r="L771" s="51" t="n">
        <v>25</v>
      </c>
      <c r="M771" s="69" t="n">
        <v>2</v>
      </c>
      <c r="N771" s="70">
        <f>K771*L771*M771</f>
        <v/>
      </c>
      <c r="O771" s="37">
        <f>IFERROR(INDEX(Исходные!$B$19:$B$31,MATCH(H771,Исходные!$A$19:$A$31,0)),0)</f>
        <v/>
      </c>
      <c r="P771" s="76">
        <f>N771*O771</f>
        <v/>
      </c>
      <c r="Q771" s="21" t="inlineStr">
        <is>
          <t>АС-51 «Верхняя сетка 3.950÷14.750» (одна для всех этажей)</t>
        </is>
      </c>
      <c r="R771" s="77" t="inlineStr">
        <is>
          <t>по проекту</t>
        </is>
      </c>
      <c r="S771" s="21" t="inlineStr"/>
      <c r="T771" s="21" t="inlineStr">
        <is>
          <t>Ригели, балки, плита, С-1</t>
        </is>
      </c>
      <c r="U771" s="49" t="n">
        <v>0</v>
      </c>
      <c r="V771" s="72" t="inlineStr">
        <is>
          <t>П-доп-верх</t>
        </is>
      </c>
      <c r="W771" s="49" t="n">
        <v>2</v>
      </c>
    </row>
    <row r="772">
      <c r="A772" s="72" t="n">
        <v>755</v>
      </c>
      <c r="B772" s="21" t="inlineStr">
        <is>
          <t>2 этаж (отм. +3.950…+7.550)</t>
        </is>
      </c>
      <c r="C772" s="21" t="inlineStr">
        <is>
          <t>Плита перекрытия</t>
        </is>
      </c>
      <c r="D772" s="21" t="inlineStr">
        <is>
          <t>см. описание</t>
        </is>
      </c>
      <c r="E772" s="21" t="inlineStr">
        <is>
          <t>ПМ-7.550</t>
        </is>
      </c>
      <c r="F772" s="72" t="inlineStr">
        <is>
          <t>дв</t>
        </is>
      </c>
      <c r="G772" s="21" t="inlineStr">
        <is>
          <t>Доп. верхние, ригель оси 4 (Б–А), вдоль X, 19000…20200</t>
        </is>
      </c>
      <c r="H772" s="51" t="n">
        <v>10</v>
      </c>
      <c r="I772" s="72" t="inlineStr">
        <is>
          <t>А500С</t>
        </is>
      </c>
      <c r="J772" s="72" t="n">
        <v>200</v>
      </c>
      <c r="K772" s="75" t="n">
        <v>1</v>
      </c>
      <c r="L772" s="51" t="n">
        <v>25</v>
      </c>
      <c r="M772" s="69" t="n">
        <v>1.2</v>
      </c>
      <c r="N772" s="70">
        <f>K772*L772*M772</f>
        <v/>
      </c>
      <c r="O772" s="37">
        <f>IFERROR(INDEX(Исходные!$B$19:$B$31,MATCH(H772,Исходные!$A$19:$A$31,0)),0)</f>
        <v/>
      </c>
      <c r="P772" s="76">
        <f>N772*O772</f>
        <v/>
      </c>
      <c r="Q772" s="21" t="inlineStr">
        <is>
          <t>АС-51 «Верхняя сетка 3.950÷14.750» (одна для всех этажей)</t>
        </is>
      </c>
      <c r="R772" s="77" t="inlineStr">
        <is>
          <t>по проекту</t>
        </is>
      </c>
      <c r="S772" s="21" t="inlineStr"/>
      <c r="T772" s="21" t="inlineStr">
        <is>
          <t>Ригели, балки, плита, С-1</t>
        </is>
      </c>
      <c r="U772" s="49" t="n">
        <v>0</v>
      </c>
      <c r="V772" s="72" t="inlineStr">
        <is>
          <t>П-доп-верх</t>
        </is>
      </c>
      <c r="W772" s="49" t="n">
        <v>2</v>
      </c>
    </row>
    <row r="773">
      <c r="A773" s="72" t="n">
        <v>756</v>
      </c>
      <c r="B773" s="21" t="inlineStr">
        <is>
          <t>2 этаж (отм. +3.950…+7.550)</t>
        </is>
      </c>
      <c r="C773" s="21" t="inlineStr">
        <is>
          <t>Плита перекрытия</t>
        </is>
      </c>
      <c r="D773" s="21" t="inlineStr">
        <is>
          <t>см. описание</t>
        </is>
      </c>
      <c r="E773" s="21" t="inlineStr">
        <is>
          <t>ПМ-7.550</t>
        </is>
      </c>
      <c r="F773" s="72" t="inlineStr">
        <is>
          <t>дв</t>
        </is>
      </c>
      <c r="G773" s="21" t="inlineStr">
        <is>
          <t>Доп. верхние, эркер у оси А (1–2), вдоль Y, −1000…+200</t>
        </is>
      </c>
      <c r="H773" s="51" t="n">
        <v>10</v>
      </c>
      <c r="I773" s="72" t="inlineStr">
        <is>
          <t>А500С</t>
        </is>
      </c>
      <c r="J773" s="72" t="n">
        <v>200</v>
      </c>
      <c r="K773" s="75" t="n">
        <v>1</v>
      </c>
      <c r="L773" s="51" t="n">
        <v>17</v>
      </c>
      <c r="M773" s="69" t="n">
        <v>1.2</v>
      </c>
      <c r="N773" s="70">
        <f>K773*L773*M773</f>
        <v/>
      </c>
      <c r="O773" s="37">
        <f>IFERROR(INDEX(Исходные!$B$19:$B$31,MATCH(H773,Исходные!$A$19:$A$31,0)),0)</f>
        <v/>
      </c>
      <c r="P773" s="76">
        <f>N773*O773</f>
        <v/>
      </c>
      <c r="Q773" s="21" t="inlineStr">
        <is>
          <t>АС-51 «Верхняя сетка 3.950÷14.750» (одна для всех этажей)</t>
        </is>
      </c>
      <c r="R773" s="77" t="inlineStr">
        <is>
          <t>по проекту</t>
        </is>
      </c>
      <c r="S773" s="21" t="inlineStr"/>
      <c r="T773" s="21" t="inlineStr">
        <is>
          <t>Ригели, балки, плита, С-1</t>
        </is>
      </c>
      <c r="U773" s="49" t="n">
        <v>0</v>
      </c>
      <c r="V773" s="72" t="inlineStr">
        <is>
          <t>П-доп-верх</t>
        </is>
      </c>
      <c r="W773" s="49" t="n">
        <v>2</v>
      </c>
    </row>
    <row r="774">
      <c r="A774" s="72" t="n">
        <v>757</v>
      </c>
      <c r="B774" s="21" t="inlineStr">
        <is>
          <t>2 этаж (отм. +3.950…+7.550)</t>
        </is>
      </c>
      <c r="C774" s="21" t="inlineStr">
        <is>
          <t>Плита перекрытия</t>
        </is>
      </c>
      <c r="D774" s="21" t="inlineStr">
        <is>
          <t>см. описание</t>
        </is>
      </c>
      <c r="E774" s="21" t="inlineStr">
        <is>
          <t>ПМ-7.550</t>
        </is>
      </c>
      <c r="F774" s="72" t="inlineStr">
        <is>
          <t>дв</t>
        </is>
      </c>
      <c r="G774" s="21" t="inlineStr">
        <is>
          <t>Доп. верхние, эркер у оси А (2–4), вдоль Y, −1000…+200</t>
        </is>
      </c>
      <c r="H774" s="51" t="n">
        <v>10</v>
      </c>
      <c r="I774" s="72" t="inlineStr">
        <is>
          <t>А500С</t>
        </is>
      </c>
      <c r="J774" s="72" t="n">
        <v>200</v>
      </c>
      <c r="K774" s="75" t="n">
        <v>1</v>
      </c>
      <c r="L774" s="51" t="n">
        <v>36</v>
      </c>
      <c r="M774" s="69" t="n">
        <v>1.2</v>
      </c>
      <c r="N774" s="70">
        <f>K774*L774*M774</f>
        <v/>
      </c>
      <c r="O774" s="37">
        <f>IFERROR(INDEX(Исходные!$B$19:$B$31,MATCH(H774,Исходные!$A$19:$A$31,0)),0)</f>
        <v/>
      </c>
      <c r="P774" s="76">
        <f>N774*O774</f>
        <v/>
      </c>
      <c r="Q774" s="21" t="inlineStr">
        <is>
          <t>АС-51 «Верхняя сетка 3.950÷14.750» (одна для всех этажей)</t>
        </is>
      </c>
      <c r="R774" s="77" t="inlineStr">
        <is>
          <t>по проекту</t>
        </is>
      </c>
      <c r="S774" s="21" t="inlineStr"/>
      <c r="T774" s="21" t="inlineStr">
        <is>
          <t>Ригели, балки, плита, С-1</t>
        </is>
      </c>
      <c r="U774" s="49" t="n">
        <v>0</v>
      </c>
      <c r="V774" s="72" t="inlineStr">
        <is>
          <t>П-доп-верх</t>
        </is>
      </c>
      <c r="W774" s="49" t="n">
        <v>2</v>
      </c>
    </row>
    <row r="775">
      <c r="A775" s="72" t="n">
        <v>758</v>
      </c>
      <c r="B775" s="21" t="inlineStr">
        <is>
          <t>2 этаж (отм. +3.950…+7.550)</t>
        </is>
      </c>
      <c r="C775" s="21" t="inlineStr">
        <is>
          <t>Плита перекрытия</t>
        </is>
      </c>
      <c r="D775" s="21" t="inlineStr">
        <is>
          <t>см. описание</t>
        </is>
      </c>
      <c r="E775" s="21" t="inlineStr">
        <is>
          <t>ПМ-7.550</t>
        </is>
      </c>
      <c r="F775" s="72" t="inlineStr">
        <is>
          <t>дв</t>
        </is>
      </c>
      <c r="G775" s="21" t="inlineStr">
        <is>
          <t>Доп. верхние, ригель оси В, вдоль Y, 12300…13700 (оси 2–3 лев. часть)</t>
        </is>
      </c>
      <c r="H775" s="51" t="n">
        <v>10</v>
      </c>
      <c r="I775" s="72" t="inlineStr">
        <is>
          <t>А500С</t>
        </is>
      </c>
      <c r="J775" s="72" t="n">
        <v>200</v>
      </c>
      <c r="K775" s="75" t="n">
        <v>1</v>
      </c>
      <c r="L775" s="51" t="n">
        <v>15</v>
      </c>
      <c r="M775" s="69" t="n">
        <v>1.4</v>
      </c>
      <c r="N775" s="70">
        <f>K775*L775*M775</f>
        <v/>
      </c>
      <c r="O775" s="37">
        <f>IFERROR(INDEX(Исходные!$B$19:$B$31,MATCH(H775,Исходные!$A$19:$A$31,0)),0)</f>
        <v/>
      </c>
      <c r="P775" s="76">
        <f>N775*O775</f>
        <v/>
      </c>
      <c r="Q775" s="21" t="inlineStr">
        <is>
          <t>АС-51 «Верхняя сетка 3.950÷14.750» (одна для всех этажей)</t>
        </is>
      </c>
      <c r="R775" s="77" t="inlineStr">
        <is>
          <t>по проекту</t>
        </is>
      </c>
      <c r="S775" s="21" t="inlineStr"/>
      <c r="T775" s="21" t="inlineStr">
        <is>
          <t>Ригели, балки, плита, С-1</t>
        </is>
      </c>
      <c r="U775" s="49" t="n">
        <v>0</v>
      </c>
      <c r="V775" s="72" t="inlineStr">
        <is>
          <t>П-доп-верх</t>
        </is>
      </c>
      <c r="W775" s="49" t="n">
        <v>2</v>
      </c>
    </row>
    <row r="776">
      <c r="A776" s="72" t="n">
        <v>759</v>
      </c>
      <c r="B776" s="21" t="inlineStr">
        <is>
          <t>2 этаж (отм. +3.950…+7.550)</t>
        </is>
      </c>
      <c r="C776" s="21" t="inlineStr">
        <is>
          <t>Плита перекрытия</t>
        </is>
      </c>
      <c r="D776" s="21" t="inlineStr">
        <is>
          <t>см. описание</t>
        </is>
      </c>
      <c r="E776" s="21" t="inlineStr">
        <is>
          <t>ПМ-7.550</t>
        </is>
      </c>
      <c r="F776" s="72" t="inlineStr">
        <is>
          <t>дв</t>
        </is>
      </c>
      <c r="G776" s="21" t="inlineStr">
        <is>
          <t>Доп. верхние, ригель оси В, вдоль Y, 12300…14500 (оси 2–3 прав. часть)</t>
        </is>
      </c>
      <c r="H776" s="51" t="n">
        <v>10</v>
      </c>
      <c r="I776" s="72" t="inlineStr">
        <is>
          <t>А500С</t>
        </is>
      </c>
      <c r="J776" s="72" t="n">
        <v>200</v>
      </c>
      <c r="K776" s="75" t="n">
        <v>1</v>
      </c>
      <c r="L776" s="51" t="n">
        <v>17</v>
      </c>
      <c r="M776" s="69" t="n">
        <v>2.2</v>
      </c>
      <c r="N776" s="70">
        <f>K776*L776*M776</f>
        <v/>
      </c>
      <c r="O776" s="37">
        <f>IFERROR(INDEX(Исходные!$B$19:$B$31,MATCH(H776,Исходные!$A$19:$A$31,0)),0)</f>
        <v/>
      </c>
      <c r="P776" s="76">
        <f>N776*O776</f>
        <v/>
      </c>
      <c r="Q776" s="21" t="inlineStr">
        <is>
          <t>АС-51 «Верхняя сетка 3.950÷14.750» (одна для всех этажей)</t>
        </is>
      </c>
      <c r="R776" s="77" t="inlineStr">
        <is>
          <t>по проекту</t>
        </is>
      </c>
      <c r="S776" s="21" t="inlineStr"/>
      <c r="T776" s="21" t="inlineStr">
        <is>
          <t>Ригели, балки, плита, С-1</t>
        </is>
      </c>
      <c r="U776" s="49" t="n">
        <v>0</v>
      </c>
      <c r="V776" s="72" t="inlineStr">
        <is>
          <t>П-доп-верх</t>
        </is>
      </c>
      <c r="W776" s="49" t="n">
        <v>2</v>
      </c>
    </row>
    <row r="777">
      <c r="A777" s="72" t="n">
        <v>760</v>
      </c>
      <c r="B777" s="21" t="inlineStr">
        <is>
          <t>2 этаж (отм. +3.950…+7.550)</t>
        </is>
      </c>
      <c r="C777" s="21" t="inlineStr">
        <is>
          <t>Плита перекрытия</t>
        </is>
      </c>
      <c r="D777" s="21" t="inlineStr">
        <is>
          <t>см. описание</t>
        </is>
      </c>
      <c r="E777" s="21" t="inlineStr">
        <is>
          <t>ПМ-7.550</t>
        </is>
      </c>
      <c r="F777" s="72" t="inlineStr">
        <is>
          <t>дв</t>
        </is>
      </c>
      <c r="G777" s="21" t="inlineStr">
        <is>
          <t>Доп. верхние, ригель оси В, вдоль Y, 12300…13700 (оси 3–4)</t>
        </is>
      </c>
      <c r="H777" s="51" t="n">
        <v>10</v>
      </c>
      <c r="I777" s="72" t="inlineStr">
        <is>
          <t>А500С</t>
        </is>
      </c>
      <c r="J777" s="72" t="n">
        <v>200</v>
      </c>
      <c r="K777" s="75" t="n">
        <v>1</v>
      </c>
      <c r="L777" s="51" t="n">
        <v>29</v>
      </c>
      <c r="M777" s="69" t="n">
        <v>1.4</v>
      </c>
      <c r="N777" s="70">
        <f>K777*L777*M777</f>
        <v/>
      </c>
      <c r="O777" s="37">
        <f>IFERROR(INDEX(Исходные!$B$19:$B$31,MATCH(H777,Исходные!$A$19:$A$31,0)),0)</f>
        <v/>
      </c>
      <c r="P777" s="76">
        <f>N777*O777</f>
        <v/>
      </c>
      <c r="Q777" s="21" t="inlineStr">
        <is>
          <t>АС-51 «Верхняя сетка 3.950÷14.750» (одна для всех этажей)</t>
        </is>
      </c>
      <c r="R777" s="77" t="inlineStr">
        <is>
          <t>по проекту</t>
        </is>
      </c>
      <c r="S777" s="21" t="inlineStr"/>
      <c r="T777" s="21" t="inlineStr">
        <is>
          <t>Ригели, балки, плита, С-1</t>
        </is>
      </c>
      <c r="U777" s="49" t="n">
        <v>0</v>
      </c>
      <c r="V777" s="72" t="inlineStr">
        <is>
          <t>П-доп-верх</t>
        </is>
      </c>
      <c r="W777" s="49" t="n">
        <v>2</v>
      </c>
    </row>
    <row r="778">
      <c r="A778" s="72" t="n">
        <v>761</v>
      </c>
      <c r="B778" s="21" t="inlineStr">
        <is>
          <t>2 этаж (отм. +3.950…+7.550)</t>
        </is>
      </c>
      <c r="C778" s="21" t="inlineStr">
        <is>
          <t>Плита перекрытия</t>
        </is>
      </c>
      <c r="D778" s="21" t="inlineStr">
        <is>
          <t>см. описание</t>
        </is>
      </c>
      <c r="E778" s="21" t="inlineStr">
        <is>
          <t>ПМ-7.550</t>
        </is>
      </c>
      <c r="F778" s="72" t="inlineStr">
        <is>
          <t>дв</t>
        </is>
      </c>
      <c r="G778" s="21" t="inlineStr">
        <is>
          <t>Доп. верхние, ригель оси Б, вдоль Y, 5500…7700 (оси 2–4)</t>
        </is>
      </c>
      <c r="H778" s="51" t="n">
        <v>10</v>
      </c>
      <c r="I778" s="72" t="inlineStr">
        <is>
          <t>А500С</t>
        </is>
      </c>
      <c r="J778" s="72" t="n">
        <v>200</v>
      </c>
      <c r="K778" s="75" t="n">
        <v>1</v>
      </c>
      <c r="L778" s="51" t="n">
        <v>62</v>
      </c>
      <c r="M778" s="69" t="n">
        <v>2.2</v>
      </c>
      <c r="N778" s="70">
        <f>K778*L778*M778</f>
        <v/>
      </c>
      <c r="O778" s="37">
        <f>IFERROR(INDEX(Исходные!$B$19:$B$31,MATCH(H778,Исходные!$A$19:$A$31,0)),0)</f>
        <v/>
      </c>
      <c r="P778" s="76">
        <f>N778*O778</f>
        <v/>
      </c>
      <c r="Q778" s="21" t="inlineStr">
        <is>
          <t>АС-51 «Верхняя сетка 3.950÷14.750» (одна для всех этажей)</t>
        </is>
      </c>
      <c r="R778" s="77" t="inlineStr">
        <is>
          <t>по проекту</t>
        </is>
      </c>
      <c r="S778" s="21" t="inlineStr"/>
      <c r="T778" s="21" t="inlineStr">
        <is>
          <t>Ригели, балки, плита, С-1</t>
        </is>
      </c>
      <c r="U778" s="49" t="n">
        <v>0</v>
      </c>
      <c r="V778" s="72" t="inlineStr">
        <is>
          <t>П-доп-верх</t>
        </is>
      </c>
      <c r="W778" s="49" t="n">
        <v>2</v>
      </c>
    </row>
    <row r="779">
      <c r="A779" s="72" t="n">
        <v>762</v>
      </c>
      <c r="B779" s="21" t="inlineStr">
        <is>
          <t>2 этаж (отм. +3.950…+7.550)</t>
        </is>
      </c>
      <c r="C779" s="21" t="inlineStr">
        <is>
          <t>Плита перекрытия</t>
        </is>
      </c>
      <c r="D779" s="21" t="inlineStr">
        <is>
          <t>В,Б × оси 2,3 (4 места)</t>
        </is>
      </c>
      <c r="E779" s="21" t="inlineStr">
        <is>
          <t>ПМ-7.550</t>
        </is>
      </c>
      <c r="F779" s="72" t="inlineStr">
        <is>
          <t>дв</t>
        </is>
      </c>
      <c r="G779" s="21" t="inlineStr">
        <is>
          <t>Доп. стержни в верхней зоне над ригелем 2Ø20 L=3000 (4 места)</t>
        </is>
      </c>
      <c r="H779" s="51" t="n">
        <v>20</v>
      </c>
      <c r="I779" s="72" t="inlineStr">
        <is>
          <t>А500С</t>
        </is>
      </c>
      <c r="J779" s="72" t="inlineStr">
        <is>
          <t>—</t>
        </is>
      </c>
      <c r="K779" s="75" t="n">
        <v>4</v>
      </c>
      <c r="L779" s="51" t="n">
        <v>2</v>
      </c>
      <c r="M779" s="69" t="n">
        <v>3</v>
      </c>
      <c r="N779" s="70">
        <f>K779*L779*M779</f>
        <v/>
      </c>
      <c r="O779" s="37">
        <f>IFERROR(INDEX(Исходные!$B$19:$B$31,MATCH(H779,Исходные!$A$19:$A$31,0)),0)</f>
        <v/>
      </c>
      <c r="P779" s="76">
        <f>N779*O779</f>
        <v/>
      </c>
      <c r="Q779" s="21" t="inlineStr">
        <is>
          <t>АС-48 выноски «Доп. стер. в верх. зоне 2Ø20 L=3000» (на 3.950 было 1Ø20)</t>
        </is>
      </c>
      <c r="R779" s="77" t="inlineStr">
        <is>
          <t>по проекту</t>
        </is>
      </c>
      <c r="S779" s="21" t="inlineStr"/>
      <c r="T779" s="21" t="inlineStr">
        <is>
          <t>Ригели, балки, плита, С-1</t>
        </is>
      </c>
      <c r="U779" s="49" t="n">
        <v>0</v>
      </c>
      <c r="V779" s="72" t="inlineStr">
        <is>
          <t>П-доп-верх</t>
        </is>
      </c>
      <c r="W779" s="49" t="n">
        <v>2</v>
      </c>
    </row>
    <row r="780">
      <c r="A780" s="72" t="n">
        <v>763</v>
      </c>
      <c r="B780" s="21" t="inlineStr">
        <is>
          <t>2 этаж (отм. +3.950…+7.550)</t>
        </is>
      </c>
      <c r="C780" s="21" t="inlineStr">
        <is>
          <t>Плита перекрытия</t>
        </is>
      </c>
      <c r="D780" s="21" t="inlineStr">
        <is>
          <t>Б–В / оси 3–4</t>
        </is>
      </c>
      <c r="E780" s="21" t="inlineStr">
        <is>
          <t>ПМ-7.550</t>
        </is>
      </c>
      <c r="F780" s="72" t="inlineStr">
        <is>
          <t>дв</t>
        </is>
      </c>
      <c r="G780" s="21" t="inlineStr">
        <is>
          <t>Доп. стержень в верхней зоне 1Ø18 L=3000</t>
        </is>
      </c>
      <c r="H780" s="51" t="n">
        <v>18</v>
      </c>
      <c r="I780" s="72" t="inlineStr">
        <is>
          <t>А500С</t>
        </is>
      </c>
      <c r="J780" s="72" t="inlineStr">
        <is>
          <t>—</t>
        </is>
      </c>
      <c r="K780" s="75" t="n">
        <v>1</v>
      </c>
      <c r="L780" s="51" t="n">
        <v>1</v>
      </c>
      <c r="M780" s="69" t="n">
        <v>3</v>
      </c>
      <c r="N780" s="70">
        <f>K780*L780*M780</f>
        <v/>
      </c>
      <c r="O780" s="37">
        <f>IFERROR(INDEX(Исходные!$B$19:$B$31,MATCH(H780,Исходные!$A$19:$A$31,0)),0)</f>
        <v/>
      </c>
      <c r="P780" s="76">
        <f>N780*O780</f>
        <v/>
      </c>
      <c r="Q780" s="21" t="inlineStr">
        <is>
          <t>АС-48 выноска «1Ø18 L=3000»</t>
        </is>
      </c>
      <c r="R780" s="77" t="inlineStr">
        <is>
          <t>по проекту</t>
        </is>
      </c>
      <c r="S780" s="21" t="inlineStr"/>
      <c r="T780" s="21" t="inlineStr">
        <is>
          <t>Ригели, балки, плита, С-1</t>
        </is>
      </c>
      <c r="U780" s="49" t="n">
        <v>0</v>
      </c>
      <c r="V780" s="72" t="inlineStr">
        <is>
          <t>П-доп-верх</t>
        </is>
      </c>
      <c r="W780" s="49" t="n">
        <v>2</v>
      </c>
    </row>
    <row r="781">
      <c r="A781" s="72" t="n">
        <v>764</v>
      </c>
      <c r="B781" s="21" t="inlineStr">
        <is>
          <t>2 этаж (отм. +3.950…+7.550)</t>
        </is>
      </c>
      <c r="C781" s="21" t="inlineStr">
        <is>
          <t>Плита перекрытия</t>
        </is>
      </c>
      <c r="D781" s="21" t="inlineStr">
        <is>
          <t>у лифтовой шахты</t>
        </is>
      </c>
      <c r="E781" s="21" t="inlineStr">
        <is>
          <t>ПМ-7.550</t>
        </is>
      </c>
      <c r="F781" s="72" t="inlineStr">
        <is>
          <t>дв</t>
        </is>
      </c>
      <c r="G781" s="21" t="inlineStr">
        <is>
          <t>Доп. стержень в верхней зоне 1Ø18 L=1700</t>
        </is>
      </c>
      <c r="H781" s="51" t="n">
        <v>18</v>
      </c>
      <c r="I781" s="72" t="inlineStr">
        <is>
          <t>А500С</t>
        </is>
      </c>
      <c r="J781" s="72" t="inlineStr">
        <is>
          <t>—</t>
        </is>
      </c>
      <c r="K781" s="75" t="n">
        <v>1</v>
      </c>
      <c r="L781" s="51" t="n">
        <v>1</v>
      </c>
      <c r="M781" s="69" t="n">
        <v>1.7</v>
      </c>
      <c r="N781" s="70">
        <f>K781*L781*M781</f>
        <v/>
      </c>
      <c r="O781" s="37">
        <f>IFERROR(INDEX(Исходные!$B$19:$B$31,MATCH(H781,Исходные!$A$19:$A$31,0)),0)</f>
        <v/>
      </c>
      <c r="P781" s="76">
        <f>N781*O781</f>
        <v/>
      </c>
      <c r="Q781" s="21" t="inlineStr">
        <is>
          <t>АС-48 выноска «1Ø18 L=1700»</t>
        </is>
      </c>
      <c r="R781" s="77" t="inlineStr">
        <is>
          <t>по проекту</t>
        </is>
      </c>
      <c r="S781" s="21" t="inlineStr"/>
      <c r="T781" s="21" t="inlineStr">
        <is>
          <t>Ригели, балки, плита, С-1</t>
        </is>
      </c>
      <c r="U781" s="49" t="n">
        <v>0</v>
      </c>
      <c r="V781" s="72" t="inlineStr">
        <is>
          <t>П-доп-верх</t>
        </is>
      </c>
      <c r="W781" s="49" t="n">
        <v>2</v>
      </c>
    </row>
    <row r="782">
      <c r="A782" s="72" t="n">
        <v>765</v>
      </c>
      <c r="B782" s="21" t="inlineStr">
        <is>
          <t>2 этаж (отм. +3.950…+7.550)</t>
        </is>
      </c>
      <c r="C782" s="21" t="inlineStr">
        <is>
          <t>Плита перекрытия</t>
        </is>
      </c>
      <c r="D782" s="21" t="inlineStr">
        <is>
          <t>край по оси Г и оси 5</t>
        </is>
      </c>
      <c r="E782" s="21" t="inlineStr">
        <is>
          <t>ПМ-7.550</t>
        </is>
      </c>
      <c r="F782" s="72" t="inlineStr">
        <is>
          <t>8</t>
        </is>
      </c>
      <c r="G782" s="21" t="inlineStr">
        <is>
          <t>Торцевой стержень края плиты (сеч.6-6) 2Ø14, по оси Г</t>
        </is>
      </c>
      <c r="H782" s="51" t="n">
        <v>14</v>
      </c>
      <c r="I782" s="72" t="inlineStr">
        <is>
          <t>А500С</t>
        </is>
      </c>
      <c r="J782" s="72" t="inlineStr">
        <is>
          <t>—</t>
        </is>
      </c>
      <c r="K782" s="75" t="n">
        <v>1</v>
      </c>
      <c r="L782" s="51" t="n">
        <v>2</v>
      </c>
      <c r="M782" s="69" t="n">
        <v>25.795</v>
      </c>
      <c r="N782" s="70">
        <f>K782*L782*M782</f>
        <v/>
      </c>
      <c r="O782" s="37">
        <f>IFERROR(INDEX(Исходные!$B$19:$B$31,MATCH(H782,Исходные!$A$19:$A$31,0)),0)</f>
        <v/>
      </c>
      <c r="P782" s="76">
        <f>N782*O782</f>
        <v/>
      </c>
      <c r="Q782" s="21" t="inlineStr">
        <is>
          <t>АС-55 сеч.6-6 поз.8; край 420 по АС-48</t>
        </is>
      </c>
      <c r="R782" s="77" t="inlineStr">
        <is>
          <t>по геометрии чертежа</t>
        </is>
      </c>
      <c r="S782" s="21" t="inlineStr"/>
      <c r="T782" s="21" t="inlineStr">
        <is>
          <t>Ригели, балки, плита, С-1</t>
        </is>
      </c>
      <c r="U782" s="49" t="n">
        <v>0</v>
      </c>
      <c r="V782" s="72" t="inlineStr">
        <is>
          <t>П-край</t>
        </is>
      </c>
      <c r="W782" s="49" t="n">
        <v>2</v>
      </c>
    </row>
    <row r="783">
      <c r="A783" s="72" t="n">
        <v>766</v>
      </c>
      <c r="B783" s="21" t="inlineStr">
        <is>
          <t>2 этаж (отм. +3.950…+7.550)</t>
        </is>
      </c>
      <c r="C783" s="21" t="inlineStr">
        <is>
          <t>Плита перекрытия</t>
        </is>
      </c>
      <c r="D783" s="21" t="inlineStr">
        <is>
          <t>край по оси Г и оси 5</t>
        </is>
      </c>
      <c r="E783" s="21" t="inlineStr">
        <is>
          <t>ПМ-7.550</t>
        </is>
      </c>
      <c r="F783" s="72" t="inlineStr">
        <is>
          <t>8-нахл</t>
        </is>
      </c>
      <c r="G783" s="21" t="inlineStr">
        <is>
          <t>Нахлёсты стыков к поз. «Торцевой стержень края плиты (сеч.6-6) 2Ø14, по оси Г» (L=25.795 м &gt; 11,7 м): 3 куска, 2 стык(а) на стержень × 2 стерж.</t>
        </is>
      </c>
      <c r="H783" s="51" t="n">
        <v>14</v>
      </c>
      <c r="I783" s="72" t="inlineStr">
        <is>
          <t>А500С</t>
        </is>
      </c>
      <c r="J783" s="72" t="inlineStr">
        <is>
          <t>—</t>
        </is>
      </c>
      <c r="K783" s="75" t="n">
        <v>2</v>
      </c>
      <c r="L783" s="51" t="n">
        <v>2</v>
      </c>
      <c r="M783" s="69" t="n">
        <v>0.5600000000000001</v>
      </c>
      <c r="N783" s="70">
        <f>K783*L783*M783</f>
        <v/>
      </c>
      <c r="O783" s="37">
        <f>IFERROR(INDEX(Исходные!$B$19:$B$31,MATCH(H783,Исходные!$A$19:$A$31,0)),0)</f>
        <v/>
      </c>
      <c r="P783" s="76">
        <f>N783*O783</f>
        <v/>
      </c>
      <c r="Q783" s="21" t="inlineStr">
        <is>
          <t>АС-58 «Деталь стыка арматуры армирования плиты»: нахлёст 560 мм для Ø14</t>
        </is>
      </c>
      <c r="R783" s="77" t="inlineStr">
        <is>
          <t>по проекту (стыковка прутков 11,7 м)</t>
        </is>
      </c>
      <c r="S783" s="21" t="inlineStr">
        <is>
          <t>Чистая длина 25.795 м; кусков 3; стыков 2; Lнахл=2×0.560=1.12 м на стержень</t>
        </is>
      </c>
      <c r="T783" s="21" t="inlineStr">
        <is>
          <t>Ригели, балки, плита, С-1</t>
        </is>
      </c>
      <c r="U783" s="49" t="n">
        <v>0</v>
      </c>
      <c r="V783" s="72" t="inlineStr">
        <is>
          <t>П-край</t>
        </is>
      </c>
      <c r="W783" s="49" t="n">
        <v>2</v>
      </c>
    </row>
    <row r="784">
      <c r="A784" s="72" t="n">
        <v>767</v>
      </c>
      <c r="B784" s="21" t="inlineStr">
        <is>
          <t>2 этаж (отм. +3.950…+7.550)</t>
        </is>
      </c>
      <c r="C784" s="21" t="inlineStr">
        <is>
          <t>Плита перекрытия</t>
        </is>
      </c>
      <c r="D784" s="21" t="inlineStr">
        <is>
          <t>край по оси Г и оси 5</t>
        </is>
      </c>
      <c r="E784" s="21" t="inlineStr">
        <is>
          <t>ПМ-7.550</t>
        </is>
      </c>
      <c r="F784" s="72" t="inlineStr">
        <is>
          <t>8</t>
        </is>
      </c>
      <c r="G784" s="21" t="inlineStr">
        <is>
          <t>Торцевой стержень края плиты (сеч.6-6) 2Ø14, по оси 5</t>
        </is>
      </c>
      <c r="H784" s="51" t="n">
        <v>14</v>
      </c>
      <c r="I784" s="72" t="inlineStr">
        <is>
          <t>А500С</t>
        </is>
      </c>
      <c r="J784" s="72" t="inlineStr">
        <is>
          <t>—</t>
        </is>
      </c>
      <c r="K784" s="75" t="n">
        <v>1</v>
      </c>
      <c r="L784" s="51" t="n">
        <v>2</v>
      </c>
      <c r="M784" s="69" t="n">
        <v>20.495</v>
      </c>
      <c r="N784" s="70">
        <f>K784*L784*M784</f>
        <v/>
      </c>
      <c r="O784" s="37">
        <f>IFERROR(INDEX(Исходные!$B$19:$B$31,MATCH(H784,Исходные!$A$19:$A$31,0)),0)</f>
        <v/>
      </c>
      <c r="P784" s="76">
        <f>N784*O784</f>
        <v/>
      </c>
      <c r="Q784" s="21" t="inlineStr">
        <is>
          <t>АС-55 сеч.6-6 поз.8</t>
        </is>
      </c>
      <c r="R784" s="77" t="inlineStr">
        <is>
          <t>по геометрии чертежа</t>
        </is>
      </c>
      <c r="S784" s="21" t="inlineStr"/>
      <c r="T784" s="21" t="inlineStr">
        <is>
          <t>Ригели, балки, плита, С-1</t>
        </is>
      </c>
      <c r="U784" s="49" t="n">
        <v>0</v>
      </c>
      <c r="V784" s="72" t="inlineStr">
        <is>
          <t>П-край</t>
        </is>
      </c>
      <c r="W784" s="49" t="n">
        <v>2</v>
      </c>
    </row>
    <row r="785">
      <c r="A785" s="72" t="n">
        <v>768</v>
      </c>
      <c r="B785" s="21" t="inlineStr">
        <is>
          <t>2 этаж (отм. +3.950…+7.550)</t>
        </is>
      </c>
      <c r="C785" s="21" t="inlineStr">
        <is>
          <t>Плита перекрытия</t>
        </is>
      </c>
      <c r="D785" s="21" t="inlineStr">
        <is>
          <t>край по оси Г и оси 5</t>
        </is>
      </c>
      <c r="E785" s="21" t="inlineStr">
        <is>
          <t>ПМ-7.550</t>
        </is>
      </c>
      <c r="F785" s="72" t="inlineStr">
        <is>
          <t>8-нахл</t>
        </is>
      </c>
      <c r="G785" s="21" t="inlineStr">
        <is>
          <t>Нахлёсты стыков к поз. «Торцевой стержень края плиты (сеч.6-6) 2Ø14, по оси 5» (L=20.495 м &gt; 11,7 м): 2 куска, 1 стык(а) на стержень × 2 стерж.</t>
        </is>
      </c>
      <c r="H785" s="51" t="n">
        <v>14</v>
      </c>
      <c r="I785" s="72" t="inlineStr">
        <is>
          <t>А500С</t>
        </is>
      </c>
      <c r="J785" s="72" t="inlineStr">
        <is>
          <t>—</t>
        </is>
      </c>
      <c r="K785" s="75" t="n">
        <v>2</v>
      </c>
      <c r="L785" s="51" t="n">
        <v>1</v>
      </c>
      <c r="M785" s="69" t="n">
        <v>0.5600000000000001</v>
      </c>
      <c r="N785" s="70">
        <f>K785*L785*M785</f>
        <v/>
      </c>
      <c r="O785" s="37">
        <f>IFERROR(INDEX(Исходные!$B$19:$B$31,MATCH(H785,Исходные!$A$19:$A$31,0)),0)</f>
        <v/>
      </c>
      <c r="P785" s="76">
        <f>N785*O785</f>
        <v/>
      </c>
      <c r="Q785" s="21" t="inlineStr">
        <is>
          <t>АС-58 «Деталь стыка арматуры армирования плиты»: нахлёст 560 мм для Ø14</t>
        </is>
      </c>
      <c r="R785" s="77" t="inlineStr">
        <is>
          <t>по проекту (стыковка прутков 11,7 м)</t>
        </is>
      </c>
      <c r="S785" s="21" t="inlineStr">
        <is>
          <t>Чистая длина 20.495 м; кусков 2; стыков 1; Lнахл=1×0.560=0.56 м на стержень</t>
        </is>
      </c>
      <c r="T785" s="21" t="inlineStr">
        <is>
          <t>Ригели, балки, плита, С-1</t>
        </is>
      </c>
      <c r="U785" s="49" t="n">
        <v>0</v>
      </c>
      <c r="V785" s="72" t="inlineStr">
        <is>
          <t>П-край</t>
        </is>
      </c>
      <c r="W785" s="49" t="n">
        <v>2</v>
      </c>
    </row>
    <row r="786">
      <c r="A786" s="72" t="n">
        <v>769</v>
      </c>
      <c r="B786" s="21" t="inlineStr">
        <is>
          <t>2 этаж (отм. +3.950…+7.550)</t>
        </is>
      </c>
      <c r="C786" s="21" t="inlineStr">
        <is>
          <t>Плита перекрытия</t>
        </is>
      </c>
      <c r="D786" s="21" t="inlineStr">
        <is>
          <t>край по оси Г и оси 5</t>
        </is>
      </c>
      <c r="E786" s="21" t="inlineStr">
        <is>
          <t>ПМ-7.550</t>
        </is>
      </c>
      <c r="F786" s="72" t="inlineStr">
        <is>
          <t>14</t>
        </is>
      </c>
      <c r="G786" s="21" t="inlineStr">
        <is>
          <t>Пешка (П-образная) края плиты ш.400: 119 шт</t>
        </is>
      </c>
      <c r="H786" s="51" t="n">
        <v>10</v>
      </c>
      <c r="I786" s="72" t="inlineStr">
        <is>
          <t>А240</t>
        </is>
      </c>
      <c r="J786" s="72" t="n">
        <v>400</v>
      </c>
      <c r="K786" s="75" t="n">
        <v>1</v>
      </c>
      <c r="L786" s="51" t="n">
        <v>119</v>
      </c>
      <c r="M786" s="69" t="n">
        <v>0.7</v>
      </c>
      <c r="N786" s="70">
        <f>K786*L786*M786</f>
        <v/>
      </c>
      <c r="O786" s="37">
        <f>IFERROR(INDEX(Исходные!$B$19:$B$31,MATCH(H786,Исходные!$A$19:$A$31,0)),0)</f>
        <v/>
      </c>
      <c r="P786" s="76">
        <f>N786*O786</f>
        <v/>
      </c>
      <c r="Q786" s="21" t="inlineStr">
        <is>
          <t>АС-55 сеч.6-6 поз.14; АС-58 поз.14 L=700</t>
        </is>
      </c>
      <c r="R786" s="77" t="inlineStr">
        <is>
          <t>по проекту</t>
        </is>
      </c>
      <c r="S786" s="21" t="inlineStr"/>
      <c r="T786" s="21" t="inlineStr">
        <is>
          <t>Ригели, балки, плита, С-1</t>
        </is>
      </c>
      <c r="U786" s="49" t="n">
        <v>0</v>
      </c>
      <c r="V786" s="72" t="inlineStr">
        <is>
          <t>П-край</t>
        </is>
      </c>
      <c r="W786" s="49" t="n">
        <v>2</v>
      </c>
    </row>
    <row r="787">
      <c r="A787" s="72" t="n">
        <v>770</v>
      </c>
      <c r="B787" s="21" t="inlineStr">
        <is>
          <t>2 этаж (отм. +3.950…+7.550)</t>
        </is>
      </c>
      <c r="C787" s="21" t="inlineStr">
        <is>
          <t>Плита перекрытия</t>
        </is>
      </c>
      <c r="D787" s="21" t="inlineStr">
        <is>
          <t>вся плита</t>
        </is>
      </c>
      <c r="E787" s="21" t="inlineStr">
        <is>
          <t>Ф-1</t>
        </is>
      </c>
      <c r="F787" s="72" t="inlineStr">
        <is>
          <t>Ф-1</t>
        </is>
      </c>
      <c r="G787" s="21" t="inlineStr">
        <is>
          <t>Фиксатор верхней сетки Ø10 ш.800×800 шахм.: 541.5 м² / 0,64 = 847 шт</t>
        </is>
      </c>
      <c r="H787" s="51" t="n">
        <v>10</v>
      </c>
      <c r="I787" s="72" t="inlineStr">
        <is>
          <t>А240</t>
        </is>
      </c>
      <c r="J787" s="72" t="inlineStr">
        <is>
          <t>800×800</t>
        </is>
      </c>
      <c r="K787" s="75" t="n">
        <v>1</v>
      </c>
      <c r="L787" s="51" t="n">
        <v>847</v>
      </c>
      <c r="M787" s="69" t="n">
        <v>0.42</v>
      </c>
      <c r="N787" s="70">
        <f>K787*L787*M787</f>
        <v/>
      </c>
      <c r="O787" s="37">
        <f>IFERROR(INDEX(Исходные!$B$19:$B$31,MATCH(H787,Исходные!$A$19:$A$31,0)),0)</f>
        <v/>
      </c>
      <c r="P787" s="76">
        <f>N787*O787</f>
        <v/>
      </c>
      <c r="Q787" s="21" t="inlineStr">
        <is>
          <t>АС-55 «Фиксатор»</t>
        </is>
      </c>
      <c r="R787" s="79" t="inlineStr">
        <is>
          <t>ДЛИНА ПРИНЯТА (уточнить)</t>
        </is>
      </c>
      <c r="S787" s="21" t="inlineStr"/>
      <c r="T787" s="21" t="inlineStr">
        <is>
          <t>Ригели, балки, плита, С-1</t>
        </is>
      </c>
      <c r="U787" s="49" t="n">
        <v>1</v>
      </c>
      <c r="V787" s="72" t="inlineStr">
        <is>
          <t>П-фикс</t>
        </is>
      </c>
      <c r="W787" s="49" t="n">
        <v>2</v>
      </c>
    </row>
    <row r="788">
      <c r="A788" s="72" t="n">
        <v>771</v>
      </c>
      <c r="B788" s="21" t="inlineStr">
        <is>
          <t>2 этаж (отм. +3.950…+7.550)</t>
        </is>
      </c>
      <c r="C788" s="21" t="inlineStr">
        <is>
          <t>Плита перекрытия</t>
        </is>
      </c>
      <c r="D788" s="21" t="inlineStr">
        <is>
          <t>вся плита</t>
        </is>
      </c>
      <c r="E788" s="21" t="inlineStr">
        <is>
          <t>шп</t>
        </is>
      </c>
      <c r="F788" s="72" t="inlineStr">
        <is>
          <t>шп</t>
        </is>
      </c>
      <c r="G788" s="21" t="inlineStr">
        <is>
          <t>Шпилька Ø8 ш.800 шахм. между сетками: 847 шт</t>
        </is>
      </c>
      <c r="H788" s="51" t="n">
        <v>8</v>
      </c>
      <c r="I788" s="72" t="inlineStr">
        <is>
          <t>А240</t>
        </is>
      </c>
      <c r="J788" s="72" t="inlineStr">
        <is>
          <t>800</t>
        </is>
      </c>
      <c r="K788" s="75" t="n">
        <v>1</v>
      </c>
      <c r="L788" s="51" t="n">
        <v>847</v>
      </c>
      <c r="M788" s="69" t="n">
        <v>0.22</v>
      </c>
      <c r="N788" s="70">
        <f>K788*L788*M788</f>
        <v/>
      </c>
      <c r="O788" s="37">
        <f>IFERROR(INDEX(Исходные!$B$19:$B$31,MATCH(H788,Исходные!$A$19:$A$31,0)),0)</f>
        <v/>
      </c>
      <c r="P788" s="76">
        <f>N788*O788</f>
        <v/>
      </c>
      <c r="Q788" s="21" t="inlineStr">
        <is>
          <t>АС-55 «Фрагмент армирования перекрытия»</t>
        </is>
      </c>
      <c r="R788" s="79" t="inlineStr">
        <is>
          <t>ДЛИНА ПРИНЯТА (уточнить)</t>
        </is>
      </c>
      <c r="S788" s="21" t="inlineStr"/>
      <c r="T788" s="21" t="inlineStr">
        <is>
          <t>Ригели, балки, плита, С-1</t>
        </is>
      </c>
      <c r="U788" s="49" t="n">
        <v>1</v>
      </c>
      <c r="V788" s="72" t="inlineStr">
        <is>
          <t>П-фикс</t>
        </is>
      </c>
      <c r="W788" s="49" t="n">
        <v>2</v>
      </c>
    </row>
    <row r="789">
      <c r="A789" s="74" t="inlineStr">
        <is>
          <t>2.5. БАЛКИ МОНОЛИТНОЙ ПЛИТЫ (сеч. 1-1…5-5) — отм. +7.550</t>
        </is>
      </c>
      <c r="B789" s="33" t="n"/>
      <c r="C789" s="33" t="n"/>
      <c r="D789" s="33" t="n"/>
      <c r="E789" s="33" t="n"/>
      <c r="F789" s="33" t="n"/>
      <c r="G789" s="33" t="n"/>
      <c r="H789" s="33" t="n"/>
      <c r="I789" s="33" t="n"/>
      <c r="J789" s="33" t="n"/>
      <c r="K789" s="33" t="n"/>
      <c r="L789" s="33" t="n"/>
      <c r="M789" s="33" t="n"/>
      <c r="N789" s="33" t="n"/>
      <c r="O789" s="33" t="n"/>
      <c r="P789" s="33" t="n"/>
      <c r="Q789" s="33" t="n"/>
      <c r="R789" s="33" t="n"/>
      <c r="S789" s="33" t="n"/>
      <c r="T789" s="33" t="n"/>
      <c r="U789" s="33" t="n"/>
      <c r="V789" s="33" t="n"/>
      <c r="W789" s="34" t="n"/>
    </row>
    <row r="790">
      <c r="A790" s="72" t="n">
        <v>772</v>
      </c>
      <c r="B790" s="21" t="inlineStr">
        <is>
          <t>2 этаж (отм. +3.950…+7.550)</t>
        </is>
      </c>
      <c r="C790" s="21" t="inlineStr">
        <is>
          <t>Плита перекрытия — балки</t>
        </is>
      </c>
      <c r="D790" s="21" t="inlineStr">
        <is>
          <t>ось ~3250, А–Г</t>
        </is>
      </c>
      <c r="E790" s="21" t="inlineStr">
        <is>
          <t>Б-1 (1-1)</t>
        </is>
      </c>
      <c r="F790" s="72" t="inlineStr">
        <is>
          <t>3</t>
        </is>
      </c>
      <c r="G790" s="21" t="inlineStr">
        <is>
          <t>Балка VB1: продольные 2Ø25 верх + 2Ø25 низ</t>
        </is>
      </c>
      <c r="H790" s="51" t="n">
        <v>25</v>
      </c>
      <c r="I790" s="72" t="inlineStr">
        <is>
          <t>А500С</t>
        </is>
      </c>
      <c r="J790" s="72" t="inlineStr">
        <is>
          <t>—</t>
        </is>
      </c>
      <c r="K790" s="75" t="n">
        <v>1</v>
      </c>
      <c r="L790" s="51" t="n">
        <v>4</v>
      </c>
      <c r="M790" s="69" t="n">
        <v>20.4</v>
      </c>
      <c r="N790" s="70">
        <f>K790*L790*M790</f>
        <v/>
      </c>
      <c r="O790" s="37">
        <f>IFERROR(INDEX(Исходные!$B$19:$B$31,MATCH(H790,Исходные!$A$19:$A$31,0)),0)</f>
        <v/>
      </c>
      <c r="P790" s="76">
        <f>N790*O790</f>
        <v/>
      </c>
      <c r="Q790" s="21" t="inlineStr">
        <is>
          <t>АС-55 сеч.1-1; АС-48 план 7.550; АС-57 узлы «1»,«2»</t>
        </is>
      </c>
      <c r="R790" s="77" t="inlineStr">
        <is>
          <t>по геометрии чертежа</t>
        </is>
      </c>
      <c r="S790" s="21" t="inlineStr">
        <is>
          <t>Стыки ванной сваркой без нахлёста: 1 на стержень (всего 4).</t>
        </is>
      </c>
      <c r="T790" s="21" t="inlineStr">
        <is>
          <t>Ригели, балки, плита, С-1</t>
        </is>
      </c>
      <c r="U790" s="49" t="n">
        <v>0</v>
      </c>
      <c r="V790" s="72" t="inlineStr">
        <is>
          <t>Б-основная</t>
        </is>
      </c>
      <c r="W790" s="49" t="n">
        <v>2</v>
      </c>
    </row>
    <row r="791">
      <c r="A791" s="72" t="n">
        <v>773</v>
      </c>
      <c r="B791" s="21" t="inlineStr">
        <is>
          <t>2 этаж (отм. +3.950…+7.550)</t>
        </is>
      </c>
      <c r="C791" s="21" t="inlineStr">
        <is>
          <t>Плита перекрытия — балки</t>
        </is>
      </c>
      <c r="D791" s="21" t="inlineStr">
        <is>
          <t>ось ~9800, А–Г</t>
        </is>
      </c>
      <c r="E791" s="21" t="inlineStr">
        <is>
          <t>Б-1 (1-1)</t>
        </is>
      </c>
      <c r="F791" s="72" t="inlineStr">
        <is>
          <t>3</t>
        </is>
      </c>
      <c r="G791" s="21" t="inlineStr">
        <is>
          <t>Балка VB2: продольные 2Ø25 верх + 2Ø25 низ</t>
        </is>
      </c>
      <c r="H791" s="51" t="n">
        <v>25</v>
      </c>
      <c r="I791" s="72" t="inlineStr">
        <is>
          <t>А500С</t>
        </is>
      </c>
      <c r="J791" s="72" t="inlineStr">
        <is>
          <t>—</t>
        </is>
      </c>
      <c r="K791" s="75" t="n">
        <v>1</v>
      </c>
      <c r="L791" s="51" t="n">
        <v>4</v>
      </c>
      <c r="M791" s="69" t="n">
        <v>20.4</v>
      </c>
      <c r="N791" s="70">
        <f>K791*L791*M791</f>
        <v/>
      </c>
      <c r="O791" s="37">
        <f>IFERROR(INDEX(Исходные!$B$19:$B$31,MATCH(H791,Исходные!$A$19:$A$31,0)),0)</f>
        <v/>
      </c>
      <c r="P791" s="76">
        <f>N791*O791</f>
        <v/>
      </c>
      <c r="Q791" s="21" t="inlineStr">
        <is>
          <t>АС-55 сеч.1-1; АС-48 план 7.550; АС-57 узлы «1»,«2»</t>
        </is>
      </c>
      <c r="R791" s="77" t="inlineStr">
        <is>
          <t>по геометрии чертежа</t>
        </is>
      </c>
      <c r="S791" s="21" t="inlineStr">
        <is>
          <t>Стыки ванной сваркой без нахлёста: 1 на стержень (всего 4).</t>
        </is>
      </c>
      <c r="T791" s="21" t="inlineStr">
        <is>
          <t>Ригели, балки, плита, С-1</t>
        </is>
      </c>
      <c r="U791" s="49" t="n">
        <v>0</v>
      </c>
      <c r="V791" s="72" t="inlineStr">
        <is>
          <t>Б-основная</t>
        </is>
      </c>
      <c r="W791" s="49" t="n">
        <v>2</v>
      </c>
    </row>
    <row r="792">
      <c r="A792" s="72" t="n">
        <v>774</v>
      </c>
      <c r="B792" s="21" t="inlineStr">
        <is>
          <t>2 этаж (отм. +3.950…+7.550)</t>
        </is>
      </c>
      <c r="C792" s="21" t="inlineStr">
        <is>
          <t>Плита перекрытия — балки</t>
        </is>
      </c>
      <c r="D792" s="21" t="inlineStr">
        <is>
          <t>ось ~17275, А–В</t>
        </is>
      </c>
      <c r="E792" s="21" t="inlineStr">
        <is>
          <t>Б-1 (1-1)</t>
        </is>
      </c>
      <c r="F792" s="72" t="inlineStr">
        <is>
          <t>3</t>
        </is>
      </c>
      <c r="G792" s="21" t="inlineStr">
        <is>
          <t>Балка VB3: продольные 2Ø25 верх + 2Ø25 низ</t>
        </is>
      </c>
      <c r="H792" s="51" t="n">
        <v>25</v>
      </c>
      <c r="I792" s="72" t="inlineStr">
        <is>
          <t>А500С</t>
        </is>
      </c>
      <c r="J792" s="72" t="inlineStr">
        <is>
          <t>—</t>
        </is>
      </c>
      <c r="K792" s="75" t="n">
        <v>1</v>
      </c>
      <c r="L792" s="51" t="n">
        <v>4</v>
      </c>
      <c r="M792" s="69" t="n">
        <v>13.9</v>
      </c>
      <c r="N792" s="70">
        <f>K792*L792*M792</f>
        <v/>
      </c>
      <c r="O792" s="37">
        <f>IFERROR(INDEX(Исходные!$B$19:$B$31,MATCH(H792,Исходные!$A$19:$A$31,0)),0)</f>
        <v/>
      </c>
      <c r="P792" s="76">
        <f>N792*O792</f>
        <v/>
      </c>
      <c r="Q792" s="21" t="inlineStr">
        <is>
          <t>АС-55 сеч.1-1; АС-48 план 7.550; АС-57 узлы «1»,«2»</t>
        </is>
      </c>
      <c r="R792" s="77" t="inlineStr">
        <is>
          <t>по геометрии чертежа</t>
        </is>
      </c>
      <c r="S792" s="21" t="inlineStr">
        <is>
          <t>Стыки ванной сваркой без нахлёста: 1 на стержень (всего 4).</t>
        </is>
      </c>
      <c r="T792" s="21" t="inlineStr">
        <is>
          <t>Ригели, балки, плита, С-1</t>
        </is>
      </c>
      <c r="U792" s="49" t="n">
        <v>0</v>
      </c>
      <c r="V792" s="72" t="inlineStr">
        <is>
          <t>Б-основная</t>
        </is>
      </c>
      <c r="W792" s="49" t="n">
        <v>2</v>
      </c>
    </row>
    <row r="793">
      <c r="A793" s="72" t="n">
        <v>775</v>
      </c>
      <c r="B793" s="21" t="inlineStr">
        <is>
          <t>2 этаж (отм. +3.950…+7.550)</t>
        </is>
      </c>
      <c r="C793" s="21" t="inlineStr">
        <is>
          <t>Плита перекрытия — балки</t>
        </is>
      </c>
      <c r="D793" s="21" t="inlineStr">
        <is>
          <t>ось ~22000, А–Г</t>
        </is>
      </c>
      <c r="E793" s="21" t="inlineStr">
        <is>
          <t>Б-1 (1-1)</t>
        </is>
      </c>
      <c r="F793" s="72" t="inlineStr">
        <is>
          <t>3</t>
        </is>
      </c>
      <c r="G793" s="21" t="inlineStr">
        <is>
          <t>Балка VB4: продольные 2Ø25 верх + 2Ø25 низ</t>
        </is>
      </c>
      <c r="H793" s="51" t="n">
        <v>25</v>
      </c>
      <c r="I793" s="72" t="inlineStr">
        <is>
          <t>А500С</t>
        </is>
      </c>
      <c r="J793" s="72" t="inlineStr">
        <is>
          <t>—</t>
        </is>
      </c>
      <c r="K793" s="75" t="n">
        <v>1</v>
      </c>
      <c r="L793" s="51" t="n">
        <v>4</v>
      </c>
      <c r="M793" s="69" t="n">
        <v>20.4</v>
      </c>
      <c r="N793" s="70">
        <f>K793*L793*M793</f>
        <v/>
      </c>
      <c r="O793" s="37">
        <f>IFERROR(INDEX(Исходные!$B$19:$B$31,MATCH(H793,Исходные!$A$19:$A$31,0)),0)</f>
        <v/>
      </c>
      <c r="P793" s="76">
        <f>N793*O793</f>
        <v/>
      </c>
      <c r="Q793" s="21" t="inlineStr">
        <is>
          <t>АС-55 сеч.1-1; АС-48 план 7.550; АС-57 узлы «1»,«2»</t>
        </is>
      </c>
      <c r="R793" s="77" t="inlineStr">
        <is>
          <t>по геометрии чертежа</t>
        </is>
      </c>
      <c r="S793" s="21" t="inlineStr">
        <is>
          <t>Стыки ванной сваркой без нахлёста: 1 на стержень (всего 4).</t>
        </is>
      </c>
      <c r="T793" s="21" t="inlineStr">
        <is>
          <t>Ригели, балки, плита, С-1</t>
        </is>
      </c>
      <c r="U793" s="49" t="n">
        <v>0</v>
      </c>
      <c r="V793" s="72" t="inlineStr">
        <is>
          <t>Б-основная</t>
        </is>
      </c>
      <c r="W793" s="49" t="n">
        <v>2</v>
      </c>
    </row>
    <row r="794">
      <c r="A794" s="72" t="n">
        <v>776</v>
      </c>
      <c r="B794" s="21" t="inlineStr">
        <is>
          <t>2 этаж (отм. +3.950…+7.550)</t>
        </is>
      </c>
      <c r="C794" s="21" t="inlineStr">
        <is>
          <t>Плита перекрытия — балки</t>
        </is>
      </c>
      <c r="D794" s="21" t="inlineStr">
        <is>
          <t>Y≈3250, оси 1–5</t>
        </is>
      </c>
      <c r="E794" s="21" t="inlineStr">
        <is>
          <t>Б-1 (1-1)</t>
        </is>
      </c>
      <c r="F794" s="72" t="inlineStr">
        <is>
          <t>3</t>
        </is>
      </c>
      <c r="G794" s="21" t="inlineStr">
        <is>
          <t>Балка HB1: продольные 2Ø25 верх + 2Ø25 низ</t>
        </is>
      </c>
      <c r="H794" s="51" t="n">
        <v>25</v>
      </c>
      <c r="I794" s="72" t="inlineStr">
        <is>
          <t>А500С</t>
        </is>
      </c>
      <c r="J794" s="72" t="inlineStr">
        <is>
          <t>—</t>
        </is>
      </c>
      <c r="K794" s="75" t="n">
        <v>1</v>
      </c>
      <c r="L794" s="51" t="n">
        <v>4</v>
      </c>
      <c r="M794" s="69" t="n">
        <v>25.4</v>
      </c>
      <c r="N794" s="70">
        <f>K794*L794*M794</f>
        <v/>
      </c>
      <c r="O794" s="37">
        <f>IFERROR(INDEX(Исходные!$B$19:$B$31,MATCH(H794,Исходные!$A$19:$A$31,0)),0)</f>
        <v/>
      </c>
      <c r="P794" s="76">
        <f>N794*O794</f>
        <v/>
      </c>
      <c r="Q794" s="21" t="inlineStr">
        <is>
          <t>АС-55 сеч.1-1; АС-48 план 7.550; АС-57 узлы «1»,«2»</t>
        </is>
      </c>
      <c r="R794" s="77" t="inlineStr">
        <is>
          <t>по геометрии чертежа</t>
        </is>
      </c>
      <c r="S794" s="21" t="inlineStr">
        <is>
          <t>Стыки ванной сваркой без нахлёста: 2 на стержень (всего 8).</t>
        </is>
      </c>
      <c r="T794" s="21" t="inlineStr">
        <is>
          <t>Ригели, балки, плита, С-1</t>
        </is>
      </c>
      <c r="U794" s="49" t="n">
        <v>0</v>
      </c>
      <c r="V794" s="72" t="inlineStr">
        <is>
          <t>Б-основная</t>
        </is>
      </c>
      <c r="W794" s="49" t="n">
        <v>2</v>
      </c>
    </row>
    <row r="795">
      <c r="A795" s="72" t="n">
        <v>777</v>
      </c>
      <c r="B795" s="21" t="inlineStr">
        <is>
          <t>2 этаж (отм. +3.950…+7.550)</t>
        </is>
      </c>
      <c r="C795" s="21" t="inlineStr">
        <is>
          <t>Плита перекрытия — балки</t>
        </is>
      </c>
      <c r="D795" s="21" t="inlineStr">
        <is>
          <t>Y≈10000, оси 1–5</t>
        </is>
      </c>
      <c r="E795" s="21" t="inlineStr">
        <is>
          <t>Б-1 (1-1)</t>
        </is>
      </c>
      <c r="F795" s="72" t="inlineStr">
        <is>
          <t>3</t>
        </is>
      </c>
      <c r="G795" s="21" t="inlineStr">
        <is>
          <t>Балка HB2: продольные 2Ø25 верх + 2Ø25 низ</t>
        </is>
      </c>
      <c r="H795" s="51" t="n">
        <v>25</v>
      </c>
      <c r="I795" s="72" t="inlineStr">
        <is>
          <t>А500С</t>
        </is>
      </c>
      <c r="J795" s="72" t="inlineStr">
        <is>
          <t>—</t>
        </is>
      </c>
      <c r="K795" s="75" t="n">
        <v>1</v>
      </c>
      <c r="L795" s="51" t="n">
        <v>4</v>
      </c>
      <c r="M795" s="69" t="n">
        <v>25.4</v>
      </c>
      <c r="N795" s="70">
        <f>K795*L795*M795</f>
        <v/>
      </c>
      <c r="O795" s="37">
        <f>IFERROR(INDEX(Исходные!$B$19:$B$31,MATCH(H795,Исходные!$A$19:$A$31,0)),0)</f>
        <v/>
      </c>
      <c r="P795" s="76">
        <f>N795*O795</f>
        <v/>
      </c>
      <c r="Q795" s="21" t="inlineStr">
        <is>
          <t>АС-55 сеч.1-1; АС-48 план 7.550; АС-57 узлы «1»,«2»</t>
        </is>
      </c>
      <c r="R795" s="77" t="inlineStr">
        <is>
          <t>по геометрии чертежа</t>
        </is>
      </c>
      <c r="S795" s="21" t="inlineStr">
        <is>
          <t>Стыки ванной сваркой без нахлёста: 2 на стержень (всего 8).</t>
        </is>
      </c>
      <c r="T795" s="21" t="inlineStr">
        <is>
          <t>Ригели, балки, плита, С-1</t>
        </is>
      </c>
      <c r="U795" s="49" t="n">
        <v>0</v>
      </c>
      <c r="V795" s="72" t="inlineStr">
        <is>
          <t>Б-основная</t>
        </is>
      </c>
      <c r="W795" s="49" t="n">
        <v>2</v>
      </c>
    </row>
    <row r="796">
      <c r="A796" s="72" t="n">
        <v>778</v>
      </c>
      <c r="B796" s="21" t="inlineStr">
        <is>
          <t>2 этаж (отм. +3.950…+7.550)</t>
        </is>
      </c>
      <c r="C796" s="21" t="inlineStr">
        <is>
          <t>Плита перекрытия — балки</t>
        </is>
      </c>
      <c r="D796" s="21" t="inlineStr">
        <is>
          <t>Y≈16750, оси 1–3</t>
        </is>
      </c>
      <c r="E796" s="21" t="inlineStr">
        <is>
          <t>Б-1 (1-1)</t>
        </is>
      </c>
      <c r="F796" s="72" t="inlineStr">
        <is>
          <t>3</t>
        </is>
      </c>
      <c r="G796" s="21" t="inlineStr">
        <is>
          <t>Балка HB3a: продольные 2Ø25 верх + 2Ø25 низ</t>
        </is>
      </c>
      <c r="H796" s="51" t="n">
        <v>25</v>
      </c>
      <c r="I796" s="72" t="inlineStr">
        <is>
          <t>А500С</t>
        </is>
      </c>
      <c r="J796" s="72" t="inlineStr">
        <is>
          <t>—</t>
        </is>
      </c>
      <c r="K796" s="75" t="n">
        <v>1</v>
      </c>
      <c r="L796" s="51" t="n">
        <v>4</v>
      </c>
      <c r="M796" s="69" t="n">
        <v>13.9</v>
      </c>
      <c r="N796" s="70">
        <f>K796*L796*M796</f>
        <v/>
      </c>
      <c r="O796" s="37">
        <f>IFERROR(INDEX(Исходные!$B$19:$B$31,MATCH(H796,Исходные!$A$19:$A$31,0)),0)</f>
        <v/>
      </c>
      <c r="P796" s="76">
        <f>N796*O796</f>
        <v/>
      </c>
      <c r="Q796" s="21" t="inlineStr">
        <is>
          <t>АС-55 сеч.1-1; АС-48 план 7.550; АС-57 узлы «1»,«2»</t>
        </is>
      </c>
      <c r="R796" s="77" t="inlineStr">
        <is>
          <t>по геометрии чертежа</t>
        </is>
      </c>
      <c r="S796" s="21" t="inlineStr">
        <is>
          <t>Стыки ванной сваркой без нахлёста: 1 на стержень (всего 4).</t>
        </is>
      </c>
      <c r="T796" s="21" t="inlineStr">
        <is>
          <t>Ригели, балки, плита, С-1</t>
        </is>
      </c>
      <c r="U796" s="49" t="n">
        <v>0</v>
      </c>
      <c r="V796" s="72" t="inlineStr">
        <is>
          <t>Б-основная</t>
        </is>
      </c>
      <c r="W796" s="49" t="n">
        <v>2</v>
      </c>
    </row>
    <row r="797">
      <c r="A797" s="72" t="n">
        <v>779</v>
      </c>
      <c r="B797" s="21" t="inlineStr">
        <is>
          <t>2 этаж (отм. +3.950…+7.550)</t>
        </is>
      </c>
      <c r="C797" s="21" t="inlineStr">
        <is>
          <t>Плита перекрытия — балки</t>
        </is>
      </c>
      <c r="D797" s="21" t="inlineStr">
        <is>
          <t>Y≈16960, оси 3–5</t>
        </is>
      </c>
      <c r="E797" s="21" t="inlineStr">
        <is>
          <t>Б-5 (5-5)+Б-1</t>
        </is>
      </c>
      <c r="F797" s="72" t="inlineStr">
        <is>
          <t>3</t>
        </is>
      </c>
      <c r="G797" s="21" t="inlineStr">
        <is>
          <t>Балка HB3b: продольные 2Ø25 верх + 2Ø25 низ</t>
        </is>
      </c>
      <c r="H797" s="51" t="n">
        <v>25</v>
      </c>
      <c r="I797" s="72" t="inlineStr">
        <is>
          <t>А500С</t>
        </is>
      </c>
      <c r="J797" s="72" t="inlineStr">
        <is>
          <t>—</t>
        </is>
      </c>
      <c r="K797" s="75" t="n">
        <v>1</v>
      </c>
      <c r="L797" s="51" t="n">
        <v>4</v>
      </c>
      <c r="M797" s="69" t="n">
        <v>11.9</v>
      </c>
      <c r="N797" s="70">
        <f>K797*L797*M797</f>
        <v/>
      </c>
      <c r="O797" s="37">
        <f>IFERROR(INDEX(Исходные!$B$19:$B$31,MATCH(H797,Исходные!$A$19:$A$31,0)),0)</f>
        <v/>
      </c>
      <c r="P797" s="76">
        <f>N797*O797</f>
        <v/>
      </c>
      <c r="Q797" s="21" t="inlineStr">
        <is>
          <t>АС-55 сеч.5-5; АС-48 план 7.550; АС-57 узлы «1»,«2»</t>
        </is>
      </c>
      <c r="R797" s="77" t="inlineStr">
        <is>
          <t>по геометрии чертежа</t>
        </is>
      </c>
      <c r="S797" s="21" t="inlineStr">
        <is>
          <t>Стыки ванной сваркой без нахлёста: 1 на стержень (всего 4).</t>
        </is>
      </c>
      <c r="T797" s="21" t="inlineStr">
        <is>
          <t>Ригели, балки, плита, С-1</t>
        </is>
      </c>
      <c r="U797" s="49" t="n">
        <v>0</v>
      </c>
      <c r="V797" s="72" t="inlineStr">
        <is>
          <t>Б-основная</t>
        </is>
      </c>
      <c r="W797" s="49" t="n">
        <v>2</v>
      </c>
    </row>
    <row r="798">
      <c r="A798" s="72" t="n">
        <v>780</v>
      </c>
      <c r="B798" s="21" t="inlineStr">
        <is>
          <t>2 этаж (отм. +3.950…+7.550)</t>
        </is>
      </c>
      <c r="C798" s="21" t="inlineStr">
        <is>
          <t>Плита перекрытия — балки</t>
        </is>
      </c>
      <c r="D798" s="21" t="inlineStr">
        <is>
          <t>X≈17550, В–балка 5-5</t>
        </is>
      </c>
      <c r="E798" s="21" t="inlineStr">
        <is>
          <t>Б-2 (2-2)</t>
        </is>
      </c>
      <c r="F798" s="72" t="inlineStr">
        <is>
          <t>3</t>
        </is>
      </c>
      <c r="G798" s="21" t="inlineStr">
        <is>
          <t>Балка B2a: продольные 2Ø25 верх + 2Ø25 низ</t>
        </is>
      </c>
      <c r="H798" s="51" t="n">
        <v>25</v>
      </c>
      <c r="I798" s="72" t="inlineStr">
        <is>
          <t>А500С</t>
        </is>
      </c>
      <c r="J798" s="72" t="inlineStr">
        <is>
          <t>—</t>
        </is>
      </c>
      <c r="K798" s="75" t="n">
        <v>1</v>
      </c>
      <c r="L798" s="51" t="n">
        <v>4</v>
      </c>
      <c r="M798" s="69" t="n">
        <v>3.785</v>
      </c>
      <c r="N798" s="70">
        <f>K798*L798*M798</f>
        <v/>
      </c>
      <c r="O798" s="37">
        <f>IFERROR(INDEX(Исходные!$B$19:$B$31,MATCH(H798,Исходные!$A$19:$A$31,0)),0)</f>
        <v/>
      </c>
      <c r="P798" s="76">
        <f>N798*O798</f>
        <v/>
      </c>
      <c r="Q798" s="21" t="inlineStr">
        <is>
          <t>АС-55 сеч.2-2; АС-48 план 7.550; АС-57 узлы «1»,«2»</t>
        </is>
      </c>
      <c r="R798" s="77" t="inlineStr">
        <is>
          <t>по геометрии чертежа</t>
        </is>
      </c>
      <c r="S798" s="21" t="inlineStr"/>
      <c r="T798" s="21" t="inlineStr">
        <is>
          <t>Ригели, балки, плита, С-1</t>
        </is>
      </c>
      <c r="U798" s="49" t="n">
        <v>0</v>
      </c>
      <c r="V798" s="72" t="inlineStr">
        <is>
          <t>Б-основная</t>
        </is>
      </c>
      <c r="W798" s="49" t="n">
        <v>2</v>
      </c>
    </row>
    <row r="799">
      <c r="A799" s="72" t="n">
        <v>781</v>
      </c>
      <c r="B799" s="21" t="inlineStr">
        <is>
          <t>2 этаж (отм. +3.950…+7.550)</t>
        </is>
      </c>
      <c r="C799" s="21" t="inlineStr">
        <is>
          <t>Плита перекрытия — балки</t>
        </is>
      </c>
      <c r="D799" s="21" t="inlineStr">
        <is>
          <t>X≈18650, балка 5-5–Г</t>
        </is>
      </c>
      <c r="E799" s="21" t="inlineStr">
        <is>
          <t>Б-2 (2-2)</t>
        </is>
      </c>
      <c r="F799" s="72" t="inlineStr">
        <is>
          <t>3</t>
        </is>
      </c>
      <c r="G799" s="21" t="inlineStr">
        <is>
          <t>Балка B2b: продольные 2Ø25 верх + 2Ø25 низ</t>
        </is>
      </c>
      <c r="H799" s="51" t="n">
        <v>25</v>
      </c>
      <c r="I799" s="72" t="inlineStr">
        <is>
          <t>А500С</t>
        </is>
      </c>
      <c r="J799" s="72" t="inlineStr">
        <is>
          <t>—</t>
        </is>
      </c>
      <c r="K799" s="75" t="n">
        <v>1</v>
      </c>
      <c r="L799" s="51" t="n">
        <v>4</v>
      </c>
      <c r="M799" s="69" t="n">
        <v>3.365</v>
      </c>
      <c r="N799" s="70">
        <f>K799*L799*M799</f>
        <v/>
      </c>
      <c r="O799" s="37">
        <f>IFERROR(INDEX(Исходные!$B$19:$B$31,MATCH(H799,Исходные!$A$19:$A$31,0)),0)</f>
        <v/>
      </c>
      <c r="P799" s="76">
        <f>N799*O799</f>
        <v/>
      </c>
      <c r="Q799" s="21" t="inlineStr">
        <is>
          <t>АС-55 сеч.2-2; АС-48 план 7.550; АС-57 узлы «1»,«2»</t>
        </is>
      </c>
      <c r="R799" s="77" t="inlineStr">
        <is>
          <t>по геометрии чертежа</t>
        </is>
      </c>
      <c r="S799" s="21" t="inlineStr"/>
      <c r="T799" s="21" t="inlineStr">
        <is>
          <t>Ригели, балки, плита, С-1</t>
        </is>
      </c>
      <c r="U799" s="49" t="n">
        <v>0</v>
      </c>
      <c r="V799" s="72" t="inlineStr">
        <is>
          <t>Б-основная</t>
        </is>
      </c>
      <c r="W799" s="49" t="n">
        <v>2</v>
      </c>
    </row>
    <row r="800">
      <c r="A800" s="72" t="n">
        <v>782</v>
      </c>
      <c r="B800" s="21" t="inlineStr">
        <is>
          <t>2 этаж (отм. +3.950…+7.550)</t>
        </is>
      </c>
      <c r="C800" s="21" t="inlineStr">
        <is>
          <t>Плита перекрытия — балки</t>
        </is>
      </c>
      <c r="D800" s="21" t="inlineStr">
        <is>
          <t>Y≈14310, 14800…17400</t>
        </is>
      </c>
      <c r="E800" s="21" t="inlineStr">
        <is>
          <t>Б-4 (4-4)</t>
        </is>
      </c>
      <c r="F800" s="72" t="inlineStr">
        <is>
          <t>5</t>
        </is>
      </c>
      <c r="G800" s="21" t="inlineStr">
        <is>
          <t>Балка B4a: продольные 2Ø20 верх + 2Ø20 низ</t>
        </is>
      </c>
      <c r="H800" s="51" t="n">
        <v>20</v>
      </c>
      <c r="I800" s="72" t="inlineStr">
        <is>
          <t>А500С</t>
        </is>
      </c>
      <c r="J800" s="72" t="inlineStr">
        <is>
          <t>—</t>
        </is>
      </c>
      <c r="K800" s="75" t="n">
        <v>1</v>
      </c>
      <c r="L800" s="51" t="n">
        <v>4</v>
      </c>
      <c r="M800" s="69" t="n">
        <v>3.05</v>
      </c>
      <c r="N800" s="70">
        <f>K800*L800*M800</f>
        <v/>
      </c>
      <c r="O800" s="37">
        <f>IFERROR(INDEX(Исходные!$B$19:$B$31,MATCH(H800,Исходные!$A$19:$A$31,0)),0)</f>
        <v/>
      </c>
      <c r="P800" s="76">
        <f>N800*O800</f>
        <v/>
      </c>
      <c r="Q800" s="21" t="inlineStr">
        <is>
          <t>АС-55 сеч.4-4; АС-48 план 7.550; АС-57 узлы «1»,«2»</t>
        </is>
      </c>
      <c r="R800" s="77" t="inlineStr">
        <is>
          <t>по геометрии чертежа</t>
        </is>
      </c>
      <c r="S800" s="21" t="inlineStr"/>
      <c r="T800" s="21" t="inlineStr">
        <is>
          <t>Ригели, балки, плита, С-1</t>
        </is>
      </c>
      <c r="U800" s="49" t="n">
        <v>0</v>
      </c>
      <c r="V800" s="72" t="inlineStr">
        <is>
          <t>Б-основная</t>
        </is>
      </c>
      <c r="W800" s="49" t="n">
        <v>2</v>
      </c>
    </row>
    <row r="801">
      <c r="A801" s="72" t="n">
        <v>783</v>
      </c>
      <c r="B801" s="21" t="inlineStr">
        <is>
          <t>2 этаж (отм. +3.950…+7.550)</t>
        </is>
      </c>
      <c r="C801" s="21" t="inlineStr">
        <is>
          <t>Плита перекрытия — балки</t>
        </is>
      </c>
      <c r="D801" s="21" t="inlineStr">
        <is>
          <t>X≈14700, В–балка 5-5</t>
        </is>
      </c>
      <c r="E801" s="21" t="inlineStr">
        <is>
          <t>Б-4 (4-4)</t>
        </is>
      </c>
      <c r="F801" s="72" t="inlineStr">
        <is>
          <t>5</t>
        </is>
      </c>
      <c r="G801" s="21" t="inlineStr">
        <is>
          <t>Балка B4b: продольные 2Ø20 верх + 2Ø20 низ</t>
        </is>
      </c>
      <c r="H801" s="51" t="n">
        <v>20</v>
      </c>
      <c r="I801" s="72" t="inlineStr">
        <is>
          <t>А500С</t>
        </is>
      </c>
      <c r="J801" s="72" t="inlineStr">
        <is>
          <t>—</t>
        </is>
      </c>
      <c r="K801" s="75" t="n">
        <v>1</v>
      </c>
      <c r="L801" s="51" t="n">
        <v>4</v>
      </c>
      <c r="M801" s="69" t="n">
        <v>3.785</v>
      </c>
      <c r="N801" s="70">
        <f>K801*L801*M801</f>
        <v/>
      </c>
      <c r="O801" s="37">
        <f>IFERROR(INDEX(Исходные!$B$19:$B$31,MATCH(H801,Исходные!$A$19:$A$31,0)),0)</f>
        <v/>
      </c>
      <c r="P801" s="76">
        <f>N801*O801</f>
        <v/>
      </c>
      <c r="Q801" s="21" t="inlineStr">
        <is>
          <t>АС-55 сеч.4-4; АС-48 план 7.550; АС-57 узлы «1»,«2»</t>
        </is>
      </c>
      <c r="R801" s="77" t="inlineStr">
        <is>
          <t>по геометрии чертежа</t>
        </is>
      </c>
      <c r="S801" s="21" t="inlineStr"/>
      <c r="T801" s="21" t="inlineStr">
        <is>
          <t>Ригели, балки, плита, С-1</t>
        </is>
      </c>
      <c r="U801" s="49" t="n">
        <v>0</v>
      </c>
      <c r="V801" s="72" t="inlineStr">
        <is>
          <t>Б-основная</t>
        </is>
      </c>
      <c r="W801" s="49" t="n">
        <v>2</v>
      </c>
    </row>
    <row r="802">
      <c r="A802" s="72" t="n">
        <v>784</v>
      </c>
      <c r="B802" s="21" t="inlineStr">
        <is>
          <t>2 этаж (отм. +3.950…+7.550)</t>
        </is>
      </c>
      <c r="C802" s="21" t="inlineStr">
        <is>
          <t>Плита перекрытия — балки</t>
        </is>
      </c>
      <c r="D802" s="21" t="inlineStr">
        <is>
          <t>Y≈12965, 13725…17125</t>
        </is>
      </c>
      <c r="E802" s="21" t="inlineStr">
        <is>
          <t>Б-4 (4-4)</t>
        </is>
      </c>
      <c r="F802" s="72" t="inlineStr">
        <is>
          <t>5</t>
        </is>
      </c>
      <c r="G802" s="21" t="inlineStr">
        <is>
          <t>Балка B4c: продольные 2Ø20 верх + 2Ø20 низ</t>
        </is>
      </c>
      <c r="H802" s="51" t="n">
        <v>20</v>
      </c>
      <c r="I802" s="72" t="inlineStr">
        <is>
          <t>А500С</t>
        </is>
      </c>
      <c r="J802" s="72" t="inlineStr">
        <is>
          <t>—</t>
        </is>
      </c>
      <c r="K802" s="75" t="n">
        <v>1</v>
      </c>
      <c r="L802" s="51" t="n">
        <v>4</v>
      </c>
      <c r="M802" s="69" t="n">
        <v>4.1</v>
      </c>
      <c r="N802" s="70">
        <f>K802*L802*M802</f>
        <v/>
      </c>
      <c r="O802" s="37">
        <f>IFERROR(INDEX(Исходные!$B$19:$B$31,MATCH(H802,Исходные!$A$19:$A$31,0)),0)</f>
        <v/>
      </c>
      <c r="P802" s="76">
        <f>N802*O802</f>
        <v/>
      </c>
      <c r="Q802" s="21" t="inlineStr">
        <is>
          <t>АС-55 сеч.4-4; АС-48 план 7.550; АС-57 узлы «1»,«2»</t>
        </is>
      </c>
      <c r="R802" s="77" t="inlineStr">
        <is>
          <t>по геометрии чертежа</t>
        </is>
      </c>
      <c r="S802" s="21" t="inlineStr"/>
      <c r="T802" s="21" t="inlineStr">
        <is>
          <t>Ригели, балки, плита, С-1</t>
        </is>
      </c>
      <c r="U802" s="49" t="n">
        <v>0</v>
      </c>
      <c r="V802" s="72" t="inlineStr">
        <is>
          <t>Б-основная</t>
        </is>
      </c>
      <c r="W802" s="49" t="n">
        <v>2</v>
      </c>
    </row>
    <row r="803">
      <c r="A803" s="72" t="n">
        <v>785</v>
      </c>
      <c r="B803" s="21" t="inlineStr">
        <is>
          <t>2 этаж (отм. +3.950…+7.550)</t>
        </is>
      </c>
      <c r="C803" s="21" t="inlineStr">
        <is>
          <t>Плита перекрытия — балки</t>
        </is>
      </c>
      <c r="D803" s="21" t="inlineStr">
        <is>
          <t>Y≈8940, 22150…24775</t>
        </is>
      </c>
      <c r="E803" s="21" t="inlineStr">
        <is>
          <t>Б-4 (4-4)</t>
        </is>
      </c>
      <c r="F803" s="72" t="inlineStr">
        <is>
          <t>5</t>
        </is>
      </c>
      <c r="G803" s="21" t="inlineStr">
        <is>
          <t>Балка B4d: продольные 2Ø20 верх + 2Ø20 низ</t>
        </is>
      </c>
      <c r="H803" s="51" t="n">
        <v>20</v>
      </c>
      <c r="I803" s="72" t="inlineStr">
        <is>
          <t>А500С</t>
        </is>
      </c>
      <c r="J803" s="72" t="inlineStr">
        <is>
          <t>—</t>
        </is>
      </c>
      <c r="K803" s="75" t="n">
        <v>1</v>
      </c>
      <c r="L803" s="51" t="n">
        <v>4</v>
      </c>
      <c r="M803" s="69" t="n">
        <v>3.325</v>
      </c>
      <c r="N803" s="70">
        <f>K803*L803*M803</f>
        <v/>
      </c>
      <c r="O803" s="37">
        <f>IFERROR(INDEX(Исходные!$B$19:$B$31,MATCH(H803,Исходные!$A$19:$A$31,0)),0)</f>
        <v/>
      </c>
      <c r="P803" s="76">
        <f>N803*O803</f>
        <v/>
      </c>
      <c r="Q803" s="21" t="inlineStr">
        <is>
          <t>АС-55 сеч.4-4; АС-48 план 7.550; АС-57 узлы «1»,«2»</t>
        </is>
      </c>
      <c r="R803" s="77" t="inlineStr">
        <is>
          <t>по геометрии чертежа</t>
        </is>
      </c>
      <c r="S803" s="21" t="inlineStr"/>
      <c r="T803" s="21" t="inlineStr">
        <is>
          <t>Ригели, балки, плита, С-1</t>
        </is>
      </c>
      <c r="U803" s="49" t="n">
        <v>0</v>
      </c>
      <c r="V803" s="72" t="inlineStr">
        <is>
          <t>Б-основная</t>
        </is>
      </c>
      <c r="W803" s="49" t="n">
        <v>2</v>
      </c>
    </row>
    <row r="804">
      <c r="A804" s="72" t="n">
        <v>786</v>
      </c>
      <c r="B804" s="21" t="inlineStr">
        <is>
          <t>2 этаж (отм. +3.950…+7.550)</t>
        </is>
      </c>
      <c r="C804" s="21" t="inlineStr">
        <is>
          <t>Плита перекрытия — балки</t>
        </is>
      </c>
      <c r="D804" s="21" t="inlineStr">
        <is>
          <t>X≈5900, В–балка Y≈10000 (новая на 7.550)</t>
        </is>
      </c>
      <c r="E804" s="21" t="inlineStr">
        <is>
          <t>Б-4 (4-4)</t>
        </is>
      </c>
      <c r="F804" s="72" t="inlineStr">
        <is>
          <t>5</t>
        </is>
      </c>
      <c r="G804" s="21" t="inlineStr">
        <is>
          <t>Балка B4e: продольные 2Ø20 верх + 2Ø20 низ</t>
        </is>
      </c>
      <c r="H804" s="51" t="n">
        <v>20</v>
      </c>
      <c r="I804" s="72" t="inlineStr">
        <is>
          <t>А500С</t>
        </is>
      </c>
      <c r="J804" s="72" t="inlineStr">
        <is>
          <t>—</t>
        </is>
      </c>
      <c r="K804" s="75" t="n">
        <v>1</v>
      </c>
      <c r="L804" s="51" t="n">
        <v>4</v>
      </c>
      <c r="M804" s="69" t="n">
        <v>3.78</v>
      </c>
      <c r="N804" s="70">
        <f>K804*L804*M804</f>
        <v/>
      </c>
      <c r="O804" s="37">
        <f>IFERROR(INDEX(Исходные!$B$19:$B$31,MATCH(H804,Исходные!$A$19:$A$31,0)),0)</f>
        <v/>
      </c>
      <c r="P804" s="76">
        <f>N804*O804</f>
        <v/>
      </c>
      <c r="Q804" s="21" t="inlineStr">
        <is>
          <t>АС-55 сеч.4-4; АС-48 план 7.550; АС-57 узлы «1»,«2»</t>
        </is>
      </c>
      <c r="R804" s="77" t="inlineStr">
        <is>
          <t>по геометрии чертежа</t>
        </is>
      </c>
      <c r="S804" s="21" t="inlineStr"/>
      <c r="T804" s="21" t="inlineStr">
        <is>
          <t>Ригели, балки, плита, С-1</t>
        </is>
      </c>
      <c r="U804" s="49" t="n">
        <v>0</v>
      </c>
      <c r="V804" s="72" t="inlineStr">
        <is>
          <t>Б-основная</t>
        </is>
      </c>
      <c r="W804" s="49" t="n">
        <v>2</v>
      </c>
    </row>
    <row r="805">
      <c r="A805" s="72" t="n">
        <v>787</v>
      </c>
      <c r="B805" s="21" t="inlineStr">
        <is>
          <t>2 этаж (отм. +3.950…+7.550)</t>
        </is>
      </c>
      <c r="C805" s="21" t="inlineStr">
        <is>
          <t>Плита перекрытия — балки</t>
        </is>
      </c>
      <c r="D805" s="21" t="inlineStr">
        <is>
          <t>Э1 (эркер у оси 1, Г–В)</t>
        </is>
      </c>
      <c r="E805" s="21" t="inlineStr">
        <is>
          <t>Б-3 (3-3)</t>
        </is>
      </c>
      <c r="F805" s="72" t="inlineStr">
        <is>
          <t>4</t>
        </is>
      </c>
      <c r="G805" s="21" t="inlineStr">
        <is>
          <t>Краевая балка эркера, участок 1: 4Ø22 (2 верх + 2 низ)</t>
        </is>
      </c>
      <c r="H805" s="51" t="n">
        <v>22</v>
      </c>
      <c r="I805" s="72" t="inlineStr">
        <is>
          <t>А500С</t>
        </is>
      </c>
      <c r="J805" s="72" t="inlineStr">
        <is>
          <t>—</t>
        </is>
      </c>
      <c r="K805" s="75" t="n">
        <v>1</v>
      </c>
      <c r="L805" s="51" t="n">
        <v>4</v>
      </c>
      <c r="M805" s="69" t="n">
        <v>2.175</v>
      </c>
      <c r="N805" s="70">
        <f>K805*L805*M805</f>
        <v/>
      </c>
      <c r="O805" s="37">
        <f>IFERROR(INDEX(Исходные!$B$19:$B$31,MATCH(H805,Исходные!$A$19:$A$31,0)),0)</f>
        <v/>
      </c>
      <c r="P805" s="76">
        <f>N805*O805</f>
        <v/>
      </c>
      <c r="Q805" s="21" t="inlineStr">
        <is>
          <t>АС-55 сеч.3-3 поз.4; контур АС-48</t>
        </is>
      </c>
      <c r="R805" s="77" t="inlineStr">
        <is>
          <t>по геометрии чертежа</t>
        </is>
      </c>
      <c r="S805" s="21" t="inlineStr"/>
      <c r="T805" s="21" t="inlineStr">
        <is>
          <t>Ригели, балки, плита, С-1</t>
        </is>
      </c>
      <c r="U805" s="49" t="n">
        <v>0</v>
      </c>
      <c r="V805" s="72" t="inlineStr">
        <is>
          <t>Б-основная</t>
        </is>
      </c>
      <c r="W805" s="49" t="n">
        <v>2</v>
      </c>
    </row>
    <row r="806">
      <c r="A806" s="72" t="n">
        <v>788</v>
      </c>
      <c r="B806" s="21" t="inlineStr">
        <is>
          <t>2 этаж (отм. +3.950…+7.550)</t>
        </is>
      </c>
      <c r="C806" s="21" t="inlineStr">
        <is>
          <t>Плита перекрытия — балки</t>
        </is>
      </c>
      <c r="D806" s="21" t="inlineStr">
        <is>
          <t>Э1 (эркер у оси 1, Г–В)</t>
        </is>
      </c>
      <c r="E806" s="21" t="inlineStr">
        <is>
          <t>Б-3 (3-3)</t>
        </is>
      </c>
      <c r="F806" s="72" t="inlineStr">
        <is>
          <t>4</t>
        </is>
      </c>
      <c r="G806" s="21" t="inlineStr">
        <is>
          <t>Краевая балка эркера, участок 2: 4Ø22 (2 верх + 2 низ)</t>
        </is>
      </c>
      <c r="H806" s="51" t="n">
        <v>22</v>
      </c>
      <c r="I806" s="72" t="inlineStr">
        <is>
          <t>А500С</t>
        </is>
      </c>
      <c r="J806" s="72" t="inlineStr">
        <is>
          <t>—</t>
        </is>
      </c>
      <c r="K806" s="75" t="n">
        <v>1</v>
      </c>
      <c r="L806" s="51" t="n">
        <v>4</v>
      </c>
      <c r="M806" s="69" t="n">
        <v>4.15</v>
      </c>
      <c r="N806" s="70">
        <f>K806*L806*M806</f>
        <v/>
      </c>
      <c r="O806" s="37">
        <f>IFERROR(INDEX(Исходные!$B$19:$B$31,MATCH(H806,Исходные!$A$19:$A$31,0)),0)</f>
        <v/>
      </c>
      <c r="P806" s="76">
        <f>N806*O806</f>
        <v/>
      </c>
      <c r="Q806" s="21" t="inlineStr">
        <is>
          <t>АС-55 сеч.3-3 поз.4; контур АС-48</t>
        </is>
      </c>
      <c r="R806" s="77" t="inlineStr">
        <is>
          <t>по геометрии чертежа</t>
        </is>
      </c>
      <c r="S806" s="21" t="inlineStr"/>
      <c r="T806" s="21" t="inlineStr">
        <is>
          <t>Ригели, балки, плита, С-1</t>
        </is>
      </c>
      <c r="U806" s="49" t="n">
        <v>0</v>
      </c>
      <c r="V806" s="72" t="inlineStr">
        <is>
          <t>Б-основная</t>
        </is>
      </c>
      <c r="W806" s="49" t="n">
        <v>2</v>
      </c>
    </row>
    <row r="807">
      <c r="A807" s="72" t="n">
        <v>789</v>
      </c>
      <c r="B807" s="21" t="inlineStr">
        <is>
          <t>2 этаж (отм. +3.950…+7.550)</t>
        </is>
      </c>
      <c r="C807" s="21" t="inlineStr">
        <is>
          <t>Плита перекрытия — балки</t>
        </is>
      </c>
      <c r="D807" s="21" t="inlineStr">
        <is>
          <t>Э1 (эркер у оси 1, Г–В)</t>
        </is>
      </c>
      <c r="E807" s="21" t="inlineStr">
        <is>
          <t>Б-3 (3-3)</t>
        </is>
      </c>
      <c r="F807" s="72" t="inlineStr">
        <is>
          <t>4</t>
        </is>
      </c>
      <c r="G807" s="21" t="inlineStr">
        <is>
          <t>Краевая балка эркера, участок 3: 4Ø22 (2 верх + 2 низ)</t>
        </is>
      </c>
      <c r="H807" s="51" t="n">
        <v>22</v>
      </c>
      <c r="I807" s="72" t="inlineStr">
        <is>
          <t>А500С</t>
        </is>
      </c>
      <c r="J807" s="72" t="inlineStr">
        <is>
          <t>—</t>
        </is>
      </c>
      <c r="K807" s="75" t="n">
        <v>1</v>
      </c>
      <c r="L807" s="51" t="n">
        <v>4</v>
      </c>
      <c r="M807" s="69" t="n">
        <v>2.175</v>
      </c>
      <c r="N807" s="70">
        <f>K807*L807*M807</f>
        <v/>
      </c>
      <c r="O807" s="37">
        <f>IFERROR(INDEX(Исходные!$B$19:$B$31,MATCH(H807,Исходные!$A$19:$A$31,0)),0)</f>
        <v/>
      </c>
      <c r="P807" s="76">
        <f>N807*O807</f>
        <v/>
      </c>
      <c r="Q807" s="21" t="inlineStr">
        <is>
          <t>АС-55 сеч.3-3 поз.4; контур АС-48</t>
        </is>
      </c>
      <c r="R807" s="77" t="inlineStr">
        <is>
          <t>по геометрии чертежа</t>
        </is>
      </c>
      <c r="S807" s="21" t="inlineStr"/>
      <c r="T807" s="21" t="inlineStr">
        <is>
          <t>Ригели, балки, плита, С-1</t>
        </is>
      </c>
      <c r="U807" s="49" t="n">
        <v>0</v>
      </c>
      <c r="V807" s="72" t="inlineStr">
        <is>
          <t>Б-основная</t>
        </is>
      </c>
      <c r="W807" s="49" t="n">
        <v>2</v>
      </c>
    </row>
    <row r="808">
      <c r="A808" s="72" t="n">
        <v>790</v>
      </c>
      <c r="B808" s="21" t="inlineStr">
        <is>
          <t>2 этаж (отм. +3.950…+7.550)</t>
        </is>
      </c>
      <c r="C808" s="21" t="inlineStr">
        <is>
          <t>Плита перекрытия — балки</t>
        </is>
      </c>
      <c r="D808" s="21" t="inlineStr">
        <is>
          <t>Э2 (эркер у оси 1, В–Б)</t>
        </is>
      </c>
      <c r="E808" s="21" t="inlineStr">
        <is>
          <t>Б-3 (3-3)</t>
        </is>
      </c>
      <c r="F808" s="72" t="inlineStr">
        <is>
          <t>4</t>
        </is>
      </c>
      <c r="G808" s="21" t="inlineStr">
        <is>
          <t>Краевая балка эркера, участок 1: 4Ø22 (2 верх + 2 низ)</t>
        </is>
      </c>
      <c r="H808" s="51" t="n">
        <v>22</v>
      </c>
      <c r="I808" s="72" t="inlineStr">
        <is>
          <t>А500С</t>
        </is>
      </c>
      <c r="J808" s="72" t="inlineStr">
        <is>
          <t>—</t>
        </is>
      </c>
      <c r="K808" s="75" t="n">
        <v>1</v>
      </c>
      <c r="L808" s="51" t="n">
        <v>4</v>
      </c>
      <c r="M808" s="69" t="n">
        <v>2.175</v>
      </c>
      <c r="N808" s="70">
        <f>K808*L808*M808</f>
        <v/>
      </c>
      <c r="O808" s="37">
        <f>IFERROR(INDEX(Исходные!$B$19:$B$31,MATCH(H808,Исходные!$A$19:$A$31,0)),0)</f>
        <v/>
      </c>
      <c r="P808" s="76">
        <f>N808*O808</f>
        <v/>
      </c>
      <c r="Q808" s="21" t="inlineStr">
        <is>
          <t>АС-55 сеч.3-3 поз.4; контур АС-48</t>
        </is>
      </c>
      <c r="R808" s="77" t="inlineStr">
        <is>
          <t>по геометрии чертежа</t>
        </is>
      </c>
      <c r="S808" s="21" t="inlineStr"/>
      <c r="T808" s="21" t="inlineStr">
        <is>
          <t>Ригели, балки, плита, С-1</t>
        </is>
      </c>
      <c r="U808" s="49" t="n">
        <v>0</v>
      </c>
      <c r="V808" s="72" t="inlineStr">
        <is>
          <t>Б-основная</t>
        </is>
      </c>
      <c r="W808" s="49" t="n">
        <v>2</v>
      </c>
    </row>
    <row r="809">
      <c r="A809" s="72" t="n">
        <v>791</v>
      </c>
      <c r="B809" s="21" t="inlineStr">
        <is>
          <t>2 этаж (отм. +3.950…+7.550)</t>
        </is>
      </c>
      <c r="C809" s="21" t="inlineStr">
        <is>
          <t>Плита перекрытия — балки</t>
        </is>
      </c>
      <c r="D809" s="21" t="inlineStr">
        <is>
          <t>Э2 (эркер у оси 1, В–Б)</t>
        </is>
      </c>
      <c r="E809" s="21" t="inlineStr">
        <is>
          <t>Б-3 (3-3)</t>
        </is>
      </c>
      <c r="F809" s="72" t="inlineStr">
        <is>
          <t>4</t>
        </is>
      </c>
      <c r="G809" s="21" t="inlineStr">
        <is>
          <t>Краевая балка эркера, участок 2: 4Ø22 (2 верх + 2 низ)</t>
        </is>
      </c>
      <c r="H809" s="51" t="n">
        <v>22</v>
      </c>
      <c r="I809" s="72" t="inlineStr">
        <is>
          <t>А500С</t>
        </is>
      </c>
      <c r="J809" s="72" t="inlineStr">
        <is>
          <t>—</t>
        </is>
      </c>
      <c r="K809" s="75" t="n">
        <v>1</v>
      </c>
      <c r="L809" s="51" t="n">
        <v>4</v>
      </c>
      <c r="M809" s="69" t="n">
        <v>4.15</v>
      </c>
      <c r="N809" s="70">
        <f>K809*L809*M809</f>
        <v/>
      </c>
      <c r="O809" s="37">
        <f>IFERROR(INDEX(Исходные!$B$19:$B$31,MATCH(H809,Исходные!$A$19:$A$31,0)),0)</f>
        <v/>
      </c>
      <c r="P809" s="76">
        <f>N809*O809</f>
        <v/>
      </c>
      <c r="Q809" s="21" t="inlineStr">
        <is>
          <t>АС-55 сеч.3-3 поз.4; контур АС-48</t>
        </is>
      </c>
      <c r="R809" s="77" t="inlineStr">
        <is>
          <t>по геометрии чертежа</t>
        </is>
      </c>
      <c r="S809" s="21" t="inlineStr"/>
      <c r="T809" s="21" t="inlineStr">
        <is>
          <t>Ригели, балки, плита, С-1</t>
        </is>
      </c>
      <c r="U809" s="49" t="n">
        <v>0</v>
      </c>
      <c r="V809" s="72" t="inlineStr">
        <is>
          <t>Б-основная</t>
        </is>
      </c>
      <c r="W809" s="49" t="n">
        <v>2</v>
      </c>
    </row>
    <row r="810">
      <c r="A810" s="72" t="n">
        <v>792</v>
      </c>
      <c r="B810" s="21" t="inlineStr">
        <is>
          <t>2 этаж (отм. +3.950…+7.550)</t>
        </is>
      </c>
      <c r="C810" s="21" t="inlineStr">
        <is>
          <t>Плита перекрытия — балки</t>
        </is>
      </c>
      <c r="D810" s="21" t="inlineStr">
        <is>
          <t>Э2 (эркер у оси 1, В–Б)</t>
        </is>
      </c>
      <c r="E810" s="21" t="inlineStr">
        <is>
          <t>Б-3 (3-3)</t>
        </is>
      </c>
      <c r="F810" s="72" t="inlineStr">
        <is>
          <t>4</t>
        </is>
      </c>
      <c r="G810" s="21" t="inlineStr">
        <is>
          <t>Краевая балка эркера, участок 3: 4Ø22 (2 верх + 2 низ)</t>
        </is>
      </c>
      <c r="H810" s="51" t="n">
        <v>22</v>
      </c>
      <c r="I810" s="72" t="inlineStr">
        <is>
          <t>А500С</t>
        </is>
      </c>
      <c r="J810" s="72" t="inlineStr">
        <is>
          <t>—</t>
        </is>
      </c>
      <c r="K810" s="75" t="n">
        <v>1</v>
      </c>
      <c r="L810" s="51" t="n">
        <v>4</v>
      </c>
      <c r="M810" s="69" t="n">
        <v>2.175</v>
      </c>
      <c r="N810" s="70">
        <f>K810*L810*M810</f>
        <v/>
      </c>
      <c r="O810" s="37">
        <f>IFERROR(INDEX(Исходные!$B$19:$B$31,MATCH(H810,Исходные!$A$19:$A$31,0)),0)</f>
        <v/>
      </c>
      <c r="P810" s="76">
        <f>N810*O810</f>
        <v/>
      </c>
      <c r="Q810" s="21" t="inlineStr">
        <is>
          <t>АС-55 сеч.3-3 поз.4; контур АС-48</t>
        </is>
      </c>
      <c r="R810" s="77" t="inlineStr">
        <is>
          <t>по геометрии чертежа</t>
        </is>
      </c>
      <c r="S810" s="21" t="inlineStr"/>
      <c r="T810" s="21" t="inlineStr">
        <is>
          <t>Ригели, балки, плита, С-1</t>
        </is>
      </c>
      <c r="U810" s="49" t="n">
        <v>0</v>
      </c>
      <c r="V810" s="72" t="inlineStr">
        <is>
          <t>Б-основная</t>
        </is>
      </c>
      <c r="W810" s="49" t="n">
        <v>2</v>
      </c>
    </row>
    <row r="811">
      <c r="A811" s="72" t="n">
        <v>793</v>
      </c>
      <c r="B811" s="21" t="inlineStr">
        <is>
          <t>2 этаж (отм. +3.950…+7.550)</t>
        </is>
      </c>
      <c r="C811" s="21" t="inlineStr">
        <is>
          <t>Плита перекрытия — балки</t>
        </is>
      </c>
      <c r="D811" s="21" t="inlineStr">
        <is>
          <t>Э3 (эркер у оси А, 1–2)</t>
        </is>
      </c>
      <c r="E811" s="21" t="inlineStr">
        <is>
          <t>Б-3 (3-3)</t>
        </is>
      </c>
      <c r="F811" s="72" t="inlineStr">
        <is>
          <t>4</t>
        </is>
      </c>
      <c r="G811" s="21" t="inlineStr">
        <is>
          <t>Краевая балка эркера, участок 1: 4Ø22 (2 верх + 2 низ)</t>
        </is>
      </c>
      <c r="H811" s="51" t="n">
        <v>22</v>
      </c>
      <c r="I811" s="72" t="inlineStr">
        <is>
          <t>А500С</t>
        </is>
      </c>
      <c r="J811" s="72" t="inlineStr">
        <is>
          <t>—</t>
        </is>
      </c>
      <c r="K811" s="75" t="n">
        <v>1</v>
      </c>
      <c r="L811" s="51" t="n">
        <v>4</v>
      </c>
      <c r="M811" s="69" t="n">
        <v>2.15</v>
      </c>
      <c r="N811" s="70">
        <f>K811*L811*M811</f>
        <v/>
      </c>
      <c r="O811" s="37">
        <f>IFERROR(INDEX(Исходные!$B$19:$B$31,MATCH(H811,Исходные!$A$19:$A$31,0)),0)</f>
        <v/>
      </c>
      <c r="P811" s="76">
        <f>N811*O811</f>
        <v/>
      </c>
      <c r="Q811" s="21" t="inlineStr">
        <is>
          <t>АС-55 сеч.3-3 поз.4; контур АС-48</t>
        </is>
      </c>
      <c r="R811" s="77" t="inlineStr">
        <is>
          <t>по геометрии чертежа</t>
        </is>
      </c>
      <c r="S811" s="21" t="inlineStr"/>
      <c r="T811" s="21" t="inlineStr">
        <is>
          <t>Ригели, балки, плита, С-1</t>
        </is>
      </c>
      <c r="U811" s="49" t="n">
        <v>0</v>
      </c>
      <c r="V811" s="72" t="inlineStr">
        <is>
          <t>Б-основная</t>
        </is>
      </c>
      <c r="W811" s="49" t="n">
        <v>2</v>
      </c>
    </row>
    <row r="812">
      <c r="A812" s="72" t="n">
        <v>794</v>
      </c>
      <c r="B812" s="21" t="inlineStr">
        <is>
          <t>2 этаж (отм. +3.950…+7.550)</t>
        </is>
      </c>
      <c r="C812" s="21" t="inlineStr">
        <is>
          <t>Плита перекрытия — балки</t>
        </is>
      </c>
      <c r="D812" s="21" t="inlineStr">
        <is>
          <t>Э3 (эркер у оси А, 1–2)</t>
        </is>
      </c>
      <c r="E812" s="21" t="inlineStr">
        <is>
          <t>Б-3 (3-3)</t>
        </is>
      </c>
      <c r="F812" s="72" t="inlineStr">
        <is>
          <t>4</t>
        </is>
      </c>
      <c r="G812" s="21" t="inlineStr">
        <is>
          <t>Краевая балка эркера, участок 2: 4Ø22 (2 верх + 2 низ)</t>
        </is>
      </c>
      <c r="H812" s="51" t="n">
        <v>22</v>
      </c>
      <c r="I812" s="72" t="inlineStr">
        <is>
          <t>А500С</t>
        </is>
      </c>
      <c r="J812" s="72" t="inlineStr">
        <is>
          <t>—</t>
        </is>
      </c>
      <c r="K812" s="75" t="n">
        <v>1</v>
      </c>
      <c r="L812" s="51" t="n">
        <v>4</v>
      </c>
      <c r="M812" s="69" t="n">
        <v>3.775</v>
      </c>
      <c r="N812" s="70">
        <f>K812*L812*M812</f>
        <v/>
      </c>
      <c r="O812" s="37">
        <f>IFERROR(INDEX(Исходные!$B$19:$B$31,MATCH(H812,Исходные!$A$19:$A$31,0)),0)</f>
        <v/>
      </c>
      <c r="P812" s="76">
        <f>N812*O812</f>
        <v/>
      </c>
      <c r="Q812" s="21" t="inlineStr">
        <is>
          <t>АС-55 сеч.3-3 поз.4; контур АС-48</t>
        </is>
      </c>
      <c r="R812" s="77" t="inlineStr">
        <is>
          <t>по геометрии чертежа</t>
        </is>
      </c>
      <c r="S812" s="21" t="inlineStr"/>
      <c r="T812" s="21" t="inlineStr">
        <is>
          <t>Ригели, балки, плита, С-1</t>
        </is>
      </c>
      <c r="U812" s="49" t="n">
        <v>0</v>
      </c>
      <c r="V812" s="72" t="inlineStr">
        <is>
          <t>Б-основная</t>
        </is>
      </c>
      <c r="W812" s="49" t="n">
        <v>2</v>
      </c>
    </row>
    <row r="813">
      <c r="A813" s="72" t="n">
        <v>795</v>
      </c>
      <c r="B813" s="21" t="inlineStr">
        <is>
          <t>2 этаж (отм. +3.950…+7.550)</t>
        </is>
      </c>
      <c r="C813" s="21" t="inlineStr">
        <is>
          <t>Плита перекрытия — балки</t>
        </is>
      </c>
      <c r="D813" s="21" t="inlineStr">
        <is>
          <t>Э3 (эркер у оси А, 1–2)</t>
        </is>
      </c>
      <c r="E813" s="21" t="inlineStr">
        <is>
          <t>Б-3 (3-3)</t>
        </is>
      </c>
      <c r="F813" s="72" t="inlineStr">
        <is>
          <t>4</t>
        </is>
      </c>
      <c r="G813" s="21" t="inlineStr">
        <is>
          <t>Краевая балка эркера, участок 3: 4Ø22 (2 верх + 2 низ)</t>
        </is>
      </c>
      <c r="H813" s="51" t="n">
        <v>22</v>
      </c>
      <c r="I813" s="72" t="inlineStr">
        <is>
          <t>А500С</t>
        </is>
      </c>
      <c r="J813" s="72" t="inlineStr">
        <is>
          <t>—</t>
        </is>
      </c>
      <c r="K813" s="75" t="n">
        <v>1</v>
      </c>
      <c r="L813" s="51" t="n">
        <v>4</v>
      </c>
      <c r="M813" s="69" t="n">
        <v>2.15</v>
      </c>
      <c r="N813" s="70">
        <f>K813*L813*M813</f>
        <v/>
      </c>
      <c r="O813" s="37">
        <f>IFERROR(INDEX(Исходные!$B$19:$B$31,MATCH(H813,Исходные!$A$19:$A$31,0)),0)</f>
        <v/>
      </c>
      <c r="P813" s="76">
        <f>N813*O813</f>
        <v/>
      </c>
      <c r="Q813" s="21" t="inlineStr">
        <is>
          <t>АС-55 сеч.3-3 поз.4; контур АС-48</t>
        </is>
      </c>
      <c r="R813" s="77" t="inlineStr">
        <is>
          <t>по геометрии чертежа</t>
        </is>
      </c>
      <c r="S813" s="21" t="inlineStr"/>
      <c r="T813" s="21" t="inlineStr">
        <is>
          <t>Ригели, балки, плита, С-1</t>
        </is>
      </c>
      <c r="U813" s="49" t="n">
        <v>0</v>
      </c>
      <c r="V813" s="72" t="inlineStr">
        <is>
          <t>Б-основная</t>
        </is>
      </c>
      <c r="W813" s="49" t="n">
        <v>2</v>
      </c>
    </row>
    <row r="814">
      <c r="A814" s="72" t="n">
        <v>796</v>
      </c>
      <c r="B814" s="21" t="inlineStr">
        <is>
          <t>2 этаж (отм. +3.950…+7.550)</t>
        </is>
      </c>
      <c r="C814" s="21" t="inlineStr">
        <is>
          <t>Плита перекрытия — балки</t>
        </is>
      </c>
      <c r="D814" s="21" t="inlineStr">
        <is>
          <t>Э4 (эркер у оси А, 2–4)</t>
        </is>
      </c>
      <c r="E814" s="21" t="inlineStr">
        <is>
          <t>Б-3 (3-3)</t>
        </is>
      </c>
      <c r="F814" s="72" t="inlineStr">
        <is>
          <t>4</t>
        </is>
      </c>
      <c r="G814" s="21" t="inlineStr">
        <is>
          <t>Краевая балка эркера, участок 1: 4Ø22 (2 верх + 2 низ)</t>
        </is>
      </c>
      <c r="H814" s="51" t="n">
        <v>22</v>
      </c>
      <c r="I814" s="72" t="inlineStr">
        <is>
          <t>А500С</t>
        </is>
      </c>
      <c r="J814" s="72" t="inlineStr">
        <is>
          <t>—</t>
        </is>
      </c>
      <c r="K814" s="75" t="n">
        <v>1</v>
      </c>
      <c r="L814" s="51" t="n">
        <v>4</v>
      </c>
      <c r="M814" s="69" t="n">
        <v>2.15</v>
      </c>
      <c r="N814" s="70">
        <f>K814*L814*M814</f>
        <v/>
      </c>
      <c r="O814" s="37">
        <f>IFERROR(INDEX(Исходные!$B$19:$B$31,MATCH(H814,Исходные!$A$19:$A$31,0)),0)</f>
        <v/>
      </c>
      <c r="P814" s="76">
        <f>N814*O814</f>
        <v/>
      </c>
      <c r="Q814" s="21" t="inlineStr">
        <is>
          <t>АС-55 сеч.3-3 поз.4; контур АС-48</t>
        </is>
      </c>
      <c r="R814" s="77" t="inlineStr">
        <is>
          <t>по геометрии чертежа</t>
        </is>
      </c>
      <c r="S814" s="21" t="inlineStr"/>
      <c r="T814" s="21" t="inlineStr">
        <is>
          <t>Ригели, балки, плита, С-1</t>
        </is>
      </c>
      <c r="U814" s="49" t="n">
        <v>0</v>
      </c>
      <c r="V814" s="72" t="inlineStr">
        <is>
          <t>Б-основная</t>
        </is>
      </c>
      <c r="W814" s="49" t="n">
        <v>2</v>
      </c>
    </row>
    <row r="815">
      <c r="A815" s="72" t="n">
        <v>797</v>
      </c>
      <c r="B815" s="21" t="inlineStr">
        <is>
          <t>2 этаж (отм. +3.950…+7.550)</t>
        </is>
      </c>
      <c r="C815" s="21" t="inlineStr">
        <is>
          <t>Плита перекрытия — балки</t>
        </is>
      </c>
      <c r="D815" s="21" t="inlineStr">
        <is>
          <t>Э4 (эркер у оси А, 2–4)</t>
        </is>
      </c>
      <c r="E815" s="21" t="inlineStr">
        <is>
          <t>Б-3 (3-3)</t>
        </is>
      </c>
      <c r="F815" s="72" t="inlineStr">
        <is>
          <t>4</t>
        </is>
      </c>
      <c r="G815" s="21" t="inlineStr">
        <is>
          <t>Краевая балка эркера, участок 2: 4Ø22 (2 верх + 2 низ)</t>
        </is>
      </c>
      <c r="H815" s="51" t="n">
        <v>22</v>
      </c>
      <c r="I815" s="72" t="inlineStr">
        <is>
          <t>А500С</t>
        </is>
      </c>
      <c r="J815" s="72" t="inlineStr">
        <is>
          <t>—</t>
        </is>
      </c>
      <c r="K815" s="75" t="n">
        <v>1</v>
      </c>
      <c r="L815" s="51" t="n">
        <v>4</v>
      </c>
      <c r="M815" s="69" t="n">
        <v>7.95</v>
      </c>
      <c r="N815" s="70">
        <f>K815*L815*M815</f>
        <v/>
      </c>
      <c r="O815" s="37">
        <f>IFERROR(INDEX(Исходные!$B$19:$B$31,MATCH(H815,Исходные!$A$19:$A$31,0)),0)</f>
        <v/>
      </c>
      <c r="P815" s="76">
        <f>N815*O815</f>
        <v/>
      </c>
      <c r="Q815" s="21" t="inlineStr">
        <is>
          <t>АС-55 сеч.3-3 поз.4; контур АС-48</t>
        </is>
      </c>
      <c r="R815" s="77" t="inlineStr">
        <is>
          <t>по геометрии чертежа</t>
        </is>
      </c>
      <c r="S815" s="21" t="inlineStr"/>
      <c r="T815" s="21" t="inlineStr">
        <is>
          <t>Ригели, балки, плита, С-1</t>
        </is>
      </c>
      <c r="U815" s="49" t="n">
        <v>0</v>
      </c>
      <c r="V815" s="72" t="inlineStr">
        <is>
          <t>Б-основная</t>
        </is>
      </c>
      <c r="W815" s="49" t="n">
        <v>2</v>
      </c>
    </row>
    <row r="816">
      <c r="A816" s="72" t="n">
        <v>798</v>
      </c>
      <c r="B816" s="21" t="inlineStr">
        <is>
          <t>2 этаж (отм. +3.950…+7.550)</t>
        </is>
      </c>
      <c r="C816" s="21" t="inlineStr">
        <is>
          <t>Плита перекрытия — балки</t>
        </is>
      </c>
      <c r="D816" s="21" t="inlineStr">
        <is>
          <t>Э4 (эркер у оси А, 2–4)</t>
        </is>
      </c>
      <c r="E816" s="21" t="inlineStr">
        <is>
          <t>Б-3 (3-3)</t>
        </is>
      </c>
      <c r="F816" s="72" t="inlineStr">
        <is>
          <t>4</t>
        </is>
      </c>
      <c r="G816" s="21" t="inlineStr">
        <is>
          <t>Краевая балка эркера, участок 3: 4Ø22 (2 верх + 2 низ)</t>
        </is>
      </c>
      <c r="H816" s="51" t="n">
        <v>22</v>
      </c>
      <c r="I816" s="72" t="inlineStr">
        <is>
          <t>А500С</t>
        </is>
      </c>
      <c r="J816" s="72" t="inlineStr">
        <is>
          <t>—</t>
        </is>
      </c>
      <c r="K816" s="75" t="n">
        <v>1</v>
      </c>
      <c r="L816" s="51" t="n">
        <v>4</v>
      </c>
      <c r="M816" s="69" t="n">
        <v>2.15</v>
      </c>
      <c r="N816" s="70">
        <f>K816*L816*M816</f>
        <v/>
      </c>
      <c r="O816" s="37">
        <f>IFERROR(INDEX(Исходные!$B$19:$B$31,MATCH(H816,Исходные!$A$19:$A$31,0)),0)</f>
        <v/>
      </c>
      <c r="P816" s="76">
        <f>N816*O816</f>
        <v/>
      </c>
      <c r="Q816" s="21" t="inlineStr">
        <is>
          <t>АС-55 сеч.3-3 поз.4; контур АС-48</t>
        </is>
      </c>
      <c r="R816" s="77" t="inlineStr">
        <is>
          <t>по геометрии чертежа</t>
        </is>
      </c>
      <c r="S816" s="21" t="inlineStr"/>
      <c r="T816" s="21" t="inlineStr">
        <is>
          <t>Ригели, балки, плита, С-1</t>
        </is>
      </c>
      <c r="U816" s="49" t="n">
        <v>0</v>
      </c>
      <c r="V816" s="72" t="inlineStr">
        <is>
          <t>Б-основная</t>
        </is>
      </c>
      <c r="W816" s="49" t="n">
        <v>2</v>
      </c>
    </row>
    <row r="817">
      <c r="A817" s="72" t="n">
        <v>799</v>
      </c>
      <c r="B817" s="21" t="inlineStr">
        <is>
          <t>2 этаж (отм. +3.950…+7.550)</t>
        </is>
      </c>
      <c r="C817" s="21" t="inlineStr">
        <is>
          <t>Плита перекрытия — балки</t>
        </is>
      </c>
      <c r="D817" s="21" t="inlineStr">
        <is>
          <t>Э4 (эркер у оси А, 2–4)</t>
        </is>
      </c>
      <c r="E817" s="21" t="inlineStr">
        <is>
          <t>Б-3 (3-3)</t>
        </is>
      </c>
      <c r="F817" s="72" t="inlineStr">
        <is>
          <t>4</t>
        </is>
      </c>
      <c r="G817" s="21" t="inlineStr">
        <is>
          <t>Краевая балка эркера, участок 4: 4Ø22 (2 верх + 2 низ)</t>
        </is>
      </c>
      <c r="H817" s="51" t="n">
        <v>22</v>
      </c>
      <c r="I817" s="72" t="inlineStr">
        <is>
          <t>А500С</t>
        </is>
      </c>
      <c r="J817" s="72" t="inlineStr">
        <is>
          <t>—</t>
        </is>
      </c>
      <c r="K817" s="75" t="n">
        <v>1</v>
      </c>
      <c r="L817" s="51" t="n">
        <v>4</v>
      </c>
      <c r="M817" s="69" t="n">
        <v>2.375</v>
      </c>
      <c r="N817" s="70">
        <f>K817*L817*M817</f>
        <v/>
      </c>
      <c r="O817" s="37">
        <f>IFERROR(INDEX(Исходные!$B$19:$B$31,MATCH(H817,Исходные!$A$19:$A$31,0)),0)</f>
        <v/>
      </c>
      <c r="P817" s="76">
        <f>N817*O817</f>
        <v/>
      </c>
      <c r="Q817" s="21" t="inlineStr">
        <is>
          <t>АС-55 сеч.3-3 поз.4; контур АС-48</t>
        </is>
      </c>
      <c r="R817" s="77" t="inlineStr">
        <is>
          <t>по геометрии чертежа</t>
        </is>
      </c>
      <c r="S817" s="21" t="inlineStr"/>
      <c r="T817" s="21" t="inlineStr">
        <is>
          <t>Ригели, балки, плита, С-1</t>
        </is>
      </c>
      <c r="U817" s="49" t="n">
        <v>0</v>
      </c>
      <c r="V817" s="72" t="inlineStr">
        <is>
          <t>Б-основная</t>
        </is>
      </c>
      <c r="W817" s="49" t="n">
        <v>2</v>
      </c>
    </row>
    <row r="818">
      <c r="A818" s="72" t="n">
        <v>800</v>
      </c>
      <c r="B818" s="21" t="inlineStr">
        <is>
          <t>2 этаж (отм. +3.950…+7.550)</t>
        </is>
      </c>
      <c r="C818" s="21" t="inlineStr">
        <is>
          <t>Плита перекрытия — балки</t>
        </is>
      </c>
      <c r="D818" s="21" t="inlineStr">
        <is>
          <t>углы эркеров, концы балок</t>
        </is>
      </c>
      <c r="E818" s="21" t="inlineStr">
        <is>
          <t>узлы «Б»,«В»,«Г»</t>
        </is>
      </c>
      <c r="F818" s="72" t="inlineStr">
        <is>
          <t>—</t>
        </is>
      </c>
      <c r="G818" s="21" t="inlineStr">
        <is>
          <t>Угловой Г-образный стержень Ø18 L=1200 (как на 3.950)</t>
        </is>
      </c>
      <c r="H818" s="51" t="n">
        <v>18</v>
      </c>
      <c r="I818" s="72" t="inlineStr">
        <is>
          <t>А500С</t>
        </is>
      </c>
      <c r="J818" s="72" t="inlineStr">
        <is>
          <t>—</t>
        </is>
      </c>
      <c r="K818" s="75" t="n">
        <v>1</v>
      </c>
      <c r="L818" s="51" t="n">
        <v>42</v>
      </c>
      <c r="M818" s="69" t="n">
        <v>1.2</v>
      </c>
      <c r="N818" s="70">
        <f>K818*L818*M818</f>
        <v/>
      </c>
      <c r="O818" s="37">
        <f>IFERROR(INDEX(Исходные!$B$19:$B$31,MATCH(H818,Исходные!$A$19:$A$31,0)),0)</f>
        <v/>
      </c>
      <c r="P818" s="76">
        <f>N818*O818</f>
        <v/>
      </c>
      <c r="Q818" s="21" t="inlineStr">
        <is>
          <t>АС-56 узлы «Б»,«В»; АС-57 узел «Г»; АС-48</t>
        </is>
      </c>
      <c r="R818" s="78" t="inlineStr">
        <is>
          <t>принято (уточнить)</t>
        </is>
      </c>
      <c r="S818" s="21" t="inlineStr"/>
      <c r="T818" s="21" t="inlineStr">
        <is>
          <t>Ригели, балки, плита, С-1</t>
        </is>
      </c>
      <c r="U818" s="49" t="n">
        <v>1</v>
      </c>
      <c r="V818" s="72" t="inlineStr">
        <is>
          <t>Б-допник</t>
        </is>
      </c>
      <c r="W818" s="49" t="n">
        <v>2</v>
      </c>
    </row>
    <row r="819">
      <c r="A819" s="72" t="n">
        <v>801</v>
      </c>
      <c r="B819" s="21" t="inlineStr">
        <is>
          <t>2 этаж (отм. +3.950…+7.550)</t>
        </is>
      </c>
      <c r="C819" s="21" t="inlineStr">
        <is>
          <t>Плита перекрытия — балки</t>
        </is>
      </c>
      <c r="D819" s="21" t="inlineStr">
        <is>
          <t>все балки сечения 1-1</t>
        </is>
      </c>
      <c r="E819" s="21" t="inlineStr">
        <is>
          <t>Б (1-1)</t>
        </is>
      </c>
      <c r="F819" s="72" t="inlineStr">
        <is>
          <t>10</t>
        </is>
      </c>
      <c r="G819" s="21" t="inlineStr">
        <is>
          <t>Хомуты балок сеч.1-1: хом.Ø8 L=1240 (поз.10); шаг 100 у опор и у пересечений, 200 в пролёте</t>
        </is>
      </c>
      <c r="H819" s="51" t="n">
        <v>8</v>
      </c>
      <c r="I819" s="72" t="inlineStr">
        <is>
          <t>А240</t>
        </is>
      </c>
      <c r="J819" s="72" t="inlineStr">
        <is>
          <t>100/200</t>
        </is>
      </c>
      <c r="K819" s="75" t="n">
        <v>1</v>
      </c>
      <c r="L819" s="51" t="n">
        <v>925</v>
      </c>
      <c r="M819" s="69" t="n">
        <v>1.24</v>
      </c>
      <c r="N819" s="70">
        <f>K819*L819*M819</f>
        <v/>
      </c>
      <c r="O819" s="37">
        <f>IFERROR(INDEX(Исходные!$B$19:$B$31,MATCH(H819,Исходные!$A$19:$A$31,0)),0)</f>
        <v/>
      </c>
      <c r="P819" s="76">
        <f>N819*O819</f>
        <v/>
      </c>
      <c r="Q819" s="21" t="inlineStr">
        <is>
          <t>АС-55 сеч.1-1; АС-57 «Шаг хомутов»; АС-58 ведомость</t>
        </is>
      </c>
      <c r="R819" s="77" t="inlineStr">
        <is>
          <t>по проекту</t>
        </is>
      </c>
      <c r="S819" s="21" t="inlineStr"/>
      <c r="T819" s="21" t="inlineStr">
        <is>
          <t>Ригели, балки, плита, С-1</t>
        </is>
      </c>
      <c r="U819" s="49" t="n">
        <v>0</v>
      </c>
      <c r="V819" s="72" t="inlineStr">
        <is>
          <t>Б-хомуты</t>
        </is>
      </c>
      <c r="W819" s="49" t="n">
        <v>2</v>
      </c>
    </row>
    <row r="820">
      <c r="A820" s="72" t="n">
        <v>802</v>
      </c>
      <c r="B820" s="21" t="inlineStr">
        <is>
          <t>2 этаж (отм. +3.950…+7.550)</t>
        </is>
      </c>
      <c r="C820" s="21" t="inlineStr">
        <is>
          <t>Плита перекрытия — балки</t>
        </is>
      </c>
      <c r="D820" s="21" t="inlineStr">
        <is>
          <t>все балки сечения 2-2</t>
        </is>
      </c>
      <c r="E820" s="21" t="inlineStr">
        <is>
          <t>Б (2-2)</t>
        </is>
      </c>
      <c r="F820" s="72" t="inlineStr">
        <is>
          <t>10</t>
        </is>
      </c>
      <c r="G820" s="21" t="inlineStr">
        <is>
          <t>Хомуты балок сеч.2-2: хом.Ø8 L=1240 (поз.10); шаг 100 у опор и у пересечений, 200 в пролёте</t>
        </is>
      </c>
      <c r="H820" s="51" t="n">
        <v>8</v>
      </c>
      <c r="I820" s="72" t="inlineStr">
        <is>
          <t>А240</t>
        </is>
      </c>
      <c r="J820" s="72" t="inlineStr">
        <is>
          <t>100/200</t>
        </is>
      </c>
      <c r="K820" s="75" t="n">
        <v>1</v>
      </c>
      <c r="L820" s="51" t="n">
        <v>44</v>
      </c>
      <c r="M820" s="69" t="n">
        <v>1.24</v>
      </c>
      <c r="N820" s="70">
        <f>K820*L820*M820</f>
        <v/>
      </c>
      <c r="O820" s="37">
        <f>IFERROR(INDEX(Исходные!$B$19:$B$31,MATCH(H820,Исходные!$A$19:$A$31,0)),0)</f>
        <v/>
      </c>
      <c r="P820" s="76">
        <f>N820*O820</f>
        <v/>
      </c>
      <c r="Q820" s="21" t="inlineStr">
        <is>
          <t>АС-55 сеч.2-2; АС-57 «Шаг хомутов»; АС-58 ведомость</t>
        </is>
      </c>
      <c r="R820" s="77" t="inlineStr">
        <is>
          <t>по проекту</t>
        </is>
      </c>
      <c r="S820" s="21" t="inlineStr"/>
      <c r="T820" s="21" t="inlineStr">
        <is>
          <t>Ригели, балки, плита, С-1</t>
        </is>
      </c>
      <c r="U820" s="49" t="n">
        <v>0</v>
      </c>
      <c r="V820" s="72" t="inlineStr">
        <is>
          <t>Б-хомуты</t>
        </is>
      </c>
      <c r="W820" s="49" t="n">
        <v>2</v>
      </c>
    </row>
    <row r="821">
      <c r="A821" s="72" t="n">
        <v>803</v>
      </c>
      <c r="B821" s="21" t="inlineStr">
        <is>
          <t>2 этаж (отм. +3.950…+7.550)</t>
        </is>
      </c>
      <c r="C821" s="21" t="inlineStr">
        <is>
          <t>Плита перекрытия — балки</t>
        </is>
      </c>
      <c r="D821" s="21" t="inlineStr">
        <is>
          <t>все балки сечения 5-5</t>
        </is>
      </c>
      <c r="E821" s="21" t="inlineStr">
        <is>
          <t>Б (5-5)</t>
        </is>
      </c>
      <c r="F821" s="72" t="inlineStr">
        <is>
          <t>12</t>
        </is>
      </c>
      <c r="G821" s="21" t="inlineStr">
        <is>
          <t>Хомуты балок сеч.5-5: хом.Ø8 L=1440 (поз.12); шаг 100 у опор и у пересечений, 200 в пролёте</t>
        </is>
      </c>
      <c r="H821" s="51" t="n">
        <v>8</v>
      </c>
      <c r="I821" s="72" t="inlineStr">
        <is>
          <t>А240</t>
        </is>
      </c>
      <c r="J821" s="72" t="inlineStr">
        <is>
          <t>100/200</t>
        </is>
      </c>
      <c r="K821" s="75" t="n">
        <v>1</v>
      </c>
      <c r="L821" s="51" t="n">
        <v>44</v>
      </c>
      <c r="M821" s="69" t="n">
        <v>1.44</v>
      </c>
      <c r="N821" s="70">
        <f>K821*L821*M821</f>
        <v/>
      </c>
      <c r="O821" s="37">
        <f>IFERROR(INDEX(Исходные!$B$19:$B$31,MATCH(H821,Исходные!$A$19:$A$31,0)),0)</f>
        <v/>
      </c>
      <c r="P821" s="76">
        <f>N821*O821</f>
        <v/>
      </c>
      <c r="Q821" s="21" t="inlineStr">
        <is>
          <t>АС-55 сеч.5-5; АС-57 «Шаг хомутов»; АС-58 ведомость</t>
        </is>
      </c>
      <c r="R821" s="77" t="inlineStr">
        <is>
          <t>по проекту</t>
        </is>
      </c>
      <c r="S821" s="21" t="inlineStr"/>
      <c r="T821" s="21" t="inlineStr">
        <is>
          <t>Ригели, балки, плита, С-1</t>
        </is>
      </c>
      <c r="U821" s="49" t="n">
        <v>0</v>
      </c>
      <c r="V821" s="72" t="inlineStr">
        <is>
          <t>Б-хомуты</t>
        </is>
      </c>
      <c r="W821" s="49" t="n">
        <v>2</v>
      </c>
    </row>
    <row r="822">
      <c r="A822" s="72" t="n">
        <v>804</v>
      </c>
      <c r="B822" s="21" t="inlineStr">
        <is>
          <t>2 этаж (отм. +3.950…+7.550)</t>
        </is>
      </c>
      <c r="C822" s="21" t="inlineStr">
        <is>
          <t>Плита перекрытия — балки</t>
        </is>
      </c>
      <c r="D822" s="21" t="inlineStr">
        <is>
          <t>все балки сечения 4-4</t>
        </is>
      </c>
      <c r="E822" s="21" t="inlineStr">
        <is>
          <t>Б (4-4)</t>
        </is>
      </c>
      <c r="F822" s="72" t="inlineStr">
        <is>
          <t>13</t>
        </is>
      </c>
      <c r="G822" s="21" t="inlineStr">
        <is>
          <t>Хомуты балок сеч.4-4: хом.Ø8 L=1040 (поз.13); шаг 100 у опор и у пересечений, 200 в пролёте</t>
        </is>
      </c>
      <c r="H822" s="51" t="n">
        <v>8</v>
      </c>
      <c r="I822" s="72" t="inlineStr">
        <is>
          <t>А240</t>
        </is>
      </c>
      <c r="J822" s="72" t="inlineStr">
        <is>
          <t>100/200</t>
        </is>
      </c>
      <c r="K822" s="75" t="n">
        <v>1</v>
      </c>
      <c r="L822" s="51" t="n">
        <v>111</v>
      </c>
      <c r="M822" s="69" t="n">
        <v>1.04</v>
      </c>
      <c r="N822" s="70">
        <f>K822*L822*M822</f>
        <v/>
      </c>
      <c r="O822" s="37">
        <f>IFERROR(INDEX(Исходные!$B$19:$B$31,MATCH(H822,Исходные!$A$19:$A$31,0)),0)</f>
        <v/>
      </c>
      <c r="P822" s="76">
        <f>N822*O822</f>
        <v/>
      </c>
      <c r="Q822" s="21" t="inlineStr">
        <is>
          <t>АС-55 сеч.4-4; АС-57 «Шаг хомутов»; АС-58 ведомость</t>
        </is>
      </c>
      <c r="R822" s="77" t="inlineStr">
        <is>
          <t>по проекту</t>
        </is>
      </c>
      <c r="S822" s="21" t="inlineStr"/>
      <c r="T822" s="21" t="inlineStr">
        <is>
          <t>Ригели, балки, плита, С-1</t>
        </is>
      </c>
      <c r="U822" s="49" t="n">
        <v>0</v>
      </c>
      <c r="V822" s="72" t="inlineStr">
        <is>
          <t>Б-хомуты</t>
        </is>
      </c>
      <c r="W822" s="49" t="n">
        <v>2</v>
      </c>
    </row>
    <row r="823">
      <c r="A823" s="72" t="n">
        <v>805</v>
      </c>
      <c r="B823" s="21" t="inlineStr">
        <is>
          <t>2 этаж (отм. +3.950…+7.550)</t>
        </is>
      </c>
      <c r="C823" s="21" t="inlineStr">
        <is>
          <t>Плита перекрытия — балки</t>
        </is>
      </c>
      <c r="D823" s="21" t="inlineStr">
        <is>
          <t>все балки сечения 3-3</t>
        </is>
      </c>
      <c r="E823" s="21" t="inlineStr">
        <is>
          <t>Б (3-3)</t>
        </is>
      </c>
      <c r="F823" s="72" t="inlineStr">
        <is>
          <t>11</t>
        </is>
      </c>
      <c r="G823" s="21" t="inlineStr">
        <is>
          <t>Хомуты балок сеч.3-3: хом.Ø8 L=1140 (поз.11); шаг 100 у опор и у пересечений, 200 в пролёте</t>
        </is>
      </c>
      <c r="H823" s="51" t="n">
        <v>8</v>
      </c>
      <c r="I823" s="72" t="inlineStr">
        <is>
          <t>А240</t>
        </is>
      </c>
      <c r="J823" s="72" t="inlineStr">
        <is>
          <t>100/200</t>
        </is>
      </c>
      <c r="K823" s="75" t="n">
        <v>1</v>
      </c>
      <c r="L823" s="51" t="n">
        <v>272</v>
      </c>
      <c r="M823" s="69" t="n">
        <v>1.14</v>
      </c>
      <c r="N823" s="70">
        <f>K823*L823*M823</f>
        <v/>
      </c>
      <c r="O823" s="37">
        <f>IFERROR(INDEX(Исходные!$B$19:$B$31,MATCH(H823,Исходные!$A$19:$A$31,0)),0)</f>
        <v/>
      </c>
      <c r="P823" s="76">
        <f>N823*O823</f>
        <v/>
      </c>
      <c r="Q823" s="21" t="inlineStr">
        <is>
          <t>АС-55 сеч.3-3; АС-57 «Шаг хомутов»; АС-58 ведомость</t>
        </is>
      </c>
      <c r="R823" s="77" t="inlineStr">
        <is>
          <t>по проекту</t>
        </is>
      </c>
      <c r="S823" s="21" t="inlineStr"/>
      <c r="T823" s="21" t="inlineStr">
        <is>
          <t>Ригели, балки, плита, С-1</t>
        </is>
      </c>
      <c r="U823" s="49" t="n">
        <v>0</v>
      </c>
      <c r="V823" s="72" t="inlineStr">
        <is>
          <t>Б-хомуты</t>
        </is>
      </c>
      <c r="W823" s="49" t="n">
        <v>2</v>
      </c>
    </row>
    <row r="824">
      <c r="A824" s="74" t="inlineStr">
        <is>
          <t>2.6. СЕТКИ-ГРЕБЁНКИ С-1 в узлах колонна–ригель — отм. +7.550</t>
        </is>
      </c>
      <c r="B824" s="33" t="n"/>
      <c r="C824" s="33" t="n"/>
      <c r="D824" s="33" t="n"/>
      <c r="E824" s="33" t="n"/>
      <c r="F824" s="33" t="n"/>
      <c r="G824" s="33" t="n"/>
      <c r="H824" s="33" t="n"/>
      <c r="I824" s="33" t="n"/>
      <c r="J824" s="33" t="n"/>
      <c r="K824" s="33" t="n"/>
      <c r="L824" s="33" t="n"/>
      <c r="M824" s="33" t="n"/>
      <c r="N824" s="33" t="n"/>
      <c r="O824" s="33" t="n"/>
      <c r="P824" s="33" t="n"/>
      <c r="Q824" s="33" t="n"/>
      <c r="R824" s="33" t="n"/>
      <c r="S824" s="33" t="n"/>
      <c r="T824" s="33" t="n"/>
      <c r="U824" s="33" t="n"/>
      <c r="V824" s="33" t="n"/>
      <c r="W824" s="34" t="n"/>
    </row>
    <row r="825">
      <c r="A825" s="72" t="n">
        <v>806</v>
      </c>
      <c r="B825" s="21" t="inlineStr">
        <is>
          <t>2 этаж (отм. +3.950…+7.550)</t>
        </is>
      </c>
      <c r="C825" s="21" t="inlineStr">
        <is>
          <t>Сетки-гребёнки С-1</t>
        </is>
      </c>
      <c r="D825" s="21" t="inlineStr">
        <is>
          <t>узлы колонна–ригель, отм. +7.550 (20 узлов)</t>
        </is>
      </c>
      <c r="E825" s="21" t="inlineStr">
        <is>
          <t>С-1</t>
        </is>
      </c>
      <c r="F825" s="72" t="inlineStr">
        <is>
          <t>1</t>
        </is>
      </c>
      <c r="G825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825" s="51" t="n">
        <v>10</v>
      </c>
      <c r="I825" s="72" t="inlineStr">
        <is>
          <t>А500С</t>
        </is>
      </c>
      <c r="J825" s="72" t="n">
        <v>90</v>
      </c>
      <c r="K825" s="75" t="n">
        <v>200</v>
      </c>
      <c r="L825" s="51" t="n">
        <v>7</v>
      </c>
      <c r="M825" s="69" t="n">
        <v>0.57</v>
      </c>
      <c r="N825" s="70">
        <f>K825*L825*M825</f>
        <v/>
      </c>
      <c r="O825" s="37">
        <f>IFERROR(INDEX(Исходные!$B$19:$B$31,MATCH(H825,Исходные!$A$19:$A$31,0)),0)</f>
        <v/>
      </c>
      <c r="P825" s="76">
        <f>N825*O825</f>
        <v/>
      </c>
      <c r="Q825" s="21" t="inlineStr">
        <is>
          <t>АС-30 «Сетка гребенка С-1»; АС-29 узел «2» — 5 рядов × 2 на узел (узлы одинаковы на всех этажах)</t>
        </is>
      </c>
      <c r="R825" s="78" t="inlineStr">
        <is>
          <t>принято (уточнить)</t>
        </is>
      </c>
      <c r="S825" s="21" t="inlineStr"/>
      <c r="T825" s="21" t="inlineStr">
        <is>
          <t>Ригели, балки, плита, С-1</t>
        </is>
      </c>
      <c r="U825" s="49" t="n">
        <v>1</v>
      </c>
      <c r="V825" s="72" t="inlineStr">
        <is>
          <t>С-1</t>
        </is>
      </c>
      <c r="W825" s="49" t="n">
        <v>2</v>
      </c>
    </row>
    <row r="826">
      <c r="A826" s="74" t="inlineStr">
        <is>
          <t>2.7. ЛЕСТНИЦА ЛВ-1 и рама Лрм — марш 3 4.000→5.800, марш 4 5.800→7.600, площадка 5.800, Лрм-2</t>
        </is>
      </c>
      <c r="B826" s="33" t="n"/>
      <c r="C826" s="33" t="n"/>
      <c r="D826" s="33" t="n"/>
      <c r="E826" s="33" t="n"/>
      <c r="F826" s="33" t="n"/>
      <c r="G826" s="33" t="n"/>
      <c r="H826" s="33" t="n"/>
      <c r="I826" s="33" t="n"/>
      <c r="J826" s="33" t="n"/>
      <c r="K826" s="33" t="n"/>
      <c r="L826" s="33" t="n"/>
      <c r="M826" s="33" t="n"/>
      <c r="N826" s="33" t="n"/>
      <c r="O826" s="33" t="n"/>
      <c r="P826" s="33" t="n"/>
      <c r="Q826" s="33" t="n"/>
      <c r="R826" s="33" t="n"/>
      <c r="S826" s="33" t="n"/>
      <c r="T826" s="33" t="n"/>
      <c r="U826" s="33" t="n"/>
      <c r="V826" s="33" t="n"/>
      <c r="W826" s="34" t="n"/>
    </row>
    <row r="827">
      <c r="A827" s="72" t="n">
        <v>807</v>
      </c>
      <c r="B827" s="21" t="inlineStr">
        <is>
          <t>2 этаж (отм. +3.950…+7.550)</t>
        </is>
      </c>
      <c r="C827" s="21" t="inlineStr">
        <is>
          <t>Лестница ЛВ-1</t>
        </is>
      </c>
      <c r="D827" s="21" t="inlineStr">
        <is>
          <t>оси 3–4 / Г (А-А АС-67)</t>
        </is>
      </c>
      <c r="E827" s="21" t="inlineStr">
        <is>
          <t>ЛВ-1 марш 3</t>
        </is>
      </c>
      <c r="F827" s="72" t="inlineStr">
        <is>
          <t>1</t>
        </is>
      </c>
      <c r="G827" s="21" t="inlineStr">
        <is>
          <t>Рабочие продольные 18Ø18 ш.150 (9 верх + 9 низ), марш 3 (4.000→5.800), 12×150 / 11×300; через площадку 5.800 до Лрм-2</t>
        </is>
      </c>
      <c r="H827" s="51" t="n">
        <v>18</v>
      </c>
      <c r="I827" s="72" t="inlineStr">
        <is>
          <t>А500С</t>
        </is>
      </c>
      <c r="J827" s="72" t="n">
        <v>150</v>
      </c>
      <c r="K827" s="75" t="n">
        <v>1</v>
      </c>
      <c r="L827" s="51" t="n">
        <v>18</v>
      </c>
      <c r="M827" s="69" t="n">
        <v>6.109</v>
      </c>
      <c r="N827" s="70">
        <f>K827*L827*M827</f>
        <v/>
      </c>
      <c r="O827" s="37">
        <f>IFERROR(INDEX(Исходные!$B$19:$B$31,MATCH(H827,Исходные!$A$19:$A$31,0)),0)</f>
        <v/>
      </c>
      <c r="P827" s="76">
        <f>N827*O827</f>
        <v/>
      </c>
      <c r="Q827" s="21" t="inlineStr">
        <is>
          <t>АС-68 сеч.а-а «18Ø18 А500С ш.150»; АС-67 разрез (2 этаж: 150×12, 300×11)</t>
        </is>
      </c>
      <c r="R827" s="78" t="inlineStr">
        <is>
          <t>по геометрии (уточнить)</t>
        </is>
      </c>
      <c r="S827" s="21" t="inlineStr">
        <is>
          <t>L = 1.00 (заход в плиту, узлы «3»,«4») + 3.759 (наклон √(3.3²+1.8²)) + 1.35 (площадка до Лрм-2)</t>
        </is>
      </c>
      <c r="T827" s="21" t="inlineStr">
        <is>
          <t>Лестницы</t>
        </is>
      </c>
      <c r="U827" s="49" t="n">
        <v>1</v>
      </c>
      <c r="V827" s="72" t="inlineStr">
        <is>
          <t>Л1</t>
        </is>
      </c>
      <c r="W827" s="49" t="n">
        <v>2</v>
      </c>
    </row>
    <row r="828">
      <c r="A828" s="72" t="n">
        <v>808</v>
      </c>
      <c r="B828" s="21" t="inlineStr">
        <is>
          <t>2 этаж (отм. +3.950…+7.550)</t>
        </is>
      </c>
      <c r="C828" s="21" t="inlineStr">
        <is>
          <t>Лестница ЛВ-1</t>
        </is>
      </c>
      <c r="D828" s="21" t="inlineStr">
        <is>
          <t>оси 3–4 / Г</t>
        </is>
      </c>
      <c r="E828" s="21" t="inlineStr">
        <is>
          <t>ЛВ-1 марш 3</t>
        </is>
      </c>
      <c r="F828" s="72" t="inlineStr">
        <is>
          <t>2</t>
        </is>
      </c>
      <c r="G828" s="21" t="inlineStr">
        <is>
          <t>Поперечные Ø10 А500С ш.50/100/200 (2 ряда), L=1190</t>
        </is>
      </c>
      <c r="H828" s="51" t="n">
        <v>10</v>
      </c>
      <c r="I828" s="72" t="inlineStr">
        <is>
          <t>А500С</t>
        </is>
      </c>
      <c r="J828" s="72" t="inlineStr">
        <is>
          <t>50/100/200</t>
        </is>
      </c>
      <c r="K828" s="75" t="n">
        <v>1</v>
      </c>
      <c r="L828" s="51" t="n">
        <v>60</v>
      </c>
      <c r="M828" s="69" t="n">
        <v>1.19</v>
      </c>
      <c r="N828" s="70">
        <f>K828*L828*M828</f>
        <v/>
      </c>
      <c r="O828" s="37">
        <f>IFERROR(INDEX(Исходные!$B$19:$B$31,MATCH(H828,Исходные!$A$19:$A$31,0)),0)</f>
        <v/>
      </c>
      <c r="P828" s="76">
        <f>N828*O828</f>
        <v/>
      </c>
      <c r="Q828" s="21" t="inlineStr">
        <is>
          <t>АС-68 сеч.а-а поз.2</t>
        </is>
      </c>
      <c r="R828" s="77" t="inlineStr">
        <is>
          <t>по проекту</t>
        </is>
      </c>
      <c r="S828" s="21" t="inlineStr">
        <is>
          <t>30 шт в ряду × 2 ряда; марш по наклону 3.759 м</t>
        </is>
      </c>
      <c r="T828" s="21" t="inlineStr">
        <is>
          <t>Лестницы</t>
        </is>
      </c>
      <c r="U828" s="49" t="n">
        <v>0</v>
      </c>
      <c r="V828" s="72" t="inlineStr">
        <is>
          <t>Л1</t>
        </is>
      </c>
      <c r="W828" s="49" t="n">
        <v>2</v>
      </c>
    </row>
    <row r="829">
      <c r="A829" s="72" t="n">
        <v>809</v>
      </c>
      <c r="B829" s="21" t="inlineStr">
        <is>
          <t>2 этаж (отм. +3.950…+7.550)</t>
        </is>
      </c>
      <c r="C829" s="21" t="inlineStr">
        <is>
          <t>Лестница ЛВ-1</t>
        </is>
      </c>
      <c r="D829" s="21" t="inlineStr">
        <is>
          <t>оси 3–4 / Г</t>
        </is>
      </c>
      <c r="E829" s="21" t="inlineStr">
        <is>
          <t>ЛВ-1 марш 3</t>
        </is>
      </c>
      <c r="F829" s="72" t="inlineStr">
        <is>
          <t>4</t>
        </is>
      </c>
      <c r="G829" s="21" t="inlineStr">
        <is>
          <t>П-образный Ø10 А240 L=520 по краям марша</t>
        </is>
      </c>
      <c r="H829" s="51" t="n">
        <v>10</v>
      </c>
      <c r="I829" s="72" t="inlineStr">
        <is>
          <t>А240</t>
        </is>
      </c>
      <c r="J829" s="72" t="inlineStr">
        <is>
          <t>50/100/200</t>
        </is>
      </c>
      <c r="K829" s="75" t="n">
        <v>1</v>
      </c>
      <c r="L829" s="51" t="n">
        <v>60</v>
      </c>
      <c r="M829" s="69" t="n">
        <v>0.52</v>
      </c>
      <c r="N829" s="70">
        <f>K829*L829*M829</f>
        <v/>
      </c>
      <c r="O829" s="37">
        <f>IFERROR(INDEX(Исходные!$B$19:$B$31,MATCH(H829,Исходные!$A$19:$A$31,0)),0)</f>
        <v/>
      </c>
      <c r="P829" s="76">
        <f>N829*O829</f>
        <v/>
      </c>
      <c r="Q829" s="21" t="inlineStr">
        <is>
          <t>АС-68 сеч.а-а поз.4</t>
        </is>
      </c>
      <c r="R829" s="77" t="inlineStr">
        <is>
          <t>по проекту</t>
        </is>
      </c>
      <c r="S829" s="21" t="inlineStr"/>
      <c r="T829" s="21" t="inlineStr">
        <is>
          <t>Лестницы</t>
        </is>
      </c>
      <c r="U829" s="49" t="n">
        <v>0</v>
      </c>
      <c r="V829" s="72" t="inlineStr">
        <is>
          <t>Л1</t>
        </is>
      </c>
      <c r="W829" s="49" t="n">
        <v>2</v>
      </c>
    </row>
    <row r="830">
      <c r="A830" s="72" t="n">
        <v>810</v>
      </c>
      <c r="B830" s="21" t="inlineStr">
        <is>
          <t>2 этаж (отм. +3.950…+7.550)</t>
        </is>
      </c>
      <c r="C830" s="21" t="inlineStr">
        <is>
          <t>Лестница ЛВ-1</t>
        </is>
      </c>
      <c r="D830" s="21" t="inlineStr">
        <is>
          <t>оси 3–4 / Г</t>
        </is>
      </c>
      <c r="E830" s="21" t="inlineStr">
        <is>
          <t>ЛВ-1 марш 3</t>
        </is>
      </c>
      <c r="F830" s="72" t="inlineStr">
        <is>
          <t>3</t>
        </is>
      </c>
      <c r="G830" s="21" t="inlineStr">
        <is>
          <t>Шпилька Ø6 А240 L=280 ш.300 в шахм. порядке</t>
        </is>
      </c>
      <c r="H830" s="51" t="n">
        <v>6</v>
      </c>
      <c r="I830" s="72" t="inlineStr">
        <is>
          <t>А240</t>
        </is>
      </c>
      <c r="J830" s="72" t="inlineStr">
        <is>
          <t>300 шахм.</t>
        </is>
      </c>
      <c r="K830" s="75" t="n">
        <v>1</v>
      </c>
      <c r="L830" s="51" t="n">
        <v>38</v>
      </c>
      <c r="M830" s="69" t="n">
        <v>0.28</v>
      </c>
      <c r="N830" s="70">
        <f>K830*L830*M830</f>
        <v/>
      </c>
      <c r="O830" s="37">
        <f>IFERROR(INDEX(Исходные!$B$19:$B$31,MATCH(H830,Исходные!$A$19:$A$31,0)),0)</f>
        <v/>
      </c>
      <c r="P830" s="76">
        <f>N830*O830</f>
        <v/>
      </c>
      <c r="Q830" s="21" t="inlineStr">
        <is>
          <t>АС-68 сеч.а-а поз.3</t>
        </is>
      </c>
      <c r="R830" s="78" t="inlineStr">
        <is>
          <t>принято (уточнить)</t>
        </is>
      </c>
      <c r="S830" s="21" t="inlineStr">
        <is>
          <t>3.759 × 0,90 / 0,09 = 38 шт</t>
        </is>
      </c>
      <c r="T830" s="21" t="inlineStr">
        <is>
          <t>Лестницы</t>
        </is>
      </c>
      <c r="U830" s="49" t="n">
        <v>1</v>
      </c>
      <c r="V830" s="72" t="inlineStr">
        <is>
          <t>Л1</t>
        </is>
      </c>
      <c r="W830" s="49" t="n">
        <v>2</v>
      </c>
    </row>
    <row r="831">
      <c r="A831" s="72" t="n">
        <v>811</v>
      </c>
      <c r="B831" s="21" t="inlineStr">
        <is>
          <t>2 этаж (отм. +3.950…+7.550)</t>
        </is>
      </c>
      <c r="C831" s="21" t="inlineStr">
        <is>
          <t>Лестница ЛВ-1</t>
        </is>
      </c>
      <c r="D831" s="21" t="inlineStr">
        <is>
          <t>оси 3–4 / Г</t>
        </is>
      </c>
      <c r="E831" s="21" t="inlineStr">
        <is>
          <t>ЛВ-1 марш 3</t>
        </is>
      </c>
      <c r="F831" s="72" t="inlineStr">
        <is>
          <t>С-1</t>
        </is>
      </c>
      <c r="G831" s="21" t="inlineStr">
        <is>
          <t>Сетка С-1 5/5/100/100 (Ø5 Вр-I) по ступеням: проволока 20 м на 1 м²</t>
        </is>
      </c>
      <c r="H831" s="51" t="n">
        <v>5</v>
      </c>
      <c r="I831" s="72" t="inlineStr">
        <is>
          <t>Вр-I</t>
        </is>
      </c>
      <c r="J831" s="72" t="inlineStr">
        <is>
          <t>100×100</t>
        </is>
      </c>
      <c r="K831" s="75" t="n">
        <v>6.38</v>
      </c>
      <c r="L831" s="51" t="n">
        <v>20</v>
      </c>
      <c r="M831" s="69" t="n">
        <v>1</v>
      </c>
      <c r="N831" s="70">
        <f>K831*L831*M831</f>
        <v/>
      </c>
      <c r="O831" s="37">
        <f>IFERROR(INDEX(Исходные!$B$19:$B$31,MATCH(H831,Исходные!$A$19:$A$31,0)),0)</f>
        <v/>
      </c>
      <c r="P831" s="76">
        <f>N831*O831</f>
        <v/>
      </c>
      <c r="Q831" s="21" t="inlineStr">
        <is>
          <t>АС-68 «Сетка С-1 5/5/100/100»</t>
        </is>
      </c>
      <c r="R831" s="78" t="inlineStr">
        <is>
          <t>по геометрии (уточнить)</t>
        </is>
      </c>
      <c r="S831" s="21" t="inlineStr">
        <is>
          <t>(12×0,15 + 11×0,30 = 5.10 м) × 1,25 = 6.38 м²</t>
        </is>
      </c>
      <c r="T831" s="21" t="inlineStr">
        <is>
          <t>Лестницы</t>
        </is>
      </c>
      <c r="U831" s="49" t="n">
        <v>1</v>
      </c>
      <c r="V831" s="72" t="inlineStr">
        <is>
          <t>Л1</t>
        </is>
      </c>
      <c r="W831" s="49" t="n">
        <v>2</v>
      </c>
    </row>
    <row r="832">
      <c r="A832" s="72" t="n">
        <v>812</v>
      </c>
      <c r="B832" s="21" t="inlineStr">
        <is>
          <t>2 этаж (отм. +3.950…+7.550)</t>
        </is>
      </c>
      <c r="C832" s="21" t="inlineStr">
        <is>
          <t>Лестница ЛВ-1</t>
        </is>
      </c>
      <c r="D832" s="21" t="inlineStr">
        <is>
          <t>оси 3–4 / Г (А-А АС-67)</t>
        </is>
      </c>
      <c r="E832" s="21" t="inlineStr">
        <is>
          <t>ЛВ-1 марш 4</t>
        </is>
      </c>
      <c r="F832" s="72" t="inlineStr">
        <is>
          <t>1</t>
        </is>
      </c>
      <c r="G832" s="21" t="inlineStr">
        <is>
          <t>Рабочие продольные 18Ø18 ш.150 (9 верх + 9 низ), марш 4 (5.800→7.600), 12×150 / 11×300; через площадку 5.800 до Лрм-2</t>
        </is>
      </c>
      <c r="H832" s="51" t="n">
        <v>18</v>
      </c>
      <c r="I832" s="72" t="inlineStr">
        <is>
          <t>А500С</t>
        </is>
      </c>
      <c r="J832" s="72" t="n">
        <v>150</v>
      </c>
      <c r="K832" s="75" t="n">
        <v>1</v>
      </c>
      <c r="L832" s="51" t="n">
        <v>18</v>
      </c>
      <c r="M832" s="69" t="n">
        <v>6.109</v>
      </c>
      <c r="N832" s="70">
        <f>K832*L832*M832</f>
        <v/>
      </c>
      <c r="O832" s="37">
        <f>IFERROR(INDEX(Исходные!$B$19:$B$31,MATCH(H832,Исходные!$A$19:$A$31,0)),0)</f>
        <v/>
      </c>
      <c r="P832" s="76">
        <f>N832*O832</f>
        <v/>
      </c>
      <c r="Q832" s="21" t="inlineStr">
        <is>
          <t>АС-68 сеч.а-а «18Ø18 А500С ш.150»; АС-67 разрез (2 этаж: 150×12, 300×11)</t>
        </is>
      </c>
      <c r="R832" s="78" t="inlineStr">
        <is>
          <t>по геометрии (уточнить)</t>
        </is>
      </c>
      <c r="S832" s="21" t="inlineStr">
        <is>
          <t>L = 1.00 (заход в плиту, узлы «3»,«4») + 3.759 (наклон √(3.3²+1.8²)) + 1.35 (площадка до Лрм-2)</t>
        </is>
      </c>
      <c r="T832" s="21" t="inlineStr">
        <is>
          <t>Лестницы</t>
        </is>
      </c>
      <c r="U832" s="49" t="n">
        <v>1</v>
      </c>
      <c r="V832" s="72" t="inlineStr">
        <is>
          <t>Л2</t>
        </is>
      </c>
      <c r="W832" s="49" t="n">
        <v>2</v>
      </c>
    </row>
    <row r="833">
      <c r="A833" s="72" t="n">
        <v>813</v>
      </c>
      <c r="B833" s="21" t="inlineStr">
        <is>
          <t>2 этаж (отм. +3.950…+7.550)</t>
        </is>
      </c>
      <c r="C833" s="21" t="inlineStr">
        <is>
          <t>Лестница ЛВ-1</t>
        </is>
      </c>
      <c r="D833" s="21" t="inlineStr">
        <is>
          <t>оси 3–4 / Г</t>
        </is>
      </c>
      <c r="E833" s="21" t="inlineStr">
        <is>
          <t>ЛВ-1 марш 4</t>
        </is>
      </c>
      <c r="F833" s="72" t="inlineStr">
        <is>
          <t>2</t>
        </is>
      </c>
      <c r="G833" s="21" t="inlineStr">
        <is>
          <t>Поперечные Ø10 А500С ш.50/100/200 (2 ряда), L=1190</t>
        </is>
      </c>
      <c r="H833" s="51" t="n">
        <v>10</v>
      </c>
      <c r="I833" s="72" t="inlineStr">
        <is>
          <t>А500С</t>
        </is>
      </c>
      <c r="J833" s="72" t="inlineStr">
        <is>
          <t>50/100/200</t>
        </is>
      </c>
      <c r="K833" s="75" t="n">
        <v>1</v>
      </c>
      <c r="L833" s="51" t="n">
        <v>60</v>
      </c>
      <c r="M833" s="69" t="n">
        <v>1.19</v>
      </c>
      <c r="N833" s="70">
        <f>K833*L833*M833</f>
        <v/>
      </c>
      <c r="O833" s="37">
        <f>IFERROR(INDEX(Исходные!$B$19:$B$31,MATCH(H833,Исходные!$A$19:$A$31,0)),0)</f>
        <v/>
      </c>
      <c r="P833" s="76">
        <f>N833*O833</f>
        <v/>
      </c>
      <c r="Q833" s="21" t="inlineStr">
        <is>
          <t>АС-68 сеч.а-а поз.2</t>
        </is>
      </c>
      <c r="R833" s="77" t="inlineStr">
        <is>
          <t>по проекту</t>
        </is>
      </c>
      <c r="S833" s="21" t="inlineStr">
        <is>
          <t>30 шт в ряду × 2 ряда; марш по наклону 3.759 м</t>
        </is>
      </c>
      <c r="T833" s="21" t="inlineStr">
        <is>
          <t>Лестницы</t>
        </is>
      </c>
      <c r="U833" s="49" t="n">
        <v>0</v>
      </c>
      <c r="V833" s="72" t="inlineStr">
        <is>
          <t>Л2</t>
        </is>
      </c>
      <c r="W833" s="49" t="n">
        <v>2</v>
      </c>
    </row>
    <row r="834">
      <c r="A834" s="72" t="n">
        <v>814</v>
      </c>
      <c r="B834" s="21" t="inlineStr">
        <is>
          <t>2 этаж (отм. +3.950…+7.550)</t>
        </is>
      </c>
      <c r="C834" s="21" t="inlineStr">
        <is>
          <t>Лестница ЛВ-1</t>
        </is>
      </c>
      <c r="D834" s="21" t="inlineStr">
        <is>
          <t>оси 3–4 / Г</t>
        </is>
      </c>
      <c r="E834" s="21" t="inlineStr">
        <is>
          <t>ЛВ-1 марш 4</t>
        </is>
      </c>
      <c r="F834" s="72" t="inlineStr">
        <is>
          <t>4</t>
        </is>
      </c>
      <c r="G834" s="21" t="inlineStr">
        <is>
          <t>П-образный Ø10 А240 L=520 по краям марша</t>
        </is>
      </c>
      <c r="H834" s="51" t="n">
        <v>10</v>
      </c>
      <c r="I834" s="72" t="inlineStr">
        <is>
          <t>А240</t>
        </is>
      </c>
      <c r="J834" s="72" t="inlineStr">
        <is>
          <t>50/100/200</t>
        </is>
      </c>
      <c r="K834" s="75" t="n">
        <v>1</v>
      </c>
      <c r="L834" s="51" t="n">
        <v>60</v>
      </c>
      <c r="M834" s="69" t="n">
        <v>0.52</v>
      </c>
      <c r="N834" s="70">
        <f>K834*L834*M834</f>
        <v/>
      </c>
      <c r="O834" s="37">
        <f>IFERROR(INDEX(Исходные!$B$19:$B$31,MATCH(H834,Исходные!$A$19:$A$31,0)),0)</f>
        <v/>
      </c>
      <c r="P834" s="76">
        <f>N834*O834</f>
        <v/>
      </c>
      <c r="Q834" s="21" t="inlineStr">
        <is>
          <t>АС-68 сеч.а-а поз.4</t>
        </is>
      </c>
      <c r="R834" s="77" t="inlineStr">
        <is>
          <t>по проекту</t>
        </is>
      </c>
      <c r="S834" s="21" t="inlineStr"/>
      <c r="T834" s="21" t="inlineStr">
        <is>
          <t>Лестницы</t>
        </is>
      </c>
      <c r="U834" s="49" t="n">
        <v>0</v>
      </c>
      <c r="V834" s="72" t="inlineStr">
        <is>
          <t>Л2</t>
        </is>
      </c>
      <c r="W834" s="49" t="n">
        <v>2</v>
      </c>
    </row>
    <row r="835">
      <c r="A835" s="72" t="n">
        <v>815</v>
      </c>
      <c r="B835" s="21" t="inlineStr">
        <is>
          <t>2 этаж (отм. +3.950…+7.550)</t>
        </is>
      </c>
      <c r="C835" s="21" t="inlineStr">
        <is>
          <t>Лестница ЛВ-1</t>
        </is>
      </c>
      <c r="D835" s="21" t="inlineStr">
        <is>
          <t>оси 3–4 / Г</t>
        </is>
      </c>
      <c r="E835" s="21" t="inlineStr">
        <is>
          <t>ЛВ-1 марш 4</t>
        </is>
      </c>
      <c r="F835" s="72" t="inlineStr">
        <is>
          <t>3</t>
        </is>
      </c>
      <c r="G835" s="21" t="inlineStr">
        <is>
          <t>Шпилька Ø6 А240 L=280 ш.300 в шахм. порядке</t>
        </is>
      </c>
      <c r="H835" s="51" t="n">
        <v>6</v>
      </c>
      <c r="I835" s="72" t="inlineStr">
        <is>
          <t>А240</t>
        </is>
      </c>
      <c r="J835" s="72" t="inlineStr">
        <is>
          <t>300 шахм.</t>
        </is>
      </c>
      <c r="K835" s="75" t="n">
        <v>1</v>
      </c>
      <c r="L835" s="51" t="n">
        <v>38</v>
      </c>
      <c r="M835" s="69" t="n">
        <v>0.28</v>
      </c>
      <c r="N835" s="70">
        <f>K835*L835*M835</f>
        <v/>
      </c>
      <c r="O835" s="37">
        <f>IFERROR(INDEX(Исходные!$B$19:$B$31,MATCH(H835,Исходные!$A$19:$A$31,0)),0)</f>
        <v/>
      </c>
      <c r="P835" s="76">
        <f>N835*O835</f>
        <v/>
      </c>
      <c r="Q835" s="21" t="inlineStr">
        <is>
          <t>АС-68 сеч.а-а поз.3</t>
        </is>
      </c>
      <c r="R835" s="78" t="inlineStr">
        <is>
          <t>принято (уточнить)</t>
        </is>
      </c>
      <c r="S835" s="21" t="inlineStr">
        <is>
          <t>3.759 × 0,90 / 0,09 = 38 шт</t>
        </is>
      </c>
      <c r="T835" s="21" t="inlineStr">
        <is>
          <t>Лестницы</t>
        </is>
      </c>
      <c r="U835" s="49" t="n">
        <v>1</v>
      </c>
      <c r="V835" s="72" t="inlineStr">
        <is>
          <t>Л2</t>
        </is>
      </c>
      <c r="W835" s="49" t="n">
        <v>2</v>
      </c>
    </row>
    <row r="836">
      <c r="A836" s="72" t="n">
        <v>816</v>
      </c>
      <c r="B836" s="21" t="inlineStr">
        <is>
          <t>2 этаж (отм. +3.950…+7.550)</t>
        </is>
      </c>
      <c r="C836" s="21" t="inlineStr">
        <is>
          <t>Лестница ЛВ-1</t>
        </is>
      </c>
      <c r="D836" s="21" t="inlineStr">
        <is>
          <t>оси 3–4 / Г</t>
        </is>
      </c>
      <c r="E836" s="21" t="inlineStr">
        <is>
          <t>ЛВ-1 марш 4</t>
        </is>
      </c>
      <c r="F836" s="72" t="inlineStr">
        <is>
          <t>С-1</t>
        </is>
      </c>
      <c r="G836" s="21" t="inlineStr">
        <is>
          <t>Сетка С-1 5/5/100/100 (Ø5 Вр-I) по ступеням: проволока 20 м на 1 м²</t>
        </is>
      </c>
      <c r="H836" s="51" t="n">
        <v>5</v>
      </c>
      <c r="I836" s="72" t="inlineStr">
        <is>
          <t>Вр-I</t>
        </is>
      </c>
      <c r="J836" s="72" t="inlineStr">
        <is>
          <t>100×100</t>
        </is>
      </c>
      <c r="K836" s="75" t="n">
        <v>6.38</v>
      </c>
      <c r="L836" s="51" t="n">
        <v>20</v>
      </c>
      <c r="M836" s="69" t="n">
        <v>1</v>
      </c>
      <c r="N836" s="70">
        <f>K836*L836*M836</f>
        <v/>
      </c>
      <c r="O836" s="37">
        <f>IFERROR(INDEX(Исходные!$B$19:$B$31,MATCH(H836,Исходные!$A$19:$A$31,0)),0)</f>
        <v/>
      </c>
      <c r="P836" s="76">
        <f>N836*O836</f>
        <v/>
      </c>
      <c r="Q836" s="21" t="inlineStr">
        <is>
          <t>АС-68 «Сетка С-1 5/5/100/100»</t>
        </is>
      </c>
      <c r="R836" s="78" t="inlineStr">
        <is>
          <t>по геометрии (уточнить)</t>
        </is>
      </c>
      <c r="S836" s="21" t="inlineStr">
        <is>
          <t>(12×0,15 + 11×0,30 = 5.10 м) × 1,25 = 6.38 м²</t>
        </is>
      </c>
      <c r="T836" s="21" t="inlineStr">
        <is>
          <t>Лестницы</t>
        </is>
      </c>
      <c r="U836" s="49" t="n">
        <v>1</v>
      </c>
      <c r="V836" s="72" t="inlineStr">
        <is>
          <t>Л2</t>
        </is>
      </c>
      <c r="W836" s="49" t="n">
        <v>2</v>
      </c>
    </row>
    <row r="837">
      <c r="A837" s="72" t="n">
        <v>817</v>
      </c>
      <c r="B837" s="21" t="inlineStr">
        <is>
          <t>2 этаж (отм. +3.950…+7.550)</t>
        </is>
      </c>
      <c r="C837" s="21" t="inlineStr">
        <is>
          <t>Лестница ЛВ-1</t>
        </is>
      </c>
      <c r="D837" s="21" t="inlineStr">
        <is>
          <t>ось 3 / Г, отм. 5.800</t>
        </is>
      </c>
      <c r="E837" s="21" t="inlineStr">
        <is>
          <t>ЛВ-1 площадка 5.800</t>
        </is>
      </c>
      <c r="F837" s="72" t="inlineStr">
        <is>
          <t>2</t>
        </is>
      </c>
      <c r="G837" s="21" t="inlineStr">
        <is>
          <t>Поперечные Ø10 А500С ш.100 (2 полосы × 2 ряда), L=1190</t>
        </is>
      </c>
      <c r="H837" s="51" t="n">
        <v>10</v>
      </c>
      <c r="I837" s="72" t="inlineStr">
        <is>
          <t>А500С</t>
        </is>
      </c>
      <c r="J837" s="72" t="n">
        <v>100</v>
      </c>
      <c r="K837" s="75" t="n">
        <v>2</v>
      </c>
      <c r="L837" s="51" t="n">
        <v>28</v>
      </c>
      <c r="M837" s="69" t="n">
        <v>1.19</v>
      </c>
      <c r="N837" s="70">
        <f>K837*L837*M837</f>
        <v/>
      </c>
      <c r="O837" s="37">
        <f>IFERROR(INDEX(Исходные!$B$19:$B$31,MATCH(H837,Исходные!$A$19:$A$31,0)),0)</f>
        <v/>
      </c>
      <c r="P837" s="76">
        <f>N837*O837</f>
        <v/>
      </c>
      <c r="Q837" s="21" t="inlineStr">
        <is>
          <t>АС-68 сеч.б-б поз.2</t>
        </is>
      </c>
      <c r="R837" s="77" t="inlineStr">
        <is>
          <t>по проекту</t>
        </is>
      </c>
      <c r="S837" s="21" t="inlineStr"/>
      <c r="T837" s="21" t="inlineStr">
        <is>
          <t>Лестницы</t>
        </is>
      </c>
      <c r="U837" s="49" t="n">
        <v>0</v>
      </c>
      <c r="V837" s="72" t="inlineStr">
        <is>
          <t>Л-пл</t>
        </is>
      </c>
      <c r="W837" s="49" t="n">
        <v>2</v>
      </c>
    </row>
    <row r="838">
      <c r="A838" s="72" t="n">
        <v>818</v>
      </c>
      <c r="B838" s="21" t="inlineStr">
        <is>
          <t>2 этаж (отм. +3.950…+7.550)</t>
        </is>
      </c>
      <c r="C838" s="21" t="inlineStr">
        <is>
          <t>Лестница ЛВ-1</t>
        </is>
      </c>
      <c r="D838" s="21" t="inlineStr">
        <is>
          <t>ось 3 / Г, отм. 5.800</t>
        </is>
      </c>
      <c r="E838" s="21" t="inlineStr">
        <is>
          <t>ЛВ-1 площадка 5.800</t>
        </is>
      </c>
      <c r="F838" s="72" t="inlineStr">
        <is>
          <t>4</t>
        </is>
      </c>
      <c r="G838" s="21" t="inlineStr">
        <is>
          <t>П-образный Ø10 А240 L=520 по краям полос</t>
        </is>
      </c>
      <c r="H838" s="51" t="n">
        <v>10</v>
      </c>
      <c r="I838" s="72" t="inlineStr">
        <is>
          <t>А240</t>
        </is>
      </c>
      <c r="J838" s="72" t="n">
        <v>100</v>
      </c>
      <c r="K838" s="75" t="n">
        <v>2</v>
      </c>
      <c r="L838" s="51" t="n">
        <v>28</v>
      </c>
      <c r="M838" s="69" t="n">
        <v>0.52</v>
      </c>
      <c r="N838" s="70">
        <f>K838*L838*M838</f>
        <v/>
      </c>
      <c r="O838" s="37">
        <f>IFERROR(INDEX(Исходные!$B$19:$B$31,MATCH(H838,Исходные!$A$19:$A$31,0)),0)</f>
        <v/>
      </c>
      <c r="P838" s="76">
        <f>N838*O838</f>
        <v/>
      </c>
      <c r="Q838" s="21" t="inlineStr">
        <is>
          <t>АС-68 сеч.б-б поз.4</t>
        </is>
      </c>
      <c r="R838" s="77" t="inlineStr">
        <is>
          <t>по проекту</t>
        </is>
      </c>
      <c r="S838" s="21" t="inlineStr"/>
      <c r="T838" s="21" t="inlineStr">
        <is>
          <t>Лестницы</t>
        </is>
      </c>
      <c r="U838" s="49" t="n">
        <v>0</v>
      </c>
      <c r="V838" s="72" t="inlineStr">
        <is>
          <t>Л-пл</t>
        </is>
      </c>
      <c r="W838" s="49" t="n">
        <v>2</v>
      </c>
    </row>
    <row r="839">
      <c r="A839" s="72" t="n">
        <v>819</v>
      </c>
      <c r="B839" s="21" t="inlineStr">
        <is>
          <t>2 этаж (отм. +3.950…+7.550)</t>
        </is>
      </c>
      <c r="C839" s="21" t="inlineStr">
        <is>
          <t>Лестница ЛВ-1</t>
        </is>
      </c>
      <c r="D839" s="21" t="inlineStr">
        <is>
          <t>ось 3 / Г, отм. 5.800</t>
        </is>
      </c>
      <c r="E839" s="21" t="inlineStr">
        <is>
          <t>ЛВ-1 площадка 5.800</t>
        </is>
      </c>
      <c r="F839" s="72" t="inlineStr">
        <is>
          <t>5</t>
        </is>
      </c>
      <c r="G839" s="21" t="inlineStr">
        <is>
          <t>Связь полос Ø10 А500С ш.100 L=600</t>
        </is>
      </c>
      <c r="H839" s="51" t="n">
        <v>10</v>
      </c>
      <c r="I839" s="72" t="inlineStr">
        <is>
          <t>А500С</t>
        </is>
      </c>
      <c r="J839" s="72" t="n">
        <v>100</v>
      </c>
      <c r="K839" s="75" t="n">
        <v>1</v>
      </c>
      <c r="L839" s="51" t="n">
        <v>28</v>
      </c>
      <c r="M839" s="69" t="n">
        <v>0.6</v>
      </c>
      <c r="N839" s="70">
        <f>K839*L839*M839</f>
        <v/>
      </c>
      <c r="O839" s="37">
        <f>IFERROR(INDEX(Исходные!$B$19:$B$31,MATCH(H839,Исходные!$A$19:$A$31,0)),0)</f>
        <v/>
      </c>
      <c r="P839" s="76">
        <f>N839*O839</f>
        <v/>
      </c>
      <c r="Q839" s="21" t="inlineStr">
        <is>
          <t>АС-68 сеч.б-б поз.5</t>
        </is>
      </c>
      <c r="R839" s="77" t="inlineStr">
        <is>
          <t>по проекту</t>
        </is>
      </c>
      <c r="S839" s="21" t="inlineStr"/>
      <c r="T839" s="21" t="inlineStr">
        <is>
          <t>Лестницы</t>
        </is>
      </c>
      <c r="U839" s="49" t="n">
        <v>0</v>
      </c>
      <c r="V839" s="72" t="inlineStr">
        <is>
          <t>Л-пл</t>
        </is>
      </c>
      <c r="W839" s="49" t="n">
        <v>2</v>
      </c>
    </row>
    <row r="840">
      <c r="A840" s="72" t="n">
        <v>820</v>
      </c>
      <c r="B840" s="21" t="inlineStr">
        <is>
          <t>2 этаж (отм. +3.950…+7.550)</t>
        </is>
      </c>
      <c r="C840" s="21" t="inlineStr">
        <is>
          <t>Лестница ЛВ-1</t>
        </is>
      </c>
      <c r="D840" s="21" t="inlineStr">
        <is>
          <t>ось 3 / Г, отм. 5.800</t>
        </is>
      </c>
      <c r="E840" s="21" t="inlineStr">
        <is>
          <t>ЛВ-1 площадка 5.800</t>
        </is>
      </c>
      <c r="F840" s="72" t="inlineStr">
        <is>
          <t>3</t>
        </is>
      </c>
      <c r="G840" s="21" t="inlineStr">
        <is>
          <t>Шпилька Ø6 А240 L=280 ш.300 шахм.</t>
        </is>
      </c>
      <c r="H840" s="51" t="n">
        <v>6</v>
      </c>
      <c r="I840" s="72" t="inlineStr">
        <is>
          <t>А240</t>
        </is>
      </c>
      <c r="J840" s="72" t="inlineStr">
        <is>
          <t>300 шахм.</t>
        </is>
      </c>
      <c r="K840" s="75" t="n">
        <v>1</v>
      </c>
      <c r="L840" s="51" t="n">
        <v>28</v>
      </c>
      <c r="M840" s="69" t="n">
        <v>0.28</v>
      </c>
      <c r="N840" s="70">
        <f>K840*L840*M840</f>
        <v/>
      </c>
      <c r="O840" s="37">
        <f>IFERROR(INDEX(Исходные!$B$19:$B$31,MATCH(H840,Исходные!$A$19:$A$31,0)),0)</f>
        <v/>
      </c>
      <c r="P840" s="76">
        <f>N840*O840</f>
        <v/>
      </c>
      <c r="Q840" s="21" t="inlineStr">
        <is>
          <t>АС-68 сеч.б-б поз.3</t>
        </is>
      </c>
      <c r="R840" s="78" t="inlineStr">
        <is>
          <t>принято (уточнить)</t>
        </is>
      </c>
      <c r="S840" s="21" t="inlineStr"/>
      <c r="T840" s="21" t="inlineStr">
        <is>
          <t>Лестницы</t>
        </is>
      </c>
      <c r="U840" s="49" t="n">
        <v>1</v>
      </c>
      <c r="V840" s="72" t="inlineStr">
        <is>
          <t>Л-пл</t>
        </is>
      </c>
      <c r="W840" s="49" t="n">
        <v>2</v>
      </c>
    </row>
    <row r="841">
      <c r="A841" s="72" t="n">
        <v>821</v>
      </c>
      <c r="B841" s="21" t="inlineStr">
        <is>
          <t>2 этаж (отм. +3.950…+7.550)</t>
        </is>
      </c>
      <c r="C841" s="21" t="inlineStr">
        <is>
          <t>Лестница ЛВ-1</t>
        </is>
      </c>
      <c r="D841" s="21" t="inlineStr">
        <is>
          <t>ось 3 / Г, отм. 5.800</t>
        </is>
      </c>
      <c r="E841" s="21" t="inlineStr">
        <is>
          <t>ЛВ-1 площадка 5.800</t>
        </is>
      </c>
      <c r="F841" s="72" t="inlineStr">
        <is>
          <t>Зд-1</t>
        </is>
      </c>
      <c r="G841" s="21" t="inlineStr">
        <is>
          <t>Анкеры закладной Зд-1: 4Ø10 L=480 на 1 Зд-1, 2 шт</t>
        </is>
      </c>
      <c r="H841" s="51" t="n">
        <v>10</v>
      </c>
      <c r="I841" s="72" t="inlineStr">
        <is>
          <t>А500С</t>
        </is>
      </c>
      <c r="J841" s="72" t="inlineStr">
        <is>
          <t>—</t>
        </is>
      </c>
      <c r="K841" s="75" t="n">
        <v>2</v>
      </c>
      <c r="L841" s="51" t="n">
        <v>4</v>
      </c>
      <c r="M841" s="69" t="n">
        <v>0.48</v>
      </c>
      <c r="N841" s="70">
        <f>K841*L841*M841</f>
        <v/>
      </c>
      <c r="O841" s="37">
        <f>IFERROR(INDEX(Исходные!$B$19:$B$31,MATCH(H841,Исходные!$A$19:$A$31,0)),0)</f>
        <v/>
      </c>
      <c r="P841" s="76">
        <f>N841*O841</f>
        <v/>
      </c>
      <c r="Q841" s="21" t="inlineStr">
        <is>
          <t>АС-67 узел «1», «Зд-1»</t>
        </is>
      </c>
      <c r="R841" s="78" t="inlineStr">
        <is>
          <t>принято (уточнить)</t>
        </is>
      </c>
      <c r="S841" s="21" t="inlineStr"/>
      <c r="T841" s="21" t="inlineStr">
        <is>
          <t>Лестницы</t>
        </is>
      </c>
      <c r="U841" s="49" t="n">
        <v>1</v>
      </c>
      <c r="V841" s="72" t="inlineStr">
        <is>
          <t>Л-пл</t>
        </is>
      </c>
      <c r="W841" s="49" t="n">
        <v>2</v>
      </c>
    </row>
    <row r="842">
      <c r="A842" s="72" t="n">
        <v>822</v>
      </c>
      <c r="B842" s="21" t="inlineStr">
        <is>
          <t>2 этаж (отм. +3.950…+7.550)</t>
        </is>
      </c>
      <c r="C842" s="21" t="inlineStr">
        <is>
          <t>Лестница ЛВ-1</t>
        </is>
      </c>
      <c r="D842" s="21" t="inlineStr">
        <is>
          <t>ось 3, от оси Г 2855</t>
        </is>
      </c>
      <c r="E842" s="21" t="inlineStr">
        <is>
          <t>Лрм-2</t>
        </is>
      </c>
      <c r="F842" s="72" t="inlineStr">
        <is>
          <t>1</t>
        </is>
      </c>
      <c r="G842" s="21" t="inlineStr">
        <is>
          <t>Ригель рамы 300×300: 4Ø25 (концы с Аш-6)</t>
        </is>
      </c>
      <c r="H842" s="51" t="n">
        <v>25</v>
      </c>
      <c r="I842" s="72" t="inlineStr">
        <is>
          <t>А500С</t>
        </is>
      </c>
      <c r="J842" s="72" t="inlineStr">
        <is>
          <t>—</t>
        </is>
      </c>
      <c r="K842" s="75" t="n">
        <v>1</v>
      </c>
      <c r="L842" s="51" t="n">
        <v>4</v>
      </c>
      <c r="M842" s="69" t="n">
        <v>3.065</v>
      </c>
      <c r="N842" s="70">
        <f>K842*L842*M842</f>
        <v/>
      </c>
      <c r="O842" s="37">
        <f>IFERROR(INDEX(Исходные!$B$19:$B$31,MATCH(H842,Исходные!$A$19:$A$31,0)),0)</f>
        <v/>
      </c>
      <c r="P842" s="76">
        <f>N842*O842</f>
        <v/>
      </c>
      <c r="Q842" s="21" t="inlineStr">
        <is>
          <t>АС-69 «Рама Лрм-1 (Лрм-2)» сеч.2-2</t>
        </is>
      </c>
      <c r="R842" s="78" t="inlineStr">
        <is>
          <t>по геометрии (уточнить)</t>
        </is>
      </c>
      <c r="S842" s="21" t="inlineStr"/>
      <c r="T842" s="21" t="inlineStr">
        <is>
          <t>Лестницы</t>
        </is>
      </c>
      <c r="U842" s="49" t="n">
        <v>1</v>
      </c>
      <c r="V842" s="72" t="inlineStr">
        <is>
          <t>Л-рама</t>
        </is>
      </c>
      <c r="W842" s="49" t="n">
        <v>2</v>
      </c>
    </row>
    <row r="843">
      <c r="A843" s="72" t="n">
        <v>823</v>
      </c>
      <c r="B843" s="21" t="inlineStr">
        <is>
          <t>2 этаж (отм. +3.950…+7.550)</t>
        </is>
      </c>
      <c r="C843" s="21" t="inlineStr">
        <is>
          <t>Лестница ЛВ-1</t>
        </is>
      </c>
      <c r="D843" s="21" t="inlineStr">
        <is>
          <t>ось 3, от оси Г 2855</t>
        </is>
      </c>
      <c r="E843" s="21" t="inlineStr">
        <is>
          <t>Лрм-2</t>
        </is>
      </c>
      <c r="F843" s="72" t="inlineStr">
        <is>
          <t>1</t>
        </is>
      </c>
      <c r="G843" s="21" t="inlineStr">
        <is>
          <t>Стойка рамы 300×300: 4Ø25 (550 ниже +3.950 с Аш-6; высота 1700)</t>
        </is>
      </c>
      <c r="H843" s="51" t="n">
        <v>25</v>
      </c>
      <c r="I843" s="72" t="inlineStr">
        <is>
          <t>А500С</t>
        </is>
      </c>
      <c r="J843" s="72" t="inlineStr">
        <is>
          <t>—</t>
        </is>
      </c>
      <c r="K843" s="75" t="n">
        <v>1</v>
      </c>
      <c r="L843" s="51" t="n">
        <v>4</v>
      </c>
      <c r="M843" s="69" t="n">
        <v>2.21</v>
      </c>
      <c r="N843" s="70">
        <f>K843*L843*M843</f>
        <v/>
      </c>
      <c r="O843" s="37">
        <f>IFERROR(INDEX(Исходные!$B$19:$B$31,MATCH(H843,Исходные!$A$19:$A$31,0)),0)</f>
        <v/>
      </c>
      <c r="P843" s="76">
        <f>N843*O843</f>
        <v/>
      </c>
      <c r="Q843" s="21" t="inlineStr">
        <is>
          <t>АС-69 «Рама Лрм-1 (Лрм-2)» сеч.1-1 «550» ниже опоры (Лрм-2: 3.950÷5.650, высота 1700)</t>
        </is>
      </c>
      <c r="R843" s="78" t="inlineStr">
        <is>
          <t>по геометрии (уточнить)</t>
        </is>
      </c>
      <c r="S843" s="21" t="inlineStr">
        <is>
          <t>L = 550 + 1700 − 40</t>
        </is>
      </c>
      <c r="T843" s="21" t="inlineStr">
        <is>
          <t>Лестницы</t>
        </is>
      </c>
      <c r="U843" s="49" t="n">
        <v>1</v>
      </c>
      <c r="V843" s="72" t="inlineStr">
        <is>
          <t>Л-рама</t>
        </is>
      </c>
      <c r="W843" s="49" t="n">
        <v>2</v>
      </c>
    </row>
    <row r="844">
      <c r="A844" s="72" t="n">
        <v>824</v>
      </c>
      <c r="B844" s="21" t="inlineStr">
        <is>
          <t>2 этаж (отм. +3.950…+7.550)</t>
        </is>
      </c>
      <c r="C844" s="21" t="inlineStr">
        <is>
          <t>Лестница ЛВ-1</t>
        </is>
      </c>
      <c r="D844" s="21" t="inlineStr">
        <is>
          <t>ось 3</t>
        </is>
      </c>
      <c r="E844" s="21" t="inlineStr">
        <is>
          <t>Лрм-2</t>
        </is>
      </c>
      <c r="F844" s="72" t="inlineStr">
        <is>
          <t>1 (хом.)</t>
        </is>
      </c>
      <c r="G844" s="21" t="inlineStr">
        <is>
          <t>Хомут стойки Ø8 L=1280 ш.100 (на высоту 1400)</t>
        </is>
      </c>
      <c r="H844" s="51" t="n">
        <v>8</v>
      </c>
      <c r="I844" s="72" t="inlineStr">
        <is>
          <t>А240</t>
        </is>
      </c>
      <c r="J844" s="72" t="n">
        <v>100</v>
      </c>
      <c r="K844" s="75" t="n">
        <v>1</v>
      </c>
      <c r="L844" s="51" t="n">
        <v>14</v>
      </c>
      <c r="M844" s="69" t="n">
        <v>1.28</v>
      </c>
      <c r="N844" s="70">
        <f>K844*L844*M844</f>
        <v/>
      </c>
      <c r="O844" s="37">
        <f>IFERROR(INDEX(Исходные!$B$19:$B$31,MATCH(H844,Исходные!$A$19:$A$31,0)),0)</f>
        <v/>
      </c>
      <c r="P844" s="76">
        <f>N844*O844</f>
        <v/>
      </c>
      <c r="Q844" s="21" t="inlineStr">
        <is>
          <t>АС-69 «Позиция 1 L=1280»</t>
        </is>
      </c>
      <c r="R844" s="77" t="inlineStr">
        <is>
          <t>по проекту</t>
        </is>
      </c>
      <c r="S844" s="21" t="inlineStr"/>
      <c r="T844" s="21" t="inlineStr">
        <is>
          <t>Лестницы</t>
        </is>
      </c>
      <c r="U844" s="49" t="n">
        <v>0</v>
      </c>
      <c r="V844" s="72" t="inlineStr">
        <is>
          <t>Л-рама</t>
        </is>
      </c>
      <c r="W844" s="49" t="n">
        <v>2</v>
      </c>
    </row>
    <row r="845">
      <c r="A845" s="72" t="n">
        <v>825</v>
      </c>
      <c r="B845" s="21" t="inlineStr">
        <is>
          <t>2 этаж (отм. +3.950…+7.550)</t>
        </is>
      </c>
      <c r="C845" s="21" t="inlineStr">
        <is>
          <t>Лестница ЛВ-1</t>
        </is>
      </c>
      <c r="D845" s="21" t="inlineStr">
        <is>
          <t>ось 3</t>
        </is>
      </c>
      <c r="E845" s="21" t="inlineStr">
        <is>
          <t>Лрм-2</t>
        </is>
      </c>
      <c r="F845" s="72" t="inlineStr">
        <is>
          <t>2 (хом.)</t>
        </is>
      </c>
      <c r="G845" s="21" t="inlineStr">
        <is>
          <t>Хомут ригеля Ø8 L=1160 ш.100</t>
        </is>
      </c>
      <c r="H845" s="51" t="n">
        <v>8</v>
      </c>
      <c r="I845" s="72" t="inlineStr">
        <is>
          <t>А240</t>
        </is>
      </c>
      <c r="J845" s="72" t="n">
        <v>100</v>
      </c>
      <c r="K845" s="75" t="n">
        <v>1</v>
      </c>
      <c r="L845" s="51" t="n">
        <v>22</v>
      </c>
      <c r="M845" s="69" t="n">
        <v>1.16</v>
      </c>
      <c r="N845" s="70">
        <f>K845*L845*M845</f>
        <v/>
      </c>
      <c r="O845" s="37">
        <f>IFERROR(INDEX(Исходные!$B$19:$B$31,MATCH(H845,Исходные!$A$19:$A$31,0)),0)</f>
        <v/>
      </c>
      <c r="P845" s="76">
        <f>N845*O845</f>
        <v/>
      </c>
      <c r="Q845" s="21" t="inlineStr">
        <is>
          <t>АС-69 «Позиция 2 L=1160»</t>
        </is>
      </c>
      <c r="R845" s="77" t="inlineStr">
        <is>
          <t>по проекту</t>
        </is>
      </c>
      <c r="S845" s="21" t="inlineStr"/>
      <c r="T845" s="21" t="inlineStr">
        <is>
          <t>Лестницы</t>
        </is>
      </c>
      <c r="U845" s="49" t="n">
        <v>0</v>
      </c>
      <c r="V845" s="72" t="inlineStr">
        <is>
          <t>Л-рама</t>
        </is>
      </c>
      <c r="W845" s="49" t="n">
        <v>2</v>
      </c>
    </row>
    <row r="846">
      <c r="A846" s="72" t="n">
        <v>826</v>
      </c>
      <c r="B846" s="21" t="inlineStr">
        <is>
          <t>2 этаж (отм. +3.950…+7.550)</t>
        </is>
      </c>
      <c r="C846" s="21" t="inlineStr">
        <is>
          <t>Лестница ЛВ-1</t>
        </is>
      </c>
      <c r="D846" s="21" t="inlineStr">
        <is>
          <t>ось 3</t>
        </is>
      </c>
      <c r="E846" s="21" t="inlineStr">
        <is>
          <t>Лрм-2</t>
        </is>
      </c>
      <c r="F846" s="72" t="inlineStr">
        <is>
          <t>А-1</t>
        </is>
      </c>
      <c r="G846" s="21" t="inlineStr">
        <is>
          <t>Анкер А-1 Ø16 А240 L=420</t>
        </is>
      </c>
      <c r="H846" s="51" t="n">
        <v>16</v>
      </c>
      <c r="I846" s="72" t="inlineStr">
        <is>
          <t>А240</t>
        </is>
      </c>
      <c r="J846" s="72" t="inlineStr">
        <is>
          <t>—</t>
        </is>
      </c>
      <c r="K846" s="75" t="n">
        <v>1</v>
      </c>
      <c r="L846" s="51" t="n">
        <v>2</v>
      </c>
      <c r="M846" s="69" t="n">
        <v>0.42</v>
      </c>
      <c r="N846" s="70">
        <f>K846*L846*M846</f>
        <v/>
      </c>
      <c r="O846" s="37">
        <f>IFERROR(INDEX(Исходные!$B$19:$B$31,MATCH(H846,Исходные!$A$19:$A$31,0)),0)</f>
        <v/>
      </c>
      <c r="P846" s="76">
        <f>N846*O846</f>
        <v/>
      </c>
      <c r="Q846" s="21" t="inlineStr">
        <is>
          <t>АС-67 узел «1»</t>
        </is>
      </c>
      <c r="R846" s="78" t="inlineStr">
        <is>
          <t>принято (уточнить)</t>
        </is>
      </c>
      <c r="S846" s="21" t="inlineStr"/>
      <c r="T846" s="21" t="inlineStr">
        <is>
          <t>Лестницы</t>
        </is>
      </c>
      <c r="U846" s="49" t="n">
        <v>1</v>
      </c>
      <c r="V846" s="72" t="inlineStr">
        <is>
          <t>Л-рама</t>
        </is>
      </c>
      <c r="W846" s="49" t="n">
        <v>2</v>
      </c>
    </row>
    <row r="847">
      <c r="A847" s="73" t="inlineStr">
        <is>
          <t>3 ЭТАЖ (+7.550…+11.150)</t>
        </is>
      </c>
      <c r="B847" s="33" t="n"/>
      <c r="C847" s="33" t="n"/>
      <c r="D847" s="33" t="n"/>
      <c r="E847" s="33" t="n"/>
      <c r="F847" s="33" t="n"/>
      <c r="G847" s="33" t="n"/>
      <c r="H847" s="33" t="n"/>
      <c r="I847" s="33" t="n"/>
      <c r="J847" s="33" t="n"/>
      <c r="K847" s="33" t="n"/>
      <c r="L847" s="33" t="n"/>
      <c r="M847" s="33" t="n"/>
      <c r="N847" s="33" t="n"/>
      <c r="O847" s="33" t="n"/>
      <c r="P847" s="33" t="n"/>
      <c r="Q847" s="33" t="n"/>
      <c r="R847" s="33" t="n"/>
      <c r="S847" s="33" t="n"/>
      <c r="T847" s="33" t="n"/>
      <c r="U847" s="33" t="n"/>
      <c r="V847" s="33" t="n"/>
      <c r="W847" s="34" t="n"/>
    </row>
    <row r="848">
      <c r="A848" s="74" t="inlineStr">
        <is>
          <t>3.1. ДИАФРАГМЫ Дм-1…Дм-5 — отм. +7.550…+11.150, сечения 3-3 / 4-4 «3÷5 этаж» (Дм-1, 2, 5), 2-2 (Дм-3, 4)</t>
        </is>
      </c>
      <c r="B848" s="33" t="n"/>
      <c r="C848" s="33" t="n"/>
      <c r="D848" s="33" t="n"/>
      <c r="E848" s="33" t="n"/>
      <c r="F848" s="33" t="n"/>
      <c r="G848" s="33" t="n"/>
      <c r="H848" s="33" t="n"/>
      <c r="I848" s="33" t="n"/>
      <c r="J848" s="33" t="n"/>
      <c r="K848" s="33" t="n"/>
      <c r="L848" s="33" t="n"/>
      <c r="M848" s="33" t="n"/>
      <c r="N848" s="33" t="n"/>
      <c r="O848" s="33" t="n"/>
      <c r="P848" s="33" t="n"/>
      <c r="Q848" s="33" t="n"/>
      <c r="R848" s="33" t="n"/>
      <c r="S848" s="33" t="n"/>
      <c r="T848" s="33" t="n"/>
      <c r="U848" s="33" t="n"/>
      <c r="V848" s="33" t="n"/>
      <c r="W848" s="34" t="n"/>
    </row>
    <row r="849">
      <c r="A849" s="72" t="n">
        <v>827</v>
      </c>
      <c r="B849" s="21" t="inlineStr">
        <is>
          <t>3 этаж (отм. +7.550…+11.150)</t>
        </is>
      </c>
      <c r="C849" s="21" t="inlineStr">
        <is>
          <t>Диафрагмы</t>
        </is>
      </c>
      <c r="D849" s="21" t="inlineStr">
        <is>
          <t>А/4</t>
        </is>
      </c>
      <c r="E849" s="21" t="inlineStr">
        <is>
          <t>Дм-1</t>
        </is>
      </c>
      <c r="F849" s="72" t="inlineStr">
        <is>
          <t>2</t>
        </is>
      </c>
      <c r="G849" s="21" t="inlineStr">
        <is>
          <t>Вертикальные: колонна, угловые 4Ø28</t>
        </is>
      </c>
      <c r="H849" s="51" t="n">
        <v>28</v>
      </c>
      <c r="I849" s="72" t="inlineStr">
        <is>
          <t>А500С</t>
        </is>
      </c>
      <c r="J849" s="72" t="inlineStr">
        <is>
          <t>—</t>
        </is>
      </c>
      <c r="K849" s="75" t="n">
        <v>1</v>
      </c>
      <c r="L849" s="51" t="n">
        <v>4</v>
      </c>
      <c r="M849" s="69" t="n">
        <v>3.6</v>
      </c>
      <c r="N849" s="70">
        <f>K849*L849*M849</f>
        <v/>
      </c>
      <c r="O849" s="37">
        <f>IFERROR(INDEX(Исходные!$B$19:$B$31,MATCH(H849,Исходные!$A$19:$A$31,0)),0)</f>
        <v/>
      </c>
      <c r="P849" s="76">
        <f>N849*O849</f>
        <v/>
      </c>
      <c r="Q849" s="21" t="inlineStr">
        <is>
          <t>АС-35 сеч.3-3 «3÷5 этаж»; прим.1,3</t>
        </is>
      </c>
      <c r="R849" s="77" t="inlineStr">
        <is>
          <t>по проекту</t>
        </is>
      </c>
      <c r="S849" s="21" t="inlineStr">
        <is>
          <t>стык ванной сваркой (Ø≥20), длина = высота этажа 3,6 м. поз.2 4Ø28</t>
        </is>
      </c>
      <c r="T849" s="21" t="inlineStr">
        <is>
          <t>Колонны, диафрагмы</t>
        </is>
      </c>
      <c r="U849" s="49" t="n">
        <v>0</v>
      </c>
      <c r="V849" s="72" t="inlineStr">
        <is>
          <t>Дм-1</t>
        </is>
      </c>
      <c r="W849" s="49" t="n">
        <v>3</v>
      </c>
    </row>
    <row r="850">
      <c r="A850" s="72" t="n">
        <v>828</v>
      </c>
      <c r="B850" s="21" t="inlineStr">
        <is>
          <t>3 этаж (отм. +7.550…+11.150)</t>
        </is>
      </c>
      <c r="C850" s="21" t="inlineStr">
        <is>
          <t>Диафрагмы</t>
        </is>
      </c>
      <c r="D850" s="21" t="inlineStr">
        <is>
          <t>А/4</t>
        </is>
      </c>
      <c r="E850" s="21" t="inlineStr">
        <is>
          <t>Дм-1</t>
        </is>
      </c>
      <c r="F850" s="72" t="inlineStr">
        <is>
          <t>5</t>
        </is>
      </c>
      <c r="G850" s="21" t="inlineStr">
        <is>
          <t>Вертикальные: колонна 8Ø20</t>
        </is>
      </c>
      <c r="H850" s="51" t="n">
        <v>20</v>
      </c>
      <c r="I850" s="72" t="inlineStr">
        <is>
          <t>А500С</t>
        </is>
      </c>
      <c r="J850" s="72" t="inlineStr">
        <is>
          <t>—</t>
        </is>
      </c>
      <c r="K850" s="75" t="n">
        <v>1</v>
      </c>
      <c r="L850" s="51" t="n">
        <v>8</v>
      </c>
      <c r="M850" s="69" t="n">
        <v>3.6</v>
      </c>
      <c r="N850" s="70">
        <f>K850*L850*M850</f>
        <v/>
      </c>
      <c r="O850" s="37">
        <f>IFERROR(INDEX(Исходные!$B$19:$B$31,MATCH(H850,Исходные!$A$19:$A$31,0)),0)</f>
        <v/>
      </c>
      <c r="P850" s="76">
        <f>N850*O850</f>
        <v/>
      </c>
      <c r="Q850" s="21" t="inlineStr">
        <is>
          <t>АС-35 сеч.3-3 «3÷5 этаж»; прим.1,3</t>
        </is>
      </c>
      <c r="R850" s="77" t="inlineStr">
        <is>
          <t>по проекту</t>
        </is>
      </c>
      <c r="S850" s="21" t="inlineStr">
        <is>
          <t>стык ванной сваркой (Ø≥20), длина = высота этажа 3,6 м. поз.5 8Ø20</t>
        </is>
      </c>
      <c r="T850" s="21" t="inlineStr">
        <is>
          <t>Колонны, диафрагмы</t>
        </is>
      </c>
      <c r="U850" s="49" t="n">
        <v>0</v>
      </c>
      <c r="V850" s="72" t="inlineStr">
        <is>
          <t>Дм-1</t>
        </is>
      </c>
      <c r="W850" s="49" t="n">
        <v>3</v>
      </c>
    </row>
    <row r="851">
      <c r="A851" s="72" t="n">
        <v>829</v>
      </c>
      <c r="B851" s="21" t="inlineStr">
        <is>
          <t>3 этаж (отм. +7.550…+11.150)</t>
        </is>
      </c>
      <c r="C851" s="21" t="inlineStr">
        <is>
          <t>Диафрагмы</t>
        </is>
      </c>
      <c r="D851" s="21" t="inlineStr">
        <is>
          <t>А/4</t>
        </is>
      </c>
      <c r="E851" s="21" t="inlineStr">
        <is>
          <t>Дм-1</t>
        </is>
      </c>
      <c r="F851" s="72" t="inlineStr">
        <is>
          <t>4</t>
        </is>
      </c>
      <c r="G851" s="21" t="inlineStr">
        <is>
          <t>Вертикальные: полка: 2 торцевых эл-та по 6 (выноски «3Ø22» + 3 симметр.)</t>
        </is>
      </c>
      <c r="H851" s="51" t="n">
        <v>22</v>
      </c>
      <c r="I851" s="72" t="inlineStr">
        <is>
          <t>А500С</t>
        </is>
      </c>
      <c r="J851" s="72" t="inlineStr">
        <is>
          <t>—</t>
        </is>
      </c>
      <c r="K851" s="75" t="n">
        <v>1</v>
      </c>
      <c r="L851" s="51" t="n">
        <v>12</v>
      </c>
      <c r="M851" s="69" t="n">
        <v>3.6</v>
      </c>
      <c r="N851" s="70">
        <f>K851*L851*M851</f>
        <v/>
      </c>
      <c r="O851" s="37">
        <f>IFERROR(INDEX(Исходные!$B$19:$B$31,MATCH(H851,Исходные!$A$19:$A$31,0)),0)</f>
        <v/>
      </c>
      <c r="P851" s="76">
        <f>N851*O851</f>
        <v/>
      </c>
      <c r="Q851" s="21" t="inlineStr">
        <is>
          <t>АС-35 сеч.3-3 «3÷5 этаж»; прим.1,3</t>
        </is>
      </c>
      <c r="R851" s="77" t="inlineStr">
        <is>
          <t>по проекту</t>
        </is>
      </c>
      <c r="S851" s="21" t="inlineStr">
        <is>
          <t>стык ванной сваркой (Ø≥20), длина = высота этажа 3,6 м. «4 3Ø22» ×2 на нижний ряд + верхний ряд симметрично</t>
        </is>
      </c>
      <c r="T851" s="21" t="inlineStr">
        <is>
          <t>Колонны, диафрагмы</t>
        </is>
      </c>
      <c r="U851" s="49" t="n">
        <v>0</v>
      </c>
      <c r="V851" s="72" t="inlineStr">
        <is>
          <t>Дм-1</t>
        </is>
      </c>
      <c r="W851" s="49" t="n">
        <v>3</v>
      </c>
    </row>
    <row r="852">
      <c r="A852" s="72" t="n">
        <v>830</v>
      </c>
      <c r="B852" s="21" t="inlineStr">
        <is>
          <t>3 этаж (отм. +7.550…+11.150)</t>
        </is>
      </c>
      <c r="C852" s="21" t="inlineStr">
        <is>
          <t>Диафрагмы</t>
        </is>
      </c>
      <c r="D852" s="21" t="inlineStr">
        <is>
          <t>А/4</t>
        </is>
      </c>
      <c r="E852" s="21" t="inlineStr">
        <is>
          <t>Дм-1</t>
        </is>
      </c>
      <c r="F852" s="72" t="inlineStr">
        <is>
          <t>7</t>
        </is>
      </c>
      <c r="G852" s="21" t="inlineStr">
        <is>
          <t>Вертикальные: полка, стенка (выноски «2Ø14» + 2 симметр., ×2 стороны)</t>
        </is>
      </c>
      <c r="H852" s="51" t="n">
        <v>14</v>
      </c>
      <c r="I852" s="72" t="inlineStr">
        <is>
          <t>А500С</t>
        </is>
      </c>
      <c r="J852" s="72" t="inlineStr">
        <is>
          <t>—</t>
        </is>
      </c>
      <c r="K852" s="75" t="n">
        <v>1</v>
      </c>
      <c r="L852" s="51" t="n">
        <v>8</v>
      </c>
      <c r="M852" s="69" t="n">
        <v>3.712</v>
      </c>
      <c r="N852" s="70">
        <f>K852*L852*M852</f>
        <v/>
      </c>
      <c r="O852" s="37">
        <f>IFERROR(INDEX(Исходные!$B$19:$B$31,MATCH(H852,Исходные!$A$19:$A$31,0)),0)</f>
        <v/>
      </c>
      <c r="P852" s="76">
        <f>N852*O852</f>
        <v/>
      </c>
      <c r="Q852" s="21" t="inlineStr">
        <is>
          <t>АС-35 сеч.3-3 «3÷5 этаж»; прим.1,3</t>
        </is>
      </c>
      <c r="R852" s="77" t="inlineStr">
        <is>
          <t>по проекту</t>
        </is>
      </c>
      <c r="S852" s="21" t="inlineStr">
        <is>
          <t>нахлёст 8d со сваркой (Ø≤18), учтён в длине. «7 2Ø14» ×2</t>
        </is>
      </c>
      <c r="T852" s="21" t="inlineStr">
        <is>
          <t>Колонны, диафрагмы</t>
        </is>
      </c>
      <c r="U852" s="49" t="n">
        <v>0</v>
      </c>
      <c r="V852" s="72" t="inlineStr">
        <is>
          <t>Дм-1</t>
        </is>
      </c>
      <c r="W852" s="49" t="n">
        <v>3</v>
      </c>
    </row>
    <row r="853">
      <c r="A853" s="72" t="n">
        <v>831</v>
      </c>
      <c r="B853" s="21" t="inlineStr">
        <is>
          <t>3 этаж (отм. +7.550…+11.150)</t>
        </is>
      </c>
      <c r="C853" s="21" t="inlineStr">
        <is>
          <t>Диафрагмы</t>
        </is>
      </c>
      <c r="D853" s="21" t="inlineStr">
        <is>
          <t>А/4</t>
        </is>
      </c>
      <c r="E853" s="21" t="inlineStr">
        <is>
          <t>Дм-1</t>
        </is>
      </c>
      <c r="F853" s="72" t="inlineStr">
        <is>
          <t>3</t>
        </is>
      </c>
      <c r="G853" s="21" t="inlineStr">
        <is>
          <t>Вертикальные: ребро, торцевой эл-т (выноска «3Ø25» + 3 симметр.)</t>
        </is>
      </c>
      <c r="H853" s="51" t="n">
        <v>25</v>
      </c>
      <c r="I853" s="72" t="inlineStr">
        <is>
          <t>А500С</t>
        </is>
      </c>
      <c r="J853" s="72" t="inlineStr">
        <is>
          <t>—</t>
        </is>
      </c>
      <c r="K853" s="75" t="n">
        <v>1</v>
      </c>
      <c r="L853" s="51" t="n">
        <v>6</v>
      </c>
      <c r="M853" s="69" t="n">
        <v>3.6</v>
      </c>
      <c r="N853" s="70">
        <f>K853*L853*M853</f>
        <v/>
      </c>
      <c r="O853" s="37">
        <f>IFERROR(INDEX(Исходные!$B$19:$B$31,MATCH(H853,Исходные!$A$19:$A$31,0)),0)</f>
        <v/>
      </c>
      <c r="P853" s="76">
        <f>N853*O853</f>
        <v/>
      </c>
      <c r="Q853" s="21" t="inlineStr">
        <is>
          <t>АС-35 сеч.3-3 «3÷5 этаж»; прим.1,3</t>
        </is>
      </c>
      <c r="R853" s="77" t="inlineStr">
        <is>
          <t>по проекту</t>
        </is>
      </c>
      <c r="S853" s="21" t="inlineStr">
        <is>
          <t>стык ванной сваркой (Ø≥20), длина = высота этажа 3,6 м. «3 3Ø25»</t>
        </is>
      </c>
      <c r="T853" s="21" t="inlineStr">
        <is>
          <t>Колонны, диафрагмы</t>
        </is>
      </c>
      <c r="U853" s="49" t="n">
        <v>0</v>
      </c>
      <c r="V853" s="72" t="inlineStr">
        <is>
          <t>Дм-1</t>
        </is>
      </c>
      <c r="W853" s="49" t="n">
        <v>3</v>
      </c>
    </row>
    <row r="854">
      <c r="A854" s="72" t="n">
        <v>832</v>
      </c>
      <c r="B854" s="21" t="inlineStr">
        <is>
          <t>3 этаж (отм. +7.550…+11.150)</t>
        </is>
      </c>
      <c r="C854" s="21" t="inlineStr">
        <is>
          <t>Диафрагмы</t>
        </is>
      </c>
      <c r="D854" s="21" t="inlineStr">
        <is>
          <t>А/4</t>
        </is>
      </c>
      <c r="E854" s="21" t="inlineStr">
        <is>
          <t>Дм-1</t>
        </is>
      </c>
      <c r="F854" s="72" t="inlineStr">
        <is>
          <t>7</t>
        </is>
      </c>
      <c r="G854" s="21" t="inlineStr">
        <is>
          <t>Вертикальные: ребро, стенка (выноска «2Ø18» + 2 симметр.)</t>
        </is>
      </c>
      <c r="H854" s="51" t="n">
        <v>18</v>
      </c>
      <c r="I854" s="72" t="inlineStr">
        <is>
          <t>А500С</t>
        </is>
      </c>
      <c r="J854" s="72" t="inlineStr">
        <is>
          <t>—</t>
        </is>
      </c>
      <c r="K854" s="75" t="n">
        <v>1</v>
      </c>
      <c r="L854" s="51" t="n">
        <v>4</v>
      </c>
      <c r="M854" s="69" t="n">
        <v>3.744</v>
      </c>
      <c r="N854" s="70">
        <f>K854*L854*M854</f>
        <v/>
      </c>
      <c r="O854" s="37">
        <f>IFERROR(INDEX(Исходные!$B$19:$B$31,MATCH(H854,Исходные!$A$19:$A$31,0)),0)</f>
        <v/>
      </c>
      <c r="P854" s="76">
        <f>N854*O854</f>
        <v/>
      </c>
      <c r="Q854" s="21" t="inlineStr">
        <is>
          <t>АС-35 сеч.3-3 «3÷5 этаж»; прим.1,3</t>
        </is>
      </c>
      <c r="R854" s="77" t="inlineStr">
        <is>
          <t>по проекту</t>
        </is>
      </c>
      <c r="S854" s="21" t="inlineStr">
        <is>
          <t>нахлёст 8d со сваркой (Ø≤18), учтён в длине. «7 2Ø18»</t>
        </is>
      </c>
      <c r="T854" s="21" t="inlineStr">
        <is>
          <t>Колонны, диафрагмы</t>
        </is>
      </c>
      <c r="U854" s="49" t="n">
        <v>0</v>
      </c>
      <c r="V854" s="72" t="inlineStr">
        <is>
          <t>Дм-1</t>
        </is>
      </c>
      <c r="W854" s="49" t="n">
        <v>3</v>
      </c>
    </row>
    <row r="855">
      <c r="A855" s="72" t="n">
        <v>833</v>
      </c>
      <c r="B855" s="21" t="inlineStr">
        <is>
          <t>3 этаж (отм. +7.550…+11.150)</t>
        </is>
      </c>
      <c r="C855" s="21" t="inlineStr">
        <is>
          <t>Диафрагмы</t>
        </is>
      </c>
      <c r="D855" s="21" t="inlineStr">
        <is>
          <t>А/4</t>
        </is>
      </c>
      <c r="E855" s="21" t="inlineStr">
        <is>
          <t>Дм-1</t>
        </is>
      </c>
      <c r="F855" s="72" t="inlineStr">
        <is>
          <t>7</t>
        </is>
      </c>
      <c r="G855" s="21" t="inlineStr">
        <is>
          <t>Вертикальные: ребро, стенка (выноска «4Ø14» + 4 симметр.)</t>
        </is>
      </c>
      <c r="H855" s="51" t="n">
        <v>14</v>
      </c>
      <c r="I855" s="72" t="inlineStr">
        <is>
          <t>А500С</t>
        </is>
      </c>
      <c r="J855" s="72" t="inlineStr">
        <is>
          <t>—</t>
        </is>
      </c>
      <c r="K855" s="75" t="n">
        <v>1</v>
      </c>
      <c r="L855" s="51" t="n">
        <v>8</v>
      </c>
      <c r="M855" s="69" t="n">
        <v>3.712</v>
      </c>
      <c r="N855" s="70">
        <f>K855*L855*M855</f>
        <v/>
      </c>
      <c r="O855" s="37">
        <f>IFERROR(INDEX(Исходные!$B$19:$B$31,MATCH(H855,Исходные!$A$19:$A$31,0)),0)</f>
        <v/>
      </c>
      <c r="P855" s="76">
        <f>N855*O855</f>
        <v/>
      </c>
      <c r="Q855" s="21" t="inlineStr">
        <is>
          <t>АС-35 сеч.3-3 «3÷5 этаж»; прим.1,3</t>
        </is>
      </c>
      <c r="R855" s="77" t="inlineStr">
        <is>
          <t>по проекту</t>
        </is>
      </c>
      <c r="S855" s="21" t="inlineStr">
        <is>
          <t>нахлёст 8d со сваркой (Ø≤18), учтён в длине. «7 4Ø14»</t>
        </is>
      </c>
      <c r="T855" s="21" t="inlineStr">
        <is>
          <t>Колонны, диафрагмы</t>
        </is>
      </c>
      <c r="U855" s="49" t="n">
        <v>0</v>
      </c>
      <c r="V855" s="72" t="inlineStr">
        <is>
          <t>Дм-1</t>
        </is>
      </c>
      <c r="W855" s="49" t="n">
        <v>3</v>
      </c>
    </row>
    <row r="856">
      <c r="A856" s="72" t="n">
        <v>834</v>
      </c>
      <c r="B856" s="21" t="inlineStr">
        <is>
          <t>3 этаж (отм. +7.550…+11.150)</t>
        </is>
      </c>
      <c r="C856" s="21" t="inlineStr">
        <is>
          <t>Диафрагмы</t>
        </is>
      </c>
      <c r="D856" s="21" t="inlineStr">
        <is>
          <t>А/4</t>
        </is>
      </c>
      <c r="E856" s="21" t="inlineStr">
        <is>
          <t>Дм-1</t>
        </is>
      </c>
      <c r="F856" s="72" t="inlineStr">
        <is>
          <t>гор.</t>
        </is>
      </c>
      <c r="G856" s="21" t="inlineStr">
        <is>
          <t>Горизонтальные «Осн. стержни»: полка вдоль оси А, L=2000-2×25</t>
        </is>
      </c>
      <c r="H856" s="51" t="n">
        <v>14</v>
      </c>
      <c r="I856" s="72" t="inlineStr">
        <is>
          <t>А500С</t>
        </is>
      </c>
      <c r="J856" s="72" t="n">
        <v>200</v>
      </c>
      <c r="K856" s="75" t="n">
        <v>1</v>
      </c>
      <c r="L856" s="51" t="n">
        <v>32</v>
      </c>
      <c r="M856" s="69" t="n">
        <v>1.95</v>
      </c>
      <c r="N856" s="70">
        <f>K856*L856*M856</f>
        <v/>
      </c>
      <c r="O856" s="37">
        <f>IFERROR(INDEX(Исходные!$B$19:$B$31,MATCH(H856,Исходные!$A$19:$A$31,0)),0)</f>
        <v/>
      </c>
      <c r="P856" s="76">
        <f>N856*O856</f>
        <v/>
      </c>
      <c r="Q856" s="21" t="inlineStr">
        <is>
          <t>АС-35 развертка 3 этажа, шаг 200x14+100 (16 рядов × 2 грани)</t>
        </is>
      </c>
      <c r="R856" s="78" t="inlineStr">
        <is>
          <t>по геометрии (уточнить)</t>
        </is>
      </c>
      <c r="S856" s="21" t="inlineStr">
        <is>
          <t>развертка «Осн. стержни Ø14» (3 этаж)</t>
        </is>
      </c>
      <c r="T856" s="21" t="inlineStr">
        <is>
          <t>Колонны, диафрагмы</t>
        </is>
      </c>
      <c r="U856" s="49" t="n">
        <v>1</v>
      </c>
      <c r="V856" s="72" t="inlineStr">
        <is>
          <t>Дм-1</t>
        </is>
      </c>
      <c r="W856" s="49" t="n">
        <v>3</v>
      </c>
    </row>
    <row r="857">
      <c r="A857" s="72" t="n">
        <v>835</v>
      </c>
      <c r="B857" s="21" t="inlineStr">
        <is>
          <t>3 этаж (отм. +7.550…+11.150)</t>
        </is>
      </c>
      <c r="C857" s="21" t="inlineStr">
        <is>
          <t>Диафрагмы</t>
        </is>
      </c>
      <c r="D857" s="21" t="inlineStr">
        <is>
          <t>А/4</t>
        </is>
      </c>
      <c r="E857" s="21" t="inlineStr">
        <is>
          <t>Дм-1</t>
        </is>
      </c>
      <c r="F857" s="72" t="inlineStr">
        <is>
          <t>гор.</t>
        </is>
      </c>
      <c r="G857" s="21" t="inlineStr">
        <is>
          <t>Горизонтальные «Осн. стержни»: ребро вдоль оси 4, L=2300-2×25</t>
        </is>
      </c>
      <c r="H857" s="51" t="n">
        <v>14</v>
      </c>
      <c r="I857" s="72" t="inlineStr">
        <is>
          <t>А500С</t>
        </is>
      </c>
      <c r="J857" s="72" t="n">
        <v>200</v>
      </c>
      <c r="K857" s="75" t="n">
        <v>1</v>
      </c>
      <c r="L857" s="51" t="n">
        <v>32</v>
      </c>
      <c r="M857" s="69" t="n">
        <v>2.25</v>
      </c>
      <c r="N857" s="70">
        <f>K857*L857*M857</f>
        <v/>
      </c>
      <c r="O857" s="37">
        <f>IFERROR(INDEX(Исходные!$B$19:$B$31,MATCH(H857,Исходные!$A$19:$A$31,0)),0)</f>
        <v/>
      </c>
      <c r="P857" s="76">
        <f>N857*O857</f>
        <v/>
      </c>
      <c r="Q857" s="21" t="inlineStr">
        <is>
          <t>АС-35 развертка 3 этажа, шаг 200x14+100 (16 рядов × 2 грани)</t>
        </is>
      </c>
      <c r="R857" s="78" t="inlineStr">
        <is>
          <t>по геометрии (уточнить)</t>
        </is>
      </c>
      <c r="S857" s="21" t="inlineStr">
        <is>
          <t>развертка «Осн. стержни Ø14» (3 этаж)</t>
        </is>
      </c>
      <c r="T857" s="21" t="inlineStr">
        <is>
          <t>Колонны, диафрагмы</t>
        </is>
      </c>
      <c r="U857" s="49" t="n">
        <v>1</v>
      </c>
      <c r="V857" s="72" t="inlineStr">
        <is>
          <t>Дм-1</t>
        </is>
      </c>
      <c r="W857" s="49" t="n">
        <v>3</v>
      </c>
    </row>
    <row r="858">
      <c r="A858" s="72" t="n">
        <v>836</v>
      </c>
      <c r="B858" s="21" t="inlineStr">
        <is>
          <t>3 этаж (отм. +7.550…+11.150)</t>
        </is>
      </c>
      <c r="C858" s="21" t="inlineStr">
        <is>
          <t>Диафрагмы</t>
        </is>
      </c>
      <c r="D858" s="21" t="inlineStr">
        <is>
          <t>А/4</t>
        </is>
      </c>
      <c r="E858" s="21" t="inlineStr">
        <is>
          <t>Дм-1</t>
        </is>
      </c>
      <c r="F858" s="72" t="inlineStr">
        <is>
          <t>доп.</t>
        </is>
      </c>
      <c r="G858" s="21" t="inlineStr">
        <is>
          <t>Доп. стержни: ось А под ригелем +11.150, 6Ø12 L=1950</t>
        </is>
      </c>
      <c r="H858" s="51" t="n">
        <v>12</v>
      </c>
      <c r="I858" s="72" t="inlineStr">
        <is>
          <t>А500С</t>
        </is>
      </c>
      <c r="J858" s="72" t="n">
        <v>200</v>
      </c>
      <c r="K858" s="75" t="n">
        <v>1</v>
      </c>
      <c r="L858" s="51" t="n">
        <v>6</v>
      </c>
      <c r="M858" s="69" t="n">
        <v>1.95</v>
      </c>
      <c r="N858" s="70">
        <f>K858*L858*M858</f>
        <v/>
      </c>
      <c r="O858" s="37">
        <f>IFERROR(INDEX(Исходные!$B$19:$B$31,MATCH(H858,Исходные!$A$19:$A$31,0)),0)</f>
        <v/>
      </c>
      <c r="P858" s="76">
        <f>N858*O858</f>
        <v/>
      </c>
      <c r="Q858" s="21" t="inlineStr">
        <is>
          <t>АС-35 развертка, выноска «Доп. стержень»</t>
        </is>
      </c>
      <c r="R858" s="77" t="inlineStr">
        <is>
          <t>по проекту</t>
        </is>
      </c>
      <c r="S858" s="21" t="inlineStr"/>
      <c r="T858" s="21" t="inlineStr">
        <is>
          <t>Колонны, диафрагмы</t>
        </is>
      </c>
      <c r="U858" s="49" t="n">
        <v>0</v>
      </c>
      <c r="V858" s="72" t="inlineStr">
        <is>
          <t>Дм-1</t>
        </is>
      </c>
      <c r="W858" s="49" t="n">
        <v>3</v>
      </c>
    </row>
    <row r="859">
      <c r="A859" s="72" t="n">
        <v>837</v>
      </c>
      <c r="B859" s="21" t="inlineStr">
        <is>
          <t>3 этаж (отм. +7.550…+11.150)</t>
        </is>
      </c>
      <c r="C859" s="21" t="inlineStr">
        <is>
          <t>Диафрагмы</t>
        </is>
      </c>
      <c r="D859" s="21" t="inlineStr">
        <is>
          <t>А/4</t>
        </is>
      </c>
      <c r="E859" s="21" t="inlineStr">
        <is>
          <t>Дм-1</t>
        </is>
      </c>
      <c r="F859" s="72" t="inlineStr">
        <is>
          <t>доп.</t>
        </is>
      </c>
      <c r="G859" s="21" t="inlineStr">
        <is>
          <t>Доп. стержни: ось 4 под ригелем +11.150, 6Ø12 L=1200 (выноска «3Ø12» на 2 группы по 3 ряда — ОБНАРУЖЕНО ПРОТИВОРЕЧИЕ, принято 3 ряда × 2 грани)</t>
        </is>
      </c>
      <c r="H859" s="51" t="n">
        <v>12</v>
      </c>
      <c r="I859" s="72" t="inlineStr">
        <is>
          <t>А500С</t>
        </is>
      </c>
      <c r="J859" s="72" t="n">
        <v>200</v>
      </c>
      <c r="K859" s="75" t="n">
        <v>1</v>
      </c>
      <c r="L859" s="51" t="n">
        <v>6</v>
      </c>
      <c r="M859" s="69" t="n">
        <v>1.2</v>
      </c>
      <c r="N859" s="70">
        <f>K859*L859*M859</f>
        <v/>
      </c>
      <c r="O859" s="37">
        <f>IFERROR(INDEX(Исходные!$B$19:$B$31,MATCH(H859,Исходные!$A$19:$A$31,0)),0)</f>
        <v/>
      </c>
      <c r="P859" s="76">
        <f>N859*O859</f>
        <v/>
      </c>
      <c r="Q859" s="21" t="inlineStr">
        <is>
          <t>АС-35 развертка, выноска «Доп. стержень»</t>
        </is>
      </c>
      <c r="R859" s="77" t="inlineStr">
        <is>
          <t>по проекту</t>
        </is>
      </c>
      <c r="S859" s="21" t="inlineStr"/>
      <c r="T859" s="21" t="inlineStr">
        <is>
          <t>Колонны, диафрагмы</t>
        </is>
      </c>
      <c r="U859" s="49" t="n">
        <v>0</v>
      </c>
      <c r="V859" s="72" t="inlineStr">
        <is>
          <t>Дм-1</t>
        </is>
      </c>
      <c r="W859" s="49" t="n">
        <v>3</v>
      </c>
    </row>
    <row r="860">
      <c r="A860" s="72" t="n">
        <v>838</v>
      </c>
      <c r="B860" s="21" t="inlineStr">
        <is>
          <t>3 этаж (отм. +7.550…+11.150)</t>
        </is>
      </c>
      <c r="C860" s="21" t="inlineStr">
        <is>
          <t>Диафрагмы</t>
        </is>
      </c>
      <c r="D860" s="21" t="inlineStr">
        <is>
          <t>А/4</t>
        </is>
      </c>
      <c r="E860" s="21" t="inlineStr">
        <is>
          <t>Дм-1</t>
        </is>
      </c>
      <c r="F860" s="72" t="inlineStr">
        <is>
          <t>доп. верт.</t>
        </is>
      </c>
      <c r="G860" s="21" t="inlineStr">
        <is>
          <t>Доп. вертикальные стержни: ось А, торцевые эл-ты полки у +11.150: «по 4Ø16 L=1600» × 2 места</t>
        </is>
      </c>
      <c r="H860" s="51" t="n">
        <v>16</v>
      </c>
      <c r="I860" s="72" t="inlineStr">
        <is>
          <t>А500С</t>
        </is>
      </c>
      <c r="J860" s="72" t="inlineStr">
        <is>
          <t>—</t>
        </is>
      </c>
      <c r="K860" s="75" t="n">
        <v>1</v>
      </c>
      <c r="L860" s="51" t="n">
        <v>8</v>
      </c>
      <c r="M860" s="69" t="n">
        <v>1.6</v>
      </c>
      <c r="N860" s="70">
        <f>K860*L860*M860</f>
        <v/>
      </c>
      <c r="O860" s="37">
        <f>IFERROR(INDEX(Исходные!$B$19:$B$31,MATCH(H860,Исходные!$A$19:$A$31,0)),0)</f>
        <v/>
      </c>
      <c r="P860" s="76">
        <f>N860*O860</f>
        <v/>
      </c>
      <c r="Q860" s="21" t="inlineStr">
        <is>
          <t>АС-34 развертка по оси А (3 этаж) «Доп. стержень по 4Ø16 А500С L-1600»; АС-35 сеч.3-3 «Доп. стержни»</t>
        </is>
      </c>
      <c r="R860" s="78" t="inlineStr">
        <is>
          <t>по геометрии (уточнить)</t>
        </is>
      </c>
      <c r="S860" s="21" t="inlineStr">
        <is>
          <t>На сечении — мелкие точки с выноской «Доп. стержни»; длина по выноске на развёртке, без нахлёста.</t>
        </is>
      </c>
      <c r="T860" s="21" t="inlineStr">
        <is>
          <t>Колонны, диафрагмы</t>
        </is>
      </c>
      <c r="U860" s="49" t="n">
        <v>1</v>
      </c>
      <c r="V860" s="72" t="inlineStr">
        <is>
          <t>Дм-1</t>
        </is>
      </c>
      <c r="W860" s="49" t="n">
        <v>3</v>
      </c>
    </row>
    <row r="861">
      <c r="A861" s="72" t="n">
        <v>839</v>
      </c>
      <c r="B861" s="21" t="inlineStr">
        <is>
          <t>3 этаж (отм. +7.550…+11.150)</t>
        </is>
      </c>
      <c r="C861" s="21" t="inlineStr">
        <is>
          <t>Диафрагмы</t>
        </is>
      </c>
      <c r="D861" s="21" t="inlineStr">
        <is>
          <t>А/4</t>
        </is>
      </c>
      <c r="E861" s="21" t="inlineStr">
        <is>
          <t>Дм-1</t>
        </is>
      </c>
      <c r="F861" s="72" t="inlineStr">
        <is>
          <t>14</t>
        </is>
      </c>
      <c r="G861" s="21" t="inlineStr">
        <is>
          <t>П-образный стержень на торцах: 3 шт/ряд × 16 рядов</t>
        </is>
      </c>
      <c r="H861" s="51" t="n">
        <v>10</v>
      </c>
      <c r="I861" s="72" t="inlineStr">
        <is>
          <t>А240</t>
        </is>
      </c>
      <c r="J861" s="72" t="inlineStr">
        <is>
          <t>200</t>
        </is>
      </c>
      <c r="K861" s="75" t="n">
        <v>1</v>
      </c>
      <c r="L861" s="51" t="n">
        <v>48</v>
      </c>
      <c r="M861" s="69" t="n">
        <v>1.33</v>
      </c>
      <c r="N861" s="70">
        <f>K861*L861*M861</f>
        <v/>
      </c>
      <c r="O861" s="37">
        <f>IFERROR(INDEX(Исходные!$B$19:$B$31,MATCH(H861,Исходные!$A$19:$A$31,0)),0)</f>
        <v/>
      </c>
      <c r="P861" s="76">
        <f>N861*O861</f>
        <v/>
      </c>
      <c r="Q861" s="21" t="inlineStr">
        <is>
          <t>сечение 3-3; АС-42 ведомость деталей поз.14 L=1330</t>
        </is>
      </c>
      <c r="R861" s="77" t="inlineStr">
        <is>
          <t>по проекту</t>
        </is>
      </c>
      <c r="S861" s="21" t="inlineStr"/>
      <c r="T861" s="21" t="inlineStr">
        <is>
          <t>Колонны, диафрагмы</t>
        </is>
      </c>
      <c r="U861" s="49" t="n">
        <v>0</v>
      </c>
      <c r="V861" s="72" t="inlineStr">
        <is>
          <t>Дм-1</t>
        </is>
      </c>
      <c r="W861" s="49" t="n">
        <v>3</v>
      </c>
    </row>
    <row r="862">
      <c r="A862" s="72" t="n">
        <v>840</v>
      </c>
      <c r="B862" s="21" t="inlineStr">
        <is>
          <t>3 этаж (отм. +7.550…+11.150)</t>
        </is>
      </c>
      <c r="C862" s="21" t="inlineStr">
        <is>
          <t>Диафрагмы</t>
        </is>
      </c>
      <c r="D862" s="21" t="inlineStr">
        <is>
          <t>А/4</t>
        </is>
      </c>
      <c r="E862" s="21" t="inlineStr">
        <is>
          <t>Дм-1</t>
        </is>
      </c>
      <c r="F862" s="72" t="inlineStr">
        <is>
          <t>12</t>
        </is>
      </c>
      <c r="G862" s="21" t="inlineStr">
        <is>
          <t>Хомут торцевого элемента полки Ø8: 2 шт/ряд × 16</t>
        </is>
      </c>
      <c r="H862" s="51" t="n">
        <v>8</v>
      </c>
      <c r="I862" s="72" t="inlineStr">
        <is>
          <t>А240</t>
        </is>
      </c>
      <c r="J862" s="72" t="inlineStr">
        <is>
          <t>200</t>
        </is>
      </c>
      <c r="K862" s="75" t="n">
        <v>1</v>
      </c>
      <c r="L862" s="51" t="n">
        <v>32</v>
      </c>
      <c r="M862" s="69" t="n">
        <v>1.56</v>
      </c>
      <c r="N862" s="70">
        <f>K862*L862*M862</f>
        <v/>
      </c>
      <c r="O862" s="37">
        <f>IFERROR(INDEX(Исходные!$B$19:$B$31,MATCH(H862,Исходные!$A$19:$A$31,0)),0)</f>
        <v/>
      </c>
      <c r="P862" s="76">
        <f>N862*O862</f>
        <v/>
      </c>
      <c r="Q862" s="21" t="inlineStr">
        <is>
          <t>сечение 3-3 «12 хом.Ø8 ш.200»; АС-42 ведомость деталей поз.12 L=1560</t>
        </is>
      </c>
      <c r="R862" s="77" t="inlineStr">
        <is>
          <t>по проекту</t>
        </is>
      </c>
      <c r="S862" s="21" t="inlineStr"/>
      <c r="T862" s="21" t="inlineStr">
        <is>
          <t>Колонны, диафрагмы</t>
        </is>
      </c>
      <c r="U862" s="49" t="n">
        <v>0</v>
      </c>
      <c r="V862" s="72" t="inlineStr">
        <is>
          <t>Дм-1</t>
        </is>
      </c>
      <c r="W862" s="49" t="n">
        <v>3</v>
      </c>
    </row>
    <row r="863">
      <c r="A863" s="72" t="n">
        <v>841</v>
      </c>
      <c r="B863" s="21" t="inlineStr">
        <is>
          <t>3 этаж (отм. +7.550…+11.150)</t>
        </is>
      </c>
      <c r="C863" s="21" t="inlineStr">
        <is>
          <t>Диафрагмы</t>
        </is>
      </c>
      <c r="D863" s="21" t="inlineStr">
        <is>
          <t>А/4</t>
        </is>
      </c>
      <c r="E863" s="21" t="inlineStr">
        <is>
          <t>Дм-1</t>
        </is>
      </c>
      <c r="F863" s="72" t="inlineStr">
        <is>
          <t>15</t>
        </is>
      </c>
      <c r="G863" s="21" t="inlineStr">
        <is>
          <t>Хомут торцевого элемента Ø8: 1 шт/ряд × 16</t>
        </is>
      </c>
      <c r="H863" s="51" t="n">
        <v>8</v>
      </c>
      <c r="I863" s="72" t="inlineStr">
        <is>
          <t>А240</t>
        </is>
      </c>
      <c r="J863" s="72" t="inlineStr">
        <is>
          <t>200</t>
        </is>
      </c>
      <c r="K863" s="75" t="n">
        <v>1</v>
      </c>
      <c r="L863" s="51" t="n">
        <v>16</v>
      </c>
      <c r="M863" s="69" t="n">
        <v>1.76</v>
      </c>
      <c r="N863" s="70">
        <f>K863*L863*M863</f>
        <v/>
      </c>
      <c r="O863" s="37">
        <f>IFERROR(INDEX(Исходные!$B$19:$B$31,MATCH(H863,Исходные!$A$19:$A$31,0)),0)</f>
        <v/>
      </c>
      <c r="P863" s="76">
        <f>N863*O863</f>
        <v/>
      </c>
      <c r="Q863" s="21" t="inlineStr">
        <is>
          <t>сечение 3-3 «15 хом.Ø8 ш.200»; АС-42 ведомость деталей поз.15 L=1760</t>
        </is>
      </c>
      <c r="R863" s="77" t="inlineStr">
        <is>
          <t>по проекту</t>
        </is>
      </c>
      <c r="S863" s="21" t="inlineStr"/>
      <c r="T863" s="21" t="inlineStr">
        <is>
          <t>Колонны, диафрагмы</t>
        </is>
      </c>
      <c r="U863" s="49" t="n">
        <v>0</v>
      </c>
      <c r="V863" s="72" t="inlineStr">
        <is>
          <t>Дм-1</t>
        </is>
      </c>
      <c r="W863" s="49" t="n">
        <v>3</v>
      </c>
    </row>
    <row r="864">
      <c r="A864" s="72" t="n">
        <v>842</v>
      </c>
      <c r="B864" s="21" t="inlineStr">
        <is>
          <t>3 этаж (отм. +7.550…+11.150)</t>
        </is>
      </c>
      <c r="C864" s="21" t="inlineStr">
        <is>
          <t>Диафрагмы</t>
        </is>
      </c>
      <c r="D864" s="21" t="inlineStr">
        <is>
          <t>А/4</t>
        </is>
      </c>
      <c r="E864" s="21" t="inlineStr">
        <is>
          <t>Дм-1</t>
        </is>
      </c>
      <c r="F864" s="72" t="inlineStr">
        <is>
          <t>10</t>
        </is>
      </c>
      <c r="G864" s="21" t="inlineStr">
        <is>
          <t>Хомут колонны наружный (100×12 у опор, 200 в середине) — 28 шт</t>
        </is>
      </c>
      <c r="H864" s="51" t="n">
        <v>8</v>
      </c>
      <c r="I864" s="72" t="inlineStr">
        <is>
          <t>А240</t>
        </is>
      </c>
      <c r="J864" s="72" t="inlineStr">
        <is>
          <t>200</t>
        </is>
      </c>
      <c r="K864" s="75" t="n">
        <v>1</v>
      </c>
      <c r="L864" s="51" t="n">
        <v>28</v>
      </c>
      <c r="M864" s="69" t="n">
        <v>2.44</v>
      </c>
      <c r="N864" s="70">
        <f>K864*L864*M864</f>
        <v/>
      </c>
      <c r="O864" s="37">
        <f>IFERROR(INDEX(Исходные!$B$19:$B$31,MATCH(H864,Исходные!$A$19:$A$31,0)),0)</f>
        <v/>
      </c>
      <c r="P864" s="76">
        <f>N864*O864</f>
        <v/>
      </c>
      <c r="Q864" s="21" t="inlineStr">
        <is>
          <t>АС-32 (2÷4 этаж: 50+100×12+200×n+100×12+50+600); АС-42 ведомость деталей поз.10 L=2440</t>
        </is>
      </c>
      <c r="R864" s="77" t="inlineStr">
        <is>
          <t>по проекту</t>
        </is>
      </c>
      <c r="S864" s="21" t="inlineStr"/>
      <c r="T864" s="21" t="inlineStr">
        <is>
          <t>Колонны, диафрагмы</t>
        </is>
      </c>
      <c r="U864" s="49" t="n">
        <v>0</v>
      </c>
      <c r="V864" s="72" t="inlineStr">
        <is>
          <t>Дм-1</t>
        </is>
      </c>
      <c r="W864" s="49" t="n">
        <v>3</v>
      </c>
    </row>
    <row r="865">
      <c r="A865" s="72" t="n">
        <v>843</v>
      </c>
      <c r="B865" s="21" t="inlineStr">
        <is>
          <t>3 этаж (отм. +7.550…+11.150)</t>
        </is>
      </c>
      <c r="C865" s="21" t="inlineStr">
        <is>
          <t>Диафрагмы</t>
        </is>
      </c>
      <c r="D865" s="21" t="inlineStr">
        <is>
          <t>А/4</t>
        </is>
      </c>
      <c r="E865" s="21" t="inlineStr">
        <is>
          <t>Дм-1</t>
        </is>
      </c>
      <c r="F865" s="72" t="inlineStr">
        <is>
          <t>11</t>
        </is>
      </c>
      <c r="G865" s="21" t="inlineStr">
        <is>
          <t>Хомут колонны внутренний: 2 шт/ряд × 16</t>
        </is>
      </c>
      <c r="H865" s="51" t="n">
        <v>8</v>
      </c>
      <c r="I865" s="72" t="inlineStr">
        <is>
          <t>А240</t>
        </is>
      </c>
      <c r="J865" s="72" t="inlineStr">
        <is>
          <t>200</t>
        </is>
      </c>
      <c r="K865" s="75" t="n">
        <v>1</v>
      </c>
      <c r="L865" s="51" t="n">
        <v>32</v>
      </c>
      <c r="M865" s="69" t="n">
        <v>1.96</v>
      </c>
      <c r="N865" s="70">
        <f>K865*L865*M865</f>
        <v/>
      </c>
      <c r="O865" s="37">
        <f>IFERROR(INDEX(Исходные!$B$19:$B$31,MATCH(H865,Исходные!$A$19:$A$31,0)),0)</f>
        <v/>
      </c>
      <c r="P865" s="76">
        <f>N865*O865</f>
        <v/>
      </c>
      <c r="Q865" s="21" t="inlineStr">
        <is>
          <t>сечение 3-3 «ш.200»; АС-42 ведомость деталей поз.11 L=1960</t>
        </is>
      </c>
      <c r="R865" s="77" t="inlineStr">
        <is>
          <t>по проекту</t>
        </is>
      </c>
      <c r="S865" s="21" t="inlineStr"/>
      <c r="T865" s="21" t="inlineStr">
        <is>
          <t>Колонны, диафрагмы</t>
        </is>
      </c>
      <c r="U865" s="49" t="n">
        <v>0</v>
      </c>
      <c r="V865" s="72" t="inlineStr">
        <is>
          <t>Дм-1</t>
        </is>
      </c>
      <c r="W865" s="49" t="n">
        <v>3</v>
      </c>
    </row>
    <row r="866">
      <c r="A866" s="72" t="n">
        <v>844</v>
      </c>
      <c r="B866" s="21" t="inlineStr">
        <is>
          <t>3 этаж (отм. +7.550…+11.150)</t>
        </is>
      </c>
      <c r="C866" s="21" t="inlineStr">
        <is>
          <t>Диафрагмы</t>
        </is>
      </c>
      <c r="D866" s="21" t="inlineStr">
        <is>
          <t>А/4</t>
        </is>
      </c>
      <c r="E866" s="21" t="inlineStr">
        <is>
          <t>Дм-1</t>
        </is>
      </c>
      <c r="F866" s="72" t="inlineStr">
        <is>
          <t>13</t>
        </is>
      </c>
      <c r="G866" s="21" t="inlineStr">
        <is>
          <t>Шпилька ш.400 в шахм. порядке: 9 мест × 8 рядов</t>
        </is>
      </c>
      <c r="H866" s="51" t="n">
        <v>8</v>
      </c>
      <c r="I866" s="72" t="inlineStr">
        <is>
          <t>А240</t>
        </is>
      </c>
      <c r="J866" s="72" t="inlineStr">
        <is>
          <t>200</t>
        </is>
      </c>
      <c r="K866" s="75" t="n">
        <v>1</v>
      </c>
      <c r="L866" s="51" t="n">
        <v>72</v>
      </c>
      <c r="M866" s="69" t="n">
        <v>0.53</v>
      </c>
      <c r="N866" s="70">
        <f>K866*L866*M866</f>
        <v/>
      </c>
      <c r="O866" s="37">
        <f>IFERROR(INDEX(Исходные!$B$19:$B$31,MATCH(H866,Исходные!$A$19:$A$31,0)),0)</f>
        <v/>
      </c>
      <c r="P866" s="76">
        <f>N866*O866</f>
        <v/>
      </c>
      <c r="Q866" s="21" t="inlineStr">
        <is>
          <t>сечение 3-3, прим.6; АС-42 ведомость деталей поз.13 L=530</t>
        </is>
      </c>
      <c r="R866" s="77" t="inlineStr">
        <is>
          <t>по проекту</t>
        </is>
      </c>
      <c r="S866" s="21" t="inlineStr"/>
      <c r="T866" s="21" t="inlineStr">
        <is>
          <t>Колонны, диафрагмы</t>
        </is>
      </c>
      <c r="U866" s="49" t="n">
        <v>0</v>
      </c>
      <c r="V866" s="72" t="inlineStr">
        <is>
          <t>Дм-1</t>
        </is>
      </c>
      <c r="W866" s="49" t="n">
        <v>3</v>
      </c>
    </row>
    <row r="867">
      <c r="A867" s="72" t="n">
        <v>845</v>
      </c>
      <c r="B867" s="21" t="inlineStr">
        <is>
          <t>3 этаж (отм. +7.550…+11.150)</t>
        </is>
      </c>
      <c r="C867" s="21" t="inlineStr">
        <is>
          <t>Диафрагмы</t>
        </is>
      </c>
      <c r="D867" s="21" t="inlineStr">
        <is>
          <t>А/2</t>
        </is>
      </c>
      <c r="E867" s="21" t="inlineStr">
        <is>
          <t>Дм-2</t>
        </is>
      </c>
      <c r="F867" s="72" t="inlineStr">
        <is>
          <t>2</t>
        </is>
      </c>
      <c r="G867" s="21" t="inlineStr">
        <is>
          <t>Вертикальные: колонна, угловые 4Ø28</t>
        </is>
      </c>
      <c r="H867" s="51" t="n">
        <v>28</v>
      </c>
      <c r="I867" s="72" t="inlineStr">
        <is>
          <t>А500С</t>
        </is>
      </c>
      <c r="J867" s="72" t="inlineStr">
        <is>
          <t>—</t>
        </is>
      </c>
      <c r="K867" s="75" t="n">
        <v>1</v>
      </c>
      <c r="L867" s="51" t="n">
        <v>4</v>
      </c>
      <c r="M867" s="69" t="n">
        <v>3.6</v>
      </c>
      <c r="N867" s="70">
        <f>K867*L867*M867</f>
        <v/>
      </c>
      <c r="O867" s="37">
        <f>IFERROR(INDEX(Исходные!$B$19:$B$31,MATCH(H867,Исходные!$A$19:$A$31,0)),0)</f>
        <v/>
      </c>
      <c r="P867" s="76">
        <f>N867*O867</f>
        <v/>
      </c>
      <c r="Q867" s="21" t="inlineStr">
        <is>
          <t>АС-37 сеч.4-4 «3÷5 этаж»; прим.1,3</t>
        </is>
      </c>
      <c r="R867" s="77" t="inlineStr">
        <is>
          <t>по проекту</t>
        </is>
      </c>
      <c r="S867" s="21" t="inlineStr">
        <is>
          <t>стык ванной сваркой (Ø≥20), длина = высота этажа 3,6 м. поз.2</t>
        </is>
      </c>
      <c r="T867" s="21" t="inlineStr">
        <is>
          <t>Колонны, диафрагмы</t>
        </is>
      </c>
      <c r="U867" s="49" t="n">
        <v>0</v>
      </c>
      <c r="V867" s="72" t="inlineStr">
        <is>
          <t>Дм-2</t>
        </is>
      </c>
      <c r="W867" s="49" t="n">
        <v>3</v>
      </c>
    </row>
    <row r="868">
      <c r="A868" s="72" t="n">
        <v>846</v>
      </c>
      <c r="B868" s="21" t="inlineStr">
        <is>
          <t>3 этаж (отм. +7.550…+11.150)</t>
        </is>
      </c>
      <c r="C868" s="21" t="inlineStr">
        <is>
          <t>Диафрагмы</t>
        </is>
      </c>
      <c r="D868" s="21" t="inlineStr">
        <is>
          <t>А/2</t>
        </is>
      </c>
      <c r="E868" s="21" t="inlineStr">
        <is>
          <t>Дм-2</t>
        </is>
      </c>
      <c r="F868" s="72" t="inlineStr">
        <is>
          <t>5</t>
        </is>
      </c>
      <c r="G868" s="21" t="inlineStr">
        <is>
          <t>Вертикальные: колонна 8Ø20 (выноски «2Ø20» ×2 + симметр.)</t>
        </is>
      </c>
      <c r="H868" s="51" t="n">
        <v>20</v>
      </c>
      <c r="I868" s="72" t="inlineStr">
        <is>
          <t>А500С</t>
        </is>
      </c>
      <c r="J868" s="72" t="inlineStr">
        <is>
          <t>—</t>
        </is>
      </c>
      <c r="K868" s="75" t="n">
        <v>1</v>
      </c>
      <c r="L868" s="51" t="n">
        <v>8</v>
      </c>
      <c r="M868" s="69" t="n">
        <v>3.6</v>
      </c>
      <c r="N868" s="70">
        <f>K868*L868*M868</f>
        <v/>
      </c>
      <c r="O868" s="37">
        <f>IFERROR(INDEX(Исходные!$B$19:$B$31,MATCH(H868,Исходные!$A$19:$A$31,0)),0)</f>
        <v/>
      </c>
      <c r="P868" s="76">
        <f>N868*O868</f>
        <v/>
      </c>
      <c r="Q868" s="21" t="inlineStr">
        <is>
          <t>АС-37 сеч.4-4 «3÷5 этаж»; прим.1,3</t>
        </is>
      </c>
      <c r="R868" s="77" t="inlineStr">
        <is>
          <t>по проекту</t>
        </is>
      </c>
      <c r="S868" s="21" t="inlineStr">
        <is>
          <t>стык ванной сваркой (Ø≥20), длина = высота этажа 3,6 м. поз.5</t>
        </is>
      </c>
      <c r="T868" s="21" t="inlineStr">
        <is>
          <t>Колонны, диафрагмы</t>
        </is>
      </c>
      <c r="U868" s="49" t="n">
        <v>0</v>
      </c>
      <c r="V868" s="72" t="inlineStr">
        <is>
          <t>Дм-2</t>
        </is>
      </c>
      <c r="W868" s="49" t="n">
        <v>3</v>
      </c>
    </row>
    <row r="869">
      <c r="A869" s="72" t="n">
        <v>847</v>
      </c>
      <c r="B869" s="21" t="inlineStr">
        <is>
          <t>3 этаж (отм. +7.550…+11.150)</t>
        </is>
      </c>
      <c r="C869" s="21" t="inlineStr">
        <is>
          <t>Диафрагмы</t>
        </is>
      </c>
      <c r="D869" s="21" t="inlineStr">
        <is>
          <t>А/2</t>
        </is>
      </c>
      <c r="E869" s="21" t="inlineStr">
        <is>
          <t>Дм-2</t>
        </is>
      </c>
      <c r="F869" s="72" t="inlineStr">
        <is>
          <t>4</t>
        </is>
      </c>
      <c r="G869" s="21" t="inlineStr">
        <is>
          <t>Вертикальные: ребро, торцевой эл-т (выноска «3Ø22» + 3 симметр.)</t>
        </is>
      </c>
      <c r="H869" s="51" t="n">
        <v>22</v>
      </c>
      <c r="I869" s="72" t="inlineStr">
        <is>
          <t>А500С</t>
        </is>
      </c>
      <c r="J869" s="72" t="inlineStr">
        <is>
          <t>—</t>
        </is>
      </c>
      <c r="K869" s="75" t="n">
        <v>1</v>
      </c>
      <c r="L869" s="51" t="n">
        <v>6</v>
      </c>
      <c r="M869" s="69" t="n">
        <v>3.6</v>
      </c>
      <c r="N869" s="70">
        <f>K869*L869*M869</f>
        <v/>
      </c>
      <c r="O869" s="37">
        <f>IFERROR(INDEX(Исходные!$B$19:$B$31,MATCH(H869,Исходные!$A$19:$A$31,0)),0)</f>
        <v/>
      </c>
      <c r="P869" s="76">
        <f>N869*O869</f>
        <v/>
      </c>
      <c r="Q869" s="21" t="inlineStr">
        <is>
          <t>АС-37 сеч.4-4 «3÷5 этаж»; прим.1,3</t>
        </is>
      </c>
      <c r="R869" s="77" t="inlineStr">
        <is>
          <t>по проекту</t>
        </is>
      </c>
      <c r="S869" s="21" t="inlineStr">
        <is>
          <t>стык ванной сваркой (Ø≥20), длина = высота этажа 3,6 м. «4 3Ø22»</t>
        </is>
      </c>
      <c r="T869" s="21" t="inlineStr">
        <is>
          <t>Колонны, диафрагмы</t>
        </is>
      </c>
      <c r="U869" s="49" t="n">
        <v>0</v>
      </c>
      <c r="V869" s="72" t="inlineStr">
        <is>
          <t>Дм-2</t>
        </is>
      </c>
      <c r="W869" s="49" t="n">
        <v>3</v>
      </c>
    </row>
    <row r="870">
      <c r="A870" s="72" t="n">
        <v>848</v>
      </c>
      <c r="B870" s="21" t="inlineStr">
        <is>
          <t>3 этаж (отм. +7.550…+11.150)</t>
        </is>
      </c>
      <c r="C870" s="21" t="inlineStr">
        <is>
          <t>Диафрагмы</t>
        </is>
      </c>
      <c r="D870" s="21" t="inlineStr">
        <is>
          <t>А/2</t>
        </is>
      </c>
      <c r="E870" s="21" t="inlineStr">
        <is>
          <t>Дм-2</t>
        </is>
      </c>
      <c r="F870" s="72" t="inlineStr">
        <is>
          <t>4</t>
        </is>
      </c>
      <c r="G870" s="21" t="inlineStr">
        <is>
          <t>Вертикальные: полка, торцевой эл-т (выноска «3Ø22» + 3 симметр.)</t>
        </is>
      </c>
      <c r="H870" s="51" t="n">
        <v>22</v>
      </c>
      <c r="I870" s="72" t="inlineStr">
        <is>
          <t>А500С</t>
        </is>
      </c>
      <c r="J870" s="72" t="inlineStr">
        <is>
          <t>—</t>
        </is>
      </c>
      <c r="K870" s="75" t="n">
        <v>1</v>
      </c>
      <c r="L870" s="51" t="n">
        <v>6</v>
      </c>
      <c r="M870" s="69" t="n">
        <v>3.6</v>
      </c>
      <c r="N870" s="70">
        <f>K870*L870*M870</f>
        <v/>
      </c>
      <c r="O870" s="37">
        <f>IFERROR(INDEX(Исходные!$B$19:$B$31,MATCH(H870,Исходные!$A$19:$A$31,0)),0)</f>
        <v/>
      </c>
      <c r="P870" s="76">
        <f>N870*O870</f>
        <v/>
      </c>
      <c r="Q870" s="21" t="inlineStr">
        <is>
          <t>АС-37 сеч.4-4 «3÷5 этаж»; прим.1,3</t>
        </is>
      </c>
      <c r="R870" s="77" t="inlineStr">
        <is>
          <t>по проекту</t>
        </is>
      </c>
      <c r="S870" s="21" t="inlineStr">
        <is>
          <t>стык ванной сваркой (Ø≥20), длина = высота этажа 3,6 м. «4 3Ø22»</t>
        </is>
      </c>
      <c r="T870" s="21" t="inlineStr">
        <is>
          <t>Колонны, диафрагмы</t>
        </is>
      </c>
      <c r="U870" s="49" t="n">
        <v>0</v>
      </c>
      <c r="V870" s="72" t="inlineStr">
        <is>
          <t>Дм-2</t>
        </is>
      </c>
      <c r="W870" s="49" t="n">
        <v>3</v>
      </c>
    </row>
    <row r="871">
      <c r="A871" s="72" t="n">
        <v>849</v>
      </c>
      <c r="B871" s="21" t="inlineStr">
        <is>
          <t>3 этаж (отм. +7.550…+11.150)</t>
        </is>
      </c>
      <c r="C871" s="21" t="inlineStr">
        <is>
          <t>Диафрагмы</t>
        </is>
      </c>
      <c r="D871" s="21" t="inlineStr">
        <is>
          <t>А/2</t>
        </is>
      </c>
      <c r="E871" s="21" t="inlineStr">
        <is>
          <t>Дм-2</t>
        </is>
      </c>
      <c r="F871" s="72" t="inlineStr">
        <is>
          <t>6</t>
        </is>
      </c>
      <c r="G871" s="21" t="inlineStr">
        <is>
          <t>Вертикальные: ребро, стенка (выноска «2Ø18» + 2 симметр.)</t>
        </is>
      </c>
      <c r="H871" s="51" t="n">
        <v>18</v>
      </c>
      <c r="I871" s="72" t="inlineStr">
        <is>
          <t>А500С</t>
        </is>
      </c>
      <c r="J871" s="72" t="inlineStr">
        <is>
          <t>—</t>
        </is>
      </c>
      <c r="K871" s="75" t="n">
        <v>1</v>
      </c>
      <c r="L871" s="51" t="n">
        <v>4</v>
      </c>
      <c r="M871" s="69" t="n">
        <v>3.744</v>
      </c>
      <c r="N871" s="70">
        <f>K871*L871*M871</f>
        <v/>
      </c>
      <c r="O871" s="37">
        <f>IFERROR(INDEX(Исходные!$B$19:$B$31,MATCH(H871,Исходные!$A$19:$A$31,0)),0)</f>
        <v/>
      </c>
      <c r="P871" s="76">
        <f>N871*O871</f>
        <v/>
      </c>
      <c r="Q871" s="21" t="inlineStr">
        <is>
          <t>АС-37 сеч.4-4 «3÷5 этаж»; прим.1,3</t>
        </is>
      </c>
      <c r="R871" s="77" t="inlineStr">
        <is>
          <t>по проекту</t>
        </is>
      </c>
      <c r="S871" s="21" t="inlineStr">
        <is>
          <t>нахлёст 8d со сваркой (Ø≤18), учтён в длине. «6 2Ø18»</t>
        </is>
      </c>
      <c r="T871" s="21" t="inlineStr">
        <is>
          <t>Колонны, диафрагмы</t>
        </is>
      </c>
      <c r="U871" s="49" t="n">
        <v>0</v>
      </c>
      <c r="V871" s="72" t="inlineStr">
        <is>
          <t>Дм-2</t>
        </is>
      </c>
      <c r="W871" s="49" t="n">
        <v>3</v>
      </c>
    </row>
    <row r="872">
      <c r="A872" s="72" t="n">
        <v>850</v>
      </c>
      <c r="B872" s="21" t="inlineStr">
        <is>
          <t>3 этаж (отм. +7.550…+11.150)</t>
        </is>
      </c>
      <c r="C872" s="21" t="inlineStr">
        <is>
          <t>Диафрагмы</t>
        </is>
      </c>
      <c r="D872" s="21" t="inlineStr">
        <is>
          <t>А/2</t>
        </is>
      </c>
      <c r="E872" s="21" t="inlineStr">
        <is>
          <t>Дм-2</t>
        </is>
      </c>
      <c r="F872" s="72" t="inlineStr">
        <is>
          <t>7</t>
        </is>
      </c>
      <c r="G872" s="21" t="inlineStr">
        <is>
          <t>Вертикальные: ребро, стенка (выноска «4Ø14» + 4 симметр.)</t>
        </is>
      </c>
      <c r="H872" s="51" t="n">
        <v>14</v>
      </c>
      <c r="I872" s="72" t="inlineStr">
        <is>
          <t>А500С</t>
        </is>
      </c>
      <c r="J872" s="72" t="inlineStr">
        <is>
          <t>—</t>
        </is>
      </c>
      <c r="K872" s="75" t="n">
        <v>1</v>
      </c>
      <c r="L872" s="51" t="n">
        <v>8</v>
      </c>
      <c r="M872" s="69" t="n">
        <v>3.712</v>
      </c>
      <c r="N872" s="70">
        <f>K872*L872*M872</f>
        <v/>
      </c>
      <c r="O872" s="37">
        <f>IFERROR(INDEX(Исходные!$B$19:$B$31,MATCH(H872,Исходные!$A$19:$A$31,0)),0)</f>
        <v/>
      </c>
      <c r="P872" s="76">
        <f>N872*O872</f>
        <v/>
      </c>
      <c r="Q872" s="21" t="inlineStr">
        <is>
          <t>АС-37 сеч.4-4 «3÷5 этаж»; прим.1,3</t>
        </is>
      </c>
      <c r="R872" s="77" t="inlineStr">
        <is>
          <t>по проекту</t>
        </is>
      </c>
      <c r="S872" s="21" t="inlineStr">
        <is>
          <t>нахлёст 8d со сваркой (Ø≤18), учтён в длине. «7 4Ø14»</t>
        </is>
      </c>
      <c r="T872" s="21" t="inlineStr">
        <is>
          <t>Колонны, диафрагмы</t>
        </is>
      </c>
      <c r="U872" s="49" t="n">
        <v>0</v>
      </c>
      <c r="V872" s="72" t="inlineStr">
        <is>
          <t>Дм-2</t>
        </is>
      </c>
      <c r="W872" s="49" t="n">
        <v>3</v>
      </c>
    </row>
    <row r="873">
      <c r="A873" s="72" t="n">
        <v>851</v>
      </c>
      <c r="B873" s="21" t="inlineStr">
        <is>
          <t>3 этаж (отм. +7.550…+11.150)</t>
        </is>
      </c>
      <c r="C873" s="21" t="inlineStr">
        <is>
          <t>Диафрагмы</t>
        </is>
      </c>
      <c r="D873" s="21" t="inlineStr">
        <is>
          <t>А/2</t>
        </is>
      </c>
      <c r="E873" s="21" t="inlineStr">
        <is>
          <t>Дм-2</t>
        </is>
      </c>
      <c r="F873" s="72" t="inlineStr">
        <is>
          <t>6</t>
        </is>
      </c>
      <c r="G873" s="21" t="inlineStr">
        <is>
          <t>Вертикальные: полка, стенка (выноска «2Ø16» + 2 симметр.)</t>
        </is>
      </c>
      <c r="H873" s="51" t="n">
        <v>16</v>
      </c>
      <c r="I873" s="72" t="inlineStr">
        <is>
          <t>А500С</t>
        </is>
      </c>
      <c r="J873" s="72" t="inlineStr">
        <is>
          <t>—</t>
        </is>
      </c>
      <c r="K873" s="75" t="n">
        <v>1</v>
      </c>
      <c r="L873" s="51" t="n">
        <v>4</v>
      </c>
      <c r="M873" s="69" t="n">
        <v>3.728</v>
      </c>
      <c r="N873" s="70">
        <f>K873*L873*M873</f>
        <v/>
      </c>
      <c r="O873" s="37">
        <f>IFERROR(INDEX(Исходные!$B$19:$B$31,MATCH(H873,Исходные!$A$19:$A$31,0)),0)</f>
        <v/>
      </c>
      <c r="P873" s="76">
        <f>N873*O873</f>
        <v/>
      </c>
      <c r="Q873" s="21" t="inlineStr">
        <is>
          <t>АС-37 сеч.4-4 «3÷5 этаж»; прим.1,3</t>
        </is>
      </c>
      <c r="R873" s="77" t="inlineStr">
        <is>
          <t>по проекту</t>
        </is>
      </c>
      <c r="S873" s="21" t="inlineStr">
        <is>
          <t>нахлёст 8d со сваркой (Ø≤18), учтён в длине. «6 2Ø16»</t>
        </is>
      </c>
      <c r="T873" s="21" t="inlineStr">
        <is>
          <t>Колонны, диафрагмы</t>
        </is>
      </c>
      <c r="U873" s="49" t="n">
        <v>0</v>
      </c>
      <c r="V873" s="72" t="inlineStr">
        <is>
          <t>Дм-2</t>
        </is>
      </c>
      <c r="W873" s="49" t="n">
        <v>3</v>
      </c>
    </row>
    <row r="874">
      <c r="A874" s="72" t="n">
        <v>852</v>
      </c>
      <c r="B874" s="21" t="inlineStr">
        <is>
          <t>3 этаж (отм. +7.550…+11.150)</t>
        </is>
      </c>
      <c r="C874" s="21" t="inlineStr">
        <is>
          <t>Диафрагмы</t>
        </is>
      </c>
      <c r="D874" s="21" t="inlineStr">
        <is>
          <t>А/2</t>
        </is>
      </c>
      <c r="E874" s="21" t="inlineStr">
        <is>
          <t>Дм-2</t>
        </is>
      </c>
      <c r="F874" s="72" t="inlineStr">
        <is>
          <t>гор.</t>
        </is>
      </c>
      <c r="G874" s="21" t="inlineStr">
        <is>
          <t>Горизонтальные «Осн. стержни»: полка вдоль оси А, L=1300-2×25</t>
        </is>
      </c>
      <c r="H874" s="51" t="n">
        <v>14</v>
      </c>
      <c r="I874" s="72" t="inlineStr">
        <is>
          <t>А500С</t>
        </is>
      </c>
      <c r="J874" s="72" t="n">
        <v>200</v>
      </c>
      <c r="K874" s="75" t="n">
        <v>1</v>
      </c>
      <c r="L874" s="51" t="n">
        <v>32</v>
      </c>
      <c r="M874" s="69" t="n">
        <v>1.25</v>
      </c>
      <c r="N874" s="70">
        <f>K874*L874*M874</f>
        <v/>
      </c>
      <c r="O874" s="37">
        <f>IFERROR(INDEX(Исходные!$B$19:$B$31,MATCH(H874,Исходные!$A$19:$A$31,0)),0)</f>
        <v/>
      </c>
      <c r="P874" s="76">
        <f>N874*O874</f>
        <v/>
      </c>
      <c r="Q874" s="21" t="inlineStr">
        <is>
          <t>АС-37 развертка 3 этажа, шаг 200x14+100 (16 рядов × 2 грани)</t>
        </is>
      </c>
      <c r="R874" s="78" t="inlineStr">
        <is>
          <t>по геометрии (уточнить)</t>
        </is>
      </c>
      <c r="S874" s="21" t="inlineStr">
        <is>
          <t>развертка «Осн. стержни Ø14» (3 этаж)</t>
        </is>
      </c>
      <c r="T874" s="21" t="inlineStr">
        <is>
          <t>Колонны, диафрагмы</t>
        </is>
      </c>
      <c r="U874" s="49" t="n">
        <v>1</v>
      </c>
      <c r="V874" s="72" t="inlineStr">
        <is>
          <t>Дм-2</t>
        </is>
      </c>
      <c r="W874" s="49" t="n">
        <v>3</v>
      </c>
    </row>
    <row r="875">
      <c r="A875" s="72" t="n">
        <v>853</v>
      </c>
      <c r="B875" s="21" t="inlineStr">
        <is>
          <t>3 этаж (отм. +7.550…+11.150)</t>
        </is>
      </c>
      <c r="C875" s="21" t="inlineStr">
        <is>
          <t>Диафрагмы</t>
        </is>
      </c>
      <c r="D875" s="21" t="inlineStr">
        <is>
          <t>А/2</t>
        </is>
      </c>
      <c r="E875" s="21" t="inlineStr">
        <is>
          <t>Дм-2</t>
        </is>
      </c>
      <c r="F875" s="72" t="inlineStr">
        <is>
          <t>гор.</t>
        </is>
      </c>
      <c r="G875" s="21" t="inlineStr">
        <is>
          <t>Горизонтальные «Осн. стержни»: ребро вдоль оси 2, L=2300-2×25</t>
        </is>
      </c>
      <c r="H875" s="51" t="n">
        <v>14</v>
      </c>
      <c r="I875" s="72" t="inlineStr">
        <is>
          <t>А500С</t>
        </is>
      </c>
      <c r="J875" s="72" t="n">
        <v>200</v>
      </c>
      <c r="K875" s="75" t="n">
        <v>1</v>
      </c>
      <c r="L875" s="51" t="n">
        <v>32</v>
      </c>
      <c r="M875" s="69" t="n">
        <v>2.25</v>
      </c>
      <c r="N875" s="70">
        <f>K875*L875*M875</f>
        <v/>
      </c>
      <c r="O875" s="37">
        <f>IFERROR(INDEX(Исходные!$B$19:$B$31,MATCH(H875,Исходные!$A$19:$A$31,0)),0)</f>
        <v/>
      </c>
      <c r="P875" s="76">
        <f>N875*O875</f>
        <v/>
      </c>
      <c r="Q875" s="21" t="inlineStr">
        <is>
          <t>АС-37 развертка 3 этажа, шаг 200x14+100 (16 рядов × 2 грани)</t>
        </is>
      </c>
      <c r="R875" s="78" t="inlineStr">
        <is>
          <t>по геометрии (уточнить)</t>
        </is>
      </c>
      <c r="S875" s="21" t="inlineStr">
        <is>
          <t>развертка «Осн. стержни Ø14» (3 этаж)</t>
        </is>
      </c>
      <c r="T875" s="21" t="inlineStr">
        <is>
          <t>Колонны, диафрагмы</t>
        </is>
      </c>
      <c r="U875" s="49" t="n">
        <v>1</v>
      </c>
      <c r="V875" s="72" t="inlineStr">
        <is>
          <t>Дм-2</t>
        </is>
      </c>
      <c r="W875" s="49" t="n">
        <v>3</v>
      </c>
    </row>
    <row r="876">
      <c r="A876" s="72" t="n">
        <v>854</v>
      </c>
      <c r="B876" s="21" t="inlineStr">
        <is>
          <t>3 этаж (отм. +7.550…+11.150)</t>
        </is>
      </c>
      <c r="C876" s="21" t="inlineStr">
        <is>
          <t>Диафрагмы</t>
        </is>
      </c>
      <c r="D876" s="21" t="inlineStr">
        <is>
          <t>А/2</t>
        </is>
      </c>
      <c r="E876" s="21" t="inlineStr">
        <is>
          <t>Дм-2</t>
        </is>
      </c>
      <c r="F876" s="72" t="inlineStr">
        <is>
          <t>доп.</t>
        </is>
      </c>
      <c r="G876" s="21" t="inlineStr">
        <is>
          <t>Доп. стержни: ось А под ригелем +11.150, 6Ø10 L=1250 (выноска «12Ø10» на 2 группы — над и под +11.150)</t>
        </is>
      </c>
      <c r="H876" s="51" t="n">
        <v>10</v>
      </c>
      <c r="I876" s="72" t="inlineStr">
        <is>
          <t>А500С</t>
        </is>
      </c>
      <c r="J876" s="72" t="n">
        <v>200</v>
      </c>
      <c r="K876" s="75" t="n">
        <v>1</v>
      </c>
      <c r="L876" s="51" t="n">
        <v>6</v>
      </c>
      <c r="M876" s="69" t="n">
        <v>1.25</v>
      </c>
      <c r="N876" s="70">
        <f>K876*L876*M876</f>
        <v/>
      </c>
      <c r="O876" s="37">
        <f>IFERROR(INDEX(Исходные!$B$19:$B$31,MATCH(H876,Исходные!$A$19:$A$31,0)),0)</f>
        <v/>
      </c>
      <c r="P876" s="76">
        <f>N876*O876</f>
        <v/>
      </c>
      <c r="Q876" s="21" t="inlineStr">
        <is>
          <t>АС-37 развертка, выноска «Доп. стержень»</t>
        </is>
      </c>
      <c r="R876" s="77" t="inlineStr">
        <is>
          <t>по проекту</t>
        </is>
      </c>
      <c r="S876" s="21" t="inlineStr"/>
      <c r="T876" s="21" t="inlineStr">
        <is>
          <t>Колонны, диафрагмы</t>
        </is>
      </c>
      <c r="U876" s="49" t="n">
        <v>0</v>
      </c>
      <c r="V876" s="72" t="inlineStr">
        <is>
          <t>Дм-2</t>
        </is>
      </c>
      <c r="W876" s="49" t="n">
        <v>3</v>
      </c>
    </row>
    <row r="877">
      <c r="A877" s="72" t="n">
        <v>855</v>
      </c>
      <c r="B877" s="21" t="inlineStr">
        <is>
          <t>3 этаж (отм. +7.550…+11.150)</t>
        </is>
      </c>
      <c r="C877" s="21" t="inlineStr">
        <is>
          <t>Диафрагмы</t>
        </is>
      </c>
      <c r="D877" s="21" t="inlineStr">
        <is>
          <t>А/2</t>
        </is>
      </c>
      <c r="E877" s="21" t="inlineStr">
        <is>
          <t>Дм-2</t>
        </is>
      </c>
      <c r="F877" s="72" t="inlineStr">
        <is>
          <t>доп.</t>
        </is>
      </c>
      <c r="G877" s="21" t="inlineStr">
        <is>
          <t>Доп. стержни: ось 2 под ригелем +11.150, 6Ø12 L=1200 (выноска «12Ø12» на 2 группы — над и под +11.150)</t>
        </is>
      </c>
      <c r="H877" s="51" t="n">
        <v>12</v>
      </c>
      <c r="I877" s="72" t="inlineStr">
        <is>
          <t>А500С</t>
        </is>
      </c>
      <c r="J877" s="72" t="n">
        <v>200</v>
      </c>
      <c r="K877" s="75" t="n">
        <v>1</v>
      </c>
      <c r="L877" s="51" t="n">
        <v>6</v>
      </c>
      <c r="M877" s="69" t="n">
        <v>1.2</v>
      </c>
      <c r="N877" s="70">
        <f>K877*L877*M877</f>
        <v/>
      </c>
      <c r="O877" s="37">
        <f>IFERROR(INDEX(Исходные!$B$19:$B$31,MATCH(H877,Исходные!$A$19:$A$31,0)),0)</f>
        <v/>
      </c>
      <c r="P877" s="76">
        <f>N877*O877</f>
        <v/>
      </c>
      <c r="Q877" s="21" t="inlineStr">
        <is>
          <t>АС-37 развертка, выноска «Доп. стержень»</t>
        </is>
      </c>
      <c r="R877" s="77" t="inlineStr">
        <is>
          <t>по проекту</t>
        </is>
      </c>
      <c r="S877" s="21" t="inlineStr"/>
      <c r="T877" s="21" t="inlineStr">
        <is>
          <t>Колонны, диафрагмы</t>
        </is>
      </c>
      <c r="U877" s="49" t="n">
        <v>0</v>
      </c>
      <c r="V877" s="72" t="inlineStr">
        <is>
          <t>Дм-2</t>
        </is>
      </c>
      <c r="W877" s="49" t="n">
        <v>3</v>
      </c>
    </row>
    <row r="878">
      <c r="A878" s="72" t="n">
        <v>856</v>
      </c>
      <c r="B878" s="21" t="inlineStr">
        <is>
          <t>3 этаж (отм. +7.550…+11.150)</t>
        </is>
      </c>
      <c r="C878" s="21" t="inlineStr">
        <is>
          <t>Диафрагмы</t>
        </is>
      </c>
      <c r="D878" s="21" t="inlineStr">
        <is>
          <t>А/2</t>
        </is>
      </c>
      <c r="E878" s="21" t="inlineStr">
        <is>
          <t>Дм-2</t>
        </is>
      </c>
      <c r="F878" s="72" t="inlineStr">
        <is>
          <t>доп. верт.</t>
        </is>
      </c>
      <c r="G878" s="21" t="inlineStr">
        <is>
          <t>Доп. вертикальные стержни: ось 2, торцевой эл-т ребра у +11.150: «по 4Ø16 L=1600»</t>
        </is>
      </c>
      <c r="H878" s="51" t="n">
        <v>16</v>
      </c>
      <c r="I878" s="72" t="inlineStr">
        <is>
          <t>А500С</t>
        </is>
      </c>
      <c r="J878" s="72" t="inlineStr">
        <is>
          <t>—</t>
        </is>
      </c>
      <c r="K878" s="75" t="n">
        <v>1</v>
      </c>
      <c r="L878" s="51" t="n">
        <v>4</v>
      </c>
      <c r="M878" s="69" t="n">
        <v>1.6</v>
      </c>
      <c r="N878" s="70">
        <f>K878*L878*M878</f>
        <v/>
      </c>
      <c r="O878" s="37">
        <f>IFERROR(INDEX(Исходные!$B$19:$B$31,MATCH(H878,Исходные!$A$19:$A$31,0)),0)</f>
        <v/>
      </c>
      <c r="P878" s="76">
        <f>N878*O878</f>
        <v/>
      </c>
      <c r="Q878" s="21" t="inlineStr">
        <is>
          <t>АС-36 развертка по оси 2 «Доп. стержень по 4Ø16 А500С L-1600»; АС-37 сеч.4-4 «Доп. стержни»</t>
        </is>
      </c>
      <c r="R878" s="78" t="inlineStr">
        <is>
          <t>по геометрии (уточнить)</t>
        </is>
      </c>
      <c r="S878" s="21" t="inlineStr">
        <is>
          <t>На сечении — мелкие точки с выноской «Доп. стержни»; длина по выноске на развёртке, без нахлёста.</t>
        </is>
      </c>
      <c r="T878" s="21" t="inlineStr">
        <is>
          <t>Колонны, диафрагмы</t>
        </is>
      </c>
      <c r="U878" s="49" t="n">
        <v>1</v>
      </c>
      <c r="V878" s="72" t="inlineStr">
        <is>
          <t>Дм-2</t>
        </is>
      </c>
      <c r="W878" s="49" t="n">
        <v>3</v>
      </c>
    </row>
    <row r="879">
      <c r="A879" s="72" t="n">
        <v>857</v>
      </c>
      <c r="B879" s="21" t="inlineStr">
        <is>
          <t>3 этаж (отм. +7.550…+11.150)</t>
        </is>
      </c>
      <c r="C879" s="21" t="inlineStr">
        <is>
          <t>Диафрагмы</t>
        </is>
      </c>
      <c r="D879" s="21" t="inlineStr">
        <is>
          <t>А/2</t>
        </is>
      </c>
      <c r="E879" s="21" t="inlineStr">
        <is>
          <t>Дм-2</t>
        </is>
      </c>
      <c r="F879" s="72" t="inlineStr">
        <is>
          <t>14</t>
        </is>
      </c>
      <c r="G879" s="21" t="inlineStr">
        <is>
          <t>П-образный стержень на торцах: 2 шт/ряд × 16 рядов</t>
        </is>
      </c>
      <c r="H879" s="51" t="n">
        <v>10</v>
      </c>
      <c r="I879" s="72" t="inlineStr">
        <is>
          <t>А240</t>
        </is>
      </c>
      <c r="J879" s="72" t="inlineStr">
        <is>
          <t>200</t>
        </is>
      </c>
      <c r="K879" s="75" t="n">
        <v>1</v>
      </c>
      <c r="L879" s="51" t="n">
        <v>32</v>
      </c>
      <c r="M879" s="69" t="n">
        <v>1.33</v>
      </c>
      <c r="N879" s="70">
        <f>K879*L879*M879</f>
        <v/>
      </c>
      <c r="O879" s="37">
        <f>IFERROR(INDEX(Исходные!$B$19:$B$31,MATCH(H879,Исходные!$A$19:$A$31,0)),0)</f>
        <v/>
      </c>
      <c r="P879" s="76">
        <f>N879*O879</f>
        <v/>
      </c>
      <c r="Q879" s="21" t="inlineStr">
        <is>
          <t>сечение 4-4; АС-42 ведомость деталей поз.14 L=1330</t>
        </is>
      </c>
      <c r="R879" s="77" t="inlineStr">
        <is>
          <t>по проекту</t>
        </is>
      </c>
      <c r="S879" s="21" t="inlineStr"/>
      <c r="T879" s="21" t="inlineStr">
        <is>
          <t>Колонны, диафрагмы</t>
        </is>
      </c>
      <c r="U879" s="49" t="n">
        <v>0</v>
      </c>
      <c r="V879" s="72" t="inlineStr">
        <is>
          <t>Дм-2</t>
        </is>
      </c>
      <c r="W879" s="49" t="n">
        <v>3</v>
      </c>
    </row>
    <row r="880">
      <c r="A880" s="72" t="n">
        <v>858</v>
      </c>
      <c r="B880" s="21" t="inlineStr">
        <is>
          <t>3 этаж (отм. +7.550…+11.150)</t>
        </is>
      </c>
      <c r="C880" s="21" t="inlineStr">
        <is>
          <t>Диафрагмы</t>
        </is>
      </c>
      <c r="D880" s="21" t="inlineStr">
        <is>
          <t>А/2</t>
        </is>
      </c>
      <c r="E880" s="21" t="inlineStr">
        <is>
          <t>Дм-2</t>
        </is>
      </c>
      <c r="F880" s="72" t="inlineStr">
        <is>
          <t>12</t>
        </is>
      </c>
      <c r="G880" s="21" t="inlineStr">
        <is>
          <t>Хомут торцевого элемента полки Ø8: 1 шт/ряд × 16</t>
        </is>
      </c>
      <c r="H880" s="51" t="n">
        <v>8</v>
      </c>
      <c r="I880" s="72" t="inlineStr">
        <is>
          <t>А240</t>
        </is>
      </c>
      <c r="J880" s="72" t="inlineStr">
        <is>
          <t>200</t>
        </is>
      </c>
      <c r="K880" s="75" t="n">
        <v>1</v>
      </c>
      <c r="L880" s="51" t="n">
        <v>16</v>
      </c>
      <c r="M880" s="69" t="n">
        <v>1.56</v>
      </c>
      <c r="N880" s="70">
        <f>K880*L880*M880</f>
        <v/>
      </c>
      <c r="O880" s="37">
        <f>IFERROR(INDEX(Исходные!$B$19:$B$31,MATCH(H880,Исходные!$A$19:$A$31,0)),0)</f>
        <v/>
      </c>
      <c r="P880" s="76">
        <f>N880*O880</f>
        <v/>
      </c>
      <c r="Q880" s="21" t="inlineStr">
        <is>
          <t>сечение 4-4 «12 хом.Ø8 ш.200»; АС-42 ведомость деталей поз.12 L=1560</t>
        </is>
      </c>
      <c r="R880" s="77" t="inlineStr">
        <is>
          <t>по проекту</t>
        </is>
      </c>
      <c r="S880" s="21" t="inlineStr"/>
      <c r="T880" s="21" t="inlineStr">
        <is>
          <t>Колонны, диафрагмы</t>
        </is>
      </c>
      <c r="U880" s="49" t="n">
        <v>0</v>
      </c>
      <c r="V880" s="72" t="inlineStr">
        <is>
          <t>Дм-2</t>
        </is>
      </c>
      <c r="W880" s="49" t="n">
        <v>3</v>
      </c>
    </row>
    <row r="881">
      <c r="A881" s="72" t="n">
        <v>859</v>
      </c>
      <c r="B881" s="21" t="inlineStr">
        <is>
          <t>3 этаж (отм. +7.550…+11.150)</t>
        </is>
      </c>
      <c r="C881" s="21" t="inlineStr">
        <is>
          <t>Диафрагмы</t>
        </is>
      </c>
      <c r="D881" s="21" t="inlineStr">
        <is>
          <t>А/2</t>
        </is>
      </c>
      <c r="E881" s="21" t="inlineStr">
        <is>
          <t>Дм-2</t>
        </is>
      </c>
      <c r="F881" s="72" t="inlineStr">
        <is>
          <t>15</t>
        </is>
      </c>
      <c r="G881" s="21" t="inlineStr">
        <is>
          <t>Хомут торцевого элемента Ø8: 1 шт/ряд × 16</t>
        </is>
      </c>
      <c r="H881" s="51" t="n">
        <v>8</v>
      </c>
      <c r="I881" s="72" t="inlineStr">
        <is>
          <t>А240</t>
        </is>
      </c>
      <c r="J881" s="72" t="inlineStr">
        <is>
          <t>200</t>
        </is>
      </c>
      <c r="K881" s="75" t="n">
        <v>1</v>
      </c>
      <c r="L881" s="51" t="n">
        <v>16</v>
      </c>
      <c r="M881" s="69" t="n">
        <v>1.76</v>
      </c>
      <c r="N881" s="70">
        <f>K881*L881*M881</f>
        <v/>
      </c>
      <c r="O881" s="37">
        <f>IFERROR(INDEX(Исходные!$B$19:$B$31,MATCH(H881,Исходные!$A$19:$A$31,0)),0)</f>
        <v/>
      </c>
      <c r="P881" s="76">
        <f>N881*O881</f>
        <v/>
      </c>
      <c r="Q881" s="21" t="inlineStr">
        <is>
          <t>сечение 4-4 «15 хом.Ø8 ш.200»; АС-42 ведомость деталей поз.15 L=1760</t>
        </is>
      </c>
      <c r="R881" s="77" t="inlineStr">
        <is>
          <t>по проекту</t>
        </is>
      </c>
      <c r="S881" s="21" t="inlineStr"/>
      <c r="T881" s="21" t="inlineStr">
        <is>
          <t>Колонны, диафрагмы</t>
        </is>
      </c>
      <c r="U881" s="49" t="n">
        <v>0</v>
      </c>
      <c r="V881" s="72" t="inlineStr">
        <is>
          <t>Дм-2</t>
        </is>
      </c>
      <c r="W881" s="49" t="n">
        <v>3</v>
      </c>
    </row>
    <row r="882">
      <c r="A882" s="72" t="n">
        <v>860</v>
      </c>
      <c r="B882" s="21" t="inlineStr">
        <is>
          <t>3 этаж (отм. +7.550…+11.150)</t>
        </is>
      </c>
      <c r="C882" s="21" t="inlineStr">
        <is>
          <t>Диафрагмы</t>
        </is>
      </c>
      <c r="D882" s="21" t="inlineStr">
        <is>
          <t>А/2</t>
        </is>
      </c>
      <c r="E882" s="21" t="inlineStr">
        <is>
          <t>Дм-2</t>
        </is>
      </c>
      <c r="F882" s="72" t="inlineStr">
        <is>
          <t>10</t>
        </is>
      </c>
      <c r="G882" s="21" t="inlineStr">
        <is>
          <t>Хомут колонны наружный (100×12 у опор, 200 в середине) — 28 шт</t>
        </is>
      </c>
      <c r="H882" s="51" t="n">
        <v>8</v>
      </c>
      <c r="I882" s="72" t="inlineStr">
        <is>
          <t>А240</t>
        </is>
      </c>
      <c r="J882" s="72" t="inlineStr">
        <is>
          <t>200</t>
        </is>
      </c>
      <c r="K882" s="75" t="n">
        <v>1</v>
      </c>
      <c r="L882" s="51" t="n">
        <v>28</v>
      </c>
      <c r="M882" s="69" t="n">
        <v>2.44</v>
      </c>
      <c r="N882" s="70">
        <f>K882*L882*M882</f>
        <v/>
      </c>
      <c r="O882" s="37">
        <f>IFERROR(INDEX(Исходные!$B$19:$B$31,MATCH(H882,Исходные!$A$19:$A$31,0)),0)</f>
        <v/>
      </c>
      <c r="P882" s="76">
        <f>N882*O882</f>
        <v/>
      </c>
      <c r="Q882" s="21" t="inlineStr">
        <is>
          <t>АС-32 (2÷4 этаж: 50+100×12+200×n+100×12+50+600); АС-42 ведомость деталей поз.10 L=2440</t>
        </is>
      </c>
      <c r="R882" s="77" t="inlineStr">
        <is>
          <t>по проекту</t>
        </is>
      </c>
      <c r="S882" s="21" t="inlineStr"/>
      <c r="T882" s="21" t="inlineStr">
        <is>
          <t>Колонны, диафрагмы</t>
        </is>
      </c>
      <c r="U882" s="49" t="n">
        <v>0</v>
      </c>
      <c r="V882" s="72" t="inlineStr">
        <is>
          <t>Дм-2</t>
        </is>
      </c>
      <c r="W882" s="49" t="n">
        <v>3</v>
      </c>
    </row>
    <row r="883">
      <c r="A883" s="72" t="n">
        <v>861</v>
      </c>
      <c r="B883" s="21" t="inlineStr">
        <is>
          <t>3 этаж (отм. +7.550…+11.150)</t>
        </is>
      </c>
      <c r="C883" s="21" t="inlineStr">
        <is>
          <t>Диафрагмы</t>
        </is>
      </c>
      <c r="D883" s="21" t="inlineStr">
        <is>
          <t>А/2</t>
        </is>
      </c>
      <c r="E883" s="21" t="inlineStr">
        <is>
          <t>Дм-2</t>
        </is>
      </c>
      <c r="F883" s="72" t="inlineStr">
        <is>
          <t>11</t>
        </is>
      </c>
      <c r="G883" s="21" t="inlineStr">
        <is>
          <t>Хомут колонны внутренний: 2 шт/ряд × 16</t>
        </is>
      </c>
      <c r="H883" s="51" t="n">
        <v>8</v>
      </c>
      <c r="I883" s="72" t="inlineStr">
        <is>
          <t>А240</t>
        </is>
      </c>
      <c r="J883" s="72" t="inlineStr">
        <is>
          <t>200</t>
        </is>
      </c>
      <c r="K883" s="75" t="n">
        <v>1</v>
      </c>
      <c r="L883" s="51" t="n">
        <v>32</v>
      </c>
      <c r="M883" s="69" t="n">
        <v>1.96</v>
      </c>
      <c r="N883" s="70">
        <f>K883*L883*M883</f>
        <v/>
      </c>
      <c r="O883" s="37">
        <f>IFERROR(INDEX(Исходные!$B$19:$B$31,MATCH(H883,Исходные!$A$19:$A$31,0)),0)</f>
        <v/>
      </c>
      <c r="P883" s="76">
        <f>N883*O883</f>
        <v/>
      </c>
      <c r="Q883" s="21" t="inlineStr">
        <is>
          <t>сечение 4-4 «ш.200»; АС-42 ведомость деталей поз.11 L=1960</t>
        </is>
      </c>
      <c r="R883" s="77" t="inlineStr">
        <is>
          <t>по проекту</t>
        </is>
      </c>
      <c r="S883" s="21" t="inlineStr"/>
      <c r="T883" s="21" t="inlineStr">
        <is>
          <t>Колонны, диафрагмы</t>
        </is>
      </c>
      <c r="U883" s="49" t="n">
        <v>0</v>
      </c>
      <c r="V883" s="72" t="inlineStr">
        <is>
          <t>Дм-2</t>
        </is>
      </c>
      <c r="W883" s="49" t="n">
        <v>3</v>
      </c>
    </row>
    <row r="884">
      <c r="A884" s="72" t="n">
        <v>862</v>
      </c>
      <c r="B884" s="21" t="inlineStr">
        <is>
          <t>3 этаж (отм. +7.550…+11.150)</t>
        </is>
      </c>
      <c r="C884" s="21" t="inlineStr">
        <is>
          <t>Диафрагмы</t>
        </is>
      </c>
      <c r="D884" s="21" t="inlineStr">
        <is>
          <t>А/2</t>
        </is>
      </c>
      <c r="E884" s="21" t="inlineStr">
        <is>
          <t>Дм-2</t>
        </is>
      </c>
      <c r="F884" s="72" t="inlineStr">
        <is>
          <t>13</t>
        </is>
      </c>
      <c r="G884" s="21" t="inlineStr">
        <is>
          <t>Шпилька ш.400 в шахм. порядке: 6 мест × 8 рядов</t>
        </is>
      </c>
      <c r="H884" s="51" t="n">
        <v>8</v>
      </c>
      <c r="I884" s="72" t="inlineStr">
        <is>
          <t>А240</t>
        </is>
      </c>
      <c r="J884" s="72" t="inlineStr">
        <is>
          <t>200</t>
        </is>
      </c>
      <c r="K884" s="75" t="n">
        <v>1</v>
      </c>
      <c r="L884" s="51" t="n">
        <v>48</v>
      </c>
      <c r="M884" s="69" t="n">
        <v>0.53</v>
      </c>
      <c r="N884" s="70">
        <f>K884*L884*M884</f>
        <v/>
      </c>
      <c r="O884" s="37">
        <f>IFERROR(INDEX(Исходные!$B$19:$B$31,MATCH(H884,Исходные!$A$19:$A$31,0)),0)</f>
        <v/>
      </c>
      <c r="P884" s="76">
        <f>N884*O884</f>
        <v/>
      </c>
      <c r="Q884" s="21" t="inlineStr">
        <is>
          <t>сечение 4-4, прим.6; АС-42 ведомость деталей поз.13 L=530</t>
        </is>
      </c>
      <c r="R884" s="77" t="inlineStr">
        <is>
          <t>по проекту</t>
        </is>
      </c>
      <c r="S884" s="21" t="inlineStr"/>
      <c r="T884" s="21" t="inlineStr">
        <is>
          <t>Колонны, диафрагмы</t>
        </is>
      </c>
      <c r="U884" s="49" t="n">
        <v>0</v>
      </c>
      <c r="V884" s="72" t="inlineStr">
        <is>
          <t>Дм-2</t>
        </is>
      </c>
      <c r="W884" s="49" t="n">
        <v>3</v>
      </c>
    </row>
    <row r="885">
      <c r="A885" s="72" t="n">
        <v>863</v>
      </c>
      <c r="B885" s="21" t="inlineStr">
        <is>
          <t>3 этаж (отм. +7.550…+11.150)</t>
        </is>
      </c>
      <c r="C885" s="21" t="inlineStr">
        <is>
          <t>Диафрагмы</t>
        </is>
      </c>
      <c r="D885" s="21" t="inlineStr">
        <is>
          <t>Г/2</t>
        </is>
      </c>
      <c r="E885" s="21" t="inlineStr">
        <is>
          <t>Дм-3</t>
        </is>
      </c>
      <c r="F885" s="72" t="inlineStr">
        <is>
          <t>2</t>
        </is>
      </c>
      <c r="G885" s="21" t="inlineStr">
        <is>
          <t>Вертикальные: колонна, угловые 4Ø28</t>
        </is>
      </c>
      <c r="H885" s="51" t="n">
        <v>28</v>
      </c>
      <c r="I885" s="72" t="inlineStr">
        <is>
          <t>А500С</t>
        </is>
      </c>
      <c r="J885" s="72" t="inlineStr">
        <is>
          <t>—</t>
        </is>
      </c>
      <c r="K885" s="75" t="n">
        <v>1</v>
      </c>
      <c r="L885" s="51" t="n">
        <v>4</v>
      </c>
      <c r="M885" s="69" t="n">
        <v>3.6</v>
      </c>
      <c r="N885" s="70">
        <f>K885*L885*M885</f>
        <v/>
      </c>
      <c r="O885" s="37">
        <f>IFERROR(INDEX(Исходные!$B$19:$B$31,MATCH(H885,Исходные!$A$19:$A$31,0)),0)</f>
        <v/>
      </c>
      <c r="P885" s="76">
        <f>N885*O885</f>
        <v/>
      </c>
      <c r="Q885" s="21" t="inlineStr">
        <is>
          <t>АС-39 сеч.2-2 «2, 3 этаж»; прим.1,3</t>
        </is>
      </c>
      <c r="R885" s="77" t="inlineStr">
        <is>
          <t>по проекту</t>
        </is>
      </c>
      <c r="S885" s="21" t="inlineStr">
        <is>
          <t>стык ванной сваркой (Ø≥20), длина = высота этажа 3,6 м. поз.2</t>
        </is>
      </c>
      <c r="T885" s="21" t="inlineStr">
        <is>
          <t>Колонны, диафрагмы</t>
        </is>
      </c>
      <c r="U885" s="49" t="n">
        <v>0</v>
      </c>
      <c r="V885" s="72" t="inlineStr">
        <is>
          <t>Дм-3</t>
        </is>
      </c>
      <c r="W885" s="49" t="n">
        <v>3</v>
      </c>
    </row>
    <row r="886">
      <c r="A886" s="72" t="n">
        <v>864</v>
      </c>
      <c r="B886" s="21" t="inlineStr">
        <is>
          <t>3 этаж (отм. +7.550…+11.150)</t>
        </is>
      </c>
      <c r="C886" s="21" t="inlineStr">
        <is>
          <t>Диафрагмы</t>
        </is>
      </c>
      <c r="D886" s="21" t="inlineStr">
        <is>
          <t>Г/2</t>
        </is>
      </c>
      <c r="E886" s="21" t="inlineStr">
        <is>
          <t>Дм-3</t>
        </is>
      </c>
      <c r="F886" s="72" t="inlineStr">
        <is>
          <t>5</t>
        </is>
      </c>
      <c r="G886" s="21" t="inlineStr">
        <is>
          <t>Вертикальные: колонна 8Ø20</t>
        </is>
      </c>
      <c r="H886" s="51" t="n">
        <v>20</v>
      </c>
      <c r="I886" s="72" t="inlineStr">
        <is>
          <t>А500С</t>
        </is>
      </c>
      <c r="J886" s="72" t="inlineStr">
        <is>
          <t>—</t>
        </is>
      </c>
      <c r="K886" s="75" t="n">
        <v>1</v>
      </c>
      <c r="L886" s="51" t="n">
        <v>8</v>
      </c>
      <c r="M886" s="69" t="n">
        <v>3.6</v>
      </c>
      <c r="N886" s="70">
        <f>K886*L886*M886</f>
        <v/>
      </c>
      <c r="O886" s="37">
        <f>IFERROR(INDEX(Исходные!$B$19:$B$31,MATCH(H886,Исходные!$A$19:$A$31,0)),0)</f>
        <v/>
      </c>
      <c r="P886" s="76">
        <f>N886*O886</f>
        <v/>
      </c>
      <c r="Q886" s="21" t="inlineStr">
        <is>
          <t>АС-39 сеч.2-2 «2, 3 этаж»; прим.1,3</t>
        </is>
      </c>
      <c r="R886" s="77" t="inlineStr">
        <is>
          <t>по проекту</t>
        </is>
      </c>
      <c r="S886" s="21" t="inlineStr">
        <is>
          <t>стык ванной сваркой (Ø≥20), длина = высота этажа 3,6 м. поз.5</t>
        </is>
      </c>
      <c r="T886" s="21" t="inlineStr">
        <is>
          <t>Колонны, диафрагмы</t>
        </is>
      </c>
      <c r="U886" s="49" t="n">
        <v>0</v>
      </c>
      <c r="V886" s="72" t="inlineStr">
        <is>
          <t>Дм-3</t>
        </is>
      </c>
      <c r="W886" s="49" t="n">
        <v>3</v>
      </c>
    </row>
    <row r="887">
      <c r="A887" s="72" t="n">
        <v>865</v>
      </c>
      <c r="B887" s="21" t="inlineStr">
        <is>
          <t>3 этаж (отм. +7.550…+11.150)</t>
        </is>
      </c>
      <c r="C887" s="21" t="inlineStr">
        <is>
          <t>Диафрагмы</t>
        </is>
      </c>
      <c r="D887" s="21" t="inlineStr">
        <is>
          <t>Г/2</t>
        </is>
      </c>
      <c r="E887" s="21" t="inlineStr">
        <is>
          <t>Дм-3</t>
        </is>
      </c>
      <c r="F887" s="72" t="inlineStr">
        <is>
          <t>3</t>
        </is>
      </c>
      <c r="G887" s="21" t="inlineStr">
        <is>
          <t>Вертикальные: полка: 2 торцевых эл-та по 6 («3Ø25» + 3 симметр.)</t>
        </is>
      </c>
      <c r="H887" s="51" t="n">
        <v>25</v>
      </c>
      <c r="I887" s="72" t="inlineStr">
        <is>
          <t>А500С</t>
        </is>
      </c>
      <c r="J887" s="72" t="inlineStr">
        <is>
          <t>—</t>
        </is>
      </c>
      <c r="K887" s="75" t="n">
        <v>1</v>
      </c>
      <c r="L887" s="51" t="n">
        <v>12</v>
      </c>
      <c r="M887" s="69" t="n">
        <v>3.6</v>
      </c>
      <c r="N887" s="70">
        <f>K887*L887*M887</f>
        <v/>
      </c>
      <c r="O887" s="37">
        <f>IFERROR(INDEX(Исходные!$B$19:$B$31,MATCH(H887,Исходные!$A$19:$A$31,0)),0)</f>
        <v/>
      </c>
      <c r="P887" s="76">
        <f>N887*O887</f>
        <v/>
      </c>
      <c r="Q887" s="21" t="inlineStr">
        <is>
          <t>АС-39 сеч.2-2 «2, 3 этаж»; прим.1,3</t>
        </is>
      </c>
      <c r="R887" s="77" t="inlineStr">
        <is>
          <t>по проекту</t>
        </is>
      </c>
      <c r="S887" s="21" t="inlineStr">
        <is>
          <t>стык ванной сваркой (Ø≥20), длина = высота этажа 3,6 м. «3 3Ø25» ×2</t>
        </is>
      </c>
      <c r="T887" s="21" t="inlineStr">
        <is>
          <t>Колонны, диафрагмы</t>
        </is>
      </c>
      <c r="U887" s="49" t="n">
        <v>0</v>
      </c>
      <c r="V887" s="72" t="inlineStr">
        <is>
          <t>Дм-3</t>
        </is>
      </c>
      <c r="W887" s="49" t="n">
        <v>3</v>
      </c>
    </row>
    <row r="888">
      <c r="A888" s="72" t="n">
        <v>866</v>
      </c>
      <c r="B888" s="21" t="inlineStr">
        <is>
          <t>3 этаж (отм. +7.550…+11.150)</t>
        </is>
      </c>
      <c r="C888" s="21" t="inlineStr">
        <is>
          <t>Диафрагмы</t>
        </is>
      </c>
      <c r="D888" s="21" t="inlineStr">
        <is>
          <t>Г/2</t>
        </is>
      </c>
      <c r="E888" s="21" t="inlineStr">
        <is>
          <t>Дм-3</t>
        </is>
      </c>
      <c r="F888" s="72" t="inlineStr">
        <is>
          <t>6</t>
        </is>
      </c>
      <c r="G888" s="21" t="inlineStr">
        <is>
          <t>Вертикальные: полка, стенка («2Ø18» + 2 симметр., ×2 стороны)</t>
        </is>
      </c>
      <c r="H888" s="51" t="n">
        <v>18</v>
      </c>
      <c r="I888" s="72" t="inlineStr">
        <is>
          <t>А500С</t>
        </is>
      </c>
      <c r="J888" s="72" t="inlineStr">
        <is>
          <t>—</t>
        </is>
      </c>
      <c r="K888" s="75" t="n">
        <v>1</v>
      </c>
      <c r="L888" s="51" t="n">
        <v>8</v>
      </c>
      <c r="M888" s="69" t="n">
        <v>3.744</v>
      </c>
      <c r="N888" s="70">
        <f>K888*L888*M888</f>
        <v/>
      </c>
      <c r="O888" s="37">
        <f>IFERROR(INDEX(Исходные!$B$19:$B$31,MATCH(H888,Исходные!$A$19:$A$31,0)),0)</f>
        <v/>
      </c>
      <c r="P888" s="76">
        <f>N888*O888</f>
        <v/>
      </c>
      <c r="Q888" s="21" t="inlineStr">
        <is>
          <t>АС-39 сеч.2-2 «2, 3 этаж»; прим.1,3</t>
        </is>
      </c>
      <c r="R888" s="77" t="inlineStr">
        <is>
          <t>по проекту</t>
        </is>
      </c>
      <c r="S888" s="21" t="inlineStr">
        <is>
          <t>нахлёст 8d со сваркой (Ø≤18), учтён в длине. «6 2Ø18» ×2</t>
        </is>
      </c>
      <c r="T888" s="21" t="inlineStr">
        <is>
          <t>Колонны, диафрагмы</t>
        </is>
      </c>
      <c r="U888" s="49" t="n">
        <v>0</v>
      </c>
      <c r="V888" s="72" t="inlineStr">
        <is>
          <t>Дм-3</t>
        </is>
      </c>
      <c r="W888" s="49" t="n">
        <v>3</v>
      </c>
    </row>
    <row r="889">
      <c r="A889" s="72" t="n">
        <v>867</v>
      </c>
      <c r="B889" s="21" t="inlineStr">
        <is>
          <t>3 этаж (отм. +7.550…+11.150)</t>
        </is>
      </c>
      <c r="C889" s="21" t="inlineStr">
        <is>
          <t>Диафрагмы</t>
        </is>
      </c>
      <c r="D889" s="21" t="inlineStr">
        <is>
          <t>Г/2</t>
        </is>
      </c>
      <c r="E889" s="21" t="inlineStr">
        <is>
          <t>Дм-3</t>
        </is>
      </c>
      <c r="F889" s="72" t="inlineStr">
        <is>
          <t>6</t>
        </is>
      </c>
      <c r="G889" s="21" t="inlineStr">
        <is>
          <t>Вертикальные: ребро, стенка («3Ø18» + 3 симметр.)</t>
        </is>
      </c>
      <c r="H889" s="51" t="n">
        <v>18</v>
      </c>
      <c r="I889" s="72" t="inlineStr">
        <is>
          <t>А500С</t>
        </is>
      </c>
      <c r="J889" s="72" t="inlineStr">
        <is>
          <t>—</t>
        </is>
      </c>
      <c r="K889" s="75" t="n">
        <v>1</v>
      </c>
      <c r="L889" s="51" t="n">
        <v>6</v>
      </c>
      <c r="M889" s="69" t="n">
        <v>3.744</v>
      </c>
      <c r="N889" s="70">
        <f>K889*L889*M889</f>
        <v/>
      </c>
      <c r="O889" s="37">
        <f>IFERROR(INDEX(Исходные!$B$19:$B$31,MATCH(H889,Исходные!$A$19:$A$31,0)),0)</f>
        <v/>
      </c>
      <c r="P889" s="76">
        <f>N889*O889</f>
        <v/>
      </c>
      <c r="Q889" s="21" t="inlineStr">
        <is>
          <t>АС-39 сеч.2-2 «2, 3 этаж»; прим.1,3</t>
        </is>
      </c>
      <c r="R889" s="77" t="inlineStr">
        <is>
          <t>по проекту</t>
        </is>
      </c>
      <c r="S889" s="21" t="inlineStr">
        <is>
          <t>нахлёст 8d со сваркой (Ø≤18), учтён в длине. «6 3Ø18»</t>
        </is>
      </c>
      <c r="T889" s="21" t="inlineStr">
        <is>
          <t>Колонны, диафрагмы</t>
        </is>
      </c>
      <c r="U889" s="49" t="n">
        <v>0</v>
      </c>
      <c r="V889" s="72" t="inlineStr">
        <is>
          <t>Дм-3</t>
        </is>
      </c>
      <c r="W889" s="49" t="n">
        <v>3</v>
      </c>
    </row>
    <row r="890">
      <c r="A890" s="72" t="n">
        <v>868</v>
      </c>
      <c r="B890" s="21" t="inlineStr">
        <is>
          <t>3 этаж (отм. +7.550…+11.150)</t>
        </is>
      </c>
      <c r="C890" s="21" t="inlineStr">
        <is>
          <t>Диафрагмы</t>
        </is>
      </c>
      <c r="D890" s="21" t="inlineStr">
        <is>
          <t>Г/2</t>
        </is>
      </c>
      <c r="E890" s="21" t="inlineStr">
        <is>
          <t>Дм-3</t>
        </is>
      </c>
      <c r="F890" s="72" t="inlineStr">
        <is>
          <t>3</t>
        </is>
      </c>
      <c r="G890" s="21" t="inlineStr">
        <is>
          <t>Вертикальные: ребро, торцевой эл-т («3Ø25» + 3 симметр.)</t>
        </is>
      </c>
      <c r="H890" s="51" t="n">
        <v>25</v>
      </c>
      <c r="I890" s="72" t="inlineStr">
        <is>
          <t>А500С</t>
        </is>
      </c>
      <c r="J890" s="72" t="inlineStr">
        <is>
          <t>—</t>
        </is>
      </c>
      <c r="K890" s="75" t="n">
        <v>1</v>
      </c>
      <c r="L890" s="51" t="n">
        <v>6</v>
      </c>
      <c r="M890" s="69" t="n">
        <v>3.6</v>
      </c>
      <c r="N890" s="70">
        <f>K890*L890*M890</f>
        <v/>
      </c>
      <c r="O890" s="37">
        <f>IFERROR(INDEX(Исходные!$B$19:$B$31,MATCH(H890,Исходные!$A$19:$A$31,0)),0)</f>
        <v/>
      </c>
      <c r="P890" s="76">
        <f>N890*O890</f>
        <v/>
      </c>
      <c r="Q890" s="21" t="inlineStr">
        <is>
          <t>АС-39 сеч.2-2 «2, 3 этаж»; прим.1,3</t>
        </is>
      </c>
      <c r="R890" s="77" t="inlineStr">
        <is>
          <t>по проекту</t>
        </is>
      </c>
      <c r="S890" s="21" t="inlineStr">
        <is>
          <t>стык ванной сваркой (Ø≥20), длина = высота этажа 3,6 м. «3 3Ø25»</t>
        </is>
      </c>
      <c r="T890" s="21" t="inlineStr">
        <is>
          <t>Колонны, диафрагмы</t>
        </is>
      </c>
      <c r="U890" s="49" t="n">
        <v>0</v>
      </c>
      <c r="V890" s="72" t="inlineStr">
        <is>
          <t>Дм-3</t>
        </is>
      </c>
      <c r="W890" s="49" t="n">
        <v>3</v>
      </c>
    </row>
    <row r="891">
      <c r="A891" s="72" t="n">
        <v>869</v>
      </c>
      <c r="B891" s="21" t="inlineStr">
        <is>
          <t>3 этаж (отм. +7.550…+11.150)</t>
        </is>
      </c>
      <c r="C891" s="21" t="inlineStr">
        <is>
          <t>Диафрагмы</t>
        </is>
      </c>
      <c r="D891" s="21" t="inlineStr">
        <is>
          <t>Г/2</t>
        </is>
      </c>
      <c r="E891" s="21" t="inlineStr">
        <is>
          <t>Дм-3</t>
        </is>
      </c>
      <c r="F891" s="72" t="inlineStr">
        <is>
          <t>гор.</t>
        </is>
      </c>
      <c r="G891" s="21" t="inlineStr">
        <is>
          <t>Горизонтальные «Осн. стержни»: полка вдоль оси Г, L=2000-2×25</t>
        </is>
      </c>
      <c r="H891" s="51" t="n">
        <v>14</v>
      </c>
      <c r="I891" s="72" t="inlineStr">
        <is>
          <t>А500С</t>
        </is>
      </c>
      <c r="J891" s="72" t="n">
        <v>200</v>
      </c>
      <c r="K891" s="75" t="n">
        <v>1</v>
      </c>
      <c r="L891" s="51" t="n">
        <v>32</v>
      </c>
      <c r="M891" s="69" t="n">
        <v>1.95</v>
      </c>
      <c r="N891" s="70">
        <f>K891*L891*M891</f>
        <v/>
      </c>
      <c r="O891" s="37">
        <f>IFERROR(INDEX(Исходные!$B$19:$B$31,MATCH(H891,Исходные!$A$19:$A$31,0)),0)</f>
        <v/>
      </c>
      <c r="P891" s="76">
        <f>N891*O891</f>
        <v/>
      </c>
      <c r="Q891" s="21" t="inlineStr">
        <is>
          <t>АС-39 развертка 3 этажа, шаг 200x14+100 (16 рядов × 2 грани)</t>
        </is>
      </c>
      <c r="R891" s="78" t="inlineStr">
        <is>
          <t>по геометрии (уточнить)</t>
        </is>
      </c>
      <c r="S891" s="21" t="inlineStr">
        <is>
          <t>развертка «Осн. стержни Ø14» (3 этаж)</t>
        </is>
      </c>
      <c r="T891" s="21" t="inlineStr">
        <is>
          <t>Колонны, диафрагмы</t>
        </is>
      </c>
      <c r="U891" s="49" t="n">
        <v>1</v>
      </c>
      <c r="V891" s="72" t="inlineStr">
        <is>
          <t>Дм-3</t>
        </is>
      </c>
      <c r="W891" s="49" t="n">
        <v>3</v>
      </c>
    </row>
    <row r="892">
      <c r="A892" s="72" t="n">
        <v>870</v>
      </c>
      <c r="B892" s="21" t="inlineStr">
        <is>
          <t>3 этаж (отм. +7.550…+11.150)</t>
        </is>
      </c>
      <c r="C892" s="21" t="inlineStr">
        <is>
          <t>Диафрагмы</t>
        </is>
      </c>
      <c r="D892" s="21" t="inlineStr">
        <is>
          <t>Г/2</t>
        </is>
      </c>
      <c r="E892" s="21" t="inlineStr">
        <is>
          <t>Дм-3</t>
        </is>
      </c>
      <c r="F892" s="72" t="inlineStr">
        <is>
          <t>гор.</t>
        </is>
      </c>
      <c r="G892" s="21" t="inlineStr">
        <is>
          <t>Горизонтальные «Осн. стержни»: ребро вдоль оси 2, L=1500-2×25</t>
        </is>
      </c>
      <c r="H892" s="51" t="n">
        <v>14</v>
      </c>
      <c r="I892" s="72" t="inlineStr">
        <is>
          <t>А500С</t>
        </is>
      </c>
      <c r="J892" s="72" t="n">
        <v>200</v>
      </c>
      <c r="K892" s="75" t="n">
        <v>1</v>
      </c>
      <c r="L892" s="51" t="n">
        <v>32</v>
      </c>
      <c r="M892" s="69" t="n">
        <v>1.45</v>
      </c>
      <c r="N892" s="70">
        <f>K892*L892*M892</f>
        <v/>
      </c>
      <c r="O892" s="37">
        <f>IFERROR(INDEX(Исходные!$B$19:$B$31,MATCH(H892,Исходные!$A$19:$A$31,0)),0)</f>
        <v/>
      </c>
      <c r="P892" s="76">
        <f>N892*O892</f>
        <v/>
      </c>
      <c r="Q892" s="21" t="inlineStr">
        <is>
          <t>АС-39 развертка 3 этажа, шаг 200x14+100 (16 рядов × 2 грани)</t>
        </is>
      </c>
      <c r="R892" s="78" t="inlineStr">
        <is>
          <t>по геометрии (уточнить)</t>
        </is>
      </c>
      <c r="S892" s="21" t="inlineStr">
        <is>
          <t>развертка «Осн. стержни Ø14» (3 этаж)</t>
        </is>
      </c>
      <c r="T892" s="21" t="inlineStr">
        <is>
          <t>Колонны, диафрагмы</t>
        </is>
      </c>
      <c r="U892" s="49" t="n">
        <v>1</v>
      </c>
      <c r="V892" s="72" t="inlineStr">
        <is>
          <t>Дм-3</t>
        </is>
      </c>
      <c r="W892" s="49" t="n">
        <v>3</v>
      </c>
    </row>
    <row r="893">
      <c r="A893" s="72" t="n">
        <v>871</v>
      </c>
      <c r="B893" s="21" t="inlineStr">
        <is>
          <t>3 этаж (отм. +7.550…+11.150)</t>
        </is>
      </c>
      <c r="C893" s="21" t="inlineStr">
        <is>
          <t>Диафрагмы</t>
        </is>
      </c>
      <c r="D893" s="21" t="inlineStr">
        <is>
          <t>Г/2</t>
        </is>
      </c>
      <c r="E893" s="21" t="inlineStr">
        <is>
          <t>Дм-3</t>
        </is>
      </c>
      <c r="F893" s="72" t="inlineStr">
        <is>
          <t>доп.</t>
        </is>
      </c>
      <c r="G893" s="21" t="inlineStr">
        <is>
          <t>Доп. стержни: ось Г над +7.550, 6Ø10 L=1950</t>
        </is>
      </c>
      <c r="H893" s="51" t="n">
        <v>10</v>
      </c>
      <c r="I893" s="72" t="inlineStr">
        <is>
          <t>А500С</t>
        </is>
      </c>
      <c r="J893" s="72" t="n">
        <v>200</v>
      </c>
      <c r="K893" s="75" t="n">
        <v>1</v>
      </c>
      <c r="L893" s="51" t="n">
        <v>6</v>
      </c>
      <c r="M893" s="69" t="n">
        <v>1.95</v>
      </c>
      <c r="N893" s="70">
        <f>K893*L893*M893</f>
        <v/>
      </c>
      <c r="O893" s="37">
        <f>IFERROR(INDEX(Исходные!$B$19:$B$31,MATCH(H893,Исходные!$A$19:$A$31,0)),0)</f>
        <v/>
      </c>
      <c r="P893" s="76">
        <f>N893*O893</f>
        <v/>
      </c>
      <c r="Q893" s="21" t="inlineStr">
        <is>
          <t>АС-39 развертка, выноска «Доп. стержень»</t>
        </is>
      </c>
      <c r="R893" s="77" t="inlineStr">
        <is>
          <t>по проекту</t>
        </is>
      </c>
      <c r="S893" s="21" t="inlineStr"/>
      <c r="T893" s="21" t="inlineStr">
        <is>
          <t>Колонны, диафрагмы</t>
        </is>
      </c>
      <c r="U893" s="49" t="n">
        <v>0</v>
      </c>
      <c r="V893" s="72" t="inlineStr">
        <is>
          <t>Дм-3</t>
        </is>
      </c>
      <c r="W893" s="49" t="n">
        <v>3</v>
      </c>
    </row>
    <row r="894">
      <c r="A894" s="72" t="n">
        <v>872</v>
      </c>
      <c r="B894" s="21" t="inlineStr">
        <is>
          <t>3 этаж (отм. +7.550…+11.150)</t>
        </is>
      </c>
      <c r="C894" s="21" t="inlineStr">
        <is>
          <t>Диафрагмы</t>
        </is>
      </c>
      <c r="D894" s="21" t="inlineStr">
        <is>
          <t>Г/2</t>
        </is>
      </c>
      <c r="E894" s="21" t="inlineStr">
        <is>
          <t>Дм-3</t>
        </is>
      </c>
      <c r="F894" s="72" t="inlineStr">
        <is>
          <t>доп.</t>
        </is>
      </c>
      <c r="G894" s="21" t="inlineStr">
        <is>
          <t>Доп. стержни: ось Г под ригелем +11.150, 6Ø10 L=1950 (выноска «12Ø10» на 2 группы)</t>
        </is>
      </c>
      <c r="H894" s="51" t="n">
        <v>10</v>
      </c>
      <c r="I894" s="72" t="inlineStr">
        <is>
          <t>А500С</t>
        </is>
      </c>
      <c r="J894" s="72" t="n">
        <v>200</v>
      </c>
      <c r="K894" s="75" t="n">
        <v>1</v>
      </c>
      <c r="L894" s="51" t="n">
        <v>6</v>
      </c>
      <c r="M894" s="69" t="n">
        <v>1.95</v>
      </c>
      <c r="N894" s="70">
        <f>K894*L894*M894</f>
        <v/>
      </c>
      <c r="O894" s="37">
        <f>IFERROR(INDEX(Исходные!$B$19:$B$31,MATCH(H894,Исходные!$A$19:$A$31,0)),0)</f>
        <v/>
      </c>
      <c r="P894" s="76">
        <f>N894*O894</f>
        <v/>
      </c>
      <c r="Q894" s="21" t="inlineStr">
        <is>
          <t>АС-39 развертка, выноска «Доп. стержень»</t>
        </is>
      </c>
      <c r="R894" s="77" t="inlineStr">
        <is>
          <t>по проекту</t>
        </is>
      </c>
      <c r="S894" s="21" t="inlineStr"/>
      <c r="T894" s="21" t="inlineStr">
        <is>
          <t>Колонны, диафрагмы</t>
        </is>
      </c>
      <c r="U894" s="49" t="n">
        <v>0</v>
      </c>
      <c r="V894" s="72" t="inlineStr">
        <is>
          <t>Дм-3</t>
        </is>
      </c>
      <c r="W894" s="49" t="n">
        <v>3</v>
      </c>
    </row>
    <row r="895">
      <c r="A895" s="72" t="n">
        <v>873</v>
      </c>
      <c r="B895" s="21" t="inlineStr">
        <is>
          <t>3 этаж (отм. +7.550…+11.150)</t>
        </is>
      </c>
      <c r="C895" s="21" t="inlineStr">
        <is>
          <t>Диафрагмы</t>
        </is>
      </c>
      <c r="D895" s="21" t="inlineStr">
        <is>
          <t>Г/2</t>
        </is>
      </c>
      <c r="E895" s="21" t="inlineStr">
        <is>
          <t>Дм-3</t>
        </is>
      </c>
      <c r="F895" s="72" t="inlineStr">
        <is>
          <t>доп.</t>
        </is>
      </c>
      <c r="G895" s="21" t="inlineStr">
        <is>
          <t>Доп. стержни: ось 2 над +7.550, 6Ø10 L=1450</t>
        </is>
      </c>
      <c r="H895" s="51" t="n">
        <v>10</v>
      </c>
      <c r="I895" s="72" t="inlineStr">
        <is>
          <t>А500С</t>
        </is>
      </c>
      <c r="J895" s="72" t="n">
        <v>200</v>
      </c>
      <c r="K895" s="75" t="n">
        <v>1</v>
      </c>
      <c r="L895" s="51" t="n">
        <v>6</v>
      </c>
      <c r="M895" s="69" t="n">
        <v>1.45</v>
      </c>
      <c r="N895" s="70">
        <f>K895*L895*M895</f>
        <v/>
      </c>
      <c r="O895" s="37">
        <f>IFERROR(INDEX(Исходные!$B$19:$B$31,MATCH(H895,Исходные!$A$19:$A$31,0)),0)</f>
        <v/>
      </c>
      <c r="P895" s="76">
        <f>N895*O895</f>
        <v/>
      </c>
      <c r="Q895" s="21" t="inlineStr">
        <is>
          <t>АС-39 развертка, выноска «Доп. стержень»</t>
        </is>
      </c>
      <c r="R895" s="77" t="inlineStr">
        <is>
          <t>по проекту</t>
        </is>
      </c>
      <c r="S895" s="21" t="inlineStr"/>
      <c r="T895" s="21" t="inlineStr">
        <is>
          <t>Колонны, диафрагмы</t>
        </is>
      </c>
      <c r="U895" s="49" t="n">
        <v>0</v>
      </c>
      <c r="V895" s="72" t="inlineStr">
        <is>
          <t>Дм-3</t>
        </is>
      </c>
      <c r="W895" s="49" t="n">
        <v>3</v>
      </c>
    </row>
    <row r="896">
      <c r="A896" s="72" t="n">
        <v>874</v>
      </c>
      <c r="B896" s="21" t="inlineStr">
        <is>
          <t>3 этаж (отм. +7.550…+11.150)</t>
        </is>
      </c>
      <c r="C896" s="21" t="inlineStr">
        <is>
          <t>Диафрагмы</t>
        </is>
      </c>
      <c r="D896" s="21" t="inlineStr">
        <is>
          <t>Г/2</t>
        </is>
      </c>
      <c r="E896" s="21" t="inlineStr">
        <is>
          <t>Дм-3</t>
        </is>
      </c>
      <c r="F896" s="72" t="inlineStr">
        <is>
          <t>доп.</t>
        </is>
      </c>
      <c r="G896" s="21" t="inlineStr">
        <is>
          <t>Доп. стержни: ось 2 под ригелем +11.150, 6Ø10 L=1450</t>
        </is>
      </c>
      <c r="H896" s="51" t="n">
        <v>10</v>
      </c>
      <c r="I896" s="72" t="inlineStr">
        <is>
          <t>А500С</t>
        </is>
      </c>
      <c r="J896" s="72" t="n">
        <v>200</v>
      </c>
      <c r="K896" s="75" t="n">
        <v>1</v>
      </c>
      <c r="L896" s="51" t="n">
        <v>6</v>
      </c>
      <c r="M896" s="69" t="n">
        <v>1.45</v>
      </c>
      <c r="N896" s="70">
        <f>K896*L896*M896</f>
        <v/>
      </c>
      <c r="O896" s="37">
        <f>IFERROR(INDEX(Исходные!$B$19:$B$31,MATCH(H896,Исходные!$A$19:$A$31,0)),0)</f>
        <v/>
      </c>
      <c r="P896" s="76">
        <f>N896*O896</f>
        <v/>
      </c>
      <c r="Q896" s="21" t="inlineStr">
        <is>
          <t>АС-39 развертка, выноска «Доп. стержень»</t>
        </is>
      </c>
      <c r="R896" s="77" t="inlineStr">
        <is>
          <t>по проекту</t>
        </is>
      </c>
      <c r="S896" s="21" t="inlineStr"/>
      <c r="T896" s="21" t="inlineStr">
        <is>
          <t>Колонны, диафрагмы</t>
        </is>
      </c>
      <c r="U896" s="49" t="n">
        <v>0</v>
      </c>
      <c r="V896" s="72" t="inlineStr">
        <is>
          <t>Дм-3</t>
        </is>
      </c>
      <c r="W896" s="49" t="n">
        <v>3</v>
      </c>
    </row>
    <row r="897">
      <c r="A897" s="72" t="n">
        <v>875</v>
      </c>
      <c r="B897" s="21" t="inlineStr">
        <is>
          <t>3 этаж (отм. +7.550…+11.150)</t>
        </is>
      </c>
      <c r="C897" s="21" t="inlineStr">
        <is>
          <t>Диафрагмы</t>
        </is>
      </c>
      <c r="D897" s="21" t="inlineStr">
        <is>
          <t>Г/2</t>
        </is>
      </c>
      <c r="E897" s="21" t="inlineStr">
        <is>
          <t>Дм-3</t>
        </is>
      </c>
      <c r="F897" s="72" t="inlineStr">
        <is>
          <t>доп. верт.</t>
        </is>
      </c>
      <c r="G897" s="21" t="inlineStr">
        <is>
          <t>Доп. вертикальные стержни: ось Г, торцевые эл-ты полки у +11.150: «по 4Ø16 L=1600» × 2 места</t>
        </is>
      </c>
      <c r="H897" s="51" t="n">
        <v>16</v>
      </c>
      <c r="I897" s="72" t="inlineStr">
        <is>
          <t>А500С</t>
        </is>
      </c>
      <c r="J897" s="72" t="inlineStr">
        <is>
          <t>—</t>
        </is>
      </c>
      <c r="K897" s="75" t="n">
        <v>1</v>
      </c>
      <c r="L897" s="51" t="n">
        <v>8</v>
      </c>
      <c r="M897" s="69" t="n">
        <v>1.6</v>
      </c>
      <c r="N897" s="70">
        <f>K897*L897*M897</f>
        <v/>
      </c>
      <c r="O897" s="37">
        <f>IFERROR(INDEX(Исходные!$B$19:$B$31,MATCH(H897,Исходные!$A$19:$A$31,0)),0)</f>
        <v/>
      </c>
      <c r="P897" s="76">
        <f>N897*O897</f>
        <v/>
      </c>
      <c r="Q897" s="21" t="inlineStr">
        <is>
          <t>АС-38 развертка по оси Г «Доп. стержень по 4Ø16 А500С L-1600»; АС-39 сеч.2-2 «Доп. стержни»</t>
        </is>
      </c>
      <c r="R897" s="78" t="inlineStr">
        <is>
          <t>по геометрии (уточнить)</t>
        </is>
      </c>
      <c r="S897" s="21" t="inlineStr">
        <is>
          <t>На сечении — мелкие точки с выноской «Доп. стержни»; длина по выноске на развёртке, без нахлёста.</t>
        </is>
      </c>
      <c r="T897" s="21" t="inlineStr">
        <is>
          <t>Колонны, диафрагмы</t>
        </is>
      </c>
      <c r="U897" s="49" t="n">
        <v>1</v>
      </c>
      <c r="V897" s="72" t="inlineStr">
        <is>
          <t>Дм-3</t>
        </is>
      </c>
      <c r="W897" s="49" t="n">
        <v>3</v>
      </c>
    </row>
    <row r="898">
      <c r="A898" s="72" t="n">
        <v>876</v>
      </c>
      <c r="B898" s="21" t="inlineStr">
        <is>
          <t>3 этаж (отм. +7.550…+11.150)</t>
        </is>
      </c>
      <c r="C898" s="21" t="inlineStr">
        <is>
          <t>Диафрагмы</t>
        </is>
      </c>
      <c r="D898" s="21" t="inlineStr">
        <is>
          <t>Г/2</t>
        </is>
      </c>
      <c r="E898" s="21" t="inlineStr">
        <is>
          <t>Дм-3</t>
        </is>
      </c>
      <c r="F898" s="72" t="inlineStr">
        <is>
          <t>14</t>
        </is>
      </c>
      <c r="G898" s="21" t="inlineStr">
        <is>
          <t>П-образный стержень на торцах: 3 шт/ряд × 16 рядов</t>
        </is>
      </c>
      <c r="H898" s="51" t="n">
        <v>10</v>
      </c>
      <c r="I898" s="72" t="inlineStr">
        <is>
          <t>А240</t>
        </is>
      </c>
      <c r="J898" s="72" t="inlineStr">
        <is>
          <t>200</t>
        </is>
      </c>
      <c r="K898" s="75" t="n">
        <v>1</v>
      </c>
      <c r="L898" s="51" t="n">
        <v>48</v>
      </c>
      <c r="M898" s="69" t="n">
        <v>1.33</v>
      </c>
      <c r="N898" s="70">
        <f>K898*L898*M898</f>
        <v/>
      </c>
      <c r="O898" s="37">
        <f>IFERROR(INDEX(Исходные!$B$19:$B$31,MATCH(H898,Исходные!$A$19:$A$31,0)),0)</f>
        <v/>
      </c>
      <c r="P898" s="76">
        <f>N898*O898</f>
        <v/>
      </c>
      <c r="Q898" s="21" t="inlineStr">
        <is>
          <t>сечение 2-2; АС-42 ведомость деталей поз.14 L=1330</t>
        </is>
      </c>
      <c r="R898" s="77" t="inlineStr">
        <is>
          <t>по проекту</t>
        </is>
      </c>
      <c r="S898" s="21" t="inlineStr"/>
      <c r="T898" s="21" t="inlineStr">
        <is>
          <t>Колонны, диафрагмы</t>
        </is>
      </c>
      <c r="U898" s="49" t="n">
        <v>0</v>
      </c>
      <c r="V898" s="72" t="inlineStr">
        <is>
          <t>Дм-3</t>
        </is>
      </c>
      <c r="W898" s="49" t="n">
        <v>3</v>
      </c>
    </row>
    <row r="899">
      <c r="A899" s="72" t="n">
        <v>877</v>
      </c>
      <c r="B899" s="21" t="inlineStr">
        <is>
          <t>3 этаж (отм. +7.550…+11.150)</t>
        </is>
      </c>
      <c r="C899" s="21" t="inlineStr">
        <is>
          <t>Диафрагмы</t>
        </is>
      </c>
      <c r="D899" s="21" t="inlineStr">
        <is>
          <t>Г/2</t>
        </is>
      </c>
      <c r="E899" s="21" t="inlineStr">
        <is>
          <t>Дм-3</t>
        </is>
      </c>
      <c r="F899" s="72" t="inlineStr">
        <is>
          <t>12</t>
        </is>
      </c>
      <c r="G899" s="21" t="inlineStr">
        <is>
          <t>Хомут торцевого элемента полки Ø8: 2 шт/ряд × 16</t>
        </is>
      </c>
      <c r="H899" s="51" t="n">
        <v>8</v>
      </c>
      <c r="I899" s="72" t="inlineStr">
        <is>
          <t>А240</t>
        </is>
      </c>
      <c r="J899" s="72" t="inlineStr">
        <is>
          <t>200</t>
        </is>
      </c>
      <c r="K899" s="75" t="n">
        <v>1</v>
      </c>
      <c r="L899" s="51" t="n">
        <v>32</v>
      </c>
      <c r="M899" s="69" t="n">
        <v>1.56</v>
      </c>
      <c r="N899" s="70">
        <f>K899*L899*M899</f>
        <v/>
      </c>
      <c r="O899" s="37">
        <f>IFERROR(INDEX(Исходные!$B$19:$B$31,MATCH(H899,Исходные!$A$19:$A$31,0)),0)</f>
        <v/>
      </c>
      <c r="P899" s="76">
        <f>N899*O899</f>
        <v/>
      </c>
      <c r="Q899" s="21" t="inlineStr">
        <is>
          <t>сечение 2-2 «12 хом.Ø8 ш.200»; АС-42 ведомость деталей поз.12 L=1560</t>
        </is>
      </c>
      <c r="R899" s="77" t="inlineStr">
        <is>
          <t>по проекту</t>
        </is>
      </c>
      <c r="S899" s="21" t="inlineStr"/>
      <c r="T899" s="21" t="inlineStr">
        <is>
          <t>Колонны, диафрагмы</t>
        </is>
      </c>
      <c r="U899" s="49" t="n">
        <v>0</v>
      </c>
      <c r="V899" s="72" t="inlineStr">
        <is>
          <t>Дм-3</t>
        </is>
      </c>
      <c r="W899" s="49" t="n">
        <v>3</v>
      </c>
    </row>
    <row r="900">
      <c r="A900" s="72" t="n">
        <v>878</v>
      </c>
      <c r="B900" s="21" t="inlineStr">
        <is>
          <t>3 этаж (отм. +7.550…+11.150)</t>
        </is>
      </c>
      <c r="C900" s="21" t="inlineStr">
        <is>
          <t>Диафрагмы</t>
        </is>
      </c>
      <c r="D900" s="21" t="inlineStr">
        <is>
          <t>Г/2</t>
        </is>
      </c>
      <c r="E900" s="21" t="inlineStr">
        <is>
          <t>Дм-3</t>
        </is>
      </c>
      <c r="F900" s="72" t="inlineStr">
        <is>
          <t>15</t>
        </is>
      </c>
      <c r="G900" s="21" t="inlineStr">
        <is>
          <t>Хомут торцевого элемента Ø8: 1 шт/ряд × 16</t>
        </is>
      </c>
      <c r="H900" s="51" t="n">
        <v>8</v>
      </c>
      <c r="I900" s="72" t="inlineStr">
        <is>
          <t>А240</t>
        </is>
      </c>
      <c r="J900" s="72" t="inlineStr">
        <is>
          <t>200</t>
        </is>
      </c>
      <c r="K900" s="75" t="n">
        <v>1</v>
      </c>
      <c r="L900" s="51" t="n">
        <v>16</v>
      </c>
      <c r="M900" s="69" t="n">
        <v>1.76</v>
      </c>
      <c r="N900" s="70">
        <f>K900*L900*M900</f>
        <v/>
      </c>
      <c r="O900" s="37">
        <f>IFERROR(INDEX(Исходные!$B$19:$B$31,MATCH(H900,Исходные!$A$19:$A$31,0)),0)</f>
        <v/>
      </c>
      <c r="P900" s="76">
        <f>N900*O900</f>
        <v/>
      </c>
      <c r="Q900" s="21" t="inlineStr">
        <is>
          <t>сечение 2-2 «15 хом.Ø8 ш.200»; АС-42 ведомость деталей поз.15 L=1760</t>
        </is>
      </c>
      <c r="R900" s="77" t="inlineStr">
        <is>
          <t>по проекту</t>
        </is>
      </c>
      <c r="S900" s="21" t="inlineStr"/>
      <c r="T900" s="21" t="inlineStr">
        <is>
          <t>Колонны, диафрагмы</t>
        </is>
      </c>
      <c r="U900" s="49" t="n">
        <v>0</v>
      </c>
      <c r="V900" s="72" t="inlineStr">
        <is>
          <t>Дм-3</t>
        </is>
      </c>
      <c r="W900" s="49" t="n">
        <v>3</v>
      </c>
    </row>
    <row r="901">
      <c r="A901" s="72" t="n">
        <v>879</v>
      </c>
      <c r="B901" s="21" t="inlineStr">
        <is>
          <t>3 этаж (отм. +7.550…+11.150)</t>
        </is>
      </c>
      <c r="C901" s="21" t="inlineStr">
        <is>
          <t>Диафрагмы</t>
        </is>
      </c>
      <c r="D901" s="21" t="inlineStr">
        <is>
          <t>Г/2</t>
        </is>
      </c>
      <c r="E901" s="21" t="inlineStr">
        <is>
          <t>Дм-3</t>
        </is>
      </c>
      <c r="F901" s="72" t="inlineStr">
        <is>
          <t>10</t>
        </is>
      </c>
      <c r="G901" s="21" t="inlineStr">
        <is>
          <t>Хомут колонны наружный (100×12 у опор, 200 в середине) — 28 шт</t>
        </is>
      </c>
      <c r="H901" s="51" t="n">
        <v>8</v>
      </c>
      <c r="I901" s="72" t="inlineStr">
        <is>
          <t>А240</t>
        </is>
      </c>
      <c r="J901" s="72" t="inlineStr">
        <is>
          <t>200</t>
        </is>
      </c>
      <c r="K901" s="75" t="n">
        <v>1</v>
      </c>
      <c r="L901" s="51" t="n">
        <v>28</v>
      </c>
      <c r="M901" s="69" t="n">
        <v>2.44</v>
      </c>
      <c r="N901" s="70">
        <f>K901*L901*M901</f>
        <v/>
      </c>
      <c r="O901" s="37">
        <f>IFERROR(INDEX(Исходные!$B$19:$B$31,MATCH(H901,Исходные!$A$19:$A$31,0)),0)</f>
        <v/>
      </c>
      <c r="P901" s="76">
        <f>N901*O901</f>
        <v/>
      </c>
      <c r="Q901" s="21" t="inlineStr">
        <is>
          <t>АС-32 (2÷4 этаж: 50+100×12+200×n+100×12+50+600); АС-42 ведомость деталей поз.10 L=2440</t>
        </is>
      </c>
      <c r="R901" s="77" t="inlineStr">
        <is>
          <t>по проекту</t>
        </is>
      </c>
      <c r="S901" s="21" t="inlineStr"/>
      <c r="T901" s="21" t="inlineStr">
        <is>
          <t>Колонны, диафрагмы</t>
        </is>
      </c>
      <c r="U901" s="49" t="n">
        <v>0</v>
      </c>
      <c r="V901" s="72" t="inlineStr">
        <is>
          <t>Дм-3</t>
        </is>
      </c>
      <c r="W901" s="49" t="n">
        <v>3</v>
      </c>
    </row>
    <row r="902">
      <c r="A902" s="72" t="n">
        <v>880</v>
      </c>
      <c r="B902" s="21" t="inlineStr">
        <is>
          <t>3 этаж (отм. +7.550…+11.150)</t>
        </is>
      </c>
      <c r="C902" s="21" t="inlineStr">
        <is>
          <t>Диафрагмы</t>
        </is>
      </c>
      <c r="D902" s="21" t="inlineStr">
        <is>
          <t>Г/2</t>
        </is>
      </c>
      <c r="E902" s="21" t="inlineStr">
        <is>
          <t>Дм-3</t>
        </is>
      </c>
      <c r="F902" s="72" t="inlineStr">
        <is>
          <t>11</t>
        </is>
      </c>
      <c r="G902" s="21" t="inlineStr">
        <is>
          <t>Хомут колонны внутренний: 2 шт/ряд × 16</t>
        </is>
      </c>
      <c r="H902" s="51" t="n">
        <v>8</v>
      </c>
      <c r="I902" s="72" t="inlineStr">
        <is>
          <t>А240</t>
        </is>
      </c>
      <c r="J902" s="72" t="inlineStr">
        <is>
          <t>200</t>
        </is>
      </c>
      <c r="K902" s="75" t="n">
        <v>1</v>
      </c>
      <c r="L902" s="51" t="n">
        <v>32</v>
      </c>
      <c r="M902" s="69" t="n">
        <v>1.96</v>
      </c>
      <c r="N902" s="70">
        <f>K902*L902*M902</f>
        <v/>
      </c>
      <c r="O902" s="37">
        <f>IFERROR(INDEX(Исходные!$B$19:$B$31,MATCH(H902,Исходные!$A$19:$A$31,0)),0)</f>
        <v/>
      </c>
      <c r="P902" s="76">
        <f>N902*O902</f>
        <v/>
      </c>
      <c r="Q902" s="21" t="inlineStr">
        <is>
          <t>сечение 2-2 «ш.200»; АС-42 ведомость деталей поз.11 L=1960</t>
        </is>
      </c>
      <c r="R902" s="77" t="inlineStr">
        <is>
          <t>по проекту</t>
        </is>
      </c>
      <c r="S902" s="21" t="inlineStr"/>
      <c r="T902" s="21" t="inlineStr">
        <is>
          <t>Колонны, диафрагмы</t>
        </is>
      </c>
      <c r="U902" s="49" t="n">
        <v>0</v>
      </c>
      <c r="V902" s="72" t="inlineStr">
        <is>
          <t>Дм-3</t>
        </is>
      </c>
      <c r="W902" s="49" t="n">
        <v>3</v>
      </c>
    </row>
    <row r="903">
      <c r="A903" s="72" t="n">
        <v>881</v>
      </c>
      <c r="B903" s="21" t="inlineStr">
        <is>
          <t>3 этаж (отм. +7.550…+11.150)</t>
        </is>
      </c>
      <c r="C903" s="21" t="inlineStr">
        <is>
          <t>Диафрагмы</t>
        </is>
      </c>
      <c r="D903" s="21" t="inlineStr">
        <is>
          <t>Г/2</t>
        </is>
      </c>
      <c r="E903" s="21" t="inlineStr">
        <is>
          <t>Дм-3</t>
        </is>
      </c>
      <c r="F903" s="72" t="inlineStr">
        <is>
          <t>13</t>
        </is>
      </c>
      <c r="G903" s="21" t="inlineStr">
        <is>
          <t>Шпилька ш.400 в шахм. порядке: 8 мест × 8 рядов</t>
        </is>
      </c>
      <c r="H903" s="51" t="n">
        <v>8</v>
      </c>
      <c r="I903" s="72" t="inlineStr">
        <is>
          <t>А240</t>
        </is>
      </c>
      <c r="J903" s="72" t="inlineStr">
        <is>
          <t>200</t>
        </is>
      </c>
      <c r="K903" s="75" t="n">
        <v>1</v>
      </c>
      <c r="L903" s="51" t="n">
        <v>64</v>
      </c>
      <c r="M903" s="69" t="n">
        <v>0.53</v>
      </c>
      <c r="N903" s="70">
        <f>K903*L903*M903</f>
        <v/>
      </c>
      <c r="O903" s="37">
        <f>IFERROR(INDEX(Исходные!$B$19:$B$31,MATCH(H903,Исходные!$A$19:$A$31,0)),0)</f>
        <v/>
      </c>
      <c r="P903" s="76">
        <f>N903*O903</f>
        <v/>
      </c>
      <c r="Q903" s="21" t="inlineStr">
        <is>
          <t>сечение 2-2, прим.6; АС-42 ведомость деталей поз.13 L=530</t>
        </is>
      </c>
      <c r="R903" s="77" t="inlineStr">
        <is>
          <t>по проекту</t>
        </is>
      </c>
      <c r="S903" s="21" t="inlineStr"/>
      <c r="T903" s="21" t="inlineStr">
        <is>
          <t>Колонны, диафрагмы</t>
        </is>
      </c>
      <c r="U903" s="49" t="n">
        <v>0</v>
      </c>
      <c r="V903" s="72" t="inlineStr">
        <is>
          <t>Дм-3</t>
        </is>
      </c>
      <c r="W903" s="49" t="n">
        <v>3</v>
      </c>
    </row>
    <row r="904">
      <c r="A904" s="72" t="n">
        <v>882</v>
      </c>
      <c r="B904" s="21" t="inlineStr">
        <is>
          <t>3 этаж (отм. +7.550…+11.150)</t>
        </is>
      </c>
      <c r="C904" s="21" t="inlineStr">
        <is>
          <t>Диафрагмы</t>
        </is>
      </c>
      <c r="D904" s="21" t="inlineStr">
        <is>
          <t>Г/3</t>
        </is>
      </c>
      <c r="E904" s="21" t="inlineStr">
        <is>
          <t>Дм-4</t>
        </is>
      </c>
      <c r="F904" s="72" t="inlineStr">
        <is>
          <t>2</t>
        </is>
      </c>
      <c r="G904" s="21" t="inlineStr">
        <is>
          <t>Вертикальные: колонна, угловые 4Ø28</t>
        </is>
      </c>
      <c r="H904" s="51" t="n">
        <v>28</v>
      </c>
      <c r="I904" s="72" t="inlineStr">
        <is>
          <t>А500С</t>
        </is>
      </c>
      <c r="J904" s="72" t="inlineStr">
        <is>
          <t>—</t>
        </is>
      </c>
      <c r="K904" s="75" t="n">
        <v>1</v>
      </c>
      <c r="L904" s="51" t="n">
        <v>4</v>
      </c>
      <c r="M904" s="69" t="n">
        <v>3.6</v>
      </c>
      <c r="N904" s="70">
        <f>K904*L904*M904</f>
        <v/>
      </c>
      <c r="O904" s="37">
        <f>IFERROR(INDEX(Исходные!$B$19:$B$31,MATCH(H904,Исходные!$A$19:$A$31,0)),0)</f>
        <v/>
      </c>
      <c r="P904" s="76">
        <f>N904*O904</f>
        <v/>
      </c>
      <c r="Q904" s="21" t="inlineStr">
        <is>
          <t>АС-40 сеч.2-2 «2÷5 этаж»; прим.1,3</t>
        </is>
      </c>
      <c r="R904" s="77" t="inlineStr">
        <is>
          <t>по проекту</t>
        </is>
      </c>
      <c r="S904" s="21" t="inlineStr">
        <is>
          <t>стык ванной сваркой (Ø≥20), длина = высота этажа 3,6 м. поз.2</t>
        </is>
      </c>
      <c r="T904" s="21" t="inlineStr">
        <is>
          <t>Колонны, диафрагмы</t>
        </is>
      </c>
      <c r="U904" s="49" t="n">
        <v>0</v>
      </c>
      <c r="V904" s="72" t="inlineStr">
        <is>
          <t>Дм-4</t>
        </is>
      </c>
      <c r="W904" s="49" t="n">
        <v>3</v>
      </c>
    </row>
    <row r="905">
      <c r="A905" s="72" t="n">
        <v>883</v>
      </c>
      <c r="B905" s="21" t="inlineStr">
        <is>
          <t>3 этаж (отм. +7.550…+11.150)</t>
        </is>
      </c>
      <c r="C905" s="21" t="inlineStr">
        <is>
          <t>Диафрагмы</t>
        </is>
      </c>
      <c r="D905" s="21" t="inlineStr">
        <is>
          <t>Г/3</t>
        </is>
      </c>
      <c r="E905" s="21" t="inlineStr">
        <is>
          <t>Дм-4</t>
        </is>
      </c>
      <c r="F905" s="72" t="inlineStr">
        <is>
          <t>5</t>
        </is>
      </c>
      <c r="G905" s="21" t="inlineStr">
        <is>
          <t>Вертикальные: колонна 8Ø20 («2Ø20» ×2 + симметр.)</t>
        </is>
      </c>
      <c r="H905" s="51" t="n">
        <v>20</v>
      </c>
      <c r="I905" s="72" t="inlineStr">
        <is>
          <t>А500С</t>
        </is>
      </c>
      <c r="J905" s="72" t="inlineStr">
        <is>
          <t>—</t>
        </is>
      </c>
      <c r="K905" s="75" t="n">
        <v>1</v>
      </c>
      <c r="L905" s="51" t="n">
        <v>8</v>
      </c>
      <c r="M905" s="69" t="n">
        <v>3.6</v>
      </c>
      <c r="N905" s="70">
        <f>K905*L905*M905</f>
        <v/>
      </c>
      <c r="O905" s="37">
        <f>IFERROR(INDEX(Исходные!$B$19:$B$31,MATCH(H905,Исходные!$A$19:$A$31,0)),0)</f>
        <v/>
      </c>
      <c r="P905" s="76">
        <f>N905*O905</f>
        <v/>
      </c>
      <c r="Q905" s="21" t="inlineStr">
        <is>
          <t>АС-40 сеч.2-2 «2÷5 этаж»; прим.1,3</t>
        </is>
      </c>
      <c r="R905" s="77" t="inlineStr">
        <is>
          <t>по проекту</t>
        </is>
      </c>
      <c r="S905" s="21" t="inlineStr">
        <is>
          <t>стык ванной сваркой (Ø≥20), длина = высота этажа 3,6 м. поз.5</t>
        </is>
      </c>
      <c r="T905" s="21" t="inlineStr">
        <is>
          <t>Колонны, диафрагмы</t>
        </is>
      </c>
      <c r="U905" s="49" t="n">
        <v>0</v>
      </c>
      <c r="V905" s="72" t="inlineStr">
        <is>
          <t>Дм-4</t>
        </is>
      </c>
      <c r="W905" s="49" t="n">
        <v>3</v>
      </c>
    </row>
    <row r="906">
      <c r="A906" s="72" t="n">
        <v>884</v>
      </c>
      <c r="B906" s="21" t="inlineStr">
        <is>
          <t>3 этаж (отм. +7.550…+11.150)</t>
        </is>
      </c>
      <c r="C906" s="21" t="inlineStr">
        <is>
          <t>Диафрагмы</t>
        </is>
      </c>
      <c r="D906" s="21" t="inlineStr">
        <is>
          <t>Г/3</t>
        </is>
      </c>
      <c r="E906" s="21" t="inlineStr">
        <is>
          <t>Дм-4</t>
        </is>
      </c>
      <c r="F906" s="72" t="inlineStr">
        <is>
          <t>7</t>
        </is>
      </c>
      <c r="G906" s="21" t="inlineStr">
        <is>
          <t>Вертикальные: стенка («3Ø16» + 3 симметр.)</t>
        </is>
      </c>
      <c r="H906" s="51" t="n">
        <v>16</v>
      </c>
      <c r="I906" s="72" t="inlineStr">
        <is>
          <t>А500С</t>
        </is>
      </c>
      <c r="J906" s="72" t="inlineStr">
        <is>
          <t>—</t>
        </is>
      </c>
      <c r="K906" s="75" t="n">
        <v>1</v>
      </c>
      <c r="L906" s="51" t="n">
        <v>6</v>
      </c>
      <c r="M906" s="69" t="n">
        <v>3.728</v>
      </c>
      <c r="N906" s="70">
        <f>K906*L906*M906</f>
        <v/>
      </c>
      <c r="O906" s="37">
        <f>IFERROR(INDEX(Исходные!$B$19:$B$31,MATCH(H906,Исходные!$A$19:$A$31,0)),0)</f>
        <v/>
      </c>
      <c r="P906" s="76">
        <f>N906*O906</f>
        <v/>
      </c>
      <c r="Q906" s="21" t="inlineStr">
        <is>
          <t>АС-40 сеч.2-2 «2÷5 этаж»; прим.1,3</t>
        </is>
      </c>
      <c r="R906" s="77" t="inlineStr">
        <is>
          <t>по проекту</t>
        </is>
      </c>
      <c r="S906" s="21" t="inlineStr">
        <is>
          <t>нахлёст 8d со сваркой (Ø≤18), учтён в длине. «7 3Ø16»</t>
        </is>
      </c>
      <c r="T906" s="21" t="inlineStr">
        <is>
          <t>Колонны, диафрагмы</t>
        </is>
      </c>
      <c r="U906" s="49" t="n">
        <v>0</v>
      </c>
      <c r="V906" s="72" t="inlineStr">
        <is>
          <t>Дм-4</t>
        </is>
      </c>
      <c r="W906" s="49" t="n">
        <v>3</v>
      </c>
    </row>
    <row r="907">
      <c r="A907" s="72" t="n">
        <v>885</v>
      </c>
      <c r="B907" s="21" t="inlineStr">
        <is>
          <t>3 этаж (отм. +7.550…+11.150)</t>
        </is>
      </c>
      <c r="C907" s="21" t="inlineStr">
        <is>
          <t>Диафрагмы</t>
        </is>
      </c>
      <c r="D907" s="21" t="inlineStr">
        <is>
          <t>Г/3</t>
        </is>
      </c>
      <c r="E907" s="21" t="inlineStr">
        <is>
          <t>Дм-4</t>
        </is>
      </c>
      <c r="F907" s="72" t="inlineStr">
        <is>
          <t>3</t>
        </is>
      </c>
      <c r="G907" s="21" t="inlineStr">
        <is>
          <t>Вертикальные: торцевой эл-т («3Ø25» + 3 симметр.)</t>
        </is>
      </c>
      <c r="H907" s="51" t="n">
        <v>25</v>
      </c>
      <c r="I907" s="72" t="inlineStr">
        <is>
          <t>А500С</t>
        </is>
      </c>
      <c r="J907" s="72" t="inlineStr">
        <is>
          <t>—</t>
        </is>
      </c>
      <c r="K907" s="75" t="n">
        <v>1</v>
      </c>
      <c r="L907" s="51" t="n">
        <v>6</v>
      </c>
      <c r="M907" s="69" t="n">
        <v>3.6</v>
      </c>
      <c r="N907" s="70">
        <f>K907*L907*M907</f>
        <v/>
      </c>
      <c r="O907" s="37">
        <f>IFERROR(INDEX(Исходные!$B$19:$B$31,MATCH(H907,Исходные!$A$19:$A$31,0)),0)</f>
        <v/>
      </c>
      <c r="P907" s="76">
        <f>N907*O907</f>
        <v/>
      </c>
      <c r="Q907" s="21" t="inlineStr">
        <is>
          <t>АС-40 сеч.2-2 «2÷5 этаж»; прим.1,3</t>
        </is>
      </c>
      <c r="R907" s="77" t="inlineStr">
        <is>
          <t>по проекту</t>
        </is>
      </c>
      <c r="S907" s="21" t="inlineStr">
        <is>
          <t>стык ванной сваркой (Ø≥20), длина = высота этажа 3,6 м. «3 3Ø25»</t>
        </is>
      </c>
      <c r="T907" s="21" t="inlineStr">
        <is>
          <t>Колонны, диафрагмы</t>
        </is>
      </c>
      <c r="U907" s="49" t="n">
        <v>0</v>
      </c>
      <c r="V907" s="72" t="inlineStr">
        <is>
          <t>Дм-4</t>
        </is>
      </c>
      <c r="W907" s="49" t="n">
        <v>3</v>
      </c>
    </row>
    <row r="908">
      <c r="A908" s="72" t="n">
        <v>886</v>
      </c>
      <c r="B908" s="21" t="inlineStr">
        <is>
          <t>3 этаж (отм. +7.550…+11.150)</t>
        </is>
      </c>
      <c r="C908" s="21" t="inlineStr">
        <is>
          <t>Диафрагмы</t>
        </is>
      </c>
      <c r="D908" s="21" t="inlineStr">
        <is>
          <t>Г/3</t>
        </is>
      </c>
      <c r="E908" s="21" t="inlineStr">
        <is>
          <t>Дм-4</t>
        </is>
      </c>
      <c r="F908" s="72" t="inlineStr">
        <is>
          <t>гор.</t>
        </is>
      </c>
      <c r="G908" s="21" t="inlineStr">
        <is>
          <t>Горизонтальные «Осн. стержни»: вдоль оси Г, L=1500-2×25</t>
        </is>
      </c>
      <c r="H908" s="51" t="n">
        <v>14</v>
      </c>
      <c r="I908" s="72" t="inlineStr">
        <is>
          <t>А500С</t>
        </is>
      </c>
      <c r="J908" s="72" t="n">
        <v>200</v>
      </c>
      <c r="K908" s="75" t="n">
        <v>1</v>
      </c>
      <c r="L908" s="51" t="n">
        <v>32</v>
      </c>
      <c r="M908" s="69" t="n">
        <v>1.45</v>
      </c>
      <c r="N908" s="70">
        <f>K908*L908*M908</f>
        <v/>
      </c>
      <c r="O908" s="37">
        <f>IFERROR(INDEX(Исходные!$B$19:$B$31,MATCH(H908,Исходные!$A$19:$A$31,0)),0)</f>
        <v/>
      </c>
      <c r="P908" s="76">
        <f>N908*O908</f>
        <v/>
      </c>
      <c r="Q908" s="21" t="inlineStr">
        <is>
          <t>АС-40 развертка 3 этажа, шаг 200x14+100 (16 рядов × 2 грани)</t>
        </is>
      </c>
      <c r="R908" s="78" t="inlineStr">
        <is>
          <t>по геометрии (уточнить)</t>
        </is>
      </c>
      <c r="S908" s="21" t="inlineStr">
        <is>
          <t>развертка «Осн. стержни Ø14» (3 этаж)</t>
        </is>
      </c>
      <c r="T908" s="21" t="inlineStr">
        <is>
          <t>Колонны, диафрагмы</t>
        </is>
      </c>
      <c r="U908" s="49" t="n">
        <v>1</v>
      </c>
      <c r="V908" s="72" t="inlineStr">
        <is>
          <t>Дм-4</t>
        </is>
      </c>
      <c r="W908" s="49" t="n">
        <v>3</v>
      </c>
    </row>
    <row r="909">
      <c r="A909" s="72" t="n">
        <v>887</v>
      </c>
      <c r="B909" s="21" t="inlineStr">
        <is>
          <t>3 этаж (отм. +7.550…+11.150)</t>
        </is>
      </c>
      <c r="C909" s="21" t="inlineStr">
        <is>
          <t>Диафрагмы</t>
        </is>
      </c>
      <c r="D909" s="21" t="inlineStr">
        <is>
          <t>Г/3</t>
        </is>
      </c>
      <c r="E909" s="21" t="inlineStr">
        <is>
          <t>Дм-4</t>
        </is>
      </c>
      <c r="F909" s="72" t="inlineStr">
        <is>
          <t>доп.</t>
        </is>
      </c>
      <c r="G909" s="21" t="inlineStr">
        <is>
          <t>Доп. стержни: над +7.550, 6Ø14 L=1450</t>
        </is>
      </c>
      <c r="H909" s="51" t="n">
        <v>14</v>
      </c>
      <c r="I909" s="72" t="inlineStr">
        <is>
          <t>А500С</t>
        </is>
      </c>
      <c r="J909" s="72" t="n">
        <v>200</v>
      </c>
      <c r="K909" s="75" t="n">
        <v>1</v>
      </c>
      <c r="L909" s="51" t="n">
        <v>6</v>
      </c>
      <c r="M909" s="69" t="n">
        <v>1.45</v>
      </c>
      <c r="N909" s="70">
        <f>K909*L909*M909</f>
        <v/>
      </c>
      <c r="O909" s="37">
        <f>IFERROR(INDEX(Исходные!$B$19:$B$31,MATCH(H909,Исходные!$A$19:$A$31,0)),0)</f>
        <v/>
      </c>
      <c r="P909" s="76">
        <f>N909*O909</f>
        <v/>
      </c>
      <c r="Q909" s="21" t="inlineStr">
        <is>
          <t>АС-40 развертка, выноска «Доп. стержень»</t>
        </is>
      </c>
      <c r="R909" s="77" t="inlineStr">
        <is>
          <t>по проекту</t>
        </is>
      </c>
      <c r="S909" s="21" t="inlineStr"/>
      <c r="T909" s="21" t="inlineStr">
        <is>
          <t>Колонны, диафрагмы</t>
        </is>
      </c>
      <c r="U909" s="49" t="n">
        <v>0</v>
      </c>
      <c r="V909" s="72" t="inlineStr">
        <is>
          <t>Дм-4</t>
        </is>
      </c>
      <c r="W909" s="49" t="n">
        <v>3</v>
      </c>
    </row>
    <row r="910">
      <c r="A910" s="72" t="n">
        <v>888</v>
      </c>
      <c r="B910" s="21" t="inlineStr">
        <is>
          <t>3 этаж (отм. +7.550…+11.150)</t>
        </is>
      </c>
      <c r="C910" s="21" t="inlineStr">
        <is>
          <t>Диафрагмы</t>
        </is>
      </c>
      <c r="D910" s="21" t="inlineStr">
        <is>
          <t>Г/3</t>
        </is>
      </c>
      <c r="E910" s="21" t="inlineStr">
        <is>
          <t>Дм-4</t>
        </is>
      </c>
      <c r="F910" s="72" t="inlineStr">
        <is>
          <t>доп.</t>
        </is>
      </c>
      <c r="G910" s="21" t="inlineStr">
        <is>
          <t>Доп. стержни: под ригелем +11.150, 6Ø12 L=1450</t>
        </is>
      </c>
      <c r="H910" s="51" t="n">
        <v>12</v>
      </c>
      <c r="I910" s="72" t="inlineStr">
        <is>
          <t>А500С</t>
        </is>
      </c>
      <c r="J910" s="72" t="n">
        <v>200</v>
      </c>
      <c r="K910" s="75" t="n">
        <v>1</v>
      </c>
      <c r="L910" s="51" t="n">
        <v>6</v>
      </c>
      <c r="M910" s="69" t="n">
        <v>1.45</v>
      </c>
      <c r="N910" s="70">
        <f>K910*L910*M910</f>
        <v/>
      </c>
      <c r="O910" s="37">
        <f>IFERROR(INDEX(Исходные!$B$19:$B$31,MATCH(H910,Исходные!$A$19:$A$31,0)),0)</f>
        <v/>
      </c>
      <c r="P910" s="76">
        <f>N910*O910</f>
        <v/>
      </c>
      <c r="Q910" s="21" t="inlineStr">
        <is>
          <t>АС-40 развертка, выноска «Доп. стержень»</t>
        </is>
      </c>
      <c r="R910" s="77" t="inlineStr">
        <is>
          <t>по проекту</t>
        </is>
      </c>
      <c r="S910" s="21" t="inlineStr"/>
      <c r="T910" s="21" t="inlineStr">
        <is>
          <t>Колонны, диафрагмы</t>
        </is>
      </c>
      <c r="U910" s="49" t="n">
        <v>0</v>
      </c>
      <c r="V910" s="72" t="inlineStr">
        <is>
          <t>Дм-4</t>
        </is>
      </c>
      <c r="W910" s="49" t="n">
        <v>3</v>
      </c>
    </row>
    <row r="911">
      <c r="A911" s="72" t="n">
        <v>889</v>
      </c>
      <c r="B911" s="21" t="inlineStr">
        <is>
          <t>3 этаж (отм. +7.550…+11.150)</t>
        </is>
      </c>
      <c r="C911" s="21" t="inlineStr">
        <is>
          <t>Диафрагмы</t>
        </is>
      </c>
      <c r="D911" s="21" t="inlineStr">
        <is>
          <t>Г/3</t>
        </is>
      </c>
      <c r="E911" s="21" t="inlineStr">
        <is>
          <t>Дм-4</t>
        </is>
      </c>
      <c r="F911" s="72" t="inlineStr">
        <is>
          <t>14</t>
        </is>
      </c>
      <c r="G911" s="21" t="inlineStr">
        <is>
          <t>П-образный стержень на торцах: 1 шт/ряд × 16 рядов</t>
        </is>
      </c>
      <c r="H911" s="51" t="n">
        <v>10</v>
      </c>
      <c r="I911" s="72" t="inlineStr">
        <is>
          <t>А240</t>
        </is>
      </c>
      <c r="J911" s="72" t="inlineStr">
        <is>
          <t>200</t>
        </is>
      </c>
      <c r="K911" s="75" t="n">
        <v>1</v>
      </c>
      <c r="L911" s="51" t="n">
        <v>16</v>
      </c>
      <c r="M911" s="69" t="n">
        <v>1.33</v>
      </c>
      <c r="N911" s="70">
        <f>K911*L911*M911</f>
        <v/>
      </c>
      <c r="O911" s="37">
        <f>IFERROR(INDEX(Исходные!$B$19:$B$31,MATCH(H911,Исходные!$A$19:$A$31,0)),0)</f>
        <v/>
      </c>
      <c r="P911" s="76">
        <f>N911*O911</f>
        <v/>
      </c>
      <c r="Q911" s="21" t="inlineStr">
        <is>
          <t>сечение 2-2; АС-42 ведомость деталей поз.14 L=1330</t>
        </is>
      </c>
      <c r="R911" s="77" t="inlineStr">
        <is>
          <t>по проекту</t>
        </is>
      </c>
      <c r="S911" s="21" t="inlineStr"/>
      <c r="T911" s="21" t="inlineStr">
        <is>
          <t>Колонны, диафрагмы</t>
        </is>
      </c>
      <c r="U911" s="49" t="n">
        <v>0</v>
      </c>
      <c r="V911" s="72" t="inlineStr">
        <is>
          <t>Дм-4</t>
        </is>
      </c>
      <c r="W911" s="49" t="n">
        <v>3</v>
      </c>
    </row>
    <row r="912">
      <c r="A912" s="72" t="n">
        <v>890</v>
      </c>
      <c r="B912" s="21" t="inlineStr">
        <is>
          <t>3 этаж (отм. +7.550…+11.150)</t>
        </is>
      </c>
      <c r="C912" s="21" t="inlineStr">
        <is>
          <t>Диафрагмы</t>
        </is>
      </c>
      <c r="D912" s="21" t="inlineStr">
        <is>
          <t>Г/3</t>
        </is>
      </c>
      <c r="E912" s="21" t="inlineStr">
        <is>
          <t>Дм-4</t>
        </is>
      </c>
      <c r="F912" s="72" t="inlineStr">
        <is>
          <t>15</t>
        </is>
      </c>
      <c r="G912" s="21" t="inlineStr">
        <is>
          <t>Хомут торцевого элемента Ø8: 1 шт/ряд × 16</t>
        </is>
      </c>
      <c r="H912" s="51" t="n">
        <v>8</v>
      </c>
      <c r="I912" s="72" t="inlineStr">
        <is>
          <t>А240</t>
        </is>
      </c>
      <c r="J912" s="72" t="inlineStr">
        <is>
          <t>200</t>
        </is>
      </c>
      <c r="K912" s="75" t="n">
        <v>1</v>
      </c>
      <c r="L912" s="51" t="n">
        <v>16</v>
      </c>
      <c r="M912" s="69" t="n">
        <v>1.76</v>
      </c>
      <c r="N912" s="70">
        <f>K912*L912*M912</f>
        <v/>
      </c>
      <c r="O912" s="37">
        <f>IFERROR(INDEX(Исходные!$B$19:$B$31,MATCH(H912,Исходные!$A$19:$A$31,0)),0)</f>
        <v/>
      </c>
      <c r="P912" s="76">
        <f>N912*O912</f>
        <v/>
      </c>
      <c r="Q912" s="21" t="inlineStr">
        <is>
          <t>сечение 2-2 «15 хом.Ø8 ш.200»; АС-42 ведомость деталей поз.15 L=1760</t>
        </is>
      </c>
      <c r="R912" s="77" t="inlineStr">
        <is>
          <t>по проекту</t>
        </is>
      </c>
      <c r="S912" s="21" t="inlineStr"/>
      <c r="T912" s="21" t="inlineStr">
        <is>
          <t>Колонны, диафрагмы</t>
        </is>
      </c>
      <c r="U912" s="49" t="n">
        <v>0</v>
      </c>
      <c r="V912" s="72" t="inlineStr">
        <is>
          <t>Дм-4</t>
        </is>
      </c>
      <c r="W912" s="49" t="n">
        <v>3</v>
      </c>
    </row>
    <row r="913">
      <c r="A913" s="72" t="n">
        <v>891</v>
      </c>
      <c r="B913" s="21" t="inlineStr">
        <is>
          <t>3 этаж (отм. +7.550…+11.150)</t>
        </is>
      </c>
      <c r="C913" s="21" t="inlineStr">
        <is>
          <t>Диафрагмы</t>
        </is>
      </c>
      <c r="D913" s="21" t="inlineStr">
        <is>
          <t>Г/3</t>
        </is>
      </c>
      <c r="E913" s="21" t="inlineStr">
        <is>
          <t>Дм-4</t>
        </is>
      </c>
      <c r="F913" s="72" t="inlineStr">
        <is>
          <t>10</t>
        </is>
      </c>
      <c r="G913" s="21" t="inlineStr">
        <is>
          <t>Хомут колонны наружный (100×12 у опор, 200 в середине) — 28 шт</t>
        </is>
      </c>
      <c r="H913" s="51" t="n">
        <v>8</v>
      </c>
      <c r="I913" s="72" t="inlineStr">
        <is>
          <t>А240</t>
        </is>
      </c>
      <c r="J913" s="72" t="inlineStr">
        <is>
          <t>200</t>
        </is>
      </c>
      <c r="K913" s="75" t="n">
        <v>1</v>
      </c>
      <c r="L913" s="51" t="n">
        <v>28</v>
      </c>
      <c r="M913" s="69" t="n">
        <v>2.44</v>
      </c>
      <c r="N913" s="70">
        <f>K913*L913*M913</f>
        <v/>
      </c>
      <c r="O913" s="37">
        <f>IFERROR(INDEX(Исходные!$B$19:$B$31,MATCH(H913,Исходные!$A$19:$A$31,0)),0)</f>
        <v/>
      </c>
      <c r="P913" s="76">
        <f>N913*O913</f>
        <v/>
      </c>
      <c r="Q913" s="21" t="inlineStr">
        <is>
          <t>АС-32 (2÷4 этаж: 50+100×12+200×n+100×12+50+600); АС-42 ведомость деталей поз.10 L=2440</t>
        </is>
      </c>
      <c r="R913" s="77" t="inlineStr">
        <is>
          <t>по проекту</t>
        </is>
      </c>
      <c r="S913" s="21" t="inlineStr"/>
      <c r="T913" s="21" t="inlineStr">
        <is>
          <t>Колонны, диафрагмы</t>
        </is>
      </c>
      <c r="U913" s="49" t="n">
        <v>0</v>
      </c>
      <c r="V913" s="72" t="inlineStr">
        <is>
          <t>Дм-4</t>
        </is>
      </c>
      <c r="W913" s="49" t="n">
        <v>3</v>
      </c>
    </row>
    <row r="914">
      <c r="A914" s="72" t="n">
        <v>892</v>
      </c>
      <c r="B914" s="21" t="inlineStr">
        <is>
          <t>3 этаж (отм. +7.550…+11.150)</t>
        </is>
      </c>
      <c r="C914" s="21" t="inlineStr">
        <is>
          <t>Диафрагмы</t>
        </is>
      </c>
      <c r="D914" s="21" t="inlineStr">
        <is>
          <t>Г/3</t>
        </is>
      </c>
      <c r="E914" s="21" t="inlineStr">
        <is>
          <t>Дм-4</t>
        </is>
      </c>
      <c r="F914" s="72" t="inlineStr">
        <is>
          <t>11</t>
        </is>
      </c>
      <c r="G914" s="21" t="inlineStr">
        <is>
          <t>Хомут колонны внутренний: 2 шт/ряд × 16</t>
        </is>
      </c>
      <c r="H914" s="51" t="n">
        <v>8</v>
      </c>
      <c r="I914" s="72" t="inlineStr">
        <is>
          <t>А240</t>
        </is>
      </c>
      <c r="J914" s="72" t="inlineStr">
        <is>
          <t>200</t>
        </is>
      </c>
      <c r="K914" s="75" t="n">
        <v>1</v>
      </c>
      <c r="L914" s="51" t="n">
        <v>32</v>
      </c>
      <c r="M914" s="69" t="n">
        <v>1.96</v>
      </c>
      <c r="N914" s="70">
        <f>K914*L914*M914</f>
        <v/>
      </c>
      <c r="O914" s="37">
        <f>IFERROR(INDEX(Исходные!$B$19:$B$31,MATCH(H914,Исходные!$A$19:$A$31,0)),0)</f>
        <v/>
      </c>
      <c r="P914" s="76">
        <f>N914*O914</f>
        <v/>
      </c>
      <c r="Q914" s="21" t="inlineStr">
        <is>
          <t>сечение 2-2 «ш.200»; АС-42 ведомость деталей поз.11 L=1960</t>
        </is>
      </c>
      <c r="R914" s="77" t="inlineStr">
        <is>
          <t>по проекту</t>
        </is>
      </c>
      <c r="S914" s="21" t="inlineStr"/>
      <c r="T914" s="21" t="inlineStr">
        <is>
          <t>Колонны, диафрагмы</t>
        </is>
      </c>
      <c r="U914" s="49" t="n">
        <v>0</v>
      </c>
      <c r="V914" s="72" t="inlineStr">
        <is>
          <t>Дм-4</t>
        </is>
      </c>
      <c r="W914" s="49" t="n">
        <v>3</v>
      </c>
    </row>
    <row r="915">
      <c r="A915" s="72" t="n">
        <v>893</v>
      </c>
      <c r="B915" s="21" t="inlineStr">
        <is>
          <t>3 этаж (отм. +7.550…+11.150)</t>
        </is>
      </c>
      <c r="C915" s="21" t="inlineStr">
        <is>
          <t>Диафрагмы</t>
        </is>
      </c>
      <c r="D915" s="21" t="inlineStr">
        <is>
          <t>Г/3</t>
        </is>
      </c>
      <c r="E915" s="21" t="inlineStr">
        <is>
          <t>Дм-4</t>
        </is>
      </c>
      <c r="F915" s="72" t="inlineStr">
        <is>
          <t>13</t>
        </is>
      </c>
      <c r="G915" s="21" t="inlineStr">
        <is>
          <t>Шпилька ш.400 в шахм. порядке: 3 мест × 8 рядов</t>
        </is>
      </c>
      <c r="H915" s="51" t="n">
        <v>8</v>
      </c>
      <c r="I915" s="72" t="inlineStr">
        <is>
          <t>А240</t>
        </is>
      </c>
      <c r="J915" s="72" t="inlineStr">
        <is>
          <t>200</t>
        </is>
      </c>
      <c r="K915" s="75" t="n">
        <v>1</v>
      </c>
      <c r="L915" s="51" t="n">
        <v>24</v>
      </c>
      <c r="M915" s="69" t="n">
        <v>0.53</v>
      </c>
      <c r="N915" s="70">
        <f>K915*L915*M915</f>
        <v/>
      </c>
      <c r="O915" s="37">
        <f>IFERROR(INDEX(Исходные!$B$19:$B$31,MATCH(H915,Исходные!$A$19:$A$31,0)),0)</f>
        <v/>
      </c>
      <c r="P915" s="76">
        <f>N915*O915</f>
        <v/>
      </c>
      <c r="Q915" s="21" t="inlineStr">
        <is>
          <t>сечение 2-2, прим.6; АС-42 ведомость деталей поз.13 L=530</t>
        </is>
      </c>
      <c r="R915" s="77" t="inlineStr">
        <is>
          <t>по проекту</t>
        </is>
      </c>
      <c r="S915" s="21" t="inlineStr"/>
      <c r="T915" s="21" t="inlineStr">
        <is>
          <t>Колонны, диафрагмы</t>
        </is>
      </c>
      <c r="U915" s="49" t="n">
        <v>0</v>
      </c>
      <c r="V915" s="72" t="inlineStr">
        <is>
          <t>Дм-4</t>
        </is>
      </c>
      <c r="W915" s="49" t="n">
        <v>3</v>
      </c>
    </row>
    <row r="916">
      <c r="A916" s="72" t="n">
        <v>894</v>
      </c>
      <c r="B916" s="21" t="inlineStr">
        <is>
          <t>3 этаж (отм. +7.550…+11.150)</t>
        </is>
      </c>
      <c r="C916" s="21" t="inlineStr">
        <is>
          <t>Диафрагмы</t>
        </is>
      </c>
      <c r="D916" s="21" t="inlineStr">
        <is>
          <t>Г/4</t>
        </is>
      </c>
      <c r="E916" s="21" t="inlineStr">
        <is>
          <t>Дм-5</t>
        </is>
      </c>
      <c r="F916" s="72" t="inlineStr">
        <is>
          <t>2</t>
        </is>
      </c>
      <c r="G916" s="21" t="inlineStr">
        <is>
          <t>Вертикальные: колонна, угловые 4Ø28</t>
        </is>
      </c>
      <c r="H916" s="51" t="n">
        <v>28</v>
      </c>
      <c r="I916" s="72" t="inlineStr">
        <is>
          <t>А500С</t>
        </is>
      </c>
      <c r="J916" s="72" t="inlineStr">
        <is>
          <t>—</t>
        </is>
      </c>
      <c r="K916" s="75" t="n">
        <v>1</v>
      </c>
      <c r="L916" s="51" t="n">
        <v>4</v>
      </c>
      <c r="M916" s="69" t="n">
        <v>3.6</v>
      </c>
      <c r="N916" s="70">
        <f>K916*L916*M916</f>
        <v/>
      </c>
      <c r="O916" s="37">
        <f>IFERROR(INDEX(Исходные!$B$19:$B$31,MATCH(H916,Исходные!$A$19:$A$31,0)),0)</f>
        <v/>
      </c>
      <c r="P916" s="76">
        <f>N916*O916</f>
        <v/>
      </c>
      <c r="Q916" s="21" t="inlineStr">
        <is>
          <t>АС-42 сеч.3-3 «3÷5 этаж»; прим.1,3</t>
        </is>
      </c>
      <c r="R916" s="77" t="inlineStr">
        <is>
          <t>по проекту</t>
        </is>
      </c>
      <c r="S916" s="21" t="inlineStr">
        <is>
          <t>стык ванной сваркой (Ø≥20), длина = высота этажа 3,6 м. поз.2</t>
        </is>
      </c>
      <c r="T916" s="21" t="inlineStr">
        <is>
          <t>Колонны, диафрагмы</t>
        </is>
      </c>
      <c r="U916" s="49" t="n">
        <v>0</v>
      </c>
      <c r="V916" s="72" t="inlineStr">
        <is>
          <t>Дм-5</t>
        </is>
      </c>
      <c r="W916" s="49" t="n">
        <v>3</v>
      </c>
    </row>
    <row r="917">
      <c r="A917" s="72" t="n">
        <v>895</v>
      </c>
      <c r="B917" s="21" t="inlineStr">
        <is>
          <t>3 этаж (отм. +7.550…+11.150)</t>
        </is>
      </c>
      <c r="C917" s="21" t="inlineStr">
        <is>
          <t>Диафрагмы</t>
        </is>
      </c>
      <c r="D917" s="21" t="inlineStr">
        <is>
          <t>Г/4</t>
        </is>
      </c>
      <c r="E917" s="21" t="inlineStr">
        <is>
          <t>Дм-5</t>
        </is>
      </c>
      <c r="F917" s="72" t="inlineStr">
        <is>
          <t>5</t>
        </is>
      </c>
      <c r="G917" s="21" t="inlineStr">
        <is>
          <t>Вертикальные: колонна 8Ø20 («2Ø20» ×2 + симметр.)</t>
        </is>
      </c>
      <c r="H917" s="51" t="n">
        <v>20</v>
      </c>
      <c r="I917" s="72" t="inlineStr">
        <is>
          <t>А500С</t>
        </is>
      </c>
      <c r="J917" s="72" t="inlineStr">
        <is>
          <t>—</t>
        </is>
      </c>
      <c r="K917" s="75" t="n">
        <v>1</v>
      </c>
      <c r="L917" s="51" t="n">
        <v>8</v>
      </c>
      <c r="M917" s="69" t="n">
        <v>3.6</v>
      </c>
      <c r="N917" s="70">
        <f>K917*L917*M917</f>
        <v/>
      </c>
      <c r="O917" s="37">
        <f>IFERROR(INDEX(Исходные!$B$19:$B$31,MATCH(H917,Исходные!$A$19:$A$31,0)),0)</f>
        <v/>
      </c>
      <c r="P917" s="76">
        <f>N917*O917</f>
        <v/>
      </c>
      <c r="Q917" s="21" t="inlineStr">
        <is>
          <t>АС-42 сеч.3-3 «3÷5 этаж»; прим.1,3</t>
        </is>
      </c>
      <c r="R917" s="77" t="inlineStr">
        <is>
          <t>по проекту</t>
        </is>
      </c>
      <c r="S917" s="21" t="inlineStr">
        <is>
          <t>стык ванной сваркой (Ø≥20), длина = высота этажа 3,6 м. поз.5</t>
        </is>
      </c>
      <c r="T917" s="21" t="inlineStr">
        <is>
          <t>Колонны, диафрагмы</t>
        </is>
      </c>
      <c r="U917" s="49" t="n">
        <v>0</v>
      </c>
      <c r="V917" s="72" t="inlineStr">
        <is>
          <t>Дм-5</t>
        </is>
      </c>
      <c r="W917" s="49" t="n">
        <v>3</v>
      </c>
    </row>
    <row r="918">
      <c r="A918" s="72" t="n">
        <v>896</v>
      </c>
      <c r="B918" s="21" t="inlineStr">
        <is>
          <t>3 этаж (отм. +7.550…+11.150)</t>
        </is>
      </c>
      <c r="C918" s="21" t="inlineStr">
        <is>
          <t>Диафрагмы</t>
        </is>
      </c>
      <c r="D918" s="21" t="inlineStr">
        <is>
          <t>Г/4</t>
        </is>
      </c>
      <c r="E918" s="21" t="inlineStr">
        <is>
          <t>Дм-5</t>
        </is>
      </c>
      <c r="F918" s="72" t="inlineStr">
        <is>
          <t>4</t>
        </is>
      </c>
      <c r="G918" s="21" t="inlineStr">
        <is>
          <t>Вертикальные: полка, торцевой эл-т («3Ø22» + 3 симметр.)</t>
        </is>
      </c>
      <c r="H918" s="51" t="n">
        <v>22</v>
      </c>
      <c r="I918" s="72" t="inlineStr">
        <is>
          <t>А500С</t>
        </is>
      </c>
      <c r="J918" s="72" t="inlineStr">
        <is>
          <t>—</t>
        </is>
      </c>
      <c r="K918" s="75" t="n">
        <v>1</v>
      </c>
      <c r="L918" s="51" t="n">
        <v>6</v>
      </c>
      <c r="M918" s="69" t="n">
        <v>3.6</v>
      </c>
      <c r="N918" s="70">
        <f>K918*L918*M918</f>
        <v/>
      </c>
      <c r="O918" s="37">
        <f>IFERROR(INDEX(Исходные!$B$19:$B$31,MATCH(H918,Исходные!$A$19:$A$31,0)),0)</f>
        <v/>
      </c>
      <c r="P918" s="76">
        <f>N918*O918</f>
        <v/>
      </c>
      <c r="Q918" s="21" t="inlineStr">
        <is>
          <t>АС-42 сеч.3-3 «3÷5 этаж»; прим.1,3</t>
        </is>
      </c>
      <c r="R918" s="77" t="inlineStr">
        <is>
          <t>по проекту</t>
        </is>
      </c>
      <c r="S918" s="21" t="inlineStr">
        <is>
          <t>стык ванной сваркой (Ø≥20), длина = высота этажа 3,6 м. «4 3Ø22»</t>
        </is>
      </c>
      <c r="T918" s="21" t="inlineStr">
        <is>
          <t>Колонны, диафрагмы</t>
        </is>
      </c>
      <c r="U918" s="49" t="n">
        <v>0</v>
      </c>
      <c r="V918" s="72" t="inlineStr">
        <is>
          <t>Дм-5</t>
        </is>
      </c>
      <c r="W918" s="49" t="n">
        <v>3</v>
      </c>
    </row>
    <row r="919">
      <c r="A919" s="72" t="n">
        <v>897</v>
      </c>
      <c r="B919" s="21" t="inlineStr">
        <is>
          <t>3 этаж (отм. +7.550…+11.150)</t>
        </is>
      </c>
      <c r="C919" s="21" t="inlineStr">
        <is>
          <t>Диафрагмы</t>
        </is>
      </c>
      <c r="D919" s="21" t="inlineStr">
        <is>
          <t>Г/4</t>
        </is>
      </c>
      <c r="E919" s="21" t="inlineStr">
        <is>
          <t>Дм-5</t>
        </is>
      </c>
      <c r="F919" s="72" t="inlineStr">
        <is>
          <t>8</t>
        </is>
      </c>
      <c r="G919" s="21" t="inlineStr">
        <is>
          <t>Вертикальные: полка, стенка («2Ø14» + 2 симметр.)</t>
        </is>
      </c>
      <c r="H919" s="51" t="n">
        <v>14</v>
      </c>
      <c r="I919" s="72" t="inlineStr">
        <is>
          <t>А500С</t>
        </is>
      </c>
      <c r="J919" s="72" t="inlineStr">
        <is>
          <t>—</t>
        </is>
      </c>
      <c r="K919" s="75" t="n">
        <v>1</v>
      </c>
      <c r="L919" s="51" t="n">
        <v>4</v>
      </c>
      <c r="M919" s="69" t="n">
        <v>3.712</v>
      </c>
      <c r="N919" s="70">
        <f>K919*L919*M919</f>
        <v/>
      </c>
      <c r="O919" s="37">
        <f>IFERROR(INDEX(Исходные!$B$19:$B$31,MATCH(H919,Исходные!$A$19:$A$31,0)),0)</f>
        <v/>
      </c>
      <c r="P919" s="76">
        <f>N919*O919</f>
        <v/>
      </c>
      <c r="Q919" s="21" t="inlineStr">
        <is>
          <t>АС-42 сеч.3-3 «3÷5 этаж»; прим.1,3</t>
        </is>
      </c>
      <c r="R919" s="77" t="inlineStr">
        <is>
          <t>по проекту</t>
        </is>
      </c>
      <c r="S919" s="21" t="inlineStr">
        <is>
          <t>нахлёст 8d со сваркой (Ø≤18), учтён в длине. «8 2Ø14»</t>
        </is>
      </c>
      <c r="T919" s="21" t="inlineStr">
        <is>
          <t>Колонны, диафрагмы</t>
        </is>
      </c>
      <c r="U919" s="49" t="n">
        <v>0</v>
      </c>
      <c r="V919" s="72" t="inlineStr">
        <is>
          <t>Дм-5</t>
        </is>
      </c>
      <c r="W919" s="49" t="n">
        <v>3</v>
      </c>
    </row>
    <row r="920">
      <c r="A920" s="72" t="n">
        <v>898</v>
      </c>
      <c r="B920" s="21" t="inlineStr">
        <is>
          <t>3 этаж (отм. +7.550…+11.150)</t>
        </is>
      </c>
      <c r="C920" s="21" t="inlineStr">
        <is>
          <t>Диафрагмы</t>
        </is>
      </c>
      <c r="D920" s="21" t="inlineStr">
        <is>
          <t>Г/4</t>
        </is>
      </c>
      <c r="E920" s="21" t="inlineStr">
        <is>
          <t>Дм-5</t>
        </is>
      </c>
      <c r="F920" s="72" t="inlineStr">
        <is>
          <t>8</t>
        </is>
      </c>
      <c r="G920" s="21" t="inlineStr">
        <is>
          <t>Вертикальные: ребро, стенка («3Ø14» + 3 симметр.)</t>
        </is>
      </c>
      <c r="H920" s="51" t="n">
        <v>14</v>
      </c>
      <c r="I920" s="72" t="inlineStr">
        <is>
          <t>А500С</t>
        </is>
      </c>
      <c r="J920" s="72" t="inlineStr">
        <is>
          <t>—</t>
        </is>
      </c>
      <c r="K920" s="75" t="n">
        <v>1</v>
      </c>
      <c r="L920" s="51" t="n">
        <v>6</v>
      </c>
      <c r="M920" s="69" t="n">
        <v>3.712</v>
      </c>
      <c r="N920" s="70">
        <f>K920*L920*M920</f>
        <v/>
      </c>
      <c r="O920" s="37">
        <f>IFERROR(INDEX(Исходные!$B$19:$B$31,MATCH(H920,Исходные!$A$19:$A$31,0)),0)</f>
        <v/>
      </c>
      <c r="P920" s="76">
        <f>N920*O920</f>
        <v/>
      </c>
      <c r="Q920" s="21" t="inlineStr">
        <is>
          <t>АС-42 сеч.3-3 «3÷5 этаж»; прим.1,3</t>
        </is>
      </c>
      <c r="R920" s="77" t="inlineStr">
        <is>
          <t>по проекту</t>
        </is>
      </c>
      <c r="S920" s="21" t="inlineStr">
        <is>
          <t>нахлёст 8d со сваркой (Ø≤18), учтён в длине. «8 3Ø14»</t>
        </is>
      </c>
      <c r="T920" s="21" t="inlineStr">
        <is>
          <t>Колонны, диафрагмы</t>
        </is>
      </c>
      <c r="U920" s="49" t="n">
        <v>0</v>
      </c>
      <c r="V920" s="72" t="inlineStr">
        <is>
          <t>Дм-5</t>
        </is>
      </c>
      <c r="W920" s="49" t="n">
        <v>3</v>
      </c>
    </row>
    <row r="921">
      <c r="A921" s="72" t="n">
        <v>899</v>
      </c>
      <c r="B921" s="21" t="inlineStr">
        <is>
          <t>3 этаж (отм. +7.550…+11.150)</t>
        </is>
      </c>
      <c r="C921" s="21" t="inlineStr">
        <is>
          <t>Диафрагмы</t>
        </is>
      </c>
      <c r="D921" s="21" t="inlineStr">
        <is>
          <t>Г/4</t>
        </is>
      </c>
      <c r="E921" s="21" t="inlineStr">
        <is>
          <t>Дм-5</t>
        </is>
      </c>
      <c r="F921" s="72" t="inlineStr">
        <is>
          <t>4</t>
        </is>
      </c>
      <c r="G921" s="21" t="inlineStr">
        <is>
          <t>Вертикальные: ребро, торцевой эл-т («3Ø22» + 3 симметр.)</t>
        </is>
      </c>
      <c r="H921" s="51" t="n">
        <v>22</v>
      </c>
      <c r="I921" s="72" t="inlineStr">
        <is>
          <t>А500С</t>
        </is>
      </c>
      <c r="J921" s="72" t="inlineStr">
        <is>
          <t>—</t>
        </is>
      </c>
      <c r="K921" s="75" t="n">
        <v>1</v>
      </c>
      <c r="L921" s="51" t="n">
        <v>6</v>
      </c>
      <c r="M921" s="69" t="n">
        <v>3.6</v>
      </c>
      <c r="N921" s="70">
        <f>K921*L921*M921</f>
        <v/>
      </c>
      <c r="O921" s="37">
        <f>IFERROR(INDEX(Исходные!$B$19:$B$31,MATCH(H921,Исходные!$A$19:$A$31,0)),0)</f>
        <v/>
      </c>
      <c r="P921" s="76">
        <f>N921*O921</f>
        <v/>
      </c>
      <c r="Q921" s="21" t="inlineStr">
        <is>
          <t>АС-42 сеч.3-3 «3÷5 этаж»; прим.1,3</t>
        </is>
      </c>
      <c r="R921" s="77" t="inlineStr">
        <is>
          <t>по проекту</t>
        </is>
      </c>
      <c r="S921" s="21" t="inlineStr">
        <is>
          <t>стык ванной сваркой (Ø≥20), длина = высота этажа 3,6 м. «4 3Ø22»</t>
        </is>
      </c>
      <c r="T921" s="21" t="inlineStr">
        <is>
          <t>Колонны, диафрагмы</t>
        </is>
      </c>
      <c r="U921" s="49" t="n">
        <v>0</v>
      </c>
      <c r="V921" s="72" t="inlineStr">
        <is>
          <t>Дм-5</t>
        </is>
      </c>
      <c r="W921" s="49" t="n">
        <v>3</v>
      </c>
    </row>
    <row r="922">
      <c r="A922" s="72" t="n">
        <v>900</v>
      </c>
      <c r="B922" s="21" t="inlineStr">
        <is>
          <t>3 этаж (отм. +7.550…+11.150)</t>
        </is>
      </c>
      <c r="C922" s="21" t="inlineStr">
        <is>
          <t>Диафрагмы</t>
        </is>
      </c>
      <c r="D922" s="21" t="inlineStr">
        <is>
          <t>Г/4</t>
        </is>
      </c>
      <c r="E922" s="21" t="inlineStr">
        <is>
          <t>Дм-5</t>
        </is>
      </c>
      <c r="F922" s="72" t="inlineStr">
        <is>
          <t>гор.</t>
        </is>
      </c>
      <c r="G922" s="21" t="inlineStr">
        <is>
          <t>Горизонтальные «Осн. стержни»: полка вдоль оси Г, L=1300-2×25</t>
        </is>
      </c>
      <c r="H922" s="51" t="n">
        <v>12</v>
      </c>
      <c r="I922" s="72" t="inlineStr">
        <is>
          <t>А500С</t>
        </is>
      </c>
      <c r="J922" s="72" t="n">
        <v>200</v>
      </c>
      <c r="K922" s="75" t="n">
        <v>1</v>
      </c>
      <c r="L922" s="51" t="n">
        <v>32</v>
      </c>
      <c r="M922" s="69" t="n">
        <v>1.25</v>
      </c>
      <c r="N922" s="70">
        <f>K922*L922*M922</f>
        <v/>
      </c>
      <c r="O922" s="37">
        <f>IFERROR(INDEX(Исходные!$B$19:$B$31,MATCH(H922,Исходные!$A$19:$A$31,0)),0)</f>
        <v/>
      </c>
      <c r="P922" s="76">
        <f>N922*O922</f>
        <v/>
      </c>
      <c r="Q922" s="21" t="inlineStr">
        <is>
          <t>АС-42 развертка 3 этажа, шаг 200x14+100 (16 рядов × 2 грани)</t>
        </is>
      </c>
      <c r="R922" s="78" t="inlineStr">
        <is>
          <t>по геометрии (уточнить)</t>
        </is>
      </c>
      <c r="S922" s="21" t="inlineStr">
        <is>
          <t>развертка «Осн. стержни Ø12» (3 этаж)</t>
        </is>
      </c>
      <c r="T922" s="21" t="inlineStr">
        <is>
          <t>Колонны, диафрагмы</t>
        </is>
      </c>
      <c r="U922" s="49" t="n">
        <v>1</v>
      </c>
      <c r="V922" s="72" t="inlineStr">
        <is>
          <t>Дм-5</t>
        </is>
      </c>
      <c r="W922" s="49" t="n">
        <v>3</v>
      </c>
    </row>
    <row r="923">
      <c r="A923" s="72" t="n">
        <v>901</v>
      </c>
      <c r="B923" s="21" t="inlineStr">
        <is>
          <t>3 этаж (отм. +7.550…+11.150)</t>
        </is>
      </c>
      <c r="C923" s="21" t="inlineStr">
        <is>
          <t>Диафрагмы</t>
        </is>
      </c>
      <c r="D923" s="21" t="inlineStr">
        <is>
          <t>Г/4</t>
        </is>
      </c>
      <c r="E923" s="21" t="inlineStr">
        <is>
          <t>Дм-5</t>
        </is>
      </c>
      <c r="F923" s="72" t="inlineStr">
        <is>
          <t>гор.</t>
        </is>
      </c>
      <c r="G923" s="21" t="inlineStr">
        <is>
          <t>Горизонтальные «Осн. стержни»: ребро вдоль оси 4, L=1500-2×25</t>
        </is>
      </c>
      <c r="H923" s="51" t="n">
        <v>14</v>
      </c>
      <c r="I923" s="72" t="inlineStr">
        <is>
          <t>А500С</t>
        </is>
      </c>
      <c r="J923" s="72" t="n">
        <v>200</v>
      </c>
      <c r="K923" s="75" t="n">
        <v>1</v>
      </c>
      <c r="L923" s="51" t="n">
        <v>32</v>
      </c>
      <c r="M923" s="69" t="n">
        <v>1.45</v>
      </c>
      <c r="N923" s="70">
        <f>K923*L923*M923</f>
        <v/>
      </c>
      <c r="O923" s="37">
        <f>IFERROR(INDEX(Исходные!$B$19:$B$31,MATCH(H923,Исходные!$A$19:$A$31,0)),0)</f>
        <v/>
      </c>
      <c r="P923" s="76">
        <f>N923*O923</f>
        <v/>
      </c>
      <c r="Q923" s="21" t="inlineStr">
        <is>
          <t>АС-42 развертка 3 этажа, шаг 200x14+100 (16 рядов × 2 грани)</t>
        </is>
      </c>
      <c r="R923" s="78" t="inlineStr">
        <is>
          <t>по геометрии (уточнить)</t>
        </is>
      </c>
      <c r="S923" s="21" t="inlineStr">
        <is>
          <t>развертка «Осн. стержни Ø14» (3 этаж)</t>
        </is>
      </c>
      <c r="T923" s="21" t="inlineStr">
        <is>
          <t>Колонны, диафрагмы</t>
        </is>
      </c>
      <c r="U923" s="49" t="n">
        <v>1</v>
      </c>
      <c r="V923" s="72" t="inlineStr">
        <is>
          <t>Дм-5</t>
        </is>
      </c>
      <c r="W923" s="49" t="n">
        <v>3</v>
      </c>
    </row>
    <row r="924">
      <c r="A924" s="72" t="n">
        <v>902</v>
      </c>
      <c r="B924" s="21" t="inlineStr">
        <is>
          <t>3 этаж (отм. +7.550…+11.150)</t>
        </is>
      </c>
      <c r="C924" s="21" t="inlineStr">
        <is>
          <t>Диафрагмы</t>
        </is>
      </c>
      <c r="D924" s="21" t="inlineStr">
        <is>
          <t>Г/4</t>
        </is>
      </c>
      <c r="E924" s="21" t="inlineStr">
        <is>
          <t>Дм-5</t>
        </is>
      </c>
      <c r="F924" s="72" t="inlineStr">
        <is>
          <t>доп.</t>
        </is>
      </c>
      <c r="G924" s="21" t="inlineStr">
        <is>
          <t>Доп. стержни: ось Г над +7.550, 6Ø12 L=1250 (вторая половина выноски «12Ø12»)</t>
        </is>
      </c>
      <c r="H924" s="51" t="n">
        <v>12</v>
      </c>
      <c r="I924" s="72" t="inlineStr">
        <is>
          <t>А500С</t>
        </is>
      </c>
      <c r="J924" s="72" t="n">
        <v>200</v>
      </c>
      <c r="K924" s="75" t="n">
        <v>1</v>
      </c>
      <c r="L924" s="51" t="n">
        <v>6</v>
      </c>
      <c r="M924" s="69" t="n">
        <v>1.25</v>
      </c>
      <c r="N924" s="70">
        <f>K924*L924*M924</f>
        <v/>
      </c>
      <c r="O924" s="37">
        <f>IFERROR(INDEX(Исходные!$B$19:$B$31,MATCH(H924,Исходные!$A$19:$A$31,0)),0)</f>
        <v/>
      </c>
      <c r="P924" s="76">
        <f>N924*O924</f>
        <v/>
      </c>
      <c r="Q924" s="21" t="inlineStr">
        <is>
          <t>АС-42 развертка, выноска «Доп. стержень»</t>
        </is>
      </c>
      <c r="R924" s="77" t="inlineStr">
        <is>
          <t>по проекту</t>
        </is>
      </c>
      <c r="S924" s="21" t="inlineStr"/>
      <c r="T924" s="21" t="inlineStr">
        <is>
          <t>Колонны, диафрагмы</t>
        </is>
      </c>
      <c r="U924" s="49" t="n">
        <v>0</v>
      </c>
      <c r="V924" s="72" t="inlineStr">
        <is>
          <t>Дм-5</t>
        </is>
      </c>
      <c r="W924" s="49" t="n">
        <v>3</v>
      </c>
    </row>
    <row r="925">
      <c r="A925" s="72" t="n">
        <v>903</v>
      </c>
      <c r="B925" s="21" t="inlineStr">
        <is>
          <t>3 этаж (отм. +7.550…+11.150)</t>
        </is>
      </c>
      <c r="C925" s="21" t="inlineStr">
        <is>
          <t>Диафрагмы</t>
        </is>
      </c>
      <c r="D925" s="21" t="inlineStr">
        <is>
          <t>Г/4</t>
        </is>
      </c>
      <c r="E925" s="21" t="inlineStr">
        <is>
          <t>Дм-5</t>
        </is>
      </c>
      <c r="F925" s="72" t="inlineStr">
        <is>
          <t>доп.</t>
        </is>
      </c>
      <c r="G925" s="21" t="inlineStr">
        <is>
          <t>Доп. стержни: ось Г под ригелем +11.150, 6Ø10 L=1250 (выноска «12Ø10» на 2 группы)</t>
        </is>
      </c>
      <c r="H925" s="51" t="n">
        <v>10</v>
      </c>
      <c r="I925" s="72" t="inlineStr">
        <is>
          <t>А500С</t>
        </is>
      </c>
      <c r="J925" s="72" t="n">
        <v>200</v>
      </c>
      <c r="K925" s="75" t="n">
        <v>1</v>
      </c>
      <c r="L925" s="51" t="n">
        <v>6</v>
      </c>
      <c r="M925" s="69" t="n">
        <v>1.25</v>
      </c>
      <c r="N925" s="70">
        <f>K925*L925*M925</f>
        <v/>
      </c>
      <c r="O925" s="37">
        <f>IFERROR(INDEX(Исходные!$B$19:$B$31,MATCH(H925,Исходные!$A$19:$A$31,0)),0)</f>
        <v/>
      </c>
      <c r="P925" s="76">
        <f>N925*O925</f>
        <v/>
      </c>
      <c r="Q925" s="21" t="inlineStr">
        <is>
          <t>АС-42 развертка, выноска «Доп. стержень»</t>
        </is>
      </c>
      <c r="R925" s="77" t="inlineStr">
        <is>
          <t>по проекту</t>
        </is>
      </c>
      <c r="S925" s="21" t="inlineStr"/>
      <c r="T925" s="21" t="inlineStr">
        <is>
          <t>Колонны, диафрагмы</t>
        </is>
      </c>
      <c r="U925" s="49" t="n">
        <v>0</v>
      </c>
      <c r="V925" s="72" t="inlineStr">
        <is>
          <t>Дм-5</t>
        </is>
      </c>
      <c r="W925" s="49" t="n">
        <v>3</v>
      </c>
    </row>
    <row r="926">
      <c r="A926" s="72" t="n">
        <v>904</v>
      </c>
      <c r="B926" s="21" t="inlineStr">
        <is>
          <t>3 этаж (отм. +7.550…+11.150)</t>
        </is>
      </c>
      <c r="C926" s="21" t="inlineStr">
        <is>
          <t>Диафрагмы</t>
        </is>
      </c>
      <c r="D926" s="21" t="inlineStr">
        <is>
          <t>Г/4</t>
        </is>
      </c>
      <c r="E926" s="21" t="inlineStr">
        <is>
          <t>Дм-5</t>
        </is>
      </c>
      <c r="F926" s="72" t="inlineStr">
        <is>
          <t>доп.</t>
        </is>
      </c>
      <c r="G926" s="21" t="inlineStr">
        <is>
          <t>Доп. стержни: ось 4 над +7.550, 6Ø14 L=1450</t>
        </is>
      </c>
      <c r="H926" s="51" t="n">
        <v>14</v>
      </c>
      <c r="I926" s="72" t="inlineStr">
        <is>
          <t>А500С</t>
        </is>
      </c>
      <c r="J926" s="72" t="n">
        <v>200</v>
      </c>
      <c r="K926" s="75" t="n">
        <v>1</v>
      </c>
      <c r="L926" s="51" t="n">
        <v>6</v>
      </c>
      <c r="M926" s="69" t="n">
        <v>1.45</v>
      </c>
      <c r="N926" s="70">
        <f>K926*L926*M926</f>
        <v/>
      </c>
      <c r="O926" s="37">
        <f>IFERROR(INDEX(Исходные!$B$19:$B$31,MATCH(H926,Исходные!$A$19:$A$31,0)),0)</f>
        <v/>
      </c>
      <c r="P926" s="76">
        <f>N926*O926</f>
        <v/>
      </c>
      <c r="Q926" s="21" t="inlineStr">
        <is>
          <t>АС-42 развертка, выноска «Доп. стержень»</t>
        </is>
      </c>
      <c r="R926" s="77" t="inlineStr">
        <is>
          <t>по проекту</t>
        </is>
      </c>
      <c r="S926" s="21" t="inlineStr"/>
      <c r="T926" s="21" t="inlineStr">
        <is>
          <t>Колонны, диафрагмы</t>
        </is>
      </c>
      <c r="U926" s="49" t="n">
        <v>0</v>
      </c>
      <c r="V926" s="72" t="inlineStr">
        <is>
          <t>Дм-5</t>
        </is>
      </c>
      <c r="W926" s="49" t="n">
        <v>3</v>
      </c>
    </row>
    <row r="927">
      <c r="A927" s="72" t="n">
        <v>905</v>
      </c>
      <c r="B927" s="21" t="inlineStr">
        <is>
          <t>3 этаж (отм. +7.550…+11.150)</t>
        </is>
      </c>
      <c r="C927" s="21" t="inlineStr">
        <is>
          <t>Диафрагмы</t>
        </is>
      </c>
      <c r="D927" s="21" t="inlineStr">
        <is>
          <t>Г/4</t>
        </is>
      </c>
      <c r="E927" s="21" t="inlineStr">
        <is>
          <t>Дм-5</t>
        </is>
      </c>
      <c r="F927" s="72" t="inlineStr">
        <is>
          <t>доп.</t>
        </is>
      </c>
      <c r="G927" s="21" t="inlineStr">
        <is>
          <t>Доп. стержни: ось 4 под ригелем +11.150, 6Ø14 L=1450</t>
        </is>
      </c>
      <c r="H927" s="51" t="n">
        <v>14</v>
      </c>
      <c r="I927" s="72" t="inlineStr">
        <is>
          <t>А500С</t>
        </is>
      </c>
      <c r="J927" s="72" t="n">
        <v>200</v>
      </c>
      <c r="K927" s="75" t="n">
        <v>1</v>
      </c>
      <c r="L927" s="51" t="n">
        <v>6</v>
      </c>
      <c r="M927" s="69" t="n">
        <v>1.45</v>
      </c>
      <c r="N927" s="70">
        <f>K927*L927*M927</f>
        <v/>
      </c>
      <c r="O927" s="37">
        <f>IFERROR(INDEX(Исходные!$B$19:$B$31,MATCH(H927,Исходные!$A$19:$A$31,0)),0)</f>
        <v/>
      </c>
      <c r="P927" s="76">
        <f>N927*O927</f>
        <v/>
      </c>
      <c r="Q927" s="21" t="inlineStr">
        <is>
          <t>АС-42 развертка, выноска «Доп. стержень»</t>
        </is>
      </c>
      <c r="R927" s="77" t="inlineStr">
        <is>
          <t>по проекту</t>
        </is>
      </c>
      <c r="S927" s="21" t="inlineStr"/>
      <c r="T927" s="21" t="inlineStr">
        <is>
          <t>Колонны, диафрагмы</t>
        </is>
      </c>
      <c r="U927" s="49" t="n">
        <v>0</v>
      </c>
      <c r="V927" s="72" t="inlineStr">
        <is>
          <t>Дм-5</t>
        </is>
      </c>
      <c r="W927" s="49" t="n">
        <v>3</v>
      </c>
    </row>
    <row r="928">
      <c r="A928" s="72" t="n">
        <v>906</v>
      </c>
      <c r="B928" s="21" t="inlineStr">
        <is>
          <t>3 этаж (отм. +7.550…+11.150)</t>
        </is>
      </c>
      <c r="C928" s="21" t="inlineStr">
        <is>
          <t>Диафрагмы</t>
        </is>
      </c>
      <c r="D928" s="21" t="inlineStr">
        <is>
          <t>Г/4</t>
        </is>
      </c>
      <c r="E928" s="21" t="inlineStr">
        <is>
          <t>Дм-5</t>
        </is>
      </c>
      <c r="F928" s="72" t="inlineStr">
        <is>
          <t>14</t>
        </is>
      </c>
      <c r="G928" s="21" t="inlineStr">
        <is>
          <t>П-образный стержень на торцах: 2 шт/ряд × 16 рядов</t>
        </is>
      </c>
      <c r="H928" s="51" t="n">
        <v>10</v>
      </c>
      <c r="I928" s="72" t="inlineStr">
        <is>
          <t>А240</t>
        </is>
      </c>
      <c r="J928" s="72" t="inlineStr">
        <is>
          <t>200</t>
        </is>
      </c>
      <c r="K928" s="75" t="n">
        <v>1</v>
      </c>
      <c r="L928" s="51" t="n">
        <v>32</v>
      </c>
      <c r="M928" s="69" t="n">
        <v>1.33</v>
      </c>
      <c r="N928" s="70">
        <f>K928*L928*M928</f>
        <v/>
      </c>
      <c r="O928" s="37">
        <f>IFERROR(INDEX(Исходные!$B$19:$B$31,MATCH(H928,Исходные!$A$19:$A$31,0)),0)</f>
        <v/>
      </c>
      <c r="P928" s="76">
        <f>N928*O928</f>
        <v/>
      </c>
      <c r="Q928" s="21" t="inlineStr">
        <is>
          <t>сечение 3-3; АС-42 ведомость деталей поз.14 L=1330</t>
        </is>
      </c>
      <c r="R928" s="77" t="inlineStr">
        <is>
          <t>по проекту</t>
        </is>
      </c>
      <c r="S928" s="21" t="inlineStr"/>
      <c r="T928" s="21" t="inlineStr">
        <is>
          <t>Колонны, диафрагмы</t>
        </is>
      </c>
      <c r="U928" s="49" t="n">
        <v>0</v>
      </c>
      <c r="V928" s="72" t="inlineStr">
        <is>
          <t>Дм-5</t>
        </is>
      </c>
      <c r="W928" s="49" t="n">
        <v>3</v>
      </c>
    </row>
    <row r="929">
      <c r="A929" s="72" t="n">
        <v>907</v>
      </c>
      <c r="B929" s="21" t="inlineStr">
        <is>
          <t>3 этаж (отм. +7.550…+11.150)</t>
        </is>
      </c>
      <c r="C929" s="21" t="inlineStr">
        <is>
          <t>Диафрагмы</t>
        </is>
      </c>
      <c r="D929" s="21" t="inlineStr">
        <is>
          <t>Г/4</t>
        </is>
      </c>
      <c r="E929" s="21" t="inlineStr">
        <is>
          <t>Дм-5</t>
        </is>
      </c>
      <c r="F929" s="72" t="inlineStr">
        <is>
          <t>12</t>
        </is>
      </c>
      <c r="G929" s="21" t="inlineStr">
        <is>
          <t>Хомут торцевого элемента полки Ø8: 1 шт/ряд × 16</t>
        </is>
      </c>
      <c r="H929" s="51" t="n">
        <v>8</v>
      </c>
      <c r="I929" s="72" t="inlineStr">
        <is>
          <t>А240</t>
        </is>
      </c>
      <c r="J929" s="72" t="inlineStr">
        <is>
          <t>200</t>
        </is>
      </c>
      <c r="K929" s="75" t="n">
        <v>1</v>
      </c>
      <c r="L929" s="51" t="n">
        <v>16</v>
      </c>
      <c r="M929" s="69" t="n">
        <v>1.56</v>
      </c>
      <c r="N929" s="70">
        <f>K929*L929*M929</f>
        <v/>
      </c>
      <c r="O929" s="37">
        <f>IFERROR(INDEX(Исходные!$B$19:$B$31,MATCH(H929,Исходные!$A$19:$A$31,0)),0)</f>
        <v/>
      </c>
      <c r="P929" s="76">
        <f>N929*O929</f>
        <v/>
      </c>
      <c r="Q929" s="21" t="inlineStr">
        <is>
          <t>сечение 3-3 «12 хом.Ø8 ш.200»; АС-42 ведомость деталей поз.12 L=1560</t>
        </is>
      </c>
      <c r="R929" s="77" t="inlineStr">
        <is>
          <t>по проекту</t>
        </is>
      </c>
      <c r="S929" s="21" t="inlineStr"/>
      <c r="T929" s="21" t="inlineStr">
        <is>
          <t>Колонны, диафрагмы</t>
        </is>
      </c>
      <c r="U929" s="49" t="n">
        <v>0</v>
      </c>
      <c r="V929" s="72" t="inlineStr">
        <is>
          <t>Дм-5</t>
        </is>
      </c>
      <c r="W929" s="49" t="n">
        <v>3</v>
      </c>
    </row>
    <row r="930">
      <c r="A930" s="72" t="n">
        <v>908</v>
      </c>
      <c r="B930" s="21" t="inlineStr">
        <is>
          <t>3 этаж (отм. +7.550…+11.150)</t>
        </is>
      </c>
      <c r="C930" s="21" t="inlineStr">
        <is>
          <t>Диафрагмы</t>
        </is>
      </c>
      <c r="D930" s="21" t="inlineStr">
        <is>
          <t>Г/4</t>
        </is>
      </c>
      <c r="E930" s="21" t="inlineStr">
        <is>
          <t>Дм-5</t>
        </is>
      </c>
      <c r="F930" s="72" t="inlineStr">
        <is>
          <t>15</t>
        </is>
      </c>
      <c r="G930" s="21" t="inlineStr">
        <is>
          <t>Хомут торцевого элемента Ø8: 1 шт/ряд × 16</t>
        </is>
      </c>
      <c r="H930" s="51" t="n">
        <v>8</v>
      </c>
      <c r="I930" s="72" t="inlineStr">
        <is>
          <t>А240</t>
        </is>
      </c>
      <c r="J930" s="72" t="inlineStr">
        <is>
          <t>200</t>
        </is>
      </c>
      <c r="K930" s="75" t="n">
        <v>1</v>
      </c>
      <c r="L930" s="51" t="n">
        <v>16</v>
      </c>
      <c r="M930" s="69" t="n">
        <v>1.76</v>
      </c>
      <c r="N930" s="70">
        <f>K930*L930*M930</f>
        <v/>
      </c>
      <c r="O930" s="37">
        <f>IFERROR(INDEX(Исходные!$B$19:$B$31,MATCH(H930,Исходные!$A$19:$A$31,0)),0)</f>
        <v/>
      </c>
      <c r="P930" s="76">
        <f>N930*O930</f>
        <v/>
      </c>
      <c r="Q930" s="21" t="inlineStr">
        <is>
          <t>сечение 3-3 «15 хом.Ø8 ш.200»; АС-42 ведомость деталей поз.15 L=1760</t>
        </is>
      </c>
      <c r="R930" s="77" t="inlineStr">
        <is>
          <t>по проекту</t>
        </is>
      </c>
      <c r="S930" s="21" t="inlineStr"/>
      <c r="T930" s="21" t="inlineStr">
        <is>
          <t>Колонны, диафрагмы</t>
        </is>
      </c>
      <c r="U930" s="49" t="n">
        <v>0</v>
      </c>
      <c r="V930" s="72" t="inlineStr">
        <is>
          <t>Дм-5</t>
        </is>
      </c>
      <c r="W930" s="49" t="n">
        <v>3</v>
      </c>
    </row>
    <row r="931">
      <c r="A931" s="72" t="n">
        <v>909</v>
      </c>
      <c r="B931" s="21" t="inlineStr">
        <is>
          <t>3 этаж (отм. +7.550…+11.150)</t>
        </is>
      </c>
      <c r="C931" s="21" t="inlineStr">
        <is>
          <t>Диафрагмы</t>
        </is>
      </c>
      <c r="D931" s="21" t="inlineStr">
        <is>
          <t>Г/4</t>
        </is>
      </c>
      <c r="E931" s="21" t="inlineStr">
        <is>
          <t>Дм-5</t>
        </is>
      </c>
      <c r="F931" s="72" t="inlineStr">
        <is>
          <t>10</t>
        </is>
      </c>
      <c r="G931" s="21" t="inlineStr">
        <is>
          <t>Хомут колонны наружный (100×12 у опор, 200 в середине) — 28 шт</t>
        </is>
      </c>
      <c r="H931" s="51" t="n">
        <v>8</v>
      </c>
      <c r="I931" s="72" t="inlineStr">
        <is>
          <t>А240</t>
        </is>
      </c>
      <c r="J931" s="72" t="inlineStr">
        <is>
          <t>200</t>
        </is>
      </c>
      <c r="K931" s="75" t="n">
        <v>1</v>
      </c>
      <c r="L931" s="51" t="n">
        <v>28</v>
      </c>
      <c r="M931" s="69" t="n">
        <v>2.44</v>
      </c>
      <c r="N931" s="70">
        <f>K931*L931*M931</f>
        <v/>
      </c>
      <c r="O931" s="37">
        <f>IFERROR(INDEX(Исходные!$B$19:$B$31,MATCH(H931,Исходные!$A$19:$A$31,0)),0)</f>
        <v/>
      </c>
      <c r="P931" s="76">
        <f>N931*O931</f>
        <v/>
      </c>
      <c r="Q931" s="21" t="inlineStr">
        <is>
          <t>АС-32 (2÷4 этаж: 50+100×12+200×n+100×12+50+600); АС-42 ведомость деталей поз.10 L=2440</t>
        </is>
      </c>
      <c r="R931" s="77" t="inlineStr">
        <is>
          <t>по проекту</t>
        </is>
      </c>
      <c r="S931" s="21" t="inlineStr"/>
      <c r="T931" s="21" t="inlineStr">
        <is>
          <t>Колонны, диафрагмы</t>
        </is>
      </c>
      <c r="U931" s="49" t="n">
        <v>0</v>
      </c>
      <c r="V931" s="72" t="inlineStr">
        <is>
          <t>Дм-5</t>
        </is>
      </c>
      <c r="W931" s="49" t="n">
        <v>3</v>
      </c>
    </row>
    <row r="932">
      <c r="A932" s="72" t="n">
        <v>910</v>
      </c>
      <c r="B932" s="21" t="inlineStr">
        <is>
          <t>3 этаж (отм. +7.550…+11.150)</t>
        </is>
      </c>
      <c r="C932" s="21" t="inlineStr">
        <is>
          <t>Диафрагмы</t>
        </is>
      </c>
      <c r="D932" s="21" t="inlineStr">
        <is>
          <t>Г/4</t>
        </is>
      </c>
      <c r="E932" s="21" t="inlineStr">
        <is>
          <t>Дм-5</t>
        </is>
      </c>
      <c r="F932" s="72" t="inlineStr">
        <is>
          <t>11</t>
        </is>
      </c>
      <c r="G932" s="21" t="inlineStr">
        <is>
          <t>Хомут колонны внутренний: 2 шт/ряд × 16</t>
        </is>
      </c>
      <c r="H932" s="51" t="n">
        <v>8</v>
      </c>
      <c r="I932" s="72" t="inlineStr">
        <is>
          <t>А240</t>
        </is>
      </c>
      <c r="J932" s="72" t="inlineStr">
        <is>
          <t>200</t>
        </is>
      </c>
      <c r="K932" s="75" t="n">
        <v>1</v>
      </c>
      <c r="L932" s="51" t="n">
        <v>32</v>
      </c>
      <c r="M932" s="69" t="n">
        <v>1.96</v>
      </c>
      <c r="N932" s="70">
        <f>K932*L932*M932</f>
        <v/>
      </c>
      <c r="O932" s="37">
        <f>IFERROR(INDEX(Исходные!$B$19:$B$31,MATCH(H932,Исходные!$A$19:$A$31,0)),0)</f>
        <v/>
      </c>
      <c r="P932" s="76">
        <f>N932*O932</f>
        <v/>
      </c>
      <c r="Q932" s="21" t="inlineStr">
        <is>
          <t>сечение 3-3 «ш.200»; АС-42 ведомость деталей поз.11 L=1960</t>
        </is>
      </c>
      <c r="R932" s="77" t="inlineStr">
        <is>
          <t>по проекту</t>
        </is>
      </c>
      <c r="S932" s="21" t="inlineStr"/>
      <c r="T932" s="21" t="inlineStr">
        <is>
          <t>Колонны, диафрагмы</t>
        </is>
      </c>
      <c r="U932" s="49" t="n">
        <v>0</v>
      </c>
      <c r="V932" s="72" t="inlineStr">
        <is>
          <t>Дм-5</t>
        </is>
      </c>
      <c r="W932" s="49" t="n">
        <v>3</v>
      </c>
    </row>
    <row r="933">
      <c r="A933" s="72" t="n">
        <v>911</v>
      </c>
      <c r="B933" s="21" t="inlineStr">
        <is>
          <t>3 этаж (отм. +7.550…+11.150)</t>
        </is>
      </c>
      <c r="C933" s="21" t="inlineStr">
        <is>
          <t>Диафрагмы</t>
        </is>
      </c>
      <c r="D933" s="21" t="inlineStr">
        <is>
          <t>Г/4</t>
        </is>
      </c>
      <c r="E933" s="21" t="inlineStr">
        <is>
          <t>Дм-5</t>
        </is>
      </c>
      <c r="F933" s="72" t="inlineStr">
        <is>
          <t>13</t>
        </is>
      </c>
      <c r="G933" s="21" t="inlineStr">
        <is>
          <t>Шпилька ш.400 в шахм. порядке: 5 мест × 8 рядов</t>
        </is>
      </c>
      <c r="H933" s="51" t="n">
        <v>8</v>
      </c>
      <c r="I933" s="72" t="inlineStr">
        <is>
          <t>А240</t>
        </is>
      </c>
      <c r="J933" s="72" t="inlineStr">
        <is>
          <t>200</t>
        </is>
      </c>
      <c r="K933" s="75" t="n">
        <v>1</v>
      </c>
      <c r="L933" s="51" t="n">
        <v>40</v>
      </c>
      <c r="M933" s="69" t="n">
        <v>0.53</v>
      </c>
      <c r="N933" s="70">
        <f>K933*L933*M933</f>
        <v/>
      </c>
      <c r="O933" s="37">
        <f>IFERROR(INDEX(Исходные!$B$19:$B$31,MATCH(H933,Исходные!$A$19:$A$31,0)),0)</f>
        <v/>
      </c>
      <c r="P933" s="76">
        <f>N933*O933</f>
        <v/>
      </c>
      <c r="Q933" s="21" t="inlineStr">
        <is>
          <t>сечение 3-3, прим.6; АС-42 ведомость деталей поз.13 L=530</t>
        </is>
      </c>
      <c r="R933" s="77" t="inlineStr">
        <is>
          <t>по проекту</t>
        </is>
      </c>
      <c r="S933" s="21" t="inlineStr"/>
      <c r="T933" s="21" t="inlineStr">
        <is>
          <t>Колонны, диафрагмы</t>
        </is>
      </c>
      <c r="U933" s="49" t="n">
        <v>0</v>
      </c>
      <c r="V933" s="72" t="inlineStr">
        <is>
          <t>Дм-5</t>
        </is>
      </c>
      <c r="W933" s="49" t="n">
        <v>3</v>
      </c>
    </row>
    <row r="934">
      <c r="A934" s="74" t="inlineStr">
        <is>
          <t>3.2. КОЛОННЫ 600×600 вне диафрагм (15 шт) — сеч.2-2 (4Ø28+8Ø20), H=3,6 м</t>
        </is>
      </c>
      <c r="B934" s="33" t="n"/>
      <c r="C934" s="33" t="n"/>
      <c r="D934" s="33" t="n"/>
      <c r="E934" s="33" t="n"/>
      <c r="F934" s="33" t="n"/>
      <c r="G934" s="33" t="n"/>
      <c r="H934" s="33" t="n"/>
      <c r="I934" s="33" t="n"/>
      <c r="J934" s="33" t="n"/>
      <c r="K934" s="33" t="n"/>
      <c r="L934" s="33" t="n"/>
      <c r="M934" s="33" t="n"/>
      <c r="N934" s="33" t="n"/>
      <c r="O934" s="33" t="n"/>
      <c r="P934" s="33" t="n"/>
      <c r="Q934" s="33" t="n"/>
      <c r="R934" s="33" t="n"/>
      <c r="S934" s="33" t="n"/>
      <c r="T934" s="33" t="n"/>
      <c r="U934" s="33" t="n"/>
      <c r="V934" s="33" t="n"/>
      <c r="W934" s="34" t="n"/>
    </row>
    <row r="935">
      <c r="A935" s="72" t="n">
        <v>912</v>
      </c>
      <c r="B935" s="21" t="inlineStr">
        <is>
          <t>3 этаж (отм. +7.550…+11.150)</t>
        </is>
      </c>
      <c r="C935" s="21" t="inlineStr">
        <is>
          <t>Колонны</t>
        </is>
      </c>
      <c r="D935" s="21" t="inlineStr">
        <is>
          <t>ось А: А/1, А/3, А/5</t>
        </is>
      </c>
      <c r="E935" s="21" t="inlineStr">
        <is>
          <t>К-А</t>
        </is>
      </c>
      <c r="F935" s="72" t="inlineStr">
        <is>
          <t>2</t>
        </is>
      </c>
      <c r="G935" s="21" t="inlineStr">
        <is>
          <t>Вертикальные: угловые 4Ø28 (сеч.2-2)</t>
        </is>
      </c>
      <c r="H935" s="51" t="n">
        <v>28</v>
      </c>
      <c r="I935" s="72" t="inlineStr">
        <is>
          <t>А500С</t>
        </is>
      </c>
      <c r="J935" s="72" t="inlineStr">
        <is>
          <t>—</t>
        </is>
      </c>
      <c r="K935" s="75" t="n">
        <v>3</v>
      </c>
      <c r="L935" s="51" t="n">
        <v>4</v>
      </c>
      <c r="M935" s="69" t="n">
        <v>3.6</v>
      </c>
      <c r="N935" s="70">
        <f>K935*L935*M935</f>
        <v/>
      </c>
      <c r="O935" s="37">
        <f>IFERROR(INDEX(Исходные!$B$19:$B$31,MATCH(H935,Исходные!$A$19:$A$31,0)),0)</f>
        <v/>
      </c>
      <c r="P935" s="76">
        <f>N935*O935</f>
        <v/>
      </c>
      <c r="Q935" s="21" t="inlineStr">
        <is>
          <t>АС-28 сеч.«1-1 (2-2)» поз.(2) 4Ø28; на рамах АС-20…23 выноска «2-2 4Ø28 / 8Ø20» во 2 этаже; выше до 3 этажа других выносок нет — принято 2-2</t>
        </is>
      </c>
      <c r="R935" s="77" t="inlineStr">
        <is>
          <t>по проекту</t>
        </is>
      </c>
      <c r="S935" s="21" t="inlineStr">
        <is>
          <t>Длина = высота этажа 3,6 м (стык ванной сваркой, разбежка 800/500).</t>
        </is>
      </c>
      <c r="T935" s="21" t="inlineStr">
        <is>
          <t>Колонны, диафрагмы</t>
        </is>
      </c>
      <c r="U935" s="49" t="n">
        <v>0</v>
      </c>
      <c r="V935" s="72" t="inlineStr">
        <is>
          <t>К-А</t>
        </is>
      </c>
      <c r="W935" s="49" t="n">
        <v>3</v>
      </c>
    </row>
    <row r="936">
      <c r="A936" s="72" t="n">
        <v>913</v>
      </c>
      <c r="B936" s="21" t="inlineStr">
        <is>
          <t>3 этаж (отм. +7.550…+11.150)</t>
        </is>
      </c>
      <c r="C936" s="21" t="inlineStr">
        <is>
          <t>Колонны</t>
        </is>
      </c>
      <c r="D936" s="21" t="inlineStr">
        <is>
          <t>ось А: А/1, А/3, А/5</t>
        </is>
      </c>
      <c r="E936" s="21" t="inlineStr">
        <is>
          <t>К-А</t>
        </is>
      </c>
      <c r="F936" s="72" t="inlineStr">
        <is>
          <t>5</t>
        </is>
      </c>
      <c r="G936" s="21" t="inlineStr">
        <is>
          <t>Вертикальные: промежуточные 8Ø20 (сеч.2-2)</t>
        </is>
      </c>
      <c r="H936" s="51" t="n">
        <v>20</v>
      </c>
      <c r="I936" s="72" t="inlineStr">
        <is>
          <t>А500С</t>
        </is>
      </c>
      <c r="J936" s="72" t="inlineStr">
        <is>
          <t>—</t>
        </is>
      </c>
      <c r="K936" s="75" t="n">
        <v>3</v>
      </c>
      <c r="L936" s="51" t="n">
        <v>8</v>
      </c>
      <c r="M936" s="69" t="n">
        <v>3.6</v>
      </c>
      <c r="N936" s="70">
        <f>K936*L936*M936</f>
        <v/>
      </c>
      <c r="O936" s="37">
        <f>IFERROR(INDEX(Исходные!$B$19:$B$31,MATCH(H936,Исходные!$A$19:$A$31,0)),0)</f>
        <v/>
      </c>
      <c r="P936" s="76">
        <f>N936*O936</f>
        <v/>
      </c>
      <c r="Q936" s="21" t="inlineStr">
        <is>
          <t>АС-28 сеч.2-2 поз.5</t>
        </is>
      </c>
      <c r="R936" s="77" t="inlineStr">
        <is>
          <t>по проекту</t>
        </is>
      </c>
      <c r="S936" s="21" t="inlineStr">
        <is>
          <t>Длина = 3,6 м, стык ванной сваркой.</t>
        </is>
      </c>
      <c r="T936" s="21" t="inlineStr">
        <is>
          <t>Колонны, диафрагмы</t>
        </is>
      </c>
      <c r="U936" s="49" t="n">
        <v>0</v>
      </c>
      <c r="V936" s="72" t="inlineStr">
        <is>
          <t>К-А</t>
        </is>
      </c>
      <c r="W936" s="49" t="n">
        <v>3</v>
      </c>
    </row>
    <row r="937">
      <c r="A937" s="72" t="n">
        <v>914</v>
      </c>
      <c r="B937" s="21" t="inlineStr">
        <is>
          <t>3 этаж (отм. +7.550…+11.150)</t>
        </is>
      </c>
      <c r="C937" s="21" t="inlineStr">
        <is>
          <t>Колонны</t>
        </is>
      </c>
      <c r="D937" s="21" t="inlineStr">
        <is>
          <t>ось А: А/1, А/3, А/5</t>
        </is>
      </c>
      <c r="E937" s="21" t="inlineStr">
        <is>
          <t>К-А</t>
        </is>
      </c>
      <c r="F937" s="72" t="inlineStr">
        <is>
          <t>10</t>
        </is>
      </c>
      <c r="G937" s="21" t="inlineStr">
        <is>
          <t>Хомут наружный Ø8 L=2440: 13 + 2 + 13 = 28 шт</t>
        </is>
      </c>
      <c r="H937" s="51" t="n">
        <v>8</v>
      </c>
      <c r="I937" s="72" t="inlineStr">
        <is>
          <t>А240</t>
        </is>
      </c>
      <c r="J937" s="72" t="inlineStr">
        <is>
          <t>100/200</t>
        </is>
      </c>
      <c r="K937" s="75" t="n">
        <v>3</v>
      </c>
      <c r="L937" s="51" t="n">
        <v>28</v>
      </c>
      <c r="M937" s="69" t="n">
        <v>2.44</v>
      </c>
      <c r="N937" s="70">
        <f>K937*L937*M937</f>
        <v/>
      </c>
      <c r="O937" s="37">
        <f>IFERROR(INDEX(Исходные!$B$19:$B$31,MATCH(H937,Исходные!$A$19:$A$31,0)),0)</f>
        <v/>
      </c>
      <c r="P937" s="76">
        <f>N937*O937</f>
        <v/>
      </c>
      <c r="Q937" s="21" t="inlineStr">
        <is>
          <t>АС-32 схема хомутов колонн (2÷4 этаж 3600: 50+100×12+200×n+100×12+50+600); АС-28 поз.10 L=2440</t>
        </is>
      </c>
      <c r="R937" s="77" t="inlineStr">
        <is>
          <t>по проекту</t>
        </is>
      </c>
      <c r="S937" s="21" t="inlineStr"/>
      <c r="T937" s="21" t="inlineStr">
        <is>
          <t>Колонны, диафрагмы</t>
        </is>
      </c>
      <c r="U937" s="49" t="n">
        <v>0</v>
      </c>
      <c r="V937" s="72" t="inlineStr">
        <is>
          <t>К-А</t>
        </is>
      </c>
      <c r="W937" s="49" t="n">
        <v>3</v>
      </c>
    </row>
    <row r="938">
      <c r="A938" s="72" t="n">
        <v>915</v>
      </c>
      <c r="B938" s="21" t="inlineStr">
        <is>
          <t>3 этаж (отм. +7.550…+11.150)</t>
        </is>
      </c>
      <c r="C938" s="21" t="inlineStr">
        <is>
          <t>Колонны</t>
        </is>
      </c>
      <c r="D938" s="21" t="inlineStr">
        <is>
          <t>ось А: А/1, А/3, А/5</t>
        </is>
      </c>
      <c r="E938" s="21" t="inlineStr">
        <is>
          <t>К-А</t>
        </is>
      </c>
      <c r="F938" s="72" t="inlineStr">
        <is>
          <t>11</t>
        </is>
      </c>
      <c r="G938" s="21" t="inlineStr">
        <is>
          <t>Хомут внутренний Ø8 L=1960 ш.200: 2 шт × 16 рядов</t>
        </is>
      </c>
      <c r="H938" s="51" t="n">
        <v>8</v>
      </c>
      <c r="I938" s="72" t="inlineStr">
        <is>
          <t>А240</t>
        </is>
      </c>
      <c r="J938" s="72" t="n">
        <v>200</v>
      </c>
      <c r="K938" s="75" t="n">
        <v>3</v>
      </c>
      <c r="L938" s="51" t="n">
        <v>32</v>
      </c>
      <c r="M938" s="69" t="n">
        <v>1.96</v>
      </c>
      <c r="N938" s="70">
        <f>K938*L938*M938</f>
        <v/>
      </c>
      <c r="O938" s="37">
        <f>IFERROR(INDEX(Исходные!$B$19:$B$31,MATCH(H938,Исходные!$A$19:$A$31,0)),0)</f>
        <v/>
      </c>
      <c r="P938" s="76">
        <f>N938*O938</f>
        <v/>
      </c>
      <c r="Q938" s="21" t="inlineStr">
        <is>
          <t>АС-28 «11 хом.Ø8 ш.200», поз.11 L=1960</t>
        </is>
      </c>
      <c r="R938" s="77" t="inlineStr">
        <is>
          <t>по проекту</t>
        </is>
      </c>
      <c r="S938" s="21" t="inlineStr"/>
      <c r="T938" s="21" t="inlineStr">
        <is>
          <t>Колонны, диафрагмы</t>
        </is>
      </c>
      <c r="U938" s="49" t="n">
        <v>0</v>
      </c>
      <c r="V938" s="72" t="inlineStr">
        <is>
          <t>К-А</t>
        </is>
      </c>
      <c r="W938" s="49" t="n">
        <v>3</v>
      </c>
    </row>
    <row r="939">
      <c r="A939" s="72" t="n">
        <v>916</v>
      </c>
      <c r="B939" s="21" t="inlineStr">
        <is>
          <t>3 этаж (отм. +7.550…+11.150)</t>
        </is>
      </c>
      <c r="C939" s="21" t="inlineStr">
        <is>
          <t>Колонны</t>
        </is>
      </c>
      <c r="D939" s="21" t="inlineStr">
        <is>
          <t>ось Б: Б/1, Б/2, Б/3, Б/4, Б/5</t>
        </is>
      </c>
      <c r="E939" s="21" t="inlineStr">
        <is>
          <t>К-Б</t>
        </is>
      </c>
      <c r="F939" s="72" t="inlineStr">
        <is>
          <t>2</t>
        </is>
      </c>
      <c r="G939" s="21" t="inlineStr">
        <is>
          <t>Вертикальные: угловые 4Ø28 (сеч.2-2)</t>
        </is>
      </c>
      <c r="H939" s="51" t="n">
        <v>28</v>
      </c>
      <c r="I939" s="72" t="inlineStr">
        <is>
          <t>А500С</t>
        </is>
      </c>
      <c r="J939" s="72" t="inlineStr">
        <is>
          <t>—</t>
        </is>
      </c>
      <c r="K939" s="75" t="n">
        <v>5</v>
      </c>
      <c r="L939" s="51" t="n">
        <v>4</v>
      </c>
      <c r="M939" s="69" t="n">
        <v>3.6</v>
      </c>
      <c r="N939" s="70">
        <f>K939*L939*M939</f>
        <v/>
      </c>
      <c r="O939" s="37">
        <f>IFERROR(INDEX(Исходные!$B$19:$B$31,MATCH(H939,Исходные!$A$19:$A$31,0)),0)</f>
        <v/>
      </c>
      <c r="P939" s="76">
        <f>N939*O939</f>
        <v/>
      </c>
      <c r="Q939" s="21" t="inlineStr">
        <is>
          <t>АС-28 сеч.«1-1 (2-2)» поз.(2) 4Ø28; на рамах АС-20…23 выноска «2-2 4Ø28 / 8Ø20» во 2 этаже; выше до 3 этажа других выносок нет — принято 2-2</t>
        </is>
      </c>
      <c r="R939" s="77" t="inlineStr">
        <is>
          <t>по проекту</t>
        </is>
      </c>
      <c r="S939" s="21" t="inlineStr">
        <is>
          <t>Длина = высота этажа 3,6 м (стык ванной сваркой, разбежка 800/500).</t>
        </is>
      </c>
      <c r="T939" s="21" t="inlineStr">
        <is>
          <t>Колонны, диафрагмы</t>
        </is>
      </c>
      <c r="U939" s="49" t="n">
        <v>0</v>
      </c>
      <c r="V939" s="72" t="inlineStr">
        <is>
          <t>К-Б</t>
        </is>
      </c>
      <c r="W939" s="49" t="n">
        <v>3</v>
      </c>
    </row>
    <row r="940">
      <c r="A940" s="72" t="n">
        <v>917</v>
      </c>
      <c r="B940" s="21" t="inlineStr">
        <is>
          <t>3 этаж (отм. +7.550…+11.150)</t>
        </is>
      </c>
      <c r="C940" s="21" t="inlineStr">
        <is>
          <t>Колонны</t>
        </is>
      </c>
      <c r="D940" s="21" t="inlineStr">
        <is>
          <t>ось Б: Б/1, Б/2, Б/3, Б/4, Б/5</t>
        </is>
      </c>
      <c r="E940" s="21" t="inlineStr">
        <is>
          <t>К-Б</t>
        </is>
      </c>
      <c r="F940" s="72" t="inlineStr">
        <is>
          <t>5</t>
        </is>
      </c>
      <c r="G940" s="21" t="inlineStr">
        <is>
          <t>Вертикальные: промежуточные 8Ø20 (сеч.2-2)</t>
        </is>
      </c>
      <c r="H940" s="51" t="n">
        <v>20</v>
      </c>
      <c r="I940" s="72" t="inlineStr">
        <is>
          <t>А500С</t>
        </is>
      </c>
      <c r="J940" s="72" t="inlineStr">
        <is>
          <t>—</t>
        </is>
      </c>
      <c r="K940" s="75" t="n">
        <v>5</v>
      </c>
      <c r="L940" s="51" t="n">
        <v>8</v>
      </c>
      <c r="M940" s="69" t="n">
        <v>3.6</v>
      </c>
      <c r="N940" s="70">
        <f>K940*L940*M940</f>
        <v/>
      </c>
      <c r="O940" s="37">
        <f>IFERROR(INDEX(Исходные!$B$19:$B$31,MATCH(H940,Исходные!$A$19:$A$31,0)),0)</f>
        <v/>
      </c>
      <c r="P940" s="76">
        <f>N940*O940</f>
        <v/>
      </c>
      <c r="Q940" s="21" t="inlineStr">
        <is>
          <t>АС-28 сеч.2-2 поз.5</t>
        </is>
      </c>
      <c r="R940" s="77" t="inlineStr">
        <is>
          <t>по проекту</t>
        </is>
      </c>
      <c r="S940" s="21" t="inlineStr">
        <is>
          <t>Длина = 3,6 м, стык ванной сваркой.</t>
        </is>
      </c>
      <c r="T940" s="21" t="inlineStr">
        <is>
          <t>Колонны, диафрагмы</t>
        </is>
      </c>
      <c r="U940" s="49" t="n">
        <v>0</v>
      </c>
      <c r="V940" s="72" t="inlineStr">
        <is>
          <t>К-Б</t>
        </is>
      </c>
      <c r="W940" s="49" t="n">
        <v>3</v>
      </c>
    </row>
    <row r="941">
      <c r="A941" s="72" t="n">
        <v>918</v>
      </c>
      <c r="B941" s="21" t="inlineStr">
        <is>
          <t>3 этаж (отм. +7.550…+11.150)</t>
        </is>
      </c>
      <c r="C941" s="21" t="inlineStr">
        <is>
          <t>Колонны</t>
        </is>
      </c>
      <c r="D941" s="21" t="inlineStr">
        <is>
          <t>ось Б: Б/1, Б/2, Б/3, Б/4, Б/5</t>
        </is>
      </c>
      <c r="E941" s="21" t="inlineStr">
        <is>
          <t>К-Б</t>
        </is>
      </c>
      <c r="F941" s="72" t="inlineStr">
        <is>
          <t>10</t>
        </is>
      </c>
      <c r="G941" s="21" t="inlineStr">
        <is>
          <t>Хомут наружный Ø8 L=2440: 13 + 2 + 13 = 28 шт</t>
        </is>
      </c>
      <c r="H941" s="51" t="n">
        <v>8</v>
      </c>
      <c r="I941" s="72" t="inlineStr">
        <is>
          <t>А240</t>
        </is>
      </c>
      <c r="J941" s="72" t="inlineStr">
        <is>
          <t>100/200</t>
        </is>
      </c>
      <c r="K941" s="75" t="n">
        <v>5</v>
      </c>
      <c r="L941" s="51" t="n">
        <v>28</v>
      </c>
      <c r="M941" s="69" t="n">
        <v>2.44</v>
      </c>
      <c r="N941" s="70">
        <f>K941*L941*M941</f>
        <v/>
      </c>
      <c r="O941" s="37">
        <f>IFERROR(INDEX(Исходные!$B$19:$B$31,MATCH(H941,Исходные!$A$19:$A$31,0)),0)</f>
        <v/>
      </c>
      <c r="P941" s="76">
        <f>N941*O941</f>
        <v/>
      </c>
      <c r="Q941" s="21" t="inlineStr">
        <is>
          <t>АС-32 схема хомутов колонн (2÷4 этаж 3600: 50+100×12+200×n+100×12+50+600); АС-28 поз.10 L=2440</t>
        </is>
      </c>
      <c r="R941" s="77" t="inlineStr">
        <is>
          <t>по проекту</t>
        </is>
      </c>
      <c r="S941" s="21" t="inlineStr"/>
      <c r="T941" s="21" t="inlineStr">
        <is>
          <t>Колонны, диафрагмы</t>
        </is>
      </c>
      <c r="U941" s="49" t="n">
        <v>0</v>
      </c>
      <c r="V941" s="72" t="inlineStr">
        <is>
          <t>К-Б</t>
        </is>
      </c>
      <c r="W941" s="49" t="n">
        <v>3</v>
      </c>
    </row>
    <row r="942">
      <c r="A942" s="72" t="n">
        <v>919</v>
      </c>
      <c r="B942" s="21" t="inlineStr">
        <is>
          <t>3 этаж (отм. +7.550…+11.150)</t>
        </is>
      </c>
      <c r="C942" s="21" t="inlineStr">
        <is>
          <t>Колонны</t>
        </is>
      </c>
      <c r="D942" s="21" t="inlineStr">
        <is>
          <t>ось Б: Б/1, Б/2, Б/3, Б/4, Б/5</t>
        </is>
      </c>
      <c r="E942" s="21" t="inlineStr">
        <is>
          <t>К-Б</t>
        </is>
      </c>
      <c r="F942" s="72" t="inlineStr">
        <is>
          <t>11</t>
        </is>
      </c>
      <c r="G942" s="21" t="inlineStr">
        <is>
          <t>Хомут внутренний Ø8 L=1960 ш.200: 2 шт × 16 рядов</t>
        </is>
      </c>
      <c r="H942" s="51" t="n">
        <v>8</v>
      </c>
      <c r="I942" s="72" t="inlineStr">
        <is>
          <t>А240</t>
        </is>
      </c>
      <c r="J942" s="72" t="n">
        <v>200</v>
      </c>
      <c r="K942" s="75" t="n">
        <v>5</v>
      </c>
      <c r="L942" s="51" t="n">
        <v>32</v>
      </c>
      <c r="M942" s="69" t="n">
        <v>1.96</v>
      </c>
      <c r="N942" s="70">
        <f>K942*L942*M942</f>
        <v/>
      </c>
      <c r="O942" s="37">
        <f>IFERROR(INDEX(Исходные!$B$19:$B$31,MATCH(H942,Исходные!$A$19:$A$31,0)),0)</f>
        <v/>
      </c>
      <c r="P942" s="76">
        <f>N942*O942</f>
        <v/>
      </c>
      <c r="Q942" s="21" t="inlineStr">
        <is>
          <t>АС-28 «11 хом.Ø8 ш.200», поз.11 L=1960</t>
        </is>
      </c>
      <c r="R942" s="77" t="inlineStr">
        <is>
          <t>по проекту</t>
        </is>
      </c>
      <c r="S942" s="21" t="inlineStr"/>
      <c r="T942" s="21" t="inlineStr">
        <is>
          <t>Колонны, диафрагмы</t>
        </is>
      </c>
      <c r="U942" s="49" t="n">
        <v>0</v>
      </c>
      <c r="V942" s="72" t="inlineStr">
        <is>
          <t>К-Б</t>
        </is>
      </c>
      <c r="W942" s="49" t="n">
        <v>3</v>
      </c>
    </row>
    <row r="943">
      <c r="A943" s="72" t="n">
        <v>920</v>
      </c>
      <c r="B943" s="21" t="inlineStr">
        <is>
          <t>3 этаж (отм. +7.550…+11.150)</t>
        </is>
      </c>
      <c r="C943" s="21" t="inlineStr">
        <is>
          <t>Колонны</t>
        </is>
      </c>
      <c r="D943" s="21" t="inlineStr">
        <is>
          <t>ось В: В/1, В/2, В/3, В/4, В/5</t>
        </is>
      </c>
      <c r="E943" s="21" t="inlineStr">
        <is>
          <t>К-В</t>
        </is>
      </c>
      <c r="F943" s="72" t="inlineStr">
        <is>
          <t>2</t>
        </is>
      </c>
      <c r="G943" s="21" t="inlineStr">
        <is>
          <t>Вертикальные: угловые 4Ø28 (сеч.2-2)</t>
        </is>
      </c>
      <c r="H943" s="51" t="n">
        <v>28</v>
      </c>
      <c r="I943" s="72" t="inlineStr">
        <is>
          <t>А500С</t>
        </is>
      </c>
      <c r="J943" s="72" t="inlineStr">
        <is>
          <t>—</t>
        </is>
      </c>
      <c r="K943" s="75" t="n">
        <v>5</v>
      </c>
      <c r="L943" s="51" t="n">
        <v>4</v>
      </c>
      <c r="M943" s="69" t="n">
        <v>3.6</v>
      </c>
      <c r="N943" s="70">
        <f>K943*L943*M943</f>
        <v/>
      </c>
      <c r="O943" s="37">
        <f>IFERROR(INDEX(Исходные!$B$19:$B$31,MATCH(H943,Исходные!$A$19:$A$31,0)),0)</f>
        <v/>
      </c>
      <c r="P943" s="76">
        <f>N943*O943</f>
        <v/>
      </c>
      <c r="Q943" s="21" t="inlineStr">
        <is>
          <t>АС-28 сеч.«1-1 (2-2)» поз.(2) 4Ø28; на рамах АС-20…23 выноска «2-2 4Ø28 / 8Ø20» во 2 этаже; выше до 3 этажа других выносок нет — принято 2-2</t>
        </is>
      </c>
      <c r="R943" s="77" t="inlineStr">
        <is>
          <t>по проекту</t>
        </is>
      </c>
      <c r="S943" s="21" t="inlineStr">
        <is>
          <t>Длина = высота этажа 3,6 м (стык ванной сваркой, разбежка 800/500).</t>
        </is>
      </c>
      <c r="T943" s="21" t="inlineStr">
        <is>
          <t>Колонны, диафрагмы</t>
        </is>
      </c>
      <c r="U943" s="49" t="n">
        <v>0</v>
      </c>
      <c r="V943" s="72" t="inlineStr">
        <is>
          <t>К-В</t>
        </is>
      </c>
      <c r="W943" s="49" t="n">
        <v>3</v>
      </c>
    </row>
    <row r="944">
      <c r="A944" s="72" t="n">
        <v>921</v>
      </c>
      <c r="B944" s="21" t="inlineStr">
        <is>
          <t>3 этаж (отм. +7.550…+11.150)</t>
        </is>
      </c>
      <c r="C944" s="21" t="inlineStr">
        <is>
          <t>Колонны</t>
        </is>
      </c>
      <c r="D944" s="21" t="inlineStr">
        <is>
          <t>ось В: В/1, В/2, В/3, В/4, В/5</t>
        </is>
      </c>
      <c r="E944" s="21" t="inlineStr">
        <is>
          <t>К-В</t>
        </is>
      </c>
      <c r="F944" s="72" t="inlineStr">
        <is>
          <t>5</t>
        </is>
      </c>
      <c r="G944" s="21" t="inlineStr">
        <is>
          <t>Вертикальные: промежуточные 8Ø20 (сеч.2-2)</t>
        </is>
      </c>
      <c r="H944" s="51" t="n">
        <v>20</v>
      </c>
      <c r="I944" s="72" t="inlineStr">
        <is>
          <t>А500С</t>
        </is>
      </c>
      <c r="J944" s="72" t="inlineStr">
        <is>
          <t>—</t>
        </is>
      </c>
      <c r="K944" s="75" t="n">
        <v>5</v>
      </c>
      <c r="L944" s="51" t="n">
        <v>8</v>
      </c>
      <c r="M944" s="69" t="n">
        <v>3.6</v>
      </c>
      <c r="N944" s="70">
        <f>K944*L944*M944</f>
        <v/>
      </c>
      <c r="O944" s="37">
        <f>IFERROR(INDEX(Исходные!$B$19:$B$31,MATCH(H944,Исходные!$A$19:$A$31,0)),0)</f>
        <v/>
      </c>
      <c r="P944" s="76">
        <f>N944*O944</f>
        <v/>
      </c>
      <c r="Q944" s="21" t="inlineStr">
        <is>
          <t>АС-28 сеч.2-2 поз.5</t>
        </is>
      </c>
      <c r="R944" s="77" t="inlineStr">
        <is>
          <t>по проекту</t>
        </is>
      </c>
      <c r="S944" s="21" t="inlineStr">
        <is>
          <t>Длина = 3,6 м, стык ванной сваркой.</t>
        </is>
      </c>
      <c r="T944" s="21" t="inlineStr">
        <is>
          <t>Колонны, диафрагмы</t>
        </is>
      </c>
      <c r="U944" s="49" t="n">
        <v>0</v>
      </c>
      <c r="V944" s="72" t="inlineStr">
        <is>
          <t>К-В</t>
        </is>
      </c>
      <c r="W944" s="49" t="n">
        <v>3</v>
      </c>
    </row>
    <row r="945">
      <c r="A945" s="72" t="n">
        <v>922</v>
      </c>
      <c r="B945" s="21" t="inlineStr">
        <is>
          <t>3 этаж (отм. +7.550…+11.150)</t>
        </is>
      </c>
      <c r="C945" s="21" t="inlineStr">
        <is>
          <t>Колонны</t>
        </is>
      </c>
      <c r="D945" s="21" t="inlineStr">
        <is>
          <t>ось В: В/1, В/2, В/3, В/4, В/5</t>
        </is>
      </c>
      <c r="E945" s="21" t="inlineStr">
        <is>
          <t>К-В</t>
        </is>
      </c>
      <c r="F945" s="72" t="inlineStr">
        <is>
          <t>10</t>
        </is>
      </c>
      <c r="G945" s="21" t="inlineStr">
        <is>
          <t>Хомут наружный Ø8 L=2440: 13 + 2 + 13 = 28 шт</t>
        </is>
      </c>
      <c r="H945" s="51" t="n">
        <v>8</v>
      </c>
      <c r="I945" s="72" t="inlineStr">
        <is>
          <t>А240</t>
        </is>
      </c>
      <c r="J945" s="72" t="inlineStr">
        <is>
          <t>100/200</t>
        </is>
      </c>
      <c r="K945" s="75" t="n">
        <v>5</v>
      </c>
      <c r="L945" s="51" t="n">
        <v>28</v>
      </c>
      <c r="M945" s="69" t="n">
        <v>2.44</v>
      </c>
      <c r="N945" s="70">
        <f>K945*L945*M945</f>
        <v/>
      </c>
      <c r="O945" s="37">
        <f>IFERROR(INDEX(Исходные!$B$19:$B$31,MATCH(H945,Исходные!$A$19:$A$31,0)),0)</f>
        <v/>
      </c>
      <c r="P945" s="76">
        <f>N945*O945</f>
        <v/>
      </c>
      <c r="Q945" s="21" t="inlineStr">
        <is>
          <t>АС-32 схема хомутов колонн (2÷4 этаж 3600: 50+100×12+200×n+100×12+50+600); АС-28 поз.10 L=2440</t>
        </is>
      </c>
      <c r="R945" s="77" t="inlineStr">
        <is>
          <t>по проекту</t>
        </is>
      </c>
      <c r="S945" s="21" t="inlineStr"/>
      <c r="T945" s="21" t="inlineStr">
        <is>
          <t>Колонны, диафрагмы</t>
        </is>
      </c>
      <c r="U945" s="49" t="n">
        <v>0</v>
      </c>
      <c r="V945" s="72" t="inlineStr">
        <is>
          <t>К-В</t>
        </is>
      </c>
      <c r="W945" s="49" t="n">
        <v>3</v>
      </c>
    </row>
    <row r="946">
      <c r="A946" s="72" t="n">
        <v>923</v>
      </c>
      <c r="B946" s="21" t="inlineStr">
        <is>
          <t>3 этаж (отм. +7.550…+11.150)</t>
        </is>
      </c>
      <c r="C946" s="21" t="inlineStr">
        <is>
          <t>Колонны</t>
        </is>
      </c>
      <c r="D946" s="21" t="inlineStr">
        <is>
          <t>ось В: В/1, В/2, В/3, В/4, В/5</t>
        </is>
      </c>
      <c r="E946" s="21" t="inlineStr">
        <is>
          <t>К-В</t>
        </is>
      </c>
      <c r="F946" s="72" t="inlineStr">
        <is>
          <t>11</t>
        </is>
      </c>
      <c r="G946" s="21" t="inlineStr">
        <is>
          <t>Хомут внутренний Ø8 L=1960 ш.200: 2 шт × 16 рядов</t>
        </is>
      </c>
      <c r="H946" s="51" t="n">
        <v>8</v>
      </c>
      <c r="I946" s="72" t="inlineStr">
        <is>
          <t>А240</t>
        </is>
      </c>
      <c r="J946" s="72" t="n">
        <v>200</v>
      </c>
      <c r="K946" s="75" t="n">
        <v>5</v>
      </c>
      <c r="L946" s="51" t="n">
        <v>32</v>
      </c>
      <c r="M946" s="69" t="n">
        <v>1.96</v>
      </c>
      <c r="N946" s="70">
        <f>K946*L946*M946</f>
        <v/>
      </c>
      <c r="O946" s="37">
        <f>IFERROR(INDEX(Исходные!$B$19:$B$31,MATCH(H946,Исходные!$A$19:$A$31,0)),0)</f>
        <v/>
      </c>
      <c r="P946" s="76">
        <f>N946*O946</f>
        <v/>
      </c>
      <c r="Q946" s="21" t="inlineStr">
        <is>
          <t>АС-28 «11 хом.Ø8 ш.200», поз.11 L=1960</t>
        </is>
      </c>
      <c r="R946" s="77" t="inlineStr">
        <is>
          <t>по проекту</t>
        </is>
      </c>
      <c r="S946" s="21" t="inlineStr"/>
      <c r="T946" s="21" t="inlineStr">
        <is>
          <t>Колонны, диафрагмы</t>
        </is>
      </c>
      <c r="U946" s="49" t="n">
        <v>0</v>
      </c>
      <c r="V946" s="72" t="inlineStr">
        <is>
          <t>К-В</t>
        </is>
      </c>
      <c r="W946" s="49" t="n">
        <v>3</v>
      </c>
    </row>
    <row r="947">
      <c r="A947" s="72" t="n">
        <v>924</v>
      </c>
      <c r="B947" s="21" t="inlineStr">
        <is>
          <t>3 этаж (отм. +7.550…+11.150)</t>
        </is>
      </c>
      <c r="C947" s="21" t="inlineStr">
        <is>
          <t>Колонны</t>
        </is>
      </c>
      <c r="D947" s="21" t="inlineStr">
        <is>
          <t>ось Г: Г/1, Г/5</t>
        </is>
      </c>
      <c r="E947" s="21" t="inlineStr">
        <is>
          <t>К-Г</t>
        </is>
      </c>
      <c r="F947" s="72" t="inlineStr">
        <is>
          <t>2</t>
        </is>
      </c>
      <c r="G947" s="21" t="inlineStr">
        <is>
          <t>Вертикальные: угловые 4Ø28 (сеч.2-2)</t>
        </is>
      </c>
      <c r="H947" s="51" t="n">
        <v>28</v>
      </c>
      <c r="I947" s="72" t="inlineStr">
        <is>
          <t>А500С</t>
        </is>
      </c>
      <c r="J947" s="72" t="inlineStr">
        <is>
          <t>—</t>
        </is>
      </c>
      <c r="K947" s="75" t="n">
        <v>2</v>
      </c>
      <c r="L947" s="51" t="n">
        <v>4</v>
      </c>
      <c r="M947" s="69" t="n">
        <v>3.6</v>
      </c>
      <c r="N947" s="70">
        <f>K947*L947*M947</f>
        <v/>
      </c>
      <c r="O947" s="37">
        <f>IFERROR(INDEX(Исходные!$B$19:$B$31,MATCH(H947,Исходные!$A$19:$A$31,0)),0)</f>
        <v/>
      </c>
      <c r="P947" s="76">
        <f>N947*O947</f>
        <v/>
      </c>
      <c r="Q947" s="21" t="inlineStr">
        <is>
          <t>АС-28 сеч.«1-1 (2-2)» поз.(2) 4Ø28; на рамах АС-20…23 выноска «2-2 4Ø28 / 8Ø20» во 2 этаже; выше до 3 этажа других выносок нет — принято 2-2</t>
        </is>
      </c>
      <c r="R947" s="77" t="inlineStr">
        <is>
          <t>по проекту</t>
        </is>
      </c>
      <c r="S947" s="21" t="inlineStr">
        <is>
          <t>Длина = высота этажа 3,6 м (стык ванной сваркой, разбежка 800/500).</t>
        </is>
      </c>
      <c r="T947" s="21" t="inlineStr">
        <is>
          <t>Колонны, диафрагмы</t>
        </is>
      </c>
      <c r="U947" s="49" t="n">
        <v>0</v>
      </c>
      <c r="V947" s="72" t="inlineStr">
        <is>
          <t>К-Г</t>
        </is>
      </c>
      <c r="W947" s="49" t="n">
        <v>3</v>
      </c>
    </row>
    <row r="948">
      <c r="A948" s="72" t="n">
        <v>925</v>
      </c>
      <c r="B948" s="21" t="inlineStr">
        <is>
          <t>3 этаж (отм. +7.550…+11.150)</t>
        </is>
      </c>
      <c r="C948" s="21" t="inlineStr">
        <is>
          <t>Колонны</t>
        </is>
      </c>
      <c r="D948" s="21" t="inlineStr">
        <is>
          <t>ось Г: Г/1, Г/5</t>
        </is>
      </c>
      <c r="E948" s="21" t="inlineStr">
        <is>
          <t>К-Г</t>
        </is>
      </c>
      <c r="F948" s="72" t="inlineStr">
        <is>
          <t>5</t>
        </is>
      </c>
      <c r="G948" s="21" t="inlineStr">
        <is>
          <t>Вертикальные: промежуточные 8Ø20 (сеч.2-2)</t>
        </is>
      </c>
      <c r="H948" s="51" t="n">
        <v>20</v>
      </c>
      <c r="I948" s="72" t="inlineStr">
        <is>
          <t>А500С</t>
        </is>
      </c>
      <c r="J948" s="72" t="inlineStr">
        <is>
          <t>—</t>
        </is>
      </c>
      <c r="K948" s="75" t="n">
        <v>2</v>
      </c>
      <c r="L948" s="51" t="n">
        <v>8</v>
      </c>
      <c r="M948" s="69" t="n">
        <v>3.6</v>
      </c>
      <c r="N948" s="70">
        <f>K948*L948*M948</f>
        <v/>
      </c>
      <c r="O948" s="37">
        <f>IFERROR(INDEX(Исходные!$B$19:$B$31,MATCH(H948,Исходные!$A$19:$A$31,0)),0)</f>
        <v/>
      </c>
      <c r="P948" s="76">
        <f>N948*O948</f>
        <v/>
      </c>
      <c r="Q948" s="21" t="inlineStr">
        <is>
          <t>АС-28 сеч.2-2 поз.5</t>
        </is>
      </c>
      <c r="R948" s="77" t="inlineStr">
        <is>
          <t>по проекту</t>
        </is>
      </c>
      <c r="S948" s="21" t="inlineStr">
        <is>
          <t>Длина = 3,6 м, стык ванной сваркой.</t>
        </is>
      </c>
      <c r="T948" s="21" t="inlineStr">
        <is>
          <t>Колонны, диафрагмы</t>
        </is>
      </c>
      <c r="U948" s="49" t="n">
        <v>0</v>
      </c>
      <c r="V948" s="72" t="inlineStr">
        <is>
          <t>К-Г</t>
        </is>
      </c>
      <c r="W948" s="49" t="n">
        <v>3</v>
      </c>
    </row>
    <row r="949">
      <c r="A949" s="72" t="n">
        <v>926</v>
      </c>
      <c r="B949" s="21" t="inlineStr">
        <is>
          <t>3 этаж (отм. +7.550…+11.150)</t>
        </is>
      </c>
      <c r="C949" s="21" t="inlineStr">
        <is>
          <t>Колонны</t>
        </is>
      </c>
      <c r="D949" s="21" t="inlineStr">
        <is>
          <t>ось Г: Г/1, Г/5</t>
        </is>
      </c>
      <c r="E949" s="21" t="inlineStr">
        <is>
          <t>К-Г</t>
        </is>
      </c>
      <c r="F949" s="72" t="inlineStr">
        <is>
          <t>10</t>
        </is>
      </c>
      <c r="G949" s="21" t="inlineStr">
        <is>
          <t>Хомут наружный Ø8 L=2440: 13 + 2 + 13 = 28 шт</t>
        </is>
      </c>
      <c r="H949" s="51" t="n">
        <v>8</v>
      </c>
      <c r="I949" s="72" t="inlineStr">
        <is>
          <t>А240</t>
        </is>
      </c>
      <c r="J949" s="72" t="inlineStr">
        <is>
          <t>100/200</t>
        </is>
      </c>
      <c r="K949" s="75" t="n">
        <v>2</v>
      </c>
      <c r="L949" s="51" t="n">
        <v>28</v>
      </c>
      <c r="M949" s="69" t="n">
        <v>2.44</v>
      </c>
      <c r="N949" s="70">
        <f>K949*L949*M949</f>
        <v/>
      </c>
      <c r="O949" s="37">
        <f>IFERROR(INDEX(Исходные!$B$19:$B$31,MATCH(H949,Исходные!$A$19:$A$31,0)),0)</f>
        <v/>
      </c>
      <c r="P949" s="76">
        <f>N949*O949</f>
        <v/>
      </c>
      <c r="Q949" s="21" t="inlineStr">
        <is>
          <t>АС-32 схема хомутов колонн (2÷4 этаж 3600: 50+100×12+200×n+100×12+50+600); АС-28 поз.10 L=2440</t>
        </is>
      </c>
      <c r="R949" s="77" t="inlineStr">
        <is>
          <t>по проекту</t>
        </is>
      </c>
      <c r="S949" s="21" t="inlineStr"/>
      <c r="T949" s="21" t="inlineStr">
        <is>
          <t>Колонны, диафрагмы</t>
        </is>
      </c>
      <c r="U949" s="49" t="n">
        <v>0</v>
      </c>
      <c r="V949" s="72" t="inlineStr">
        <is>
          <t>К-Г</t>
        </is>
      </c>
      <c r="W949" s="49" t="n">
        <v>3</v>
      </c>
    </row>
    <row r="950">
      <c r="A950" s="72" t="n">
        <v>927</v>
      </c>
      <c r="B950" s="21" t="inlineStr">
        <is>
          <t>3 этаж (отм. +7.550…+11.150)</t>
        </is>
      </c>
      <c r="C950" s="21" t="inlineStr">
        <is>
          <t>Колонны</t>
        </is>
      </c>
      <c r="D950" s="21" t="inlineStr">
        <is>
          <t>ось Г: Г/1, Г/5</t>
        </is>
      </c>
      <c r="E950" s="21" t="inlineStr">
        <is>
          <t>К-Г</t>
        </is>
      </c>
      <c r="F950" s="72" t="inlineStr">
        <is>
          <t>11</t>
        </is>
      </c>
      <c r="G950" s="21" t="inlineStr">
        <is>
          <t>Хомут внутренний Ø8 L=1960 ш.200: 2 шт × 16 рядов</t>
        </is>
      </c>
      <c r="H950" s="51" t="n">
        <v>8</v>
      </c>
      <c r="I950" s="72" t="inlineStr">
        <is>
          <t>А240</t>
        </is>
      </c>
      <c r="J950" s="72" t="n">
        <v>200</v>
      </c>
      <c r="K950" s="75" t="n">
        <v>2</v>
      </c>
      <c r="L950" s="51" t="n">
        <v>32</v>
      </c>
      <c r="M950" s="69" t="n">
        <v>1.96</v>
      </c>
      <c r="N950" s="70">
        <f>K950*L950*M950</f>
        <v/>
      </c>
      <c r="O950" s="37">
        <f>IFERROR(INDEX(Исходные!$B$19:$B$31,MATCH(H950,Исходные!$A$19:$A$31,0)),0)</f>
        <v/>
      </c>
      <c r="P950" s="76">
        <f>N950*O950</f>
        <v/>
      </c>
      <c r="Q950" s="21" t="inlineStr">
        <is>
          <t>АС-28 «11 хом.Ø8 ш.200», поз.11 L=1960</t>
        </is>
      </c>
      <c r="R950" s="77" t="inlineStr">
        <is>
          <t>по проекту</t>
        </is>
      </c>
      <c r="S950" s="21" t="inlineStr"/>
      <c r="T950" s="21" t="inlineStr">
        <is>
          <t>Колонны, диафрагмы</t>
        </is>
      </c>
      <c r="U950" s="49" t="n">
        <v>0</v>
      </c>
      <c r="V950" s="72" t="inlineStr">
        <is>
          <t>К-Г</t>
        </is>
      </c>
      <c r="W950" s="49" t="n">
        <v>3</v>
      </c>
    </row>
    <row r="951">
      <c r="A951" s="74" t="inlineStr">
        <is>
          <t>3.3. РИГЕЛИ РАМ (450×600, сеч.4-4/5-5), 9 рам — отм. +11.150</t>
        </is>
      </c>
      <c r="B951" s="33" t="n"/>
      <c r="C951" s="33" t="n"/>
      <c r="D951" s="33" t="n"/>
      <c r="E951" s="33" t="n"/>
      <c r="F951" s="33" t="n"/>
      <c r="G951" s="33" t="n"/>
      <c r="H951" s="33" t="n"/>
      <c r="I951" s="33" t="n"/>
      <c r="J951" s="33" t="n"/>
      <c r="K951" s="33" t="n"/>
      <c r="L951" s="33" t="n"/>
      <c r="M951" s="33" t="n"/>
      <c r="N951" s="33" t="n"/>
      <c r="O951" s="33" t="n"/>
      <c r="P951" s="33" t="n"/>
      <c r="Q951" s="33" t="n"/>
      <c r="R951" s="33" t="n"/>
      <c r="S951" s="33" t="n"/>
      <c r="T951" s="33" t="n"/>
      <c r="U951" s="33" t="n"/>
      <c r="V951" s="33" t="n"/>
      <c r="W951" s="34" t="n"/>
    </row>
    <row r="952">
      <c r="A952" s="72" t="n">
        <v>928</v>
      </c>
      <c r="B952" s="21" t="inlineStr">
        <is>
          <t>3 этаж (отм. +7.550…+11.150)</t>
        </is>
      </c>
      <c r="C952" s="21" t="inlineStr">
        <is>
          <t>Ригели</t>
        </is>
      </c>
      <c r="D952" s="21" t="inlineStr">
        <is>
          <t>ось А (отм. +11.150)</t>
        </is>
      </c>
      <c r="E952" s="21" t="inlineStr">
        <is>
          <t>Р-А</t>
        </is>
      </c>
      <c r="F952" s="72" t="inlineStr">
        <is>
          <t>2</t>
        </is>
      </c>
      <c r="G952" s="21" t="inlineStr">
        <is>
          <t>Продольные угловые 4Ø28 (сеч.4-4/5-5), сквозные, концы с Аш</t>
        </is>
      </c>
      <c r="H952" s="51" t="n">
        <v>28</v>
      </c>
      <c r="I952" s="72" t="inlineStr">
        <is>
          <t>А500С</t>
        </is>
      </c>
      <c r="J952" s="72" t="inlineStr">
        <is>
          <t>—</t>
        </is>
      </c>
      <c r="K952" s="75" t="n">
        <v>1</v>
      </c>
      <c r="L952" s="51" t="n">
        <v>4</v>
      </c>
      <c r="M952" s="69" t="n">
        <v>25.5</v>
      </c>
      <c r="N952" s="70">
        <f>K952*L952*M952</f>
        <v/>
      </c>
      <c r="O952" s="37">
        <f>IFERROR(INDEX(Исходные!$B$19:$B$31,MATCH(H952,Исходные!$A$19:$A$31,0)),0)</f>
        <v/>
      </c>
      <c r="P952" s="76">
        <f>N952*O952</f>
        <v/>
      </c>
      <c r="Q952" s="21" t="inlineStr">
        <is>
          <t>АС-20 рама + АС-28 сеч.4-4/5-5 поз.2; длина = 25000+2×250</t>
        </is>
      </c>
      <c r="R952" s="77" t="inlineStr">
        <is>
          <t>по геометрии чертежа</t>
        </is>
      </c>
      <c r="S952" s="21" t="inlineStr">
        <is>
          <t>Стыки ванной сваркой без нахлёста: 2 на стержень (всего 8).</t>
        </is>
      </c>
      <c r="T952" s="21" t="inlineStr">
        <is>
          <t>Ригели, балки, плита, С-1</t>
        </is>
      </c>
      <c r="U952" s="49" t="n">
        <v>0</v>
      </c>
      <c r="V952" s="72" t="inlineStr">
        <is>
          <t>Р-А</t>
        </is>
      </c>
      <c r="W952" s="49" t="n">
        <v>3</v>
      </c>
    </row>
    <row r="953">
      <c r="A953" s="72" t="n">
        <v>929</v>
      </c>
      <c r="B953" s="21" t="inlineStr">
        <is>
          <t>3 этаж (отм. +7.550…+11.150)</t>
        </is>
      </c>
      <c r="C953" s="21" t="inlineStr">
        <is>
          <t>Ригели</t>
        </is>
      </c>
      <c r="D953" s="21" t="inlineStr">
        <is>
          <t>ось А (отм. +11.150)</t>
        </is>
      </c>
      <c r="E953" s="21" t="inlineStr">
        <is>
          <t>Р-А</t>
        </is>
      </c>
      <c r="F953" s="72" t="inlineStr">
        <is>
          <t>6</t>
        </is>
      </c>
      <c r="G953" s="21" t="inlineStr">
        <is>
          <t>Продольные средние верх/низ 2Ø18 (сеч.4-4/5-5)</t>
        </is>
      </c>
      <c r="H953" s="51" t="n">
        <v>18</v>
      </c>
      <c r="I953" s="72" t="inlineStr">
        <is>
          <t>А500С</t>
        </is>
      </c>
      <c r="J953" s="72" t="inlineStr">
        <is>
          <t>—</t>
        </is>
      </c>
      <c r="K953" s="75" t="n">
        <v>1</v>
      </c>
      <c r="L953" s="51" t="n">
        <v>2</v>
      </c>
      <c r="M953" s="69" t="n">
        <v>25.5</v>
      </c>
      <c r="N953" s="70">
        <f>K953*L953*M953</f>
        <v/>
      </c>
      <c r="O953" s="37">
        <f>IFERROR(INDEX(Исходные!$B$19:$B$31,MATCH(H953,Исходные!$A$19:$A$31,0)),0)</f>
        <v/>
      </c>
      <c r="P953" s="76">
        <f>N953*O953</f>
        <v/>
      </c>
      <c r="Q953" s="21" t="inlineStr">
        <is>
          <t>АС-28 сеч.4-4/5-5 поз.6</t>
        </is>
      </c>
      <c r="R953" s="77" t="inlineStr">
        <is>
          <t>по геометрии чертежа</t>
        </is>
      </c>
      <c r="S953" s="21" t="inlineStr"/>
      <c r="T953" s="21" t="inlineStr">
        <is>
          <t>Ригели, балки, плита, С-1</t>
        </is>
      </c>
      <c r="U953" s="49" t="n">
        <v>0</v>
      </c>
      <c r="V953" s="72" t="inlineStr">
        <is>
          <t>Р-А</t>
        </is>
      </c>
      <c r="W953" s="49" t="n">
        <v>3</v>
      </c>
    </row>
    <row r="954">
      <c r="A954" s="72" t="n">
        <v>930</v>
      </c>
      <c r="B954" s="21" t="inlineStr">
        <is>
          <t>3 этаж (отм. +7.550…+11.150)</t>
        </is>
      </c>
      <c r="C954" s="21" t="inlineStr">
        <is>
          <t>Ригели</t>
        </is>
      </c>
      <c r="D954" s="21" t="inlineStr">
        <is>
          <t>ось А (отм. +11.150)</t>
        </is>
      </c>
      <c r="E954" s="21" t="inlineStr">
        <is>
          <t>Р-А</t>
        </is>
      </c>
      <c r="F954" s="72" t="inlineStr">
        <is>
          <t>6-нахл</t>
        </is>
      </c>
      <c r="G954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954" s="51" t="n">
        <v>18</v>
      </c>
      <c r="I954" s="72" t="inlineStr">
        <is>
          <t>А500С</t>
        </is>
      </c>
      <c r="J954" s="72" t="inlineStr">
        <is>
          <t>—</t>
        </is>
      </c>
      <c r="K954" s="75" t="n">
        <v>2</v>
      </c>
      <c r="L954" s="51" t="n">
        <v>2</v>
      </c>
      <c r="M954" s="69" t="n">
        <v>0.144</v>
      </c>
      <c r="N954" s="70">
        <f>K954*L954*M954</f>
        <v/>
      </c>
      <c r="O954" s="37">
        <f>IFERROR(INDEX(Исходные!$B$19:$B$31,MATCH(H954,Исходные!$A$19:$A$31,0)),0)</f>
        <v/>
      </c>
      <c r="P954" s="76">
        <f>N954*O954</f>
        <v/>
      </c>
      <c r="Q954" s="21" t="inlineStr">
        <is>
          <t>АС-19 прим.1: Ø18 и менее — внахлёстку электродуговой сваркой, Lшва=8d = 144 мм</t>
        </is>
      </c>
      <c r="R954" s="77" t="inlineStr">
        <is>
          <t>по проекту (стыковка прутков 11,7 м)</t>
        </is>
      </c>
      <c r="S954" s="21" t="inlineStr">
        <is>
          <t>Чистая длина 25.500 м; кусков 3; стыков 2; Lнахл=2×0.144=0.288 м на стержень</t>
        </is>
      </c>
      <c r="T954" s="21" t="inlineStr">
        <is>
          <t>Ригели, балки, плита, С-1</t>
        </is>
      </c>
      <c r="U954" s="49" t="n">
        <v>0</v>
      </c>
      <c r="V954" s="72" t="inlineStr">
        <is>
          <t>Р-А</t>
        </is>
      </c>
      <c r="W954" s="49" t="n">
        <v>3</v>
      </c>
    </row>
    <row r="955">
      <c r="A955" s="72" t="n">
        <v>931</v>
      </c>
      <c r="B955" s="21" t="inlineStr">
        <is>
          <t>3 этаж (отм. +7.550…+11.150)</t>
        </is>
      </c>
      <c r="C955" s="21" t="inlineStr">
        <is>
          <t>Ригели</t>
        </is>
      </c>
      <c r="D955" s="21" t="inlineStr">
        <is>
          <t>ось А (отм. +11.150)</t>
        </is>
      </c>
      <c r="E955" s="21" t="inlineStr">
        <is>
          <t>Р-А</t>
        </is>
      </c>
      <c r="F955" s="72" t="inlineStr">
        <is>
          <t>7</t>
        </is>
      </c>
      <c r="G955" s="21" t="inlineStr">
        <is>
          <t>Боковые стержни 2Ø16 (сеч.4-4/5-5)</t>
        </is>
      </c>
      <c r="H955" s="51" t="n">
        <v>16</v>
      </c>
      <c r="I955" s="72" t="inlineStr">
        <is>
          <t>А500С</t>
        </is>
      </c>
      <c r="J955" s="72" t="inlineStr">
        <is>
          <t>—</t>
        </is>
      </c>
      <c r="K955" s="75" t="n">
        <v>1</v>
      </c>
      <c r="L955" s="51" t="n">
        <v>2</v>
      </c>
      <c r="M955" s="69" t="n">
        <v>25.5</v>
      </c>
      <c r="N955" s="70">
        <f>K955*L955*M955</f>
        <v/>
      </c>
      <c r="O955" s="37">
        <f>IFERROR(INDEX(Исходные!$B$19:$B$31,MATCH(H955,Исходные!$A$19:$A$31,0)),0)</f>
        <v/>
      </c>
      <c r="P955" s="76">
        <f>N955*O955</f>
        <v/>
      </c>
      <c r="Q955" s="21" t="inlineStr">
        <is>
          <t>АС-28 сеч.4-4/5-5 «Боковые стержни 2Ø16»</t>
        </is>
      </c>
      <c r="R955" s="77" t="inlineStr">
        <is>
          <t>по геометрии чертежа</t>
        </is>
      </c>
      <c r="S955" s="21" t="inlineStr"/>
      <c r="T955" s="21" t="inlineStr">
        <is>
          <t>Ригели, балки, плита, С-1</t>
        </is>
      </c>
      <c r="U955" s="49" t="n">
        <v>0</v>
      </c>
      <c r="V955" s="72" t="inlineStr">
        <is>
          <t>Р-А</t>
        </is>
      </c>
      <c r="W955" s="49" t="n">
        <v>3</v>
      </c>
    </row>
    <row r="956">
      <c r="A956" s="72" t="n">
        <v>932</v>
      </c>
      <c r="B956" s="21" t="inlineStr">
        <is>
          <t>3 этаж (отм. +7.550…+11.150)</t>
        </is>
      </c>
      <c r="C956" s="21" t="inlineStr">
        <is>
          <t>Ригели</t>
        </is>
      </c>
      <c r="D956" s="21" t="inlineStr">
        <is>
          <t>ось А (отм. +11.150)</t>
        </is>
      </c>
      <c r="E956" s="21" t="inlineStr">
        <is>
          <t>Р-А</t>
        </is>
      </c>
      <c r="F956" s="72" t="inlineStr">
        <is>
          <t>7-нахл</t>
        </is>
      </c>
      <c r="G956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956" s="51" t="n">
        <v>16</v>
      </c>
      <c r="I956" s="72" t="inlineStr">
        <is>
          <t>А500С</t>
        </is>
      </c>
      <c r="J956" s="72" t="inlineStr">
        <is>
          <t>—</t>
        </is>
      </c>
      <c r="K956" s="75" t="n">
        <v>2</v>
      </c>
      <c r="L956" s="51" t="n">
        <v>2</v>
      </c>
      <c r="M956" s="69" t="n">
        <v>0.128</v>
      </c>
      <c r="N956" s="70">
        <f>K956*L956*M956</f>
        <v/>
      </c>
      <c r="O956" s="37">
        <f>IFERROR(INDEX(Исходные!$B$19:$B$31,MATCH(H956,Исходные!$A$19:$A$31,0)),0)</f>
        <v/>
      </c>
      <c r="P956" s="76">
        <f>N956*O956</f>
        <v/>
      </c>
      <c r="Q956" s="21" t="inlineStr">
        <is>
          <t>АС-19 прим.1: Ø18 и менее — внахлёстку электродуговой сваркой, Lшва=8d = 128 мм</t>
        </is>
      </c>
      <c r="R956" s="77" t="inlineStr">
        <is>
          <t>по проекту (стыковка прутков 11,7 м)</t>
        </is>
      </c>
      <c r="S956" s="21" t="inlineStr">
        <is>
          <t>Чистая длина 25.500 м; кусков 3; стыков 2; Lнахл=2×0.128=0.256 м на стержень</t>
        </is>
      </c>
      <c r="T956" s="21" t="inlineStr">
        <is>
          <t>Ригели, балки, плита, С-1</t>
        </is>
      </c>
      <c r="U956" s="49" t="n">
        <v>0</v>
      </c>
      <c r="V956" s="72" t="inlineStr">
        <is>
          <t>Р-А</t>
        </is>
      </c>
      <c r="W956" s="49" t="n">
        <v>3</v>
      </c>
    </row>
    <row r="957">
      <c r="A957" s="72" t="n">
        <v>933</v>
      </c>
      <c r="B957" s="21" t="inlineStr">
        <is>
          <t>3 этаж (отм. +7.550…+11.150)</t>
        </is>
      </c>
      <c r="C957" s="21" t="inlineStr">
        <is>
          <t>Ригели</t>
        </is>
      </c>
      <c r="D957" s="21" t="inlineStr">
        <is>
          <t>ось А (отм. +11.150)</t>
        </is>
      </c>
      <c r="E957" s="21" t="inlineStr">
        <is>
          <t>Р-А</t>
        </is>
      </c>
      <c r="F957" s="72" t="inlineStr">
        <is>
          <t>ОС</t>
        </is>
      </c>
      <c r="G957" s="21" t="inlineStr">
        <is>
          <t>ОС верх: 2Ø28, участок 0…1800 мм + 250 до торца</t>
        </is>
      </c>
      <c r="H957" s="51" t="n">
        <v>28</v>
      </c>
      <c r="I957" s="72" t="inlineStr">
        <is>
          <t>А500С</t>
        </is>
      </c>
      <c r="J957" s="72" t="inlineStr">
        <is>
          <t>—</t>
        </is>
      </c>
      <c r="K957" s="75" t="n">
        <v>1</v>
      </c>
      <c r="L957" s="51" t="n">
        <v>2</v>
      </c>
      <c r="M957" s="69" t="n">
        <v>2.05</v>
      </c>
      <c r="N957" s="70">
        <f>K957*L957*M957</f>
        <v/>
      </c>
      <c r="O957" s="37">
        <f>IFERROR(INDEX(Исходные!$B$19:$B$31,MATCH(H957,Исходные!$A$19:$A$31,0)),0)</f>
        <v/>
      </c>
      <c r="P957" s="76">
        <f>N957*O957</f>
        <v/>
      </c>
      <c r="Q957" s="21" t="inlineStr">
        <is>
          <t>АС-20 (отм. 11.150): выноска «ОС 2Ø28 А500С»; длина по привязкам отдельных стержней</t>
        </is>
      </c>
      <c r="R957" s="77" t="inlineStr">
        <is>
          <t>по геометрии чертежа</t>
        </is>
      </c>
      <c r="S957" s="21" t="inlineStr">
        <is>
          <t>Координаты от оси 1: 0…1800 мм; конец до торца крайней колонны (+250)</t>
        </is>
      </c>
      <c r="T957" s="21" t="inlineStr">
        <is>
          <t>Ригели, балки, плита, С-1</t>
        </is>
      </c>
      <c r="U957" s="49" t="n">
        <v>0</v>
      </c>
      <c r="V957" s="72" t="inlineStr">
        <is>
          <t>Р-А</t>
        </is>
      </c>
      <c r="W957" s="49" t="n">
        <v>3</v>
      </c>
    </row>
    <row r="958">
      <c r="A958" s="72" t="n">
        <v>934</v>
      </c>
      <c r="B958" s="21" t="inlineStr">
        <is>
          <t>3 этаж (отм. +7.550…+11.150)</t>
        </is>
      </c>
      <c r="C958" s="21" t="inlineStr">
        <is>
          <t>Ригели</t>
        </is>
      </c>
      <c r="D958" s="21" t="inlineStr">
        <is>
          <t>ось А (отм. +11.150)</t>
        </is>
      </c>
      <c r="E958" s="21" t="inlineStr">
        <is>
          <t>Р-А</t>
        </is>
      </c>
      <c r="F958" s="72" t="inlineStr">
        <is>
          <t>ОС</t>
        </is>
      </c>
      <c r="G958" s="21" t="inlineStr">
        <is>
          <t>ОС верх: 2Ø32, участок 4700…9200 мм</t>
        </is>
      </c>
      <c r="H958" s="51" t="n">
        <v>32</v>
      </c>
      <c r="I958" s="72" t="inlineStr">
        <is>
          <t>А500С</t>
        </is>
      </c>
      <c r="J958" s="72" t="inlineStr">
        <is>
          <t>—</t>
        </is>
      </c>
      <c r="K958" s="75" t="n">
        <v>1</v>
      </c>
      <c r="L958" s="51" t="n">
        <v>2</v>
      </c>
      <c r="M958" s="69" t="n">
        <v>4.5</v>
      </c>
      <c r="N958" s="70">
        <f>K958*L958*M958</f>
        <v/>
      </c>
      <c r="O958" s="37">
        <f>IFERROR(INDEX(Исходные!$B$19:$B$31,MATCH(H958,Исходные!$A$19:$A$31,0)),0)</f>
        <v/>
      </c>
      <c r="P958" s="76">
        <f>N958*O958</f>
        <v/>
      </c>
      <c r="Q958" s="21" t="inlineStr">
        <is>
          <t>АС-20 (отм. 11.150): выноска «ОС 2Ø32 А500С»; длина по привязкам отдельных стержней</t>
        </is>
      </c>
      <c r="R958" s="77" t="inlineStr">
        <is>
          <t>по геометрии чертежа</t>
        </is>
      </c>
      <c r="S958" s="21" t="inlineStr">
        <is>
          <t>Координаты от оси 1: 4700…9200 мм</t>
        </is>
      </c>
      <c r="T958" s="21" t="inlineStr">
        <is>
          <t>Ригели, балки, плита, С-1</t>
        </is>
      </c>
      <c r="U958" s="49" t="n">
        <v>0</v>
      </c>
      <c r="V958" s="72" t="inlineStr">
        <is>
          <t>Р-А</t>
        </is>
      </c>
      <c r="W958" s="49" t="n">
        <v>3</v>
      </c>
    </row>
    <row r="959">
      <c r="A959" s="72" t="n">
        <v>935</v>
      </c>
      <c r="B959" s="21" t="inlineStr">
        <is>
          <t>3 этаж (отм. +7.550…+11.150)</t>
        </is>
      </c>
      <c r="C959" s="21" t="inlineStr">
        <is>
          <t>Ригели</t>
        </is>
      </c>
      <c r="D959" s="21" t="inlineStr">
        <is>
          <t>ось А (отм. +11.150)</t>
        </is>
      </c>
      <c r="E959" s="21" t="inlineStr">
        <is>
          <t>Р-А</t>
        </is>
      </c>
      <c r="F959" s="72" t="inlineStr">
        <is>
          <t>ОС</t>
        </is>
      </c>
      <c r="G959" s="21" t="inlineStr">
        <is>
          <t>ОС верх: 2Ø28, участок 11800…15100 мм</t>
        </is>
      </c>
      <c r="H959" s="51" t="n">
        <v>28</v>
      </c>
      <c r="I959" s="72" t="inlineStr">
        <is>
          <t>А500С</t>
        </is>
      </c>
      <c r="J959" s="72" t="inlineStr">
        <is>
          <t>—</t>
        </is>
      </c>
      <c r="K959" s="75" t="n">
        <v>1</v>
      </c>
      <c r="L959" s="51" t="n">
        <v>2</v>
      </c>
      <c r="M959" s="69" t="n">
        <v>3.3</v>
      </c>
      <c r="N959" s="70">
        <f>K959*L959*M959</f>
        <v/>
      </c>
      <c r="O959" s="37">
        <f>IFERROR(INDEX(Исходные!$B$19:$B$31,MATCH(H959,Исходные!$A$19:$A$31,0)),0)</f>
        <v/>
      </c>
      <c r="P959" s="76">
        <f>N959*O959</f>
        <v/>
      </c>
      <c r="Q959" s="21" t="inlineStr">
        <is>
          <t>АС-20 (отм. 11.150): выноска «ОС 2Ø28 А500С»; длина по привязкам отдельных стержней</t>
        </is>
      </c>
      <c r="R959" s="77" t="inlineStr">
        <is>
          <t>по геометрии чертежа</t>
        </is>
      </c>
      <c r="S959" s="21" t="inlineStr">
        <is>
          <t>Координаты от оси 1: 11800…15100 мм</t>
        </is>
      </c>
      <c r="T959" s="21" t="inlineStr">
        <is>
          <t>Ригели, балки, плита, С-1</t>
        </is>
      </c>
      <c r="U959" s="49" t="n">
        <v>0</v>
      </c>
      <c r="V959" s="72" t="inlineStr">
        <is>
          <t>Р-А</t>
        </is>
      </c>
      <c r="W959" s="49" t="n">
        <v>3</v>
      </c>
    </row>
    <row r="960">
      <c r="A960" s="72" t="n">
        <v>936</v>
      </c>
      <c r="B960" s="21" t="inlineStr">
        <is>
          <t>3 этаж (отм. +7.550…+11.150)</t>
        </is>
      </c>
      <c r="C960" s="21" t="inlineStr">
        <is>
          <t>Ригели</t>
        </is>
      </c>
      <c r="D960" s="21" t="inlineStr">
        <is>
          <t>ось А (отм. +11.150)</t>
        </is>
      </c>
      <c r="E960" s="21" t="inlineStr">
        <is>
          <t>Р-А</t>
        </is>
      </c>
      <c r="F960" s="72" t="inlineStr">
        <is>
          <t>ОС</t>
        </is>
      </c>
      <c r="G960" s="21" t="inlineStr">
        <is>
          <t>ОС верх: 2Ø32, участок 17400…25000 мм + 250 до торца</t>
        </is>
      </c>
      <c r="H960" s="51" t="n">
        <v>32</v>
      </c>
      <c r="I960" s="72" t="inlineStr">
        <is>
          <t>А500С</t>
        </is>
      </c>
      <c r="J960" s="72" t="inlineStr">
        <is>
          <t>—</t>
        </is>
      </c>
      <c r="K960" s="75" t="n">
        <v>1</v>
      </c>
      <c r="L960" s="51" t="n">
        <v>2</v>
      </c>
      <c r="M960" s="69" t="n">
        <v>7.85</v>
      </c>
      <c r="N960" s="70">
        <f>K960*L960*M960</f>
        <v/>
      </c>
      <c r="O960" s="37">
        <f>IFERROR(INDEX(Исходные!$B$19:$B$31,MATCH(H960,Исходные!$A$19:$A$31,0)),0)</f>
        <v/>
      </c>
      <c r="P960" s="76">
        <f>N960*O960</f>
        <v/>
      </c>
      <c r="Q960" s="21" t="inlineStr">
        <is>
          <t>АС-20 (отм. 11.150): выноска «ОС 2Ø32 А500С»; длина по привязкам отдельных стержней</t>
        </is>
      </c>
      <c r="R960" s="77" t="inlineStr">
        <is>
          <t>по геометрии чертежа</t>
        </is>
      </c>
      <c r="S960" s="21" t="inlineStr">
        <is>
          <t>Координаты от оси 1: 17400…25000 мм; конец до торца крайней колонны (+250)</t>
        </is>
      </c>
      <c r="T960" s="21" t="inlineStr">
        <is>
          <t>Ригели, балки, плита, С-1</t>
        </is>
      </c>
      <c r="U960" s="49" t="n">
        <v>0</v>
      </c>
      <c r="V960" s="72" t="inlineStr">
        <is>
          <t>Р-А</t>
        </is>
      </c>
      <c r="W960" s="49" t="n">
        <v>3</v>
      </c>
    </row>
    <row r="961">
      <c r="A961" s="72" t="n">
        <v>937</v>
      </c>
      <c r="B961" s="21" t="inlineStr">
        <is>
          <t>3 этаж (отм. +7.550…+11.150)</t>
        </is>
      </c>
      <c r="C961" s="21" t="inlineStr">
        <is>
          <t>Ригели</t>
        </is>
      </c>
      <c r="D961" s="21" t="inlineStr">
        <is>
          <t>ось А (отм. +11.150)</t>
        </is>
      </c>
      <c r="E961" s="21" t="inlineStr">
        <is>
          <t>Р-А</t>
        </is>
      </c>
      <c r="F961" s="72" t="inlineStr">
        <is>
          <t>ОС</t>
        </is>
      </c>
      <c r="G961" s="21" t="inlineStr">
        <is>
          <t>ОС низ: 2Ø16, участок 1800…4700 мм</t>
        </is>
      </c>
      <c r="H961" s="51" t="n">
        <v>16</v>
      </c>
      <c r="I961" s="72" t="inlineStr">
        <is>
          <t>А500С</t>
        </is>
      </c>
      <c r="J961" s="72" t="inlineStr">
        <is>
          <t>—</t>
        </is>
      </c>
      <c r="K961" s="75" t="n">
        <v>1</v>
      </c>
      <c r="L961" s="51" t="n">
        <v>2</v>
      </c>
      <c r="M961" s="69" t="n">
        <v>2.9</v>
      </c>
      <c r="N961" s="70">
        <f>K961*L961*M961</f>
        <v/>
      </c>
      <c r="O961" s="37">
        <f>IFERROR(INDEX(Исходные!$B$19:$B$31,MATCH(H961,Исходные!$A$19:$A$31,0)),0)</f>
        <v/>
      </c>
      <c r="P961" s="76">
        <f>N961*O961</f>
        <v/>
      </c>
      <c r="Q961" s="21" t="inlineStr">
        <is>
          <t>АС-20 (отм. 11.150): выноска «ОС 2Ø16 А500С»; длина по привязкам отдельных стержней</t>
        </is>
      </c>
      <c r="R961" s="77" t="inlineStr">
        <is>
          <t>по геометрии чертежа</t>
        </is>
      </c>
      <c r="S961" s="21" t="inlineStr">
        <is>
          <t>Координаты от оси 1: 1800…4700 мм</t>
        </is>
      </c>
      <c r="T961" s="21" t="inlineStr">
        <is>
          <t>Ригели, балки, плита, С-1</t>
        </is>
      </c>
      <c r="U961" s="49" t="n">
        <v>0</v>
      </c>
      <c r="V961" s="72" t="inlineStr">
        <is>
          <t>Р-А</t>
        </is>
      </c>
      <c r="W961" s="49" t="n">
        <v>3</v>
      </c>
    </row>
    <row r="962">
      <c r="A962" s="72" t="n">
        <v>938</v>
      </c>
      <c r="B962" s="21" t="inlineStr">
        <is>
          <t>3 этаж (отм. +7.550…+11.150)</t>
        </is>
      </c>
      <c r="C962" s="21" t="inlineStr">
        <is>
          <t>Ригели</t>
        </is>
      </c>
      <c r="D962" s="21" t="inlineStr">
        <is>
          <t>ось А (отм. +11.150)</t>
        </is>
      </c>
      <c r="E962" s="21" t="inlineStr">
        <is>
          <t>Р-А</t>
        </is>
      </c>
      <c r="F962" s="72" t="inlineStr">
        <is>
          <t>ОС</t>
        </is>
      </c>
      <c r="G962" s="21" t="inlineStr">
        <is>
          <t>ОС низ: 2Ø14, участок 6500…9200 мм</t>
        </is>
      </c>
      <c r="H962" s="51" t="n">
        <v>14</v>
      </c>
      <c r="I962" s="72" t="inlineStr">
        <is>
          <t>А500С</t>
        </is>
      </c>
      <c r="J962" s="72" t="inlineStr">
        <is>
          <t>—</t>
        </is>
      </c>
      <c r="K962" s="75" t="n">
        <v>1</v>
      </c>
      <c r="L962" s="51" t="n">
        <v>2</v>
      </c>
      <c r="M962" s="69" t="n">
        <v>2.7</v>
      </c>
      <c r="N962" s="70">
        <f>K962*L962*M962</f>
        <v/>
      </c>
      <c r="O962" s="37">
        <f>IFERROR(INDEX(Исходные!$B$19:$B$31,MATCH(H962,Исходные!$A$19:$A$31,0)),0)</f>
        <v/>
      </c>
      <c r="P962" s="76">
        <f>N962*O962</f>
        <v/>
      </c>
      <c r="Q962" s="21" t="inlineStr">
        <is>
          <t>АС-20 (отм. 11.150): выноска «ОС 2Ø14 А500С»; длина по привязкам отдельных стержней</t>
        </is>
      </c>
      <c r="R962" s="77" t="inlineStr">
        <is>
          <t>по геометрии чертежа</t>
        </is>
      </c>
      <c r="S962" s="21" t="inlineStr">
        <is>
          <t>Координаты от оси 1: 6500…9200 мм</t>
        </is>
      </c>
      <c r="T962" s="21" t="inlineStr">
        <is>
          <t>Ригели, балки, плита, С-1</t>
        </is>
      </c>
      <c r="U962" s="49" t="n">
        <v>0</v>
      </c>
      <c r="V962" s="72" t="inlineStr">
        <is>
          <t>Р-А</t>
        </is>
      </c>
      <c r="W962" s="49" t="n">
        <v>3</v>
      </c>
    </row>
    <row r="963">
      <c r="A963" s="72" t="n">
        <v>939</v>
      </c>
      <c r="B963" s="21" t="inlineStr">
        <is>
          <t>3 этаж (отм. +7.550…+11.150)</t>
        </is>
      </c>
      <c r="C963" s="21" t="inlineStr">
        <is>
          <t>Ригели</t>
        </is>
      </c>
      <c r="D963" s="21" t="inlineStr">
        <is>
          <t>ось А (отм. +11.150)</t>
        </is>
      </c>
      <c r="E963" s="21" t="inlineStr">
        <is>
          <t>Р-А</t>
        </is>
      </c>
      <c r="F963" s="72" t="inlineStr">
        <is>
          <t>ОС</t>
        </is>
      </c>
      <c r="G963" s="21" t="inlineStr">
        <is>
          <t>ОС низ: 2Ø16, участок 11800…15100 мм</t>
        </is>
      </c>
      <c r="H963" s="51" t="n">
        <v>16</v>
      </c>
      <c r="I963" s="72" t="inlineStr">
        <is>
          <t>А500С</t>
        </is>
      </c>
      <c r="J963" s="72" t="inlineStr">
        <is>
          <t>—</t>
        </is>
      </c>
      <c r="K963" s="75" t="n">
        <v>1</v>
      </c>
      <c r="L963" s="51" t="n">
        <v>2</v>
      </c>
      <c r="M963" s="69" t="n">
        <v>3.3</v>
      </c>
      <c r="N963" s="70">
        <f>K963*L963*M963</f>
        <v/>
      </c>
      <c r="O963" s="37">
        <f>IFERROR(INDEX(Исходные!$B$19:$B$31,MATCH(H963,Исходные!$A$19:$A$31,0)),0)</f>
        <v/>
      </c>
      <c r="P963" s="76">
        <f>N963*O963</f>
        <v/>
      </c>
      <c r="Q963" s="21" t="inlineStr">
        <is>
          <t>АС-20 (отм. 11.150): выноска «ОС 2Ø16 А500С»; длина по привязкам отдельных стержней</t>
        </is>
      </c>
      <c r="R963" s="77" t="inlineStr">
        <is>
          <t>по геометрии чертежа</t>
        </is>
      </c>
      <c r="S963" s="21" t="inlineStr">
        <is>
          <t>Координаты от оси 1: 11800…15100 мм</t>
        </is>
      </c>
      <c r="T963" s="21" t="inlineStr">
        <is>
          <t>Ригели, балки, плита, С-1</t>
        </is>
      </c>
      <c r="U963" s="49" t="n">
        <v>0</v>
      </c>
      <c r="V963" s="72" t="inlineStr">
        <is>
          <t>Р-А</t>
        </is>
      </c>
      <c r="W963" s="49" t="n">
        <v>3</v>
      </c>
    </row>
    <row r="964">
      <c r="A964" s="72" t="n">
        <v>940</v>
      </c>
      <c r="B964" s="21" t="inlineStr">
        <is>
          <t>3 этаж (отм. +7.550…+11.150)</t>
        </is>
      </c>
      <c r="C964" s="21" t="inlineStr">
        <is>
          <t>Ригели</t>
        </is>
      </c>
      <c r="D964" s="21" t="inlineStr">
        <is>
          <t>ось А (отм. +11.150)</t>
        </is>
      </c>
      <c r="E964" s="21" t="inlineStr">
        <is>
          <t>Р-А</t>
        </is>
      </c>
      <c r="F964" s="72" t="inlineStr">
        <is>
          <t>ОС</t>
        </is>
      </c>
      <c r="G964" s="21" t="inlineStr">
        <is>
          <t>ОС низ: 2Ø28, участок 17400…25000 мм + 250 до торца</t>
        </is>
      </c>
      <c r="H964" s="51" t="n">
        <v>28</v>
      </c>
      <c r="I964" s="72" t="inlineStr">
        <is>
          <t>А500С</t>
        </is>
      </c>
      <c r="J964" s="72" t="inlineStr">
        <is>
          <t>—</t>
        </is>
      </c>
      <c r="K964" s="75" t="n">
        <v>1</v>
      </c>
      <c r="L964" s="51" t="n">
        <v>2</v>
      </c>
      <c r="M964" s="69" t="n">
        <v>7.85</v>
      </c>
      <c r="N964" s="70">
        <f>K964*L964*M964</f>
        <v/>
      </c>
      <c r="O964" s="37">
        <f>IFERROR(INDEX(Исходные!$B$19:$B$31,MATCH(H964,Исходные!$A$19:$A$31,0)),0)</f>
        <v/>
      </c>
      <c r="P964" s="76">
        <f>N964*O964</f>
        <v/>
      </c>
      <c r="Q964" s="21" t="inlineStr">
        <is>
          <t>АС-20 (отм. 11.150): выноска «ОС 2Ø28 А500С»; длина по привязкам отдельных стержней</t>
        </is>
      </c>
      <c r="R964" s="77" t="inlineStr">
        <is>
          <t>по геометрии чертежа</t>
        </is>
      </c>
      <c r="S964" s="21" t="inlineStr">
        <is>
          <t>Координаты от оси 1: 17400…25000 мм; конец до торца крайней колонны (+250)</t>
        </is>
      </c>
      <c r="T964" s="21" t="inlineStr">
        <is>
          <t>Ригели, балки, плита, С-1</t>
        </is>
      </c>
      <c r="U964" s="49" t="n">
        <v>0</v>
      </c>
      <c r="V964" s="72" t="inlineStr">
        <is>
          <t>Р-А</t>
        </is>
      </c>
      <c r="W964" s="49" t="n">
        <v>3</v>
      </c>
    </row>
    <row r="965">
      <c r="A965" s="72" t="n">
        <v>941</v>
      </c>
      <c r="B965" s="21" t="inlineStr">
        <is>
          <t>3 этаж (отм. +7.550…+11.150)</t>
        </is>
      </c>
      <c r="C965" s="21" t="inlineStr">
        <is>
          <t>Ригели</t>
        </is>
      </c>
      <c r="D965" s="21" t="inlineStr">
        <is>
          <t>ось А (отм. +11.150)</t>
        </is>
      </c>
      <c r="E965" s="21" t="inlineStr">
        <is>
          <t>Р-А</t>
        </is>
      </c>
      <c r="F965" s="72" t="inlineStr">
        <is>
          <t>12</t>
        </is>
      </c>
      <c r="G965" s="21" t="inlineStr">
        <is>
          <t>Хомут Ø8 L=2060 ш.100 у опор, ш.150 в пролёте, 80×4 у балок — вне заштрихованных участков</t>
        </is>
      </c>
      <c r="H965" s="51" t="n">
        <v>8</v>
      </c>
      <c r="I965" s="72" t="inlineStr">
        <is>
          <t>А240</t>
        </is>
      </c>
      <c r="J965" s="72" t="inlineStr">
        <is>
          <t>100/150</t>
        </is>
      </c>
      <c r="K965" s="75" t="n">
        <v>1</v>
      </c>
      <c r="L965" s="51" t="n">
        <v>134</v>
      </c>
      <c r="M965" s="69" t="n">
        <v>2.06</v>
      </c>
      <c r="N965" s="70">
        <f>K965*L965*M965</f>
        <v/>
      </c>
      <c r="O965" s="37">
        <f>IFERROR(INDEX(Исходные!$B$19:$B$31,MATCH(H965,Исходные!$A$19:$A$31,0)),0)</f>
        <v/>
      </c>
      <c r="P965" s="76">
        <f>N965*O965</f>
        <v/>
      </c>
      <c r="Q965" s="21" t="inlineStr">
        <is>
          <t>АС-28 поз.12; АС-29 «Расстановка хомутов в ригелях»</t>
        </is>
      </c>
      <c r="R965" s="77" t="inlineStr">
        <is>
          <t>по проекту</t>
        </is>
      </c>
      <c r="S965" s="21" t="inlineStr">
        <is>
          <t>Пролёты в свету [(300, 6200), (7500, 13200), (13800, 19000), (21000, 24700)]</t>
        </is>
      </c>
      <c r="T965" s="21" t="inlineStr">
        <is>
          <t>Ригели, балки, плита, С-1</t>
        </is>
      </c>
      <c r="U965" s="49" t="n">
        <v>0</v>
      </c>
      <c r="V965" s="72" t="inlineStr">
        <is>
          <t>Р-А</t>
        </is>
      </c>
      <c r="W965" s="49" t="n">
        <v>3</v>
      </c>
    </row>
    <row r="966">
      <c r="A966" s="72" t="n">
        <v>942</v>
      </c>
      <c r="B966" s="21" t="inlineStr">
        <is>
          <t>3 этаж (отм. +7.550…+11.150)</t>
        </is>
      </c>
      <c r="C966" s="21" t="inlineStr">
        <is>
          <t>Ригели</t>
        </is>
      </c>
      <c r="D966" s="21" t="inlineStr">
        <is>
          <t>ось А (отм. +11.150)</t>
        </is>
      </c>
      <c r="E966" s="21" t="inlineStr">
        <is>
          <t>Р-А</t>
        </is>
      </c>
      <c r="F966" s="72" t="inlineStr">
        <is>
          <t>13</t>
        </is>
      </c>
      <c r="G966" s="21" t="inlineStr">
        <is>
          <t>Хомут наружный Ø10 L=2060 ш.100 — заштрихованные участки</t>
        </is>
      </c>
      <c r="H966" s="51" t="n">
        <v>10</v>
      </c>
      <c r="I966" s="72" t="inlineStr">
        <is>
          <t>А240</t>
        </is>
      </c>
      <c r="J966" s="72" t="n">
        <v>100</v>
      </c>
      <c r="K966" s="75" t="n">
        <v>1</v>
      </c>
      <c r="L966" s="51" t="n">
        <v>34</v>
      </c>
      <c r="M966" s="69" t="n">
        <v>2.06</v>
      </c>
      <c r="N966" s="70">
        <f>K966*L966*M966</f>
        <v/>
      </c>
      <c r="O966" s="37">
        <f>IFERROR(INDEX(Исходные!$B$19:$B$31,MATCH(H966,Исходные!$A$19:$A$31,0)),0)</f>
        <v/>
      </c>
      <c r="P966" s="76">
        <f>N966*O966</f>
        <v/>
      </c>
      <c r="Q966" s="21" t="inlineStr">
        <is>
          <t>АС-20 штриховка у отм. 11.150; АС-28 Фрагмент №1, поз.13</t>
        </is>
      </c>
      <c r="R966" s="77" t="inlineStr">
        <is>
          <t>по проекту</t>
        </is>
      </c>
      <c r="S966" s="21" t="inlineStr">
        <is>
          <t>Участки (мм): одинарные [(7500, 8700), (17600, 19000)], двойные [(21000, 22200)]</t>
        </is>
      </c>
      <c r="T966" s="21" t="inlineStr">
        <is>
          <t>Ригели, балки, плита, С-1</t>
        </is>
      </c>
      <c r="U966" s="49" t="n">
        <v>0</v>
      </c>
      <c r="V966" s="72" t="inlineStr">
        <is>
          <t>Р-А</t>
        </is>
      </c>
      <c r="W966" s="49" t="n">
        <v>3</v>
      </c>
    </row>
    <row r="967">
      <c r="A967" s="72" t="n">
        <v>943</v>
      </c>
      <c r="B967" s="21" t="inlineStr">
        <is>
          <t>3 этаж (отм. +7.550…+11.150)</t>
        </is>
      </c>
      <c r="C967" s="21" t="inlineStr">
        <is>
          <t>Ригели</t>
        </is>
      </c>
      <c r="D967" s="21" t="inlineStr">
        <is>
          <t>ось А (отм. +11.150)</t>
        </is>
      </c>
      <c r="E967" s="21" t="inlineStr">
        <is>
          <t>Р-А</t>
        </is>
      </c>
      <c r="F967" s="72" t="inlineStr">
        <is>
          <t>15</t>
        </is>
      </c>
      <c r="G967" s="21" t="inlineStr">
        <is>
          <t>Хомут внутренний Ø10 L=1600 ш.100 — участки двойных хомутов</t>
        </is>
      </c>
      <c r="H967" s="51" t="n">
        <v>10</v>
      </c>
      <c r="I967" s="72" t="inlineStr">
        <is>
          <t>А240</t>
        </is>
      </c>
      <c r="J967" s="72" t="n">
        <v>100</v>
      </c>
      <c r="K967" s="75" t="n">
        <v>1</v>
      </c>
      <c r="L967" s="51" t="n">
        <v>8</v>
      </c>
      <c r="M967" s="69" t="n">
        <v>1.6</v>
      </c>
      <c r="N967" s="70">
        <f>K967*L967*M967</f>
        <v/>
      </c>
      <c r="O967" s="37">
        <f>IFERROR(INDEX(Исходные!$B$19:$B$31,MATCH(H967,Исходные!$A$19:$A$31,0)),0)</f>
        <v/>
      </c>
      <c r="P967" s="76">
        <f>N967*O967</f>
        <v/>
      </c>
      <c r="Q967" s="21" t="inlineStr">
        <is>
          <t>АС-20 двойная штриховка; АС-28 Фрагмент №1, поз.15</t>
        </is>
      </c>
      <c r="R967" s="77" t="inlineStr">
        <is>
          <t>по проекту</t>
        </is>
      </c>
      <c r="S967" s="21" t="inlineStr"/>
      <c r="T967" s="21" t="inlineStr">
        <is>
          <t>Ригели, балки, плита, С-1</t>
        </is>
      </c>
      <c r="U967" s="49" t="n">
        <v>0</v>
      </c>
      <c r="V967" s="72" t="inlineStr">
        <is>
          <t>Р-А</t>
        </is>
      </c>
      <c r="W967" s="49" t="n">
        <v>3</v>
      </c>
    </row>
    <row r="968">
      <c r="A968" s="72" t="n">
        <v>944</v>
      </c>
      <c r="B968" s="21" t="inlineStr">
        <is>
          <t>3 этаж (отм. +7.550…+11.150)</t>
        </is>
      </c>
      <c r="C968" s="21" t="inlineStr">
        <is>
          <t>Ригели</t>
        </is>
      </c>
      <c r="D968" s="21" t="inlineStr">
        <is>
          <t>ось А (отм. +11.150)</t>
        </is>
      </c>
      <c r="E968" s="21" t="inlineStr">
        <is>
          <t>Р-А</t>
        </is>
      </c>
      <c r="F968" s="72" t="inlineStr">
        <is>
          <t>17</t>
        </is>
      </c>
      <c r="G968" s="21" t="inlineStr">
        <is>
          <t>Шпилька вертикальная Ø8 L=750: ш.200 у опор, ш.150 в пролёте</t>
        </is>
      </c>
      <c r="H968" s="51" t="n">
        <v>8</v>
      </c>
      <c r="I968" s="72" t="inlineStr">
        <is>
          <t>А240</t>
        </is>
      </c>
      <c r="J968" s="72" t="inlineStr">
        <is>
          <t>200/150</t>
        </is>
      </c>
      <c r="K968" s="75" t="n">
        <v>1</v>
      </c>
      <c r="L968" s="51" t="n">
        <v>105</v>
      </c>
      <c r="M968" s="69" t="n">
        <v>0.75</v>
      </c>
      <c r="N968" s="70">
        <f>K968*L968*M968</f>
        <v/>
      </c>
      <c r="O968" s="37">
        <f>IFERROR(INDEX(Исходные!$B$19:$B$31,MATCH(H968,Исходные!$A$19:$A$31,0)),0)</f>
        <v/>
      </c>
      <c r="P968" s="76">
        <f>N968*O968</f>
        <v/>
      </c>
      <c r="Q968" s="21" t="inlineStr">
        <is>
          <t>АС-28 сеч.4-4/5-5 поз.17</t>
        </is>
      </c>
      <c r="R968" s="77" t="inlineStr">
        <is>
          <t>по проекту</t>
        </is>
      </c>
      <c r="S968" s="21" t="inlineStr"/>
      <c r="T968" s="21" t="inlineStr">
        <is>
          <t>Ригели, балки, плита, С-1</t>
        </is>
      </c>
      <c r="U968" s="49" t="n">
        <v>0</v>
      </c>
      <c r="V968" s="72" t="inlineStr">
        <is>
          <t>Р-А</t>
        </is>
      </c>
      <c r="W968" s="49" t="n">
        <v>3</v>
      </c>
    </row>
    <row r="969">
      <c r="A969" s="72" t="n">
        <v>945</v>
      </c>
      <c r="B969" s="21" t="inlineStr">
        <is>
          <t>3 этаж (отм. +7.550…+11.150)</t>
        </is>
      </c>
      <c r="C969" s="21" t="inlineStr">
        <is>
          <t>Ригели</t>
        </is>
      </c>
      <c r="D969" s="21" t="inlineStr">
        <is>
          <t>ось А (отм. +11.150)</t>
        </is>
      </c>
      <c r="E969" s="21" t="inlineStr">
        <is>
          <t>Р-А</t>
        </is>
      </c>
      <c r="F969" s="72" t="inlineStr">
        <is>
          <t>16</t>
        </is>
      </c>
      <c r="G969" s="21" t="inlineStr">
        <is>
          <t>Шпилька горизонтальная Ø8 L=580 ш.300</t>
        </is>
      </c>
      <c r="H969" s="51" t="n">
        <v>8</v>
      </c>
      <c r="I969" s="72" t="inlineStr">
        <is>
          <t>А240</t>
        </is>
      </c>
      <c r="J969" s="72" t="n">
        <v>300</v>
      </c>
      <c r="K969" s="75" t="n">
        <v>1</v>
      </c>
      <c r="L969" s="51" t="n">
        <v>70</v>
      </c>
      <c r="M969" s="69" t="n">
        <v>0.58</v>
      </c>
      <c r="N969" s="70">
        <f>K969*L969*M969</f>
        <v/>
      </c>
      <c r="O969" s="37">
        <f>IFERROR(INDEX(Исходные!$B$19:$B$31,MATCH(H969,Исходные!$A$19:$A$31,0)),0)</f>
        <v/>
      </c>
      <c r="P969" s="76">
        <f>N969*O969</f>
        <v/>
      </c>
      <c r="Q969" s="21" t="inlineStr">
        <is>
          <t>АС-28 «шп.Ø8 А240 ш.300», поз.16 L=580</t>
        </is>
      </c>
      <c r="R969" s="78" t="inlineStr">
        <is>
          <t>принято (уточнить)</t>
        </is>
      </c>
      <c r="S969" s="21" t="inlineStr"/>
      <c r="T969" s="21" t="inlineStr">
        <is>
          <t>Ригели, балки, плита, С-1</t>
        </is>
      </c>
      <c r="U969" s="49" t="n">
        <v>1</v>
      </c>
      <c r="V969" s="72" t="inlineStr">
        <is>
          <t>Р-А</t>
        </is>
      </c>
      <c r="W969" s="49" t="n">
        <v>3</v>
      </c>
    </row>
    <row r="970">
      <c r="A970" s="72" t="n">
        <v>946</v>
      </c>
      <c r="B970" s="21" t="inlineStr">
        <is>
          <t>3 этаж (отм. +7.550…+11.150)</t>
        </is>
      </c>
      <c r="C970" s="21" t="inlineStr">
        <is>
          <t>Ригели</t>
        </is>
      </c>
      <c r="D970" s="21" t="inlineStr">
        <is>
          <t>ось Б (отм. +11.150)</t>
        </is>
      </c>
      <c r="E970" s="21" t="inlineStr">
        <is>
          <t>Р-Б</t>
        </is>
      </c>
      <c r="F970" s="72" t="inlineStr">
        <is>
          <t>2</t>
        </is>
      </c>
      <c r="G970" s="21" t="inlineStr">
        <is>
          <t>Продольные угловые 4Ø28 (сеч.4-4/5-5), сквозные, концы с Аш</t>
        </is>
      </c>
      <c r="H970" s="51" t="n">
        <v>28</v>
      </c>
      <c r="I970" s="72" t="inlineStr">
        <is>
          <t>А500С</t>
        </is>
      </c>
      <c r="J970" s="72" t="inlineStr">
        <is>
          <t>—</t>
        </is>
      </c>
      <c r="K970" s="75" t="n">
        <v>1</v>
      </c>
      <c r="L970" s="51" t="n">
        <v>4</v>
      </c>
      <c r="M970" s="69" t="n">
        <v>25.5</v>
      </c>
      <c r="N970" s="70">
        <f>K970*L970*M970</f>
        <v/>
      </c>
      <c r="O970" s="37">
        <f>IFERROR(INDEX(Исходные!$B$19:$B$31,MATCH(H970,Исходные!$A$19:$A$31,0)),0)</f>
        <v/>
      </c>
      <c r="P970" s="76">
        <f>N970*O970</f>
        <v/>
      </c>
      <c r="Q970" s="21" t="inlineStr">
        <is>
          <t>АС-21 рама + АС-28 сеч.4-4/5-5 поз.2; длина = 25000+2×250</t>
        </is>
      </c>
      <c r="R970" s="77" t="inlineStr">
        <is>
          <t>по геометрии чертежа</t>
        </is>
      </c>
      <c r="S970" s="21" t="inlineStr">
        <is>
          <t>Стыки ванной сваркой без нахлёста: 2 на стержень (всего 8).</t>
        </is>
      </c>
      <c r="T970" s="21" t="inlineStr">
        <is>
          <t>Ригели, балки, плита, С-1</t>
        </is>
      </c>
      <c r="U970" s="49" t="n">
        <v>0</v>
      </c>
      <c r="V970" s="72" t="inlineStr">
        <is>
          <t>Р-Б</t>
        </is>
      </c>
      <c r="W970" s="49" t="n">
        <v>3</v>
      </c>
    </row>
    <row r="971">
      <c r="A971" s="72" t="n">
        <v>947</v>
      </c>
      <c r="B971" s="21" t="inlineStr">
        <is>
          <t>3 этаж (отм. +7.550…+11.150)</t>
        </is>
      </c>
      <c r="C971" s="21" t="inlineStr">
        <is>
          <t>Ригели</t>
        </is>
      </c>
      <c r="D971" s="21" t="inlineStr">
        <is>
          <t>ось Б (отм. +11.150)</t>
        </is>
      </c>
      <c r="E971" s="21" t="inlineStr">
        <is>
          <t>Р-Б</t>
        </is>
      </c>
      <c r="F971" s="72" t="inlineStr">
        <is>
          <t>6</t>
        </is>
      </c>
      <c r="G971" s="21" t="inlineStr">
        <is>
          <t>Продольные средние верх/низ 2Ø18 (сеч.4-4/5-5)</t>
        </is>
      </c>
      <c r="H971" s="51" t="n">
        <v>18</v>
      </c>
      <c r="I971" s="72" t="inlineStr">
        <is>
          <t>А500С</t>
        </is>
      </c>
      <c r="J971" s="72" t="inlineStr">
        <is>
          <t>—</t>
        </is>
      </c>
      <c r="K971" s="75" t="n">
        <v>1</v>
      </c>
      <c r="L971" s="51" t="n">
        <v>2</v>
      </c>
      <c r="M971" s="69" t="n">
        <v>25.5</v>
      </c>
      <c r="N971" s="70">
        <f>K971*L971*M971</f>
        <v/>
      </c>
      <c r="O971" s="37">
        <f>IFERROR(INDEX(Исходные!$B$19:$B$31,MATCH(H971,Исходные!$A$19:$A$31,0)),0)</f>
        <v/>
      </c>
      <c r="P971" s="76">
        <f>N971*O971</f>
        <v/>
      </c>
      <c r="Q971" s="21" t="inlineStr">
        <is>
          <t>АС-28 сеч.4-4/5-5 поз.6</t>
        </is>
      </c>
      <c r="R971" s="77" t="inlineStr">
        <is>
          <t>по геометрии чертежа</t>
        </is>
      </c>
      <c r="S971" s="21" t="inlineStr"/>
      <c r="T971" s="21" t="inlineStr">
        <is>
          <t>Ригели, балки, плита, С-1</t>
        </is>
      </c>
      <c r="U971" s="49" t="n">
        <v>0</v>
      </c>
      <c r="V971" s="72" t="inlineStr">
        <is>
          <t>Р-Б</t>
        </is>
      </c>
      <c r="W971" s="49" t="n">
        <v>3</v>
      </c>
    </row>
    <row r="972">
      <c r="A972" s="72" t="n">
        <v>948</v>
      </c>
      <c r="B972" s="21" t="inlineStr">
        <is>
          <t>3 этаж (отм. +7.550…+11.150)</t>
        </is>
      </c>
      <c r="C972" s="21" t="inlineStr">
        <is>
          <t>Ригели</t>
        </is>
      </c>
      <c r="D972" s="21" t="inlineStr">
        <is>
          <t>ось Б (отм. +11.150)</t>
        </is>
      </c>
      <c r="E972" s="21" t="inlineStr">
        <is>
          <t>Р-Б</t>
        </is>
      </c>
      <c r="F972" s="72" t="inlineStr">
        <is>
          <t>6-нахл</t>
        </is>
      </c>
      <c r="G972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972" s="51" t="n">
        <v>18</v>
      </c>
      <c r="I972" s="72" t="inlineStr">
        <is>
          <t>А500С</t>
        </is>
      </c>
      <c r="J972" s="72" t="inlineStr">
        <is>
          <t>—</t>
        </is>
      </c>
      <c r="K972" s="75" t="n">
        <v>2</v>
      </c>
      <c r="L972" s="51" t="n">
        <v>2</v>
      </c>
      <c r="M972" s="69" t="n">
        <v>0.144</v>
      </c>
      <c r="N972" s="70">
        <f>K972*L972*M972</f>
        <v/>
      </c>
      <c r="O972" s="37">
        <f>IFERROR(INDEX(Исходные!$B$19:$B$31,MATCH(H972,Исходные!$A$19:$A$31,0)),0)</f>
        <v/>
      </c>
      <c r="P972" s="76">
        <f>N972*O972</f>
        <v/>
      </c>
      <c r="Q972" s="21" t="inlineStr">
        <is>
          <t>АС-19 прим.1: Ø18 и менее — внахлёстку электродуговой сваркой, Lшва=8d = 144 мм</t>
        </is>
      </c>
      <c r="R972" s="77" t="inlineStr">
        <is>
          <t>по проекту (стыковка прутков 11,7 м)</t>
        </is>
      </c>
      <c r="S972" s="21" t="inlineStr">
        <is>
          <t>Чистая длина 25.500 м; кусков 3; стыков 2; Lнахл=2×0.144=0.288 м на стержень</t>
        </is>
      </c>
      <c r="T972" s="21" t="inlineStr">
        <is>
          <t>Ригели, балки, плита, С-1</t>
        </is>
      </c>
      <c r="U972" s="49" t="n">
        <v>0</v>
      </c>
      <c r="V972" s="72" t="inlineStr">
        <is>
          <t>Р-Б</t>
        </is>
      </c>
      <c r="W972" s="49" t="n">
        <v>3</v>
      </c>
    </row>
    <row r="973">
      <c r="A973" s="72" t="n">
        <v>949</v>
      </c>
      <c r="B973" s="21" t="inlineStr">
        <is>
          <t>3 этаж (отм. +7.550…+11.150)</t>
        </is>
      </c>
      <c r="C973" s="21" t="inlineStr">
        <is>
          <t>Ригели</t>
        </is>
      </c>
      <c r="D973" s="21" t="inlineStr">
        <is>
          <t>ось Б (отм. +11.150)</t>
        </is>
      </c>
      <c r="E973" s="21" t="inlineStr">
        <is>
          <t>Р-Б</t>
        </is>
      </c>
      <c r="F973" s="72" t="inlineStr">
        <is>
          <t>7</t>
        </is>
      </c>
      <c r="G973" s="21" t="inlineStr">
        <is>
          <t>Боковые стержни 2Ø16 (сеч.4-4/5-5)</t>
        </is>
      </c>
      <c r="H973" s="51" t="n">
        <v>16</v>
      </c>
      <c r="I973" s="72" t="inlineStr">
        <is>
          <t>А500С</t>
        </is>
      </c>
      <c r="J973" s="72" t="inlineStr">
        <is>
          <t>—</t>
        </is>
      </c>
      <c r="K973" s="75" t="n">
        <v>1</v>
      </c>
      <c r="L973" s="51" t="n">
        <v>2</v>
      </c>
      <c r="M973" s="69" t="n">
        <v>25.5</v>
      </c>
      <c r="N973" s="70">
        <f>K973*L973*M973</f>
        <v/>
      </c>
      <c r="O973" s="37">
        <f>IFERROR(INDEX(Исходные!$B$19:$B$31,MATCH(H973,Исходные!$A$19:$A$31,0)),0)</f>
        <v/>
      </c>
      <c r="P973" s="76">
        <f>N973*O973</f>
        <v/>
      </c>
      <c r="Q973" s="21" t="inlineStr">
        <is>
          <t>АС-28 сеч.4-4/5-5 «Боковые стержни 2Ø16»</t>
        </is>
      </c>
      <c r="R973" s="77" t="inlineStr">
        <is>
          <t>по геометрии чертежа</t>
        </is>
      </c>
      <c r="S973" s="21" t="inlineStr"/>
      <c r="T973" s="21" t="inlineStr">
        <is>
          <t>Ригели, балки, плита, С-1</t>
        </is>
      </c>
      <c r="U973" s="49" t="n">
        <v>0</v>
      </c>
      <c r="V973" s="72" t="inlineStr">
        <is>
          <t>Р-Б</t>
        </is>
      </c>
      <c r="W973" s="49" t="n">
        <v>3</v>
      </c>
    </row>
    <row r="974">
      <c r="A974" s="72" t="n">
        <v>950</v>
      </c>
      <c r="B974" s="21" t="inlineStr">
        <is>
          <t>3 этаж (отм. +7.550…+11.150)</t>
        </is>
      </c>
      <c r="C974" s="21" t="inlineStr">
        <is>
          <t>Ригели</t>
        </is>
      </c>
      <c r="D974" s="21" t="inlineStr">
        <is>
          <t>ось Б (отм. +11.150)</t>
        </is>
      </c>
      <c r="E974" s="21" t="inlineStr">
        <is>
          <t>Р-Б</t>
        </is>
      </c>
      <c r="F974" s="72" t="inlineStr">
        <is>
          <t>7-нахл</t>
        </is>
      </c>
      <c r="G974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974" s="51" t="n">
        <v>16</v>
      </c>
      <c r="I974" s="72" t="inlineStr">
        <is>
          <t>А500С</t>
        </is>
      </c>
      <c r="J974" s="72" t="inlineStr">
        <is>
          <t>—</t>
        </is>
      </c>
      <c r="K974" s="75" t="n">
        <v>2</v>
      </c>
      <c r="L974" s="51" t="n">
        <v>2</v>
      </c>
      <c r="M974" s="69" t="n">
        <v>0.128</v>
      </c>
      <c r="N974" s="70">
        <f>K974*L974*M974</f>
        <v/>
      </c>
      <c r="O974" s="37">
        <f>IFERROR(INDEX(Исходные!$B$19:$B$31,MATCH(H974,Исходные!$A$19:$A$31,0)),0)</f>
        <v/>
      </c>
      <c r="P974" s="76">
        <f>N974*O974</f>
        <v/>
      </c>
      <c r="Q974" s="21" t="inlineStr">
        <is>
          <t>АС-19 прим.1: Ø18 и менее — внахлёстку электродуговой сваркой, Lшва=8d = 128 мм</t>
        </is>
      </c>
      <c r="R974" s="77" t="inlineStr">
        <is>
          <t>по проекту (стыковка прутков 11,7 м)</t>
        </is>
      </c>
      <c r="S974" s="21" t="inlineStr">
        <is>
          <t>Чистая длина 25.500 м; кусков 3; стыков 2; Lнахл=2×0.128=0.256 м на стержень</t>
        </is>
      </c>
      <c r="T974" s="21" t="inlineStr">
        <is>
          <t>Ригели, балки, плита, С-1</t>
        </is>
      </c>
      <c r="U974" s="49" t="n">
        <v>0</v>
      </c>
      <c r="V974" s="72" t="inlineStr">
        <is>
          <t>Р-Б</t>
        </is>
      </c>
      <c r="W974" s="49" t="n">
        <v>3</v>
      </c>
    </row>
    <row r="975">
      <c r="A975" s="72" t="n">
        <v>951</v>
      </c>
      <c r="B975" s="21" t="inlineStr">
        <is>
          <t>3 этаж (отм. +7.550…+11.150)</t>
        </is>
      </c>
      <c r="C975" s="21" t="inlineStr">
        <is>
          <t>Ригели</t>
        </is>
      </c>
      <c r="D975" s="21" t="inlineStr">
        <is>
          <t>ось Б (отм. +11.150)</t>
        </is>
      </c>
      <c r="E975" s="21" t="inlineStr">
        <is>
          <t>Р-Б</t>
        </is>
      </c>
      <c r="F975" s="72" t="inlineStr">
        <is>
          <t>ОС</t>
        </is>
      </c>
      <c r="G975" s="21" t="inlineStr">
        <is>
          <t>ОС верх: 2Ø25, участок 0…1800 мм + 250 до торца</t>
        </is>
      </c>
      <c r="H975" s="51" t="n">
        <v>25</v>
      </c>
      <c r="I975" s="72" t="inlineStr">
        <is>
          <t>А500С</t>
        </is>
      </c>
      <c r="J975" s="72" t="inlineStr">
        <is>
          <t>—</t>
        </is>
      </c>
      <c r="K975" s="75" t="n">
        <v>1</v>
      </c>
      <c r="L975" s="51" t="n">
        <v>2</v>
      </c>
      <c r="M975" s="69" t="n">
        <v>2.05</v>
      </c>
      <c r="N975" s="70">
        <f>K975*L975*M975</f>
        <v/>
      </c>
      <c r="O975" s="37">
        <f>IFERROR(INDEX(Исходные!$B$19:$B$31,MATCH(H975,Исходные!$A$19:$A$31,0)),0)</f>
        <v/>
      </c>
      <c r="P975" s="76">
        <f>N975*O975</f>
        <v/>
      </c>
      <c r="Q975" s="21" t="inlineStr">
        <is>
          <t>АС-21 (отм. 11.150): выноска «ОС 2Ø25 А500С»; длина по привязкам отдельных стержней</t>
        </is>
      </c>
      <c r="R975" s="77" t="inlineStr">
        <is>
          <t>по геометрии чертежа</t>
        </is>
      </c>
      <c r="S975" s="21" t="inlineStr">
        <is>
          <t>Координаты от оси 1: 0…1800 мм; конец до торца крайней колонны (+250)</t>
        </is>
      </c>
      <c r="T975" s="21" t="inlineStr">
        <is>
          <t>Ригели, балки, плита, С-1</t>
        </is>
      </c>
      <c r="U975" s="49" t="n">
        <v>0</v>
      </c>
      <c r="V975" s="72" t="inlineStr">
        <is>
          <t>Р-Б</t>
        </is>
      </c>
      <c r="W975" s="49" t="n">
        <v>3</v>
      </c>
    </row>
    <row r="976">
      <c r="A976" s="72" t="n">
        <v>952</v>
      </c>
      <c r="B976" s="21" t="inlineStr">
        <is>
          <t>3 этаж (отм. +7.550…+11.150)</t>
        </is>
      </c>
      <c r="C976" s="21" t="inlineStr">
        <is>
          <t>Ригели</t>
        </is>
      </c>
      <c r="D976" s="21" t="inlineStr">
        <is>
          <t>ось Б (отм. +11.150)</t>
        </is>
      </c>
      <c r="E976" s="21" t="inlineStr">
        <is>
          <t>Р-Б</t>
        </is>
      </c>
      <c r="F976" s="72" t="inlineStr">
        <is>
          <t>ОС</t>
        </is>
      </c>
      <c r="G976" s="21" t="inlineStr">
        <is>
          <t>ОС верх: 2Ø28, участок 4700…8400 мм</t>
        </is>
      </c>
      <c r="H976" s="51" t="n">
        <v>28</v>
      </c>
      <c r="I976" s="72" t="inlineStr">
        <is>
          <t>А500С</t>
        </is>
      </c>
      <c r="J976" s="72" t="inlineStr">
        <is>
          <t>—</t>
        </is>
      </c>
      <c r="K976" s="75" t="n">
        <v>1</v>
      </c>
      <c r="L976" s="51" t="n">
        <v>2</v>
      </c>
      <c r="M976" s="69" t="n">
        <v>3.7</v>
      </c>
      <c r="N976" s="70">
        <f>K976*L976*M976</f>
        <v/>
      </c>
      <c r="O976" s="37">
        <f>IFERROR(INDEX(Исходные!$B$19:$B$31,MATCH(H976,Исходные!$A$19:$A$31,0)),0)</f>
        <v/>
      </c>
      <c r="P976" s="76">
        <f>N976*O976</f>
        <v/>
      </c>
      <c r="Q976" s="21" t="inlineStr">
        <is>
          <t>АС-21 (отм. 11.150): выноска «ОС 2Ø28 А500С»; длина по привязкам отдельных стержней</t>
        </is>
      </c>
      <c r="R976" s="77" t="inlineStr">
        <is>
          <t>по геометрии чертежа</t>
        </is>
      </c>
      <c r="S976" s="21" t="inlineStr">
        <is>
          <t>Координаты от оси 1: 4700…8400 мм</t>
        </is>
      </c>
      <c r="T976" s="21" t="inlineStr">
        <is>
          <t>Ригели, балки, плита, С-1</t>
        </is>
      </c>
      <c r="U976" s="49" t="n">
        <v>0</v>
      </c>
      <c r="V976" s="72" t="inlineStr">
        <is>
          <t>Р-Б</t>
        </is>
      </c>
      <c r="W976" s="49" t="n">
        <v>3</v>
      </c>
    </row>
    <row r="977">
      <c r="A977" s="72" t="n">
        <v>953</v>
      </c>
      <c r="B977" s="21" t="inlineStr">
        <is>
          <t>3 этаж (отм. +7.550…+11.150)</t>
        </is>
      </c>
      <c r="C977" s="21" t="inlineStr">
        <is>
          <t>Ригели</t>
        </is>
      </c>
      <c r="D977" s="21" t="inlineStr">
        <is>
          <t>ось Б (отм. +11.150)</t>
        </is>
      </c>
      <c r="E977" s="21" t="inlineStr">
        <is>
          <t>Р-Б</t>
        </is>
      </c>
      <c r="F977" s="72" t="inlineStr">
        <is>
          <t>ОС</t>
        </is>
      </c>
      <c r="G977" s="21" t="inlineStr">
        <is>
          <t>ОС верх ств.: 2Ø20, участок 4700…8400 мм</t>
        </is>
      </c>
      <c r="H977" s="51" t="n">
        <v>20</v>
      </c>
      <c r="I977" s="72" t="inlineStr">
        <is>
          <t>А500С</t>
        </is>
      </c>
      <c r="J977" s="72" t="inlineStr">
        <is>
          <t>—</t>
        </is>
      </c>
      <c r="K977" s="75" t="n">
        <v>1</v>
      </c>
      <c r="L977" s="51" t="n">
        <v>2</v>
      </c>
      <c r="M977" s="69" t="n">
        <v>3.7</v>
      </c>
      <c r="N977" s="70">
        <f>K977*L977*M977</f>
        <v/>
      </c>
      <c r="O977" s="37">
        <f>IFERROR(INDEX(Исходные!$B$19:$B$31,MATCH(H977,Исходные!$A$19:$A$31,0)),0)</f>
        <v/>
      </c>
      <c r="P977" s="76">
        <f>N977*O977</f>
        <v/>
      </c>
      <c r="Q977" s="21" t="inlineStr">
        <is>
          <t>АС-21 (отм. 11.150): выноска «ОС 2Ø20 А500С»; длина по привязкам отдельных стержней</t>
        </is>
      </c>
      <c r="R977" s="77" t="inlineStr">
        <is>
          <t>по геометрии чертежа</t>
        </is>
      </c>
      <c r="S977" s="21" t="inlineStr">
        <is>
          <t>Координаты от оси 1: 4700…8400 мм</t>
        </is>
      </c>
      <c r="T977" s="21" t="inlineStr">
        <is>
          <t>Ригели, балки, плита, С-1</t>
        </is>
      </c>
      <c r="U977" s="49" t="n">
        <v>0</v>
      </c>
      <c r="V977" s="72" t="inlineStr">
        <is>
          <t>Р-Б</t>
        </is>
      </c>
      <c r="W977" s="49" t="n">
        <v>3</v>
      </c>
    </row>
    <row r="978">
      <c r="A978" s="72" t="n">
        <v>954</v>
      </c>
      <c r="B978" s="21" t="inlineStr">
        <is>
          <t>3 этаж (отм. +7.550…+11.150)</t>
        </is>
      </c>
      <c r="C978" s="21" t="inlineStr">
        <is>
          <t>Ригели</t>
        </is>
      </c>
      <c r="D978" s="21" t="inlineStr">
        <is>
          <t>ось Б (отм. +11.150)</t>
        </is>
      </c>
      <c r="E978" s="21" t="inlineStr">
        <is>
          <t>Р-Б</t>
        </is>
      </c>
      <c r="F978" s="72" t="inlineStr">
        <is>
          <t>ОС</t>
        </is>
      </c>
      <c r="G978" s="21" t="inlineStr">
        <is>
          <t>ОС верх: 2Ø28, участок 11600…15300 мм</t>
        </is>
      </c>
      <c r="H978" s="51" t="n">
        <v>28</v>
      </c>
      <c r="I978" s="72" t="inlineStr">
        <is>
          <t>А500С</t>
        </is>
      </c>
      <c r="J978" s="72" t="inlineStr">
        <is>
          <t>—</t>
        </is>
      </c>
      <c r="K978" s="75" t="n">
        <v>1</v>
      </c>
      <c r="L978" s="51" t="n">
        <v>2</v>
      </c>
      <c r="M978" s="69" t="n">
        <v>3.7</v>
      </c>
      <c r="N978" s="70">
        <f>K978*L978*M978</f>
        <v/>
      </c>
      <c r="O978" s="37">
        <f>IFERROR(INDEX(Исходные!$B$19:$B$31,MATCH(H978,Исходные!$A$19:$A$31,0)),0)</f>
        <v/>
      </c>
      <c r="P978" s="76">
        <f>N978*O978</f>
        <v/>
      </c>
      <c r="Q978" s="21" t="inlineStr">
        <is>
          <t>АС-21 (отм. 11.150): выноска «ОС 2Ø28 А500С»; длина по привязкам отдельных стержней</t>
        </is>
      </c>
      <c r="R978" s="77" t="inlineStr">
        <is>
          <t>по геометрии чертежа</t>
        </is>
      </c>
      <c r="S978" s="21" t="inlineStr">
        <is>
          <t>Координаты от оси 1: 11600…15300 мм</t>
        </is>
      </c>
      <c r="T978" s="21" t="inlineStr">
        <is>
          <t>Ригели, балки, плита, С-1</t>
        </is>
      </c>
      <c r="U978" s="49" t="n">
        <v>0</v>
      </c>
      <c r="V978" s="72" t="inlineStr">
        <is>
          <t>Р-Б</t>
        </is>
      </c>
      <c r="W978" s="49" t="n">
        <v>3</v>
      </c>
    </row>
    <row r="979">
      <c r="A979" s="72" t="n">
        <v>955</v>
      </c>
      <c r="B979" s="21" t="inlineStr">
        <is>
          <t>3 этаж (отм. +7.550…+11.150)</t>
        </is>
      </c>
      <c r="C979" s="21" t="inlineStr">
        <is>
          <t>Ригели</t>
        </is>
      </c>
      <c r="D979" s="21" t="inlineStr">
        <is>
          <t>ось Б (отм. +11.150)</t>
        </is>
      </c>
      <c r="E979" s="21" t="inlineStr">
        <is>
          <t>Р-Б</t>
        </is>
      </c>
      <c r="F979" s="72" t="inlineStr">
        <is>
          <t>ОС</t>
        </is>
      </c>
      <c r="G979" s="21" t="inlineStr">
        <is>
          <t>ОС верх: 2Ø32, участок 18200…21800 мм</t>
        </is>
      </c>
      <c r="H979" s="51" t="n">
        <v>32</v>
      </c>
      <c r="I979" s="72" t="inlineStr">
        <is>
          <t>А500С</t>
        </is>
      </c>
      <c r="J979" s="72" t="inlineStr">
        <is>
          <t>—</t>
        </is>
      </c>
      <c r="K979" s="75" t="n">
        <v>1</v>
      </c>
      <c r="L979" s="51" t="n">
        <v>2</v>
      </c>
      <c r="M979" s="69" t="n">
        <v>3.6</v>
      </c>
      <c r="N979" s="70">
        <f>K979*L979*M979</f>
        <v/>
      </c>
      <c r="O979" s="37">
        <f>IFERROR(INDEX(Исходные!$B$19:$B$31,MATCH(H979,Исходные!$A$19:$A$31,0)),0)</f>
        <v/>
      </c>
      <c r="P979" s="76">
        <f>N979*O979</f>
        <v/>
      </c>
      <c r="Q979" s="21" t="inlineStr">
        <is>
          <t>АС-21 (отм. 11.150): выноска «ОС 2Ø32 А500С»; длина по привязкам отдельных стержней</t>
        </is>
      </c>
      <c r="R979" s="77" t="inlineStr">
        <is>
          <t>по геометрии чертежа</t>
        </is>
      </c>
      <c r="S979" s="21" t="inlineStr">
        <is>
          <t>Координаты от оси 1: 18200…21800 мм</t>
        </is>
      </c>
      <c r="T979" s="21" t="inlineStr">
        <is>
          <t>Ригели, балки, плита, С-1</t>
        </is>
      </c>
      <c r="U979" s="49" t="n">
        <v>0</v>
      </c>
      <c r="V979" s="72" t="inlineStr">
        <is>
          <t>Р-Б</t>
        </is>
      </c>
      <c r="W979" s="49" t="n">
        <v>3</v>
      </c>
    </row>
    <row r="980">
      <c r="A980" s="72" t="n">
        <v>956</v>
      </c>
      <c r="B980" s="21" t="inlineStr">
        <is>
          <t>3 этаж (отм. +7.550…+11.150)</t>
        </is>
      </c>
      <c r="C980" s="21" t="inlineStr">
        <is>
          <t>Ригели</t>
        </is>
      </c>
      <c r="D980" s="21" t="inlineStr">
        <is>
          <t>ось Б (отм. +11.150)</t>
        </is>
      </c>
      <c r="E980" s="21" t="inlineStr">
        <is>
          <t>Р-Б</t>
        </is>
      </c>
      <c r="F980" s="72" t="inlineStr">
        <is>
          <t>ОС</t>
        </is>
      </c>
      <c r="G980" s="21" t="inlineStr">
        <is>
          <t>ОС верх: 2Ø25, участок 23200…25000 мм + 250 до торца</t>
        </is>
      </c>
      <c r="H980" s="51" t="n">
        <v>25</v>
      </c>
      <c r="I980" s="72" t="inlineStr">
        <is>
          <t>А500С</t>
        </is>
      </c>
      <c r="J980" s="72" t="inlineStr">
        <is>
          <t>—</t>
        </is>
      </c>
      <c r="K980" s="75" t="n">
        <v>1</v>
      </c>
      <c r="L980" s="51" t="n">
        <v>2</v>
      </c>
      <c r="M980" s="69" t="n">
        <v>2.05</v>
      </c>
      <c r="N980" s="70">
        <f>K980*L980*M980</f>
        <v/>
      </c>
      <c r="O980" s="37">
        <f>IFERROR(INDEX(Исходные!$B$19:$B$31,MATCH(H980,Исходные!$A$19:$A$31,0)),0)</f>
        <v/>
      </c>
      <c r="P980" s="76">
        <f>N980*O980</f>
        <v/>
      </c>
      <c r="Q980" s="21" t="inlineStr">
        <is>
          <t>АС-21 (отм. 11.150): выноска «ОС 2Ø25 А500С»; длина по привязкам отдельных стержней</t>
        </is>
      </c>
      <c r="R980" s="77" t="inlineStr">
        <is>
          <t>по геометрии чертежа</t>
        </is>
      </c>
      <c r="S980" s="21" t="inlineStr">
        <is>
          <t>Координаты от оси 1: 23200…25000 мм; конец до торца крайней колонны (+250)</t>
        </is>
      </c>
      <c r="T980" s="21" t="inlineStr">
        <is>
          <t>Ригели, балки, плита, С-1</t>
        </is>
      </c>
      <c r="U980" s="49" t="n">
        <v>0</v>
      </c>
      <c r="V980" s="72" t="inlineStr">
        <is>
          <t>Р-Б</t>
        </is>
      </c>
      <c r="W980" s="49" t="n">
        <v>3</v>
      </c>
    </row>
    <row r="981">
      <c r="A981" s="72" t="n">
        <v>957</v>
      </c>
      <c r="B981" s="21" t="inlineStr">
        <is>
          <t>3 этаж (отм. +7.550…+11.150)</t>
        </is>
      </c>
      <c r="C981" s="21" t="inlineStr">
        <is>
          <t>Ригели</t>
        </is>
      </c>
      <c r="D981" s="21" t="inlineStr">
        <is>
          <t>ось Б (отм. +11.150)</t>
        </is>
      </c>
      <c r="E981" s="21" t="inlineStr">
        <is>
          <t>Р-Б</t>
        </is>
      </c>
      <c r="F981" s="72" t="inlineStr">
        <is>
          <t>ОС</t>
        </is>
      </c>
      <c r="G981" s="21" t="inlineStr">
        <is>
          <t>ОС низ: 2Ø16, участок 1800…4700 мм</t>
        </is>
      </c>
      <c r="H981" s="51" t="n">
        <v>16</v>
      </c>
      <c r="I981" s="72" t="inlineStr">
        <is>
          <t>А500С</t>
        </is>
      </c>
      <c r="J981" s="72" t="inlineStr">
        <is>
          <t>—</t>
        </is>
      </c>
      <c r="K981" s="75" t="n">
        <v>1</v>
      </c>
      <c r="L981" s="51" t="n">
        <v>2</v>
      </c>
      <c r="M981" s="69" t="n">
        <v>2.9</v>
      </c>
      <c r="N981" s="70">
        <f>K981*L981*M981</f>
        <v/>
      </c>
      <c r="O981" s="37">
        <f>IFERROR(INDEX(Исходные!$B$19:$B$31,MATCH(H981,Исходные!$A$19:$A$31,0)),0)</f>
        <v/>
      </c>
      <c r="P981" s="76">
        <f>N981*O981</f>
        <v/>
      </c>
      <c r="Q981" s="21" t="inlineStr">
        <is>
          <t>АС-21 (отм. 11.150): выноска «ОС 2Ø16 А500С»; длина по привязкам отдельных стержней</t>
        </is>
      </c>
      <c r="R981" s="77" t="inlineStr">
        <is>
          <t>по геометрии чертежа</t>
        </is>
      </c>
      <c r="S981" s="21" t="inlineStr">
        <is>
          <t>Координаты от оси 1: 1800…4700 мм</t>
        </is>
      </c>
      <c r="T981" s="21" t="inlineStr">
        <is>
          <t>Ригели, балки, плита, С-1</t>
        </is>
      </c>
      <c r="U981" s="49" t="n">
        <v>0</v>
      </c>
      <c r="V981" s="72" t="inlineStr">
        <is>
          <t>Р-Б</t>
        </is>
      </c>
      <c r="W981" s="49" t="n">
        <v>3</v>
      </c>
    </row>
    <row r="982">
      <c r="A982" s="72" t="n">
        <v>958</v>
      </c>
      <c r="B982" s="21" t="inlineStr">
        <is>
          <t>3 этаж (отм. +7.550…+11.150)</t>
        </is>
      </c>
      <c r="C982" s="21" t="inlineStr">
        <is>
          <t>Ригели</t>
        </is>
      </c>
      <c r="D982" s="21" t="inlineStr">
        <is>
          <t>ось Б (отм. +11.150)</t>
        </is>
      </c>
      <c r="E982" s="21" t="inlineStr">
        <is>
          <t>Р-Б</t>
        </is>
      </c>
      <c r="F982" s="72" t="inlineStr">
        <is>
          <t>ОС</t>
        </is>
      </c>
      <c r="G982" s="21" t="inlineStr">
        <is>
          <t>ОС низ: 2Ø22, участок 8400…11600 мм</t>
        </is>
      </c>
      <c r="H982" s="51" t="n">
        <v>22</v>
      </c>
      <c r="I982" s="72" t="inlineStr">
        <is>
          <t>А500С</t>
        </is>
      </c>
      <c r="J982" s="72" t="inlineStr">
        <is>
          <t>—</t>
        </is>
      </c>
      <c r="K982" s="75" t="n">
        <v>1</v>
      </c>
      <c r="L982" s="51" t="n">
        <v>2</v>
      </c>
      <c r="M982" s="69" t="n">
        <v>3.2</v>
      </c>
      <c r="N982" s="70">
        <f>K982*L982*M982</f>
        <v/>
      </c>
      <c r="O982" s="37">
        <f>IFERROR(INDEX(Исходные!$B$19:$B$31,MATCH(H982,Исходные!$A$19:$A$31,0)),0)</f>
        <v/>
      </c>
      <c r="P982" s="76">
        <f>N982*O982</f>
        <v/>
      </c>
      <c r="Q982" s="21" t="inlineStr">
        <is>
          <t>АС-21 (отм. 11.150): выноска «ОС 2Ø22 А500С»; длина по привязкам отдельных стержней</t>
        </is>
      </c>
      <c r="R982" s="77" t="inlineStr">
        <is>
          <t>по геометрии чертежа</t>
        </is>
      </c>
      <c r="S982" s="21" t="inlineStr">
        <is>
          <t>Координаты от оси 1: 8400…11600 мм</t>
        </is>
      </c>
      <c r="T982" s="21" t="inlineStr">
        <is>
          <t>Ригели, балки, плита, С-1</t>
        </is>
      </c>
      <c r="U982" s="49" t="n">
        <v>0</v>
      </c>
      <c r="V982" s="72" t="inlineStr">
        <is>
          <t>Р-Б</t>
        </is>
      </c>
      <c r="W982" s="49" t="n">
        <v>3</v>
      </c>
    </row>
    <row r="983">
      <c r="A983" s="72" t="n">
        <v>959</v>
      </c>
      <c r="B983" s="21" t="inlineStr">
        <is>
          <t>3 этаж (отм. +7.550…+11.150)</t>
        </is>
      </c>
      <c r="C983" s="21" t="inlineStr">
        <is>
          <t>Ригели</t>
        </is>
      </c>
      <c r="D983" s="21" t="inlineStr">
        <is>
          <t>ось Б (отм. +11.150)</t>
        </is>
      </c>
      <c r="E983" s="21" t="inlineStr">
        <is>
          <t>Р-Б</t>
        </is>
      </c>
      <c r="F983" s="72" t="inlineStr">
        <is>
          <t>ОС</t>
        </is>
      </c>
      <c r="G983" s="21" t="inlineStr">
        <is>
          <t>ОС низ: 2Ø16, участок 15300…21800 мм</t>
        </is>
      </c>
      <c r="H983" s="51" t="n">
        <v>16</v>
      </c>
      <c r="I983" s="72" t="inlineStr">
        <is>
          <t>А500С</t>
        </is>
      </c>
      <c r="J983" s="72" t="inlineStr">
        <is>
          <t>—</t>
        </is>
      </c>
      <c r="K983" s="75" t="n">
        <v>1</v>
      </c>
      <c r="L983" s="51" t="n">
        <v>2</v>
      </c>
      <c r="M983" s="69" t="n">
        <v>6.5</v>
      </c>
      <c r="N983" s="70">
        <f>K983*L983*M983</f>
        <v/>
      </c>
      <c r="O983" s="37">
        <f>IFERROR(INDEX(Исходные!$B$19:$B$31,MATCH(H983,Исходные!$A$19:$A$31,0)),0)</f>
        <v/>
      </c>
      <c r="P983" s="76">
        <f>N983*O983</f>
        <v/>
      </c>
      <c r="Q983" s="21" t="inlineStr">
        <is>
          <t>АС-21 (отм. 11.150): выноска «ОС 2Ø16 А500С»; длина по привязкам отдельных стержней</t>
        </is>
      </c>
      <c r="R983" s="77" t="inlineStr">
        <is>
          <t>по геометрии чертежа</t>
        </is>
      </c>
      <c r="S983" s="21" t="inlineStr">
        <is>
          <t>Координаты от оси 1: 15300…21800 мм</t>
        </is>
      </c>
      <c r="T983" s="21" t="inlineStr">
        <is>
          <t>Ригели, балки, плита, С-1</t>
        </is>
      </c>
      <c r="U983" s="49" t="n">
        <v>0</v>
      </c>
      <c r="V983" s="72" t="inlineStr">
        <is>
          <t>Р-Б</t>
        </is>
      </c>
      <c r="W983" s="49" t="n">
        <v>3</v>
      </c>
    </row>
    <row r="984">
      <c r="A984" s="72" t="n">
        <v>960</v>
      </c>
      <c r="B984" s="21" t="inlineStr">
        <is>
          <t>3 этаж (отм. +7.550…+11.150)</t>
        </is>
      </c>
      <c r="C984" s="21" t="inlineStr">
        <is>
          <t>Ригели</t>
        </is>
      </c>
      <c r="D984" s="21" t="inlineStr">
        <is>
          <t>ось Б (отм. +11.150)</t>
        </is>
      </c>
      <c r="E984" s="21" t="inlineStr">
        <is>
          <t>Р-Б</t>
        </is>
      </c>
      <c r="F984" s="72" t="inlineStr">
        <is>
          <t>ОС</t>
        </is>
      </c>
      <c r="G984" s="21" t="inlineStr">
        <is>
          <t>ОС низ 2-й ряд: 2Ø14, участок 4700…8400 мм</t>
        </is>
      </c>
      <c r="H984" s="51" t="n">
        <v>14</v>
      </c>
      <c r="I984" s="72" t="inlineStr">
        <is>
          <t>А500С</t>
        </is>
      </c>
      <c r="J984" s="72" t="inlineStr">
        <is>
          <t>—</t>
        </is>
      </c>
      <c r="K984" s="75" t="n">
        <v>1</v>
      </c>
      <c r="L984" s="51" t="n">
        <v>2</v>
      </c>
      <c r="M984" s="69" t="n">
        <v>3.7</v>
      </c>
      <c r="N984" s="70">
        <f>K984*L984*M984</f>
        <v/>
      </c>
      <c r="O984" s="37">
        <f>IFERROR(INDEX(Исходные!$B$19:$B$31,MATCH(H984,Исходные!$A$19:$A$31,0)),0)</f>
        <v/>
      </c>
      <c r="P984" s="76">
        <f>N984*O984</f>
        <v/>
      </c>
      <c r="Q984" s="21" t="inlineStr">
        <is>
          <t>АС-21 (отм. 11.150): выноска «ОС 2Ø14 А500С»; длина по привязкам отдельных стержней</t>
        </is>
      </c>
      <c r="R984" s="77" t="inlineStr">
        <is>
          <t>по геометрии чертежа</t>
        </is>
      </c>
      <c r="S984" s="21" t="inlineStr">
        <is>
          <t>Координаты от оси 1: 4700…8400 мм</t>
        </is>
      </c>
      <c r="T984" s="21" t="inlineStr">
        <is>
          <t>Ригели, балки, плита, С-1</t>
        </is>
      </c>
      <c r="U984" s="49" t="n">
        <v>0</v>
      </c>
      <c r="V984" s="72" t="inlineStr">
        <is>
          <t>Р-Б</t>
        </is>
      </c>
      <c r="W984" s="49" t="n">
        <v>3</v>
      </c>
    </row>
    <row r="985">
      <c r="A985" s="72" t="n">
        <v>961</v>
      </c>
      <c r="B985" s="21" t="inlineStr">
        <is>
          <t>3 этаж (отм. +7.550…+11.150)</t>
        </is>
      </c>
      <c r="C985" s="21" t="inlineStr">
        <is>
          <t>Ригели</t>
        </is>
      </c>
      <c r="D985" s="21" t="inlineStr">
        <is>
          <t>ось Б (отм. +11.150)</t>
        </is>
      </c>
      <c r="E985" s="21" t="inlineStr">
        <is>
          <t>Р-Б</t>
        </is>
      </c>
      <c r="F985" s="72" t="inlineStr">
        <is>
          <t>ОС</t>
        </is>
      </c>
      <c r="G985" s="21" t="inlineStr">
        <is>
          <t>ОС низ 2-й ряд: 2Ø14, участок 11600…15300 мм</t>
        </is>
      </c>
      <c r="H985" s="51" t="n">
        <v>14</v>
      </c>
      <c r="I985" s="72" t="inlineStr">
        <is>
          <t>А500С</t>
        </is>
      </c>
      <c r="J985" s="72" t="inlineStr">
        <is>
          <t>—</t>
        </is>
      </c>
      <c r="K985" s="75" t="n">
        <v>1</v>
      </c>
      <c r="L985" s="51" t="n">
        <v>2</v>
      </c>
      <c r="M985" s="69" t="n">
        <v>3.7</v>
      </c>
      <c r="N985" s="70">
        <f>K985*L985*M985</f>
        <v/>
      </c>
      <c r="O985" s="37">
        <f>IFERROR(INDEX(Исходные!$B$19:$B$31,MATCH(H985,Исходные!$A$19:$A$31,0)),0)</f>
        <v/>
      </c>
      <c r="P985" s="76">
        <f>N985*O985</f>
        <v/>
      </c>
      <c r="Q985" s="21" t="inlineStr">
        <is>
          <t>АС-21 (отм. 11.150): выноска «ОС 2Ø14 А500С»; длина по привязкам отдельных стержней</t>
        </is>
      </c>
      <c r="R985" s="77" t="inlineStr">
        <is>
          <t>по геометрии чертежа</t>
        </is>
      </c>
      <c r="S985" s="21" t="inlineStr">
        <is>
          <t>Координаты от оси 1: 11600…15300 мм</t>
        </is>
      </c>
      <c r="T985" s="21" t="inlineStr">
        <is>
          <t>Ригели, балки, плита, С-1</t>
        </is>
      </c>
      <c r="U985" s="49" t="n">
        <v>0</v>
      </c>
      <c r="V985" s="72" t="inlineStr">
        <is>
          <t>Р-Б</t>
        </is>
      </c>
      <c r="W985" s="49" t="n">
        <v>3</v>
      </c>
    </row>
    <row r="986">
      <c r="A986" s="72" t="n">
        <v>962</v>
      </c>
      <c r="B986" s="21" t="inlineStr">
        <is>
          <t>3 этаж (отм. +7.550…+11.150)</t>
        </is>
      </c>
      <c r="C986" s="21" t="inlineStr">
        <is>
          <t>Ригели</t>
        </is>
      </c>
      <c r="D986" s="21" t="inlineStr">
        <is>
          <t>ось Б (отм. +11.150)</t>
        </is>
      </c>
      <c r="E986" s="21" t="inlineStr">
        <is>
          <t>Р-Б</t>
        </is>
      </c>
      <c r="F986" s="72" t="inlineStr">
        <is>
          <t>ОС</t>
        </is>
      </c>
      <c r="G986" s="21" t="inlineStr">
        <is>
          <t>Ос (бок) бок: 4Ø12, участок 4700…21800 мм</t>
        </is>
      </c>
      <c r="H986" s="51" t="n">
        <v>12</v>
      </c>
      <c r="I986" s="72" t="inlineStr">
        <is>
          <t>А500С</t>
        </is>
      </c>
      <c r="J986" s="72" t="inlineStr">
        <is>
          <t>—</t>
        </is>
      </c>
      <c r="K986" s="75" t="n">
        <v>1</v>
      </c>
      <c r="L986" s="51" t="n">
        <v>4</v>
      </c>
      <c r="M986" s="69" t="n">
        <v>17.1</v>
      </c>
      <c r="N986" s="70">
        <f>K986*L986*M986</f>
        <v/>
      </c>
      <c r="O986" s="37">
        <f>IFERROR(INDEX(Исходные!$B$19:$B$31,MATCH(H986,Исходные!$A$19:$A$31,0)),0)</f>
        <v/>
      </c>
      <c r="P986" s="76">
        <f>N986*O986</f>
        <v/>
      </c>
      <c r="Q986" s="21" t="inlineStr">
        <is>
          <t>АС-21 (отм. 11.150): выноска «Ос (бок) 4Ø12 А500С»; длина по привязкам отдельных стержней</t>
        </is>
      </c>
      <c r="R986" s="77" t="inlineStr">
        <is>
          <t>по геометрии чертежа</t>
        </is>
      </c>
      <c r="S986" s="21" t="inlineStr">
        <is>
          <t>Координаты от оси 1: 4700…21800 мм</t>
        </is>
      </c>
      <c r="T986" s="21" t="inlineStr">
        <is>
          <t>Ригели, балки, плита, С-1</t>
        </is>
      </c>
      <c r="U986" s="49" t="n">
        <v>0</v>
      </c>
      <c r="V986" s="72" t="inlineStr">
        <is>
          <t>Р-Б</t>
        </is>
      </c>
      <c r="W986" s="49" t="n">
        <v>3</v>
      </c>
    </row>
    <row r="987">
      <c r="A987" s="72" t="n">
        <v>963</v>
      </c>
      <c r="B987" s="21" t="inlineStr">
        <is>
          <t>3 этаж (отм. +7.550…+11.150)</t>
        </is>
      </c>
      <c r="C987" s="21" t="inlineStr">
        <is>
          <t>Ригели</t>
        </is>
      </c>
      <c r="D987" s="21" t="inlineStr">
        <is>
          <t>ось Б (отм. +11.150)</t>
        </is>
      </c>
      <c r="E987" s="21" t="inlineStr">
        <is>
          <t>Р-Б</t>
        </is>
      </c>
      <c r="F987" s="72" t="inlineStr">
        <is>
          <t>ОС-нахл</t>
        </is>
      </c>
      <c r="G987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987" s="51" t="n">
        <v>12</v>
      </c>
      <c r="I987" s="72" t="inlineStr">
        <is>
          <t>А500С</t>
        </is>
      </c>
      <c r="J987" s="72" t="inlineStr">
        <is>
          <t>—</t>
        </is>
      </c>
      <c r="K987" s="75" t="n">
        <v>4</v>
      </c>
      <c r="L987" s="51" t="n">
        <v>1</v>
      </c>
      <c r="M987" s="69" t="n">
        <v>0.096</v>
      </c>
      <c r="N987" s="70">
        <f>K987*L987*M987</f>
        <v/>
      </c>
      <c r="O987" s="37">
        <f>IFERROR(INDEX(Исходные!$B$19:$B$31,MATCH(H987,Исходные!$A$19:$A$31,0)),0)</f>
        <v/>
      </c>
      <c r="P987" s="76">
        <f>N987*O987</f>
        <v/>
      </c>
      <c r="Q987" s="21" t="inlineStr">
        <is>
          <t>АС-19 прим.1: Ø18 и менее — внахлёстку электродуговой сваркой, Lшва=8d = 96 мм</t>
        </is>
      </c>
      <c r="R987" s="77" t="inlineStr">
        <is>
          <t>по проекту (стыковка прутков 11,7 м)</t>
        </is>
      </c>
      <c r="S987" s="21" t="inlineStr">
        <is>
          <t>Чистая длина 17.100 м; кусков 2; стыков 1; Lнахл=1×0.096=0.096 м на стержень</t>
        </is>
      </c>
      <c r="T987" s="21" t="inlineStr">
        <is>
          <t>Ригели, балки, плита, С-1</t>
        </is>
      </c>
      <c r="U987" s="49" t="n">
        <v>0</v>
      </c>
      <c r="V987" s="72" t="inlineStr">
        <is>
          <t>Р-Б</t>
        </is>
      </c>
      <c r="W987" s="49" t="n">
        <v>3</v>
      </c>
    </row>
    <row r="988">
      <c r="A988" s="72" t="n">
        <v>964</v>
      </c>
      <c r="B988" s="21" t="inlineStr">
        <is>
          <t>3 этаж (отм. +7.550…+11.150)</t>
        </is>
      </c>
      <c r="C988" s="21" t="inlineStr">
        <is>
          <t>Ригели</t>
        </is>
      </c>
      <c r="D988" s="21" t="inlineStr">
        <is>
          <t>ось Б (отм. +11.150)</t>
        </is>
      </c>
      <c r="E988" s="21" t="inlineStr">
        <is>
          <t>Р-Б</t>
        </is>
      </c>
      <c r="F988" s="72" t="inlineStr">
        <is>
          <t>12</t>
        </is>
      </c>
      <c r="G988" s="21" t="inlineStr">
        <is>
          <t>Хомут Ø8 L=2060 ш.100 у опор, ш.150 в пролёте, 80×4 у балок — вне заштрихованных участков</t>
        </is>
      </c>
      <c r="H988" s="51" t="n">
        <v>8</v>
      </c>
      <c r="I988" s="72" t="inlineStr">
        <is>
          <t>А240</t>
        </is>
      </c>
      <c r="J988" s="72" t="inlineStr">
        <is>
          <t>100/150</t>
        </is>
      </c>
      <c r="K988" s="75" t="n">
        <v>1</v>
      </c>
      <c r="L988" s="51" t="n">
        <v>90</v>
      </c>
      <c r="M988" s="69" t="n">
        <v>2.06</v>
      </c>
      <c r="N988" s="70">
        <f>K988*L988*M988</f>
        <v/>
      </c>
      <c r="O988" s="37">
        <f>IFERROR(INDEX(Исходные!$B$19:$B$31,MATCH(H988,Исходные!$A$19:$A$31,0)),0)</f>
        <v/>
      </c>
      <c r="P988" s="76">
        <f>N988*O988</f>
        <v/>
      </c>
      <c r="Q988" s="21" t="inlineStr">
        <is>
          <t>АС-28 поз.12; АС-29 «Расстановка хомутов в ригелях»</t>
        </is>
      </c>
      <c r="R988" s="77" t="inlineStr">
        <is>
          <t>по проекту</t>
        </is>
      </c>
      <c r="S988" s="21" t="inlineStr">
        <is>
          <t>Пролёты в свету [(300, 6200), (6800, 13200), (13800, 19700), (20300, 24700)]</t>
        </is>
      </c>
      <c r="T988" s="21" t="inlineStr">
        <is>
          <t>Ригели, балки, плита, С-1</t>
        </is>
      </c>
      <c r="U988" s="49" t="n">
        <v>0</v>
      </c>
      <c r="V988" s="72" t="inlineStr">
        <is>
          <t>Р-Б</t>
        </is>
      </c>
      <c r="W988" s="49" t="n">
        <v>3</v>
      </c>
    </row>
    <row r="989">
      <c r="A989" s="72" t="n">
        <v>965</v>
      </c>
      <c r="B989" s="21" t="inlineStr">
        <is>
          <t>3 этаж (отм. +7.550…+11.150)</t>
        </is>
      </c>
      <c r="C989" s="21" t="inlineStr">
        <is>
          <t>Ригели</t>
        </is>
      </c>
      <c r="D989" s="21" t="inlineStr">
        <is>
          <t>ось Б (отм. +11.150)</t>
        </is>
      </c>
      <c r="E989" s="21" t="inlineStr">
        <is>
          <t>Р-Б</t>
        </is>
      </c>
      <c r="F989" s="72" t="inlineStr">
        <is>
          <t>13</t>
        </is>
      </c>
      <c r="G989" s="21" t="inlineStr">
        <is>
          <t>Хомут наружный Ø10 L=2060 ш.100 — заштрихованные участки</t>
        </is>
      </c>
      <c r="H989" s="51" t="n">
        <v>10</v>
      </c>
      <c r="I989" s="72" t="inlineStr">
        <is>
          <t>А240</t>
        </is>
      </c>
      <c r="J989" s="72" t="n">
        <v>100</v>
      </c>
      <c r="K989" s="75" t="n">
        <v>1</v>
      </c>
      <c r="L989" s="51" t="n">
        <v>105</v>
      </c>
      <c r="M989" s="69" t="n">
        <v>2.06</v>
      </c>
      <c r="N989" s="70">
        <f>K989*L989*M989</f>
        <v/>
      </c>
      <c r="O989" s="37">
        <f>IFERROR(INDEX(Исходные!$B$19:$B$31,MATCH(H989,Исходные!$A$19:$A$31,0)),0)</f>
        <v/>
      </c>
      <c r="P989" s="76">
        <f>N989*O989</f>
        <v/>
      </c>
      <c r="Q989" s="21" t="inlineStr">
        <is>
          <t>АС-21 штриховка у отм. 11.150; АС-28 Фрагмент №1, поз.13</t>
        </is>
      </c>
      <c r="R989" s="77" t="inlineStr">
        <is>
          <t>по проекту</t>
        </is>
      </c>
      <c r="S989" s="21" t="inlineStr">
        <is>
          <t>Участки (мм): одинарные [(0, 1500), (7700, 12300), (13500, 14700), (16800, 18800)], двойные [(6500, 7700), (12300, 13500), (18800, 20000)]</t>
        </is>
      </c>
      <c r="T989" s="21" t="inlineStr">
        <is>
          <t>Ригели, балки, плита, С-1</t>
        </is>
      </c>
      <c r="U989" s="49" t="n">
        <v>0</v>
      </c>
      <c r="V989" s="72" t="inlineStr">
        <is>
          <t>Р-Б</t>
        </is>
      </c>
      <c r="W989" s="49" t="n">
        <v>3</v>
      </c>
    </row>
    <row r="990">
      <c r="A990" s="72" t="n">
        <v>966</v>
      </c>
      <c r="B990" s="21" t="inlineStr">
        <is>
          <t>3 этаж (отм. +7.550…+11.150)</t>
        </is>
      </c>
      <c r="C990" s="21" t="inlineStr">
        <is>
          <t>Ригели</t>
        </is>
      </c>
      <c r="D990" s="21" t="inlineStr">
        <is>
          <t>ось Б (отм. +11.150)</t>
        </is>
      </c>
      <c r="E990" s="21" t="inlineStr">
        <is>
          <t>Р-Б</t>
        </is>
      </c>
      <c r="F990" s="72" t="inlineStr">
        <is>
          <t>15</t>
        </is>
      </c>
      <c r="G990" s="21" t="inlineStr">
        <is>
          <t>Хомут внутренний Ø10 L=1600 ш.100 — участки двойных хомутов</t>
        </is>
      </c>
      <c r="H990" s="51" t="n">
        <v>10</v>
      </c>
      <c r="I990" s="72" t="inlineStr">
        <is>
          <t>А240</t>
        </is>
      </c>
      <c r="J990" s="72" t="n">
        <v>100</v>
      </c>
      <c r="K990" s="75" t="n">
        <v>1</v>
      </c>
      <c r="L990" s="51" t="n">
        <v>28</v>
      </c>
      <c r="M990" s="69" t="n">
        <v>1.6</v>
      </c>
      <c r="N990" s="70">
        <f>K990*L990*M990</f>
        <v/>
      </c>
      <c r="O990" s="37">
        <f>IFERROR(INDEX(Исходные!$B$19:$B$31,MATCH(H990,Исходные!$A$19:$A$31,0)),0)</f>
        <v/>
      </c>
      <c r="P990" s="76">
        <f>N990*O990</f>
        <v/>
      </c>
      <c r="Q990" s="21" t="inlineStr">
        <is>
          <t>АС-21 двойная штриховка; АС-28 Фрагмент №1, поз.15</t>
        </is>
      </c>
      <c r="R990" s="77" t="inlineStr">
        <is>
          <t>по проекту</t>
        </is>
      </c>
      <c r="S990" s="21" t="inlineStr"/>
      <c r="T990" s="21" t="inlineStr">
        <is>
          <t>Ригели, балки, плита, С-1</t>
        </is>
      </c>
      <c r="U990" s="49" t="n">
        <v>0</v>
      </c>
      <c r="V990" s="72" t="inlineStr">
        <is>
          <t>Р-Б</t>
        </is>
      </c>
      <c r="W990" s="49" t="n">
        <v>3</v>
      </c>
    </row>
    <row r="991">
      <c r="A991" s="72" t="n">
        <v>967</v>
      </c>
      <c r="B991" s="21" t="inlineStr">
        <is>
          <t>3 этаж (отм. +7.550…+11.150)</t>
        </is>
      </c>
      <c r="C991" s="21" t="inlineStr">
        <is>
          <t>Ригели</t>
        </is>
      </c>
      <c r="D991" s="21" t="inlineStr">
        <is>
          <t>ось Б (отм. +11.150)</t>
        </is>
      </c>
      <c r="E991" s="21" t="inlineStr">
        <is>
          <t>Р-Б</t>
        </is>
      </c>
      <c r="F991" s="72" t="inlineStr">
        <is>
          <t>17</t>
        </is>
      </c>
      <c r="G991" s="21" t="inlineStr">
        <is>
          <t>Шпилька вертикальная Ø8 L=750: ш.200 у опор, ш.150 в пролёте</t>
        </is>
      </c>
      <c r="H991" s="51" t="n">
        <v>8</v>
      </c>
      <c r="I991" s="72" t="inlineStr">
        <is>
          <t>А240</t>
        </is>
      </c>
      <c r="J991" s="72" t="inlineStr">
        <is>
          <t>200/150</t>
        </is>
      </c>
      <c r="K991" s="75" t="n">
        <v>1</v>
      </c>
      <c r="L991" s="51" t="n">
        <v>109</v>
      </c>
      <c r="M991" s="69" t="n">
        <v>0.75</v>
      </c>
      <c r="N991" s="70">
        <f>K991*L991*M991</f>
        <v/>
      </c>
      <c r="O991" s="37">
        <f>IFERROR(INDEX(Исходные!$B$19:$B$31,MATCH(H991,Исходные!$A$19:$A$31,0)),0)</f>
        <v/>
      </c>
      <c r="P991" s="76">
        <f>N991*O991</f>
        <v/>
      </c>
      <c r="Q991" s="21" t="inlineStr">
        <is>
          <t>АС-28 сеч.4-4/5-5 поз.17</t>
        </is>
      </c>
      <c r="R991" s="77" t="inlineStr">
        <is>
          <t>по проекту</t>
        </is>
      </c>
      <c r="S991" s="21" t="inlineStr"/>
      <c r="T991" s="21" t="inlineStr">
        <is>
          <t>Ригели, балки, плита, С-1</t>
        </is>
      </c>
      <c r="U991" s="49" t="n">
        <v>0</v>
      </c>
      <c r="V991" s="72" t="inlineStr">
        <is>
          <t>Р-Б</t>
        </is>
      </c>
      <c r="W991" s="49" t="n">
        <v>3</v>
      </c>
    </row>
    <row r="992">
      <c r="A992" s="72" t="n">
        <v>968</v>
      </c>
      <c r="B992" s="21" t="inlineStr">
        <is>
          <t>3 этаж (отм. +7.550…+11.150)</t>
        </is>
      </c>
      <c r="C992" s="21" t="inlineStr">
        <is>
          <t>Ригели</t>
        </is>
      </c>
      <c r="D992" s="21" t="inlineStr">
        <is>
          <t>ось Б (отм. +11.150)</t>
        </is>
      </c>
      <c r="E992" s="21" t="inlineStr">
        <is>
          <t>Р-Б</t>
        </is>
      </c>
      <c r="F992" s="72" t="inlineStr">
        <is>
          <t>16</t>
        </is>
      </c>
      <c r="G992" s="21" t="inlineStr">
        <is>
          <t>Шпилька горизонтальная Ø8 L=580 ш.300</t>
        </is>
      </c>
      <c r="H992" s="51" t="n">
        <v>8</v>
      </c>
      <c r="I992" s="72" t="inlineStr">
        <is>
          <t>А240</t>
        </is>
      </c>
      <c r="J992" s="72" t="n">
        <v>300</v>
      </c>
      <c r="K992" s="75" t="n">
        <v>1</v>
      </c>
      <c r="L992" s="51" t="n">
        <v>77</v>
      </c>
      <c r="M992" s="69" t="n">
        <v>0.58</v>
      </c>
      <c r="N992" s="70">
        <f>K992*L992*M992</f>
        <v/>
      </c>
      <c r="O992" s="37">
        <f>IFERROR(INDEX(Исходные!$B$19:$B$31,MATCH(H992,Исходные!$A$19:$A$31,0)),0)</f>
        <v/>
      </c>
      <c r="P992" s="76">
        <f>N992*O992</f>
        <v/>
      </c>
      <c r="Q992" s="21" t="inlineStr">
        <is>
          <t>АС-28 «шп.Ø8 А240 ш.300», поз.16 L=580</t>
        </is>
      </c>
      <c r="R992" s="78" t="inlineStr">
        <is>
          <t>принято (уточнить)</t>
        </is>
      </c>
      <c r="S992" s="21" t="inlineStr"/>
      <c r="T992" s="21" t="inlineStr">
        <is>
          <t>Ригели, балки, плита, С-1</t>
        </is>
      </c>
      <c r="U992" s="49" t="n">
        <v>1</v>
      </c>
      <c r="V992" s="72" t="inlineStr">
        <is>
          <t>Р-Б</t>
        </is>
      </c>
      <c r="W992" s="49" t="n">
        <v>3</v>
      </c>
    </row>
    <row r="993">
      <c r="A993" s="72" t="n">
        <v>969</v>
      </c>
      <c r="B993" s="21" t="inlineStr">
        <is>
          <t>3 этаж (отм. +7.550…+11.150)</t>
        </is>
      </c>
      <c r="C993" s="21" t="inlineStr">
        <is>
          <t>Ригели</t>
        </is>
      </c>
      <c r="D993" s="21" t="inlineStr">
        <is>
          <t>ось В (отм. +11.150)</t>
        </is>
      </c>
      <c r="E993" s="21" t="inlineStr">
        <is>
          <t>Р-В</t>
        </is>
      </c>
      <c r="F993" s="72" t="inlineStr">
        <is>
          <t>2</t>
        </is>
      </c>
      <c r="G993" s="21" t="inlineStr">
        <is>
          <t>Продольные угловые 4Ø28 (сеч.4-4/5-5), сквозные, концы с Аш</t>
        </is>
      </c>
      <c r="H993" s="51" t="n">
        <v>28</v>
      </c>
      <c r="I993" s="72" t="inlineStr">
        <is>
          <t>А500С</t>
        </is>
      </c>
      <c r="J993" s="72" t="inlineStr">
        <is>
          <t>—</t>
        </is>
      </c>
      <c r="K993" s="75" t="n">
        <v>1</v>
      </c>
      <c r="L993" s="51" t="n">
        <v>4</v>
      </c>
      <c r="M993" s="69" t="n">
        <v>25.5</v>
      </c>
      <c r="N993" s="70">
        <f>K993*L993*M993</f>
        <v/>
      </c>
      <c r="O993" s="37">
        <f>IFERROR(INDEX(Исходные!$B$19:$B$31,MATCH(H993,Исходные!$A$19:$A$31,0)),0)</f>
        <v/>
      </c>
      <c r="P993" s="76">
        <f>N993*O993</f>
        <v/>
      </c>
      <c r="Q993" s="21" t="inlineStr">
        <is>
          <t>АС-22 рама + АС-28 сеч.4-4/5-5 поз.2; длина = 25000+2×250</t>
        </is>
      </c>
      <c r="R993" s="77" t="inlineStr">
        <is>
          <t>по геометрии чертежа</t>
        </is>
      </c>
      <c r="S993" s="21" t="inlineStr">
        <is>
          <t>Стыки ванной сваркой без нахлёста: 2 на стержень (всего 8).</t>
        </is>
      </c>
      <c r="T993" s="21" t="inlineStr">
        <is>
          <t>Ригели, балки, плита, С-1</t>
        </is>
      </c>
      <c r="U993" s="49" t="n">
        <v>0</v>
      </c>
      <c r="V993" s="72" t="inlineStr">
        <is>
          <t>Р-В</t>
        </is>
      </c>
      <c r="W993" s="49" t="n">
        <v>3</v>
      </c>
    </row>
    <row r="994">
      <c r="A994" s="72" t="n">
        <v>970</v>
      </c>
      <c r="B994" s="21" t="inlineStr">
        <is>
          <t>3 этаж (отм. +7.550…+11.150)</t>
        </is>
      </c>
      <c r="C994" s="21" t="inlineStr">
        <is>
          <t>Ригели</t>
        </is>
      </c>
      <c r="D994" s="21" t="inlineStr">
        <is>
          <t>ось В (отм. +11.150)</t>
        </is>
      </c>
      <c r="E994" s="21" t="inlineStr">
        <is>
          <t>Р-В</t>
        </is>
      </c>
      <c r="F994" s="72" t="inlineStr">
        <is>
          <t>6</t>
        </is>
      </c>
      <c r="G994" s="21" t="inlineStr">
        <is>
          <t>Продольные средние верх/низ 2Ø18 (сеч.4-4/5-5)</t>
        </is>
      </c>
      <c r="H994" s="51" t="n">
        <v>18</v>
      </c>
      <c r="I994" s="72" t="inlineStr">
        <is>
          <t>А500С</t>
        </is>
      </c>
      <c r="J994" s="72" t="inlineStr">
        <is>
          <t>—</t>
        </is>
      </c>
      <c r="K994" s="75" t="n">
        <v>1</v>
      </c>
      <c r="L994" s="51" t="n">
        <v>2</v>
      </c>
      <c r="M994" s="69" t="n">
        <v>25.5</v>
      </c>
      <c r="N994" s="70">
        <f>K994*L994*M994</f>
        <v/>
      </c>
      <c r="O994" s="37">
        <f>IFERROR(INDEX(Исходные!$B$19:$B$31,MATCH(H994,Исходные!$A$19:$A$31,0)),0)</f>
        <v/>
      </c>
      <c r="P994" s="76">
        <f>N994*O994</f>
        <v/>
      </c>
      <c r="Q994" s="21" t="inlineStr">
        <is>
          <t>АС-28 сеч.4-4/5-5 поз.6</t>
        </is>
      </c>
      <c r="R994" s="77" t="inlineStr">
        <is>
          <t>по геометрии чертежа</t>
        </is>
      </c>
      <c r="S994" s="21" t="inlineStr"/>
      <c r="T994" s="21" t="inlineStr">
        <is>
          <t>Ригели, балки, плита, С-1</t>
        </is>
      </c>
      <c r="U994" s="49" t="n">
        <v>0</v>
      </c>
      <c r="V994" s="72" t="inlineStr">
        <is>
          <t>Р-В</t>
        </is>
      </c>
      <c r="W994" s="49" t="n">
        <v>3</v>
      </c>
    </row>
    <row r="995">
      <c r="A995" s="72" t="n">
        <v>971</v>
      </c>
      <c r="B995" s="21" t="inlineStr">
        <is>
          <t>3 этаж (отм. +7.550…+11.150)</t>
        </is>
      </c>
      <c r="C995" s="21" t="inlineStr">
        <is>
          <t>Ригели</t>
        </is>
      </c>
      <c r="D995" s="21" t="inlineStr">
        <is>
          <t>ось В (отм. +11.150)</t>
        </is>
      </c>
      <c r="E995" s="21" t="inlineStr">
        <is>
          <t>Р-В</t>
        </is>
      </c>
      <c r="F995" s="72" t="inlineStr">
        <is>
          <t>6-нахл</t>
        </is>
      </c>
      <c r="G995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995" s="51" t="n">
        <v>18</v>
      </c>
      <c r="I995" s="72" t="inlineStr">
        <is>
          <t>А500С</t>
        </is>
      </c>
      <c r="J995" s="72" t="inlineStr">
        <is>
          <t>—</t>
        </is>
      </c>
      <c r="K995" s="75" t="n">
        <v>2</v>
      </c>
      <c r="L995" s="51" t="n">
        <v>2</v>
      </c>
      <c r="M995" s="69" t="n">
        <v>0.144</v>
      </c>
      <c r="N995" s="70">
        <f>K995*L995*M995</f>
        <v/>
      </c>
      <c r="O995" s="37">
        <f>IFERROR(INDEX(Исходные!$B$19:$B$31,MATCH(H995,Исходные!$A$19:$A$31,0)),0)</f>
        <v/>
      </c>
      <c r="P995" s="76">
        <f>N995*O995</f>
        <v/>
      </c>
      <c r="Q995" s="21" t="inlineStr">
        <is>
          <t>АС-19 прим.1: Ø18 и менее — внахлёстку электродуговой сваркой, Lшва=8d = 144 мм</t>
        </is>
      </c>
      <c r="R995" s="77" t="inlineStr">
        <is>
          <t>по проекту (стыковка прутков 11,7 м)</t>
        </is>
      </c>
      <c r="S995" s="21" t="inlineStr">
        <is>
          <t>Чистая длина 25.500 м; кусков 3; стыков 2; Lнахл=2×0.144=0.288 м на стержень</t>
        </is>
      </c>
      <c r="T995" s="21" t="inlineStr">
        <is>
          <t>Ригели, балки, плита, С-1</t>
        </is>
      </c>
      <c r="U995" s="49" t="n">
        <v>0</v>
      </c>
      <c r="V995" s="72" t="inlineStr">
        <is>
          <t>Р-В</t>
        </is>
      </c>
      <c r="W995" s="49" t="n">
        <v>3</v>
      </c>
    </row>
    <row r="996">
      <c r="A996" s="72" t="n">
        <v>972</v>
      </c>
      <c r="B996" s="21" t="inlineStr">
        <is>
          <t>3 этаж (отм. +7.550…+11.150)</t>
        </is>
      </c>
      <c r="C996" s="21" t="inlineStr">
        <is>
          <t>Ригели</t>
        </is>
      </c>
      <c r="D996" s="21" t="inlineStr">
        <is>
          <t>ось В (отм. +11.150)</t>
        </is>
      </c>
      <c r="E996" s="21" t="inlineStr">
        <is>
          <t>Р-В</t>
        </is>
      </c>
      <c r="F996" s="72" t="inlineStr">
        <is>
          <t>7</t>
        </is>
      </c>
      <c r="G996" s="21" t="inlineStr">
        <is>
          <t>Боковые стержни 2Ø16 (сеч.4-4/5-5)</t>
        </is>
      </c>
      <c r="H996" s="51" t="n">
        <v>16</v>
      </c>
      <c r="I996" s="72" t="inlineStr">
        <is>
          <t>А500С</t>
        </is>
      </c>
      <c r="J996" s="72" t="inlineStr">
        <is>
          <t>—</t>
        </is>
      </c>
      <c r="K996" s="75" t="n">
        <v>1</v>
      </c>
      <c r="L996" s="51" t="n">
        <v>2</v>
      </c>
      <c r="M996" s="69" t="n">
        <v>25.5</v>
      </c>
      <c r="N996" s="70">
        <f>K996*L996*M996</f>
        <v/>
      </c>
      <c r="O996" s="37">
        <f>IFERROR(INDEX(Исходные!$B$19:$B$31,MATCH(H996,Исходные!$A$19:$A$31,0)),0)</f>
        <v/>
      </c>
      <c r="P996" s="76">
        <f>N996*O996</f>
        <v/>
      </c>
      <c r="Q996" s="21" t="inlineStr">
        <is>
          <t>АС-28 сеч.4-4/5-5 «Боковые стержни 2Ø16»</t>
        </is>
      </c>
      <c r="R996" s="77" t="inlineStr">
        <is>
          <t>по геометрии чертежа</t>
        </is>
      </c>
      <c r="S996" s="21" t="inlineStr"/>
      <c r="T996" s="21" t="inlineStr">
        <is>
          <t>Ригели, балки, плита, С-1</t>
        </is>
      </c>
      <c r="U996" s="49" t="n">
        <v>0</v>
      </c>
      <c r="V996" s="72" t="inlineStr">
        <is>
          <t>Р-В</t>
        </is>
      </c>
      <c r="W996" s="49" t="n">
        <v>3</v>
      </c>
    </row>
    <row r="997">
      <c r="A997" s="72" t="n">
        <v>973</v>
      </c>
      <c r="B997" s="21" t="inlineStr">
        <is>
          <t>3 этаж (отм. +7.550…+11.150)</t>
        </is>
      </c>
      <c r="C997" s="21" t="inlineStr">
        <is>
          <t>Ригели</t>
        </is>
      </c>
      <c r="D997" s="21" t="inlineStr">
        <is>
          <t>ось В (отм. +11.150)</t>
        </is>
      </c>
      <c r="E997" s="21" t="inlineStr">
        <is>
          <t>Р-В</t>
        </is>
      </c>
      <c r="F997" s="72" t="inlineStr">
        <is>
          <t>7-нахл</t>
        </is>
      </c>
      <c r="G997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997" s="51" t="n">
        <v>16</v>
      </c>
      <c r="I997" s="72" t="inlineStr">
        <is>
          <t>А500С</t>
        </is>
      </c>
      <c r="J997" s="72" t="inlineStr">
        <is>
          <t>—</t>
        </is>
      </c>
      <c r="K997" s="75" t="n">
        <v>2</v>
      </c>
      <c r="L997" s="51" t="n">
        <v>2</v>
      </c>
      <c r="M997" s="69" t="n">
        <v>0.128</v>
      </c>
      <c r="N997" s="70">
        <f>K997*L997*M997</f>
        <v/>
      </c>
      <c r="O997" s="37">
        <f>IFERROR(INDEX(Исходные!$B$19:$B$31,MATCH(H997,Исходные!$A$19:$A$31,0)),0)</f>
        <v/>
      </c>
      <c r="P997" s="76">
        <f>N997*O997</f>
        <v/>
      </c>
      <c r="Q997" s="21" t="inlineStr">
        <is>
          <t>АС-19 прим.1: Ø18 и менее — внахлёстку электродуговой сваркой, Lшва=8d = 128 мм</t>
        </is>
      </c>
      <c r="R997" s="77" t="inlineStr">
        <is>
          <t>по проекту (стыковка прутков 11,7 м)</t>
        </is>
      </c>
      <c r="S997" s="21" t="inlineStr">
        <is>
          <t>Чистая длина 25.500 м; кусков 3; стыков 2; Lнахл=2×0.128=0.256 м на стержень</t>
        </is>
      </c>
      <c r="T997" s="21" t="inlineStr">
        <is>
          <t>Ригели, балки, плита, С-1</t>
        </is>
      </c>
      <c r="U997" s="49" t="n">
        <v>0</v>
      </c>
      <c r="V997" s="72" t="inlineStr">
        <is>
          <t>Р-В</t>
        </is>
      </c>
      <c r="W997" s="49" t="n">
        <v>3</v>
      </c>
    </row>
    <row r="998">
      <c r="A998" s="72" t="n">
        <v>974</v>
      </c>
      <c r="B998" s="21" t="inlineStr">
        <is>
          <t>3 этаж (отм. +7.550…+11.150)</t>
        </is>
      </c>
      <c r="C998" s="21" t="inlineStr">
        <is>
          <t>Ригели</t>
        </is>
      </c>
      <c r="D998" s="21" t="inlineStr">
        <is>
          <t>ось В (отм. +11.150)</t>
        </is>
      </c>
      <c r="E998" s="21" t="inlineStr">
        <is>
          <t>Р-В</t>
        </is>
      </c>
      <c r="F998" s="72" t="inlineStr">
        <is>
          <t>ОС</t>
        </is>
      </c>
      <c r="G998" s="21" t="inlineStr">
        <is>
          <t>ОС верх: 2Ø28, участок 0…1800 мм + 250 до торца</t>
        </is>
      </c>
      <c r="H998" s="51" t="n">
        <v>28</v>
      </c>
      <c r="I998" s="72" t="inlineStr">
        <is>
          <t>А500С</t>
        </is>
      </c>
      <c r="J998" s="72" t="inlineStr">
        <is>
          <t>—</t>
        </is>
      </c>
      <c r="K998" s="75" t="n">
        <v>1</v>
      </c>
      <c r="L998" s="51" t="n">
        <v>2</v>
      </c>
      <c r="M998" s="69" t="n">
        <v>2.05</v>
      </c>
      <c r="N998" s="70">
        <f>K998*L998*M998</f>
        <v/>
      </c>
      <c r="O998" s="37">
        <f>IFERROR(INDEX(Исходные!$B$19:$B$31,MATCH(H998,Исходные!$A$19:$A$31,0)),0)</f>
        <v/>
      </c>
      <c r="P998" s="76">
        <f>N998*O998</f>
        <v/>
      </c>
      <c r="Q998" s="21" t="inlineStr">
        <is>
          <t>АС-22 (отм. 11.150): выноска «ОС 2Ø28 А500С»; длина по привязкам отдельных стержней</t>
        </is>
      </c>
      <c r="R998" s="77" t="inlineStr">
        <is>
          <t>по геометрии чертежа</t>
        </is>
      </c>
      <c r="S998" s="21" t="inlineStr">
        <is>
          <t>Координаты от оси 1: 0…1800 мм; конец до торца крайней колонны (+250)</t>
        </is>
      </c>
      <c r="T998" s="21" t="inlineStr">
        <is>
          <t>Ригели, балки, плита, С-1</t>
        </is>
      </c>
      <c r="U998" s="49" t="n">
        <v>0</v>
      </c>
      <c r="V998" s="72" t="inlineStr">
        <is>
          <t>Р-В</t>
        </is>
      </c>
      <c r="W998" s="49" t="n">
        <v>3</v>
      </c>
    </row>
    <row r="999">
      <c r="A999" s="72" t="n">
        <v>975</v>
      </c>
      <c r="B999" s="21" t="inlineStr">
        <is>
          <t>3 этаж (отм. +7.550…+11.150)</t>
        </is>
      </c>
      <c r="C999" s="21" t="inlineStr">
        <is>
          <t>Ригели</t>
        </is>
      </c>
      <c r="D999" s="21" t="inlineStr">
        <is>
          <t>ось В (отм. +11.150)</t>
        </is>
      </c>
      <c r="E999" s="21" t="inlineStr">
        <is>
          <t>Р-В</t>
        </is>
      </c>
      <c r="F999" s="72" t="inlineStr">
        <is>
          <t>ОС</t>
        </is>
      </c>
      <c r="G999" s="21" t="inlineStr">
        <is>
          <t>ОС верх: 2Ø28, участок 4700…8400 мм</t>
        </is>
      </c>
      <c r="H999" s="51" t="n">
        <v>28</v>
      </c>
      <c r="I999" s="72" t="inlineStr">
        <is>
          <t>А500С</t>
        </is>
      </c>
      <c r="J999" s="72" t="inlineStr">
        <is>
          <t>—</t>
        </is>
      </c>
      <c r="K999" s="75" t="n">
        <v>1</v>
      </c>
      <c r="L999" s="51" t="n">
        <v>2</v>
      </c>
      <c r="M999" s="69" t="n">
        <v>3.7</v>
      </c>
      <c r="N999" s="70">
        <f>K999*L999*M999</f>
        <v/>
      </c>
      <c r="O999" s="37">
        <f>IFERROR(INDEX(Исходные!$B$19:$B$31,MATCH(H999,Исходные!$A$19:$A$31,0)),0)</f>
        <v/>
      </c>
      <c r="P999" s="76">
        <f>N999*O999</f>
        <v/>
      </c>
      <c r="Q999" s="21" t="inlineStr">
        <is>
          <t>АС-22 (отм. 11.150): выноска «ОС 2Ø28 А500С»; длина по привязкам отдельных стержней</t>
        </is>
      </c>
      <c r="R999" s="77" t="inlineStr">
        <is>
          <t>по геометрии чертежа</t>
        </is>
      </c>
      <c r="S999" s="21" t="inlineStr">
        <is>
          <t>Координаты от оси 1: 4700…8400 мм</t>
        </is>
      </c>
      <c r="T999" s="21" t="inlineStr">
        <is>
          <t>Ригели, балки, плита, С-1</t>
        </is>
      </c>
      <c r="U999" s="49" t="n">
        <v>0</v>
      </c>
      <c r="V999" s="72" t="inlineStr">
        <is>
          <t>Р-В</t>
        </is>
      </c>
      <c r="W999" s="49" t="n">
        <v>3</v>
      </c>
    </row>
    <row r="1000">
      <c r="A1000" s="72" t="n">
        <v>976</v>
      </c>
      <c r="B1000" s="21" t="inlineStr">
        <is>
          <t>3 этаж (отм. +7.550…+11.150)</t>
        </is>
      </c>
      <c r="C1000" s="21" t="inlineStr">
        <is>
          <t>Ригели</t>
        </is>
      </c>
      <c r="D1000" s="21" t="inlineStr">
        <is>
          <t>ось В (отм. +11.150)</t>
        </is>
      </c>
      <c r="E1000" s="21" t="inlineStr">
        <is>
          <t>Р-В</t>
        </is>
      </c>
      <c r="F1000" s="72" t="inlineStr">
        <is>
          <t>ОС</t>
        </is>
      </c>
      <c r="G1000" s="21" t="inlineStr">
        <is>
          <t>ОС верх ств.: 2Ø25, участок 4700…8400 мм</t>
        </is>
      </c>
      <c r="H1000" s="51" t="n">
        <v>25</v>
      </c>
      <c r="I1000" s="72" t="inlineStr">
        <is>
          <t>А500С</t>
        </is>
      </c>
      <c r="J1000" s="72" t="inlineStr">
        <is>
          <t>—</t>
        </is>
      </c>
      <c r="K1000" s="75" t="n">
        <v>1</v>
      </c>
      <c r="L1000" s="51" t="n">
        <v>2</v>
      </c>
      <c r="M1000" s="69" t="n">
        <v>3.7</v>
      </c>
      <c r="N1000" s="70">
        <f>K1000*L1000*M1000</f>
        <v/>
      </c>
      <c r="O1000" s="37">
        <f>IFERROR(INDEX(Исходные!$B$19:$B$31,MATCH(H1000,Исходные!$A$19:$A$31,0)),0)</f>
        <v/>
      </c>
      <c r="P1000" s="76">
        <f>N1000*O1000</f>
        <v/>
      </c>
      <c r="Q1000" s="21" t="inlineStr">
        <is>
          <t>АС-22 (отм. 11.150): выноска «ОС 2Ø25 А500С»; длина по привязкам отдельных стержней</t>
        </is>
      </c>
      <c r="R1000" s="77" t="inlineStr">
        <is>
          <t>по геометрии чертежа</t>
        </is>
      </c>
      <c r="S1000" s="21" t="inlineStr">
        <is>
          <t>Координаты от оси 1: 4700…8400 мм</t>
        </is>
      </c>
      <c r="T1000" s="21" t="inlineStr">
        <is>
          <t>Ригели, балки, плита, С-1</t>
        </is>
      </c>
      <c r="U1000" s="49" t="n">
        <v>0</v>
      </c>
      <c r="V1000" s="72" t="inlineStr">
        <is>
          <t>Р-В</t>
        </is>
      </c>
      <c r="W1000" s="49" t="n">
        <v>3</v>
      </c>
    </row>
    <row r="1001">
      <c r="A1001" s="72" t="n">
        <v>977</v>
      </c>
      <c r="B1001" s="21" t="inlineStr">
        <is>
          <t>3 этаж (отм. +7.550…+11.150)</t>
        </is>
      </c>
      <c r="C1001" s="21" t="inlineStr">
        <is>
          <t>Ригели</t>
        </is>
      </c>
      <c r="D1001" s="21" t="inlineStr">
        <is>
          <t>ось В (отм. +11.150)</t>
        </is>
      </c>
      <c r="E1001" s="21" t="inlineStr">
        <is>
          <t>Р-В</t>
        </is>
      </c>
      <c r="F1001" s="72" t="inlineStr">
        <is>
          <t>ОС</t>
        </is>
      </c>
      <c r="G1001" s="21" t="inlineStr">
        <is>
          <t>ОС верх: 2Ø32, участок 11600…15300 мм</t>
        </is>
      </c>
      <c r="H1001" s="51" t="n">
        <v>32</v>
      </c>
      <c r="I1001" s="72" t="inlineStr">
        <is>
          <t>А500С</t>
        </is>
      </c>
      <c r="J1001" s="72" t="inlineStr">
        <is>
          <t>—</t>
        </is>
      </c>
      <c r="K1001" s="75" t="n">
        <v>1</v>
      </c>
      <c r="L1001" s="51" t="n">
        <v>2</v>
      </c>
      <c r="M1001" s="69" t="n">
        <v>3.7</v>
      </c>
      <c r="N1001" s="70">
        <f>K1001*L1001*M1001</f>
        <v/>
      </c>
      <c r="O1001" s="37">
        <f>IFERROR(INDEX(Исходные!$B$19:$B$31,MATCH(H1001,Исходные!$A$19:$A$31,0)),0)</f>
        <v/>
      </c>
      <c r="P1001" s="76">
        <f>N1001*O1001</f>
        <v/>
      </c>
      <c r="Q1001" s="21" t="inlineStr">
        <is>
          <t>АС-22 (отм. 11.150): выноска «ОС 2Ø32 А500С»; длина по привязкам отдельных стержней</t>
        </is>
      </c>
      <c r="R1001" s="77" t="inlineStr">
        <is>
          <t>по геометрии чертежа</t>
        </is>
      </c>
      <c r="S1001" s="21" t="inlineStr">
        <is>
          <t>Координаты от оси 1: 11600…15300 мм</t>
        </is>
      </c>
      <c r="T1001" s="21" t="inlineStr">
        <is>
          <t>Ригели, балки, плита, С-1</t>
        </is>
      </c>
      <c r="U1001" s="49" t="n">
        <v>0</v>
      </c>
      <c r="V1001" s="72" t="inlineStr">
        <is>
          <t>Р-В</t>
        </is>
      </c>
      <c r="W1001" s="49" t="n">
        <v>3</v>
      </c>
    </row>
    <row r="1002">
      <c r="A1002" s="72" t="n">
        <v>978</v>
      </c>
      <c r="B1002" s="21" t="inlineStr">
        <is>
          <t>3 этаж (отм. +7.550…+11.150)</t>
        </is>
      </c>
      <c r="C1002" s="21" t="inlineStr">
        <is>
          <t>Ригели</t>
        </is>
      </c>
      <c r="D1002" s="21" t="inlineStr">
        <is>
          <t>ось В (отм. +11.150)</t>
        </is>
      </c>
      <c r="E1002" s="21" t="inlineStr">
        <is>
          <t>Р-В</t>
        </is>
      </c>
      <c r="F1002" s="72" t="inlineStr">
        <is>
          <t>ОС</t>
        </is>
      </c>
      <c r="G1002" s="21" t="inlineStr">
        <is>
          <t>ОС верх: 2Ø28, участок 18200…21800 мм</t>
        </is>
      </c>
      <c r="H1002" s="51" t="n">
        <v>28</v>
      </c>
      <c r="I1002" s="72" t="inlineStr">
        <is>
          <t>А500С</t>
        </is>
      </c>
      <c r="J1002" s="72" t="inlineStr">
        <is>
          <t>—</t>
        </is>
      </c>
      <c r="K1002" s="75" t="n">
        <v>1</v>
      </c>
      <c r="L1002" s="51" t="n">
        <v>2</v>
      </c>
      <c r="M1002" s="69" t="n">
        <v>3.6</v>
      </c>
      <c r="N1002" s="70">
        <f>K1002*L1002*M1002</f>
        <v/>
      </c>
      <c r="O1002" s="37">
        <f>IFERROR(INDEX(Исходные!$B$19:$B$31,MATCH(H1002,Исходные!$A$19:$A$31,0)),0)</f>
        <v/>
      </c>
      <c r="P1002" s="76">
        <f>N1002*O1002</f>
        <v/>
      </c>
      <c r="Q1002" s="21" t="inlineStr">
        <is>
          <t>АС-22 (отм. 11.150): выноска «ОС 2Ø28 А500С»; длина по привязкам отдельных стержней</t>
        </is>
      </c>
      <c r="R1002" s="77" t="inlineStr">
        <is>
          <t>по геометрии чертежа</t>
        </is>
      </c>
      <c r="S1002" s="21" t="inlineStr">
        <is>
          <t>Координаты от оси 1: 18200…21800 мм</t>
        </is>
      </c>
      <c r="T1002" s="21" t="inlineStr">
        <is>
          <t>Ригели, балки, плита, С-1</t>
        </is>
      </c>
      <c r="U1002" s="49" t="n">
        <v>0</v>
      </c>
      <c r="V1002" s="72" t="inlineStr">
        <is>
          <t>Р-В</t>
        </is>
      </c>
      <c r="W1002" s="49" t="n">
        <v>3</v>
      </c>
    </row>
    <row r="1003">
      <c r="A1003" s="72" t="n">
        <v>979</v>
      </c>
      <c r="B1003" s="21" t="inlineStr">
        <is>
          <t>3 этаж (отм. +7.550…+11.150)</t>
        </is>
      </c>
      <c r="C1003" s="21" t="inlineStr">
        <is>
          <t>Ригели</t>
        </is>
      </c>
      <c r="D1003" s="21" t="inlineStr">
        <is>
          <t>ось В (отм. +11.150)</t>
        </is>
      </c>
      <c r="E1003" s="21" t="inlineStr">
        <is>
          <t>Р-В</t>
        </is>
      </c>
      <c r="F1003" s="72" t="inlineStr">
        <is>
          <t>ОС</t>
        </is>
      </c>
      <c r="G1003" s="21" t="inlineStr">
        <is>
          <t>ОС верх: 2Ø25, участок 23200…25000 мм + 250 до торца</t>
        </is>
      </c>
      <c r="H1003" s="51" t="n">
        <v>25</v>
      </c>
      <c r="I1003" s="72" t="inlineStr">
        <is>
          <t>А500С</t>
        </is>
      </c>
      <c r="J1003" s="72" t="inlineStr">
        <is>
          <t>—</t>
        </is>
      </c>
      <c r="K1003" s="75" t="n">
        <v>1</v>
      </c>
      <c r="L1003" s="51" t="n">
        <v>2</v>
      </c>
      <c r="M1003" s="69" t="n">
        <v>2.05</v>
      </c>
      <c r="N1003" s="70">
        <f>K1003*L1003*M1003</f>
        <v/>
      </c>
      <c r="O1003" s="37">
        <f>IFERROR(INDEX(Исходные!$B$19:$B$31,MATCH(H1003,Исходные!$A$19:$A$31,0)),0)</f>
        <v/>
      </c>
      <c r="P1003" s="76">
        <f>N1003*O1003</f>
        <v/>
      </c>
      <c r="Q1003" s="21" t="inlineStr">
        <is>
          <t>АС-22 (отм. 11.150): выноска «ОС 2Ø25 А500С»; длина по привязкам отдельных стержней</t>
        </is>
      </c>
      <c r="R1003" s="77" t="inlineStr">
        <is>
          <t>по геометрии чертежа</t>
        </is>
      </c>
      <c r="S1003" s="21" t="inlineStr">
        <is>
          <t>Координаты от оси 1: 23200…25000 мм; конец до торца крайней колонны (+250)</t>
        </is>
      </c>
      <c r="T1003" s="21" t="inlineStr">
        <is>
          <t>Ригели, балки, плита, С-1</t>
        </is>
      </c>
      <c r="U1003" s="49" t="n">
        <v>0</v>
      </c>
      <c r="V1003" s="72" t="inlineStr">
        <is>
          <t>Р-В</t>
        </is>
      </c>
      <c r="W1003" s="49" t="n">
        <v>3</v>
      </c>
    </row>
    <row r="1004">
      <c r="A1004" s="72" t="n">
        <v>980</v>
      </c>
      <c r="B1004" s="21" t="inlineStr">
        <is>
          <t>3 этаж (отм. +7.550…+11.150)</t>
        </is>
      </c>
      <c r="C1004" s="21" t="inlineStr">
        <is>
          <t>Ригели</t>
        </is>
      </c>
      <c r="D1004" s="21" t="inlineStr">
        <is>
          <t>ось В (отм. +11.150)</t>
        </is>
      </c>
      <c r="E1004" s="21" t="inlineStr">
        <is>
          <t>Р-В</t>
        </is>
      </c>
      <c r="F1004" s="72" t="inlineStr">
        <is>
          <t>ОС</t>
        </is>
      </c>
      <c r="G1004" s="21" t="inlineStr">
        <is>
          <t>ОС верх 2-й ряд: 2Ø14, участок 7900…12100 мм</t>
        </is>
      </c>
      <c r="H1004" s="51" t="n">
        <v>14</v>
      </c>
      <c r="I1004" s="72" t="inlineStr">
        <is>
          <t>А500С</t>
        </is>
      </c>
      <c r="J1004" s="72" t="inlineStr">
        <is>
          <t>—</t>
        </is>
      </c>
      <c r="K1004" s="75" t="n">
        <v>1</v>
      </c>
      <c r="L1004" s="51" t="n">
        <v>2</v>
      </c>
      <c r="M1004" s="69" t="n">
        <v>4.2</v>
      </c>
      <c r="N1004" s="70">
        <f>K1004*L1004*M1004</f>
        <v/>
      </c>
      <c r="O1004" s="37">
        <f>IFERROR(INDEX(Исходные!$B$19:$B$31,MATCH(H1004,Исходные!$A$19:$A$31,0)),0)</f>
        <v/>
      </c>
      <c r="P1004" s="76">
        <f>N1004*O1004</f>
        <v/>
      </c>
      <c r="Q1004" s="21" t="inlineStr">
        <is>
          <t>АС-22 (отм. 11.150): выноска «ОС 2Ø14 А500С»; длина по привязкам отдельных стержней</t>
        </is>
      </c>
      <c r="R1004" s="77" t="inlineStr">
        <is>
          <t>по геометрии чертежа</t>
        </is>
      </c>
      <c r="S1004" s="21" t="inlineStr">
        <is>
          <t>Координаты от оси 1: 7900…12100 мм</t>
        </is>
      </c>
      <c r="T1004" s="21" t="inlineStr">
        <is>
          <t>Ригели, балки, плита, С-1</t>
        </is>
      </c>
      <c r="U1004" s="49" t="n">
        <v>0</v>
      </c>
      <c r="V1004" s="72" t="inlineStr">
        <is>
          <t>Р-В</t>
        </is>
      </c>
      <c r="W1004" s="49" t="n">
        <v>3</v>
      </c>
    </row>
    <row r="1005">
      <c r="A1005" s="72" t="n">
        <v>981</v>
      </c>
      <c r="B1005" s="21" t="inlineStr">
        <is>
          <t>3 этаж (отм. +7.550…+11.150)</t>
        </is>
      </c>
      <c r="C1005" s="21" t="inlineStr">
        <is>
          <t>Ригели</t>
        </is>
      </c>
      <c r="D1005" s="21" t="inlineStr">
        <is>
          <t>ось В (отм. +11.150)</t>
        </is>
      </c>
      <c r="E1005" s="21" t="inlineStr">
        <is>
          <t>Р-В</t>
        </is>
      </c>
      <c r="F1005" s="72" t="inlineStr">
        <is>
          <t>ОС</t>
        </is>
      </c>
      <c r="G1005" s="21" t="inlineStr">
        <is>
          <t>ОС верх 2-й ряд: 2Ø14, участок 14800…18700 мм</t>
        </is>
      </c>
      <c r="H1005" s="51" t="n">
        <v>14</v>
      </c>
      <c r="I1005" s="72" t="inlineStr">
        <is>
          <t>А500С</t>
        </is>
      </c>
      <c r="J1005" s="72" t="inlineStr">
        <is>
          <t>—</t>
        </is>
      </c>
      <c r="K1005" s="75" t="n">
        <v>1</v>
      </c>
      <c r="L1005" s="51" t="n">
        <v>2</v>
      </c>
      <c r="M1005" s="69" t="n">
        <v>3.9</v>
      </c>
      <c r="N1005" s="70">
        <f>K1005*L1005*M1005</f>
        <v/>
      </c>
      <c r="O1005" s="37">
        <f>IFERROR(INDEX(Исходные!$B$19:$B$31,MATCH(H1005,Исходные!$A$19:$A$31,0)),0)</f>
        <v/>
      </c>
      <c r="P1005" s="76">
        <f>N1005*O1005</f>
        <v/>
      </c>
      <c r="Q1005" s="21" t="inlineStr">
        <is>
          <t>АС-22 (отм. 11.150): выноска «ОС 2Ø14 А500С»; длина по привязкам отдельных стержней</t>
        </is>
      </c>
      <c r="R1005" s="77" t="inlineStr">
        <is>
          <t>по геометрии чертежа</t>
        </is>
      </c>
      <c r="S1005" s="21" t="inlineStr">
        <is>
          <t>Координаты от оси 1: 14800…18700 мм</t>
        </is>
      </c>
      <c r="T1005" s="21" t="inlineStr">
        <is>
          <t>Ригели, балки, плита, С-1</t>
        </is>
      </c>
      <c r="U1005" s="49" t="n">
        <v>0</v>
      </c>
      <c r="V1005" s="72" t="inlineStr">
        <is>
          <t>Р-В</t>
        </is>
      </c>
      <c r="W1005" s="49" t="n">
        <v>3</v>
      </c>
    </row>
    <row r="1006">
      <c r="A1006" s="72" t="n">
        <v>982</v>
      </c>
      <c r="B1006" s="21" t="inlineStr">
        <is>
          <t>3 этаж (отм. +7.550…+11.150)</t>
        </is>
      </c>
      <c r="C1006" s="21" t="inlineStr">
        <is>
          <t>Ригели</t>
        </is>
      </c>
      <c r="D1006" s="21" t="inlineStr">
        <is>
          <t>ось В (отм. +11.150)</t>
        </is>
      </c>
      <c r="E1006" s="21" t="inlineStr">
        <is>
          <t>Р-В</t>
        </is>
      </c>
      <c r="F1006" s="72" t="inlineStr">
        <is>
          <t>ОС</t>
        </is>
      </c>
      <c r="G1006" s="21" t="inlineStr">
        <is>
          <t>ОС низ: 2Ø16, участок 1800…4700 мм</t>
        </is>
      </c>
      <c r="H1006" s="51" t="n">
        <v>16</v>
      </c>
      <c r="I1006" s="72" t="inlineStr">
        <is>
          <t>А500С</t>
        </is>
      </c>
      <c r="J1006" s="72" t="inlineStr">
        <is>
          <t>—</t>
        </is>
      </c>
      <c r="K1006" s="75" t="n">
        <v>1</v>
      </c>
      <c r="L1006" s="51" t="n">
        <v>2</v>
      </c>
      <c r="M1006" s="69" t="n">
        <v>2.9</v>
      </c>
      <c r="N1006" s="70">
        <f>K1006*L1006*M1006</f>
        <v/>
      </c>
      <c r="O1006" s="37">
        <f>IFERROR(INDEX(Исходные!$B$19:$B$31,MATCH(H1006,Исходные!$A$19:$A$31,0)),0)</f>
        <v/>
      </c>
      <c r="P1006" s="76">
        <f>N1006*O1006</f>
        <v/>
      </c>
      <c r="Q1006" s="21" t="inlineStr">
        <is>
          <t>АС-22 (отм. 11.150): выноска «ОС 2Ø16 А500С»; длина по привязкам отдельных стержней</t>
        </is>
      </c>
      <c r="R1006" s="77" t="inlineStr">
        <is>
          <t>по геометрии чертежа</t>
        </is>
      </c>
      <c r="S1006" s="21" t="inlineStr">
        <is>
          <t>Координаты от оси 1: 1800…4700 мм</t>
        </is>
      </c>
      <c r="T1006" s="21" t="inlineStr">
        <is>
          <t>Ригели, балки, плита, С-1</t>
        </is>
      </c>
      <c r="U1006" s="49" t="n">
        <v>0</v>
      </c>
      <c r="V1006" s="72" t="inlineStr">
        <is>
          <t>Р-В</t>
        </is>
      </c>
      <c r="W1006" s="49" t="n">
        <v>3</v>
      </c>
    </row>
    <row r="1007">
      <c r="A1007" s="72" t="n">
        <v>983</v>
      </c>
      <c r="B1007" s="21" t="inlineStr">
        <is>
          <t>3 этаж (отм. +7.550…+11.150)</t>
        </is>
      </c>
      <c r="C1007" s="21" t="inlineStr">
        <is>
          <t>Ригели</t>
        </is>
      </c>
      <c r="D1007" s="21" t="inlineStr">
        <is>
          <t>ось В (отм. +11.150)</t>
        </is>
      </c>
      <c r="E1007" s="21" t="inlineStr">
        <is>
          <t>Р-В</t>
        </is>
      </c>
      <c r="F1007" s="72" t="inlineStr">
        <is>
          <t>ОС</t>
        </is>
      </c>
      <c r="G1007" s="21" t="inlineStr">
        <is>
          <t>ОС низ: 2Ø22, участок 8400…11600 мм</t>
        </is>
      </c>
      <c r="H1007" s="51" t="n">
        <v>22</v>
      </c>
      <c r="I1007" s="72" t="inlineStr">
        <is>
          <t>А500С</t>
        </is>
      </c>
      <c r="J1007" s="72" t="inlineStr">
        <is>
          <t>—</t>
        </is>
      </c>
      <c r="K1007" s="75" t="n">
        <v>1</v>
      </c>
      <c r="L1007" s="51" t="n">
        <v>2</v>
      </c>
      <c r="M1007" s="69" t="n">
        <v>3.2</v>
      </c>
      <c r="N1007" s="70">
        <f>K1007*L1007*M1007</f>
        <v/>
      </c>
      <c r="O1007" s="37">
        <f>IFERROR(INDEX(Исходные!$B$19:$B$31,MATCH(H1007,Исходные!$A$19:$A$31,0)),0)</f>
        <v/>
      </c>
      <c r="P1007" s="76">
        <f>N1007*O1007</f>
        <v/>
      </c>
      <c r="Q1007" s="21" t="inlineStr">
        <is>
          <t>АС-22 (отм. 11.150): выноска «ОС 2Ø22 А500С»; длина по привязкам отдельных стержней</t>
        </is>
      </c>
      <c r="R1007" s="77" t="inlineStr">
        <is>
          <t>по геометрии чертежа</t>
        </is>
      </c>
      <c r="S1007" s="21" t="inlineStr">
        <is>
          <t>Координаты от оси 1: 8400…11600 мм</t>
        </is>
      </c>
      <c r="T1007" s="21" t="inlineStr">
        <is>
          <t>Ригели, балки, плита, С-1</t>
        </is>
      </c>
      <c r="U1007" s="49" t="n">
        <v>0</v>
      </c>
      <c r="V1007" s="72" t="inlineStr">
        <is>
          <t>Р-В</t>
        </is>
      </c>
      <c r="W1007" s="49" t="n">
        <v>3</v>
      </c>
    </row>
    <row r="1008">
      <c r="A1008" s="72" t="n">
        <v>984</v>
      </c>
      <c r="B1008" s="21" t="inlineStr">
        <is>
          <t>3 этаж (отм. +7.550…+11.150)</t>
        </is>
      </c>
      <c r="C1008" s="21" t="inlineStr">
        <is>
          <t>Ригели</t>
        </is>
      </c>
      <c r="D1008" s="21" t="inlineStr">
        <is>
          <t>ось В (отм. +11.150)</t>
        </is>
      </c>
      <c r="E1008" s="21" t="inlineStr">
        <is>
          <t>Р-В</t>
        </is>
      </c>
      <c r="F1008" s="72" t="inlineStr">
        <is>
          <t>ОС</t>
        </is>
      </c>
      <c r="G1008" s="21" t="inlineStr">
        <is>
          <t>ОС низ: 2Ø16, участок 15300…21800 мм</t>
        </is>
      </c>
      <c r="H1008" s="51" t="n">
        <v>16</v>
      </c>
      <c r="I1008" s="72" t="inlineStr">
        <is>
          <t>А500С</t>
        </is>
      </c>
      <c r="J1008" s="72" t="inlineStr">
        <is>
          <t>—</t>
        </is>
      </c>
      <c r="K1008" s="75" t="n">
        <v>1</v>
      </c>
      <c r="L1008" s="51" t="n">
        <v>2</v>
      </c>
      <c r="M1008" s="69" t="n">
        <v>6.5</v>
      </c>
      <c r="N1008" s="70">
        <f>K1008*L1008*M1008</f>
        <v/>
      </c>
      <c r="O1008" s="37">
        <f>IFERROR(INDEX(Исходные!$B$19:$B$31,MATCH(H1008,Исходные!$A$19:$A$31,0)),0)</f>
        <v/>
      </c>
      <c r="P1008" s="76">
        <f>N1008*O1008</f>
        <v/>
      </c>
      <c r="Q1008" s="21" t="inlineStr">
        <is>
          <t>АС-22 (отм. 11.150): выноска «ОС 2Ø16 А500С»; длина по привязкам отдельных стержней</t>
        </is>
      </c>
      <c r="R1008" s="77" t="inlineStr">
        <is>
          <t>по геометрии чертежа</t>
        </is>
      </c>
      <c r="S1008" s="21" t="inlineStr">
        <is>
          <t>Координаты от оси 1: 15300…21800 мм</t>
        </is>
      </c>
      <c r="T1008" s="21" t="inlineStr">
        <is>
          <t>Ригели, балки, плита, С-1</t>
        </is>
      </c>
      <c r="U1008" s="49" t="n">
        <v>0</v>
      </c>
      <c r="V1008" s="72" t="inlineStr">
        <is>
          <t>Р-В</t>
        </is>
      </c>
      <c r="W1008" s="49" t="n">
        <v>3</v>
      </c>
    </row>
    <row r="1009">
      <c r="A1009" s="72" t="n">
        <v>985</v>
      </c>
      <c r="B1009" s="21" t="inlineStr">
        <is>
          <t>3 этаж (отм. +7.550…+11.150)</t>
        </is>
      </c>
      <c r="C1009" s="21" t="inlineStr">
        <is>
          <t>Ригели</t>
        </is>
      </c>
      <c r="D1009" s="21" t="inlineStr">
        <is>
          <t>ось В (отм. +11.150)</t>
        </is>
      </c>
      <c r="E1009" s="21" t="inlineStr">
        <is>
          <t>Р-В</t>
        </is>
      </c>
      <c r="F1009" s="72" t="inlineStr">
        <is>
          <t>ОС</t>
        </is>
      </c>
      <c r="G1009" s="21" t="inlineStr">
        <is>
          <t>ОС низ 2-й ряд: 2Ø14, участок 4700…8400 мм</t>
        </is>
      </c>
      <c r="H1009" s="51" t="n">
        <v>14</v>
      </c>
      <c r="I1009" s="72" t="inlineStr">
        <is>
          <t>А500С</t>
        </is>
      </c>
      <c r="J1009" s="72" t="inlineStr">
        <is>
          <t>—</t>
        </is>
      </c>
      <c r="K1009" s="75" t="n">
        <v>1</v>
      </c>
      <c r="L1009" s="51" t="n">
        <v>2</v>
      </c>
      <c r="M1009" s="69" t="n">
        <v>3.7</v>
      </c>
      <c r="N1009" s="70">
        <f>K1009*L1009*M1009</f>
        <v/>
      </c>
      <c r="O1009" s="37">
        <f>IFERROR(INDEX(Исходные!$B$19:$B$31,MATCH(H1009,Исходные!$A$19:$A$31,0)),0)</f>
        <v/>
      </c>
      <c r="P1009" s="76">
        <f>N1009*O1009</f>
        <v/>
      </c>
      <c r="Q1009" s="21" t="inlineStr">
        <is>
          <t>АС-22 (отм. 11.150): выноска «ОС 2Ø14 А500С»; длина по привязкам отдельных стержней</t>
        </is>
      </c>
      <c r="R1009" s="77" t="inlineStr">
        <is>
          <t>по геометрии чертежа</t>
        </is>
      </c>
      <c r="S1009" s="21" t="inlineStr">
        <is>
          <t>Координаты от оси 1: 4700…8400 мм</t>
        </is>
      </c>
      <c r="T1009" s="21" t="inlineStr">
        <is>
          <t>Ригели, балки, плита, С-1</t>
        </is>
      </c>
      <c r="U1009" s="49" t="n">
        <v>0</v>
      </c>
      <c r="V1009" s="72" t="inlineStr">
        <is>
          <t>Р-В</t>
        </is>
      </c>
      <c r="W1009" s="49" t="n">
        <v>3</v>
      </c>
    </row>
    <row r="1010">
      <c r="A1010" s="72" t="n">
        <v>986</v>
      </c>
      <c r="B1010" s="21" t="inlineStr">
        <is>
          <t>3 этаж (отм. +7.550…+11.150)</t>
        </is>
      </c>
      <c r="C1010" s="21" t="inlineStr">
        <is>
          <t>Ригели</t>
        </is>
      </c>
      <c r="D1010" s="21" t="inlineStr">
        <is>
          <t>ось В (отм. +11.150)</t>
        </is>
      </c>
      <c r="E1010" s="21" t="inlineStr">
        <is>
          <t>Р-В</t>
        </is>
      </c>
      <c r="F1010" s="72" t="inlineStr">
        <is>
          <t>ОС</t>
        </is>
      </c>
      <c r="G1010" s="21" t="inlineStr">
        <is>
          <t>ОС низ 2-й ряд: 2Ø14, участок 11600…15800 мм</t>
        </is>
      </c>
      <c r="H1010" s="51" t="n">
        <v>14</v>
      </c>
      <c r="I1010" s="72" t="inlineStr">
        <is>
          <t>А500С</t>
        </is>
      </c>
      <c r="J1010" s="72" t="inlineStr">
        <is>
          <t>—</t>
        </is>
      </c>
      <c r="K1010" s="75" t="n">
        <v>1</v>
      </c>
      <c r="L1010" s="51" t="n">
        <v>2</v>
      </c>
      <c r="M1010" s="69" t="n">
        <v>4.2</v>
      </c>
      <c r="N1010" s="70">
        <f>K1010*L1010*M1010</f>
        <v/>
      </c>
      <c r="O1010" s="37">
        <f>IFERROR(INDEX(Исходные!$B$19:$B$31,MATCH(H1010,Исходные!$A$19:$A$31,0)),0)</f>
        <v/>
      </c>
      <c r="P1010" s="76">
        <f>N1010*O1010</f>
        <v/>
      </c>
      <c r="Q1010" s="21" t="inlineStr">
        <is>
          <t>АС-22 (отм. 11.150): выноска «ОС 2Ø14 А500С»; длина по привязкам отдельных стержней</t>
        </is>
      </c>
      <c r="R1010" s="77" t="inlineStr">
        <is>
          <t>по геометрии чертежа</t>
        </is>
      </c>
      <c r="S1010" s="21" t="inlineStr">
        <is>
          <t>Координаты от оси 1: 11600…15800 мм</t>
        </is>
      </c>
      <c r="T1010" s="21" t="inlineStr">
        <is>
          <t>Ригели, балки, плита, С-1</t>
        </is>
      </c>
      <c r="U1010" s="49" t="n">
        <v>0</v>
      </c>
      <c r="V1010" s="72" t="inlineStr">
        <is>
          <t>Р-В</t>
        </is>
      </c>
      <c r="W1010" s="49" t="n">
        <v>3</v>
      </c>
    </row>
    <row r="1011">
      <c r="A1011" s="72" t="n">
        <v>987</v>
      </c>
      <c r="B1011" s="21" t="inlineStr">
        <is>
          <t>3 этаж (отм. +7.550…+11.150)</t>
        </is>
      </c>
      <c r="C1011" s="21" t="inlineStr">
        <is>
          <t>Ригели</t>
        </is>
      </c>
      <c r="D1011" s="21" t="inlineStr">
        <is>
          <t>ось В (отм. +11.150)</t>
        </is>
      </c>
      <c r="E1011" s="21" t="inlineStr">
        <is>
          <t>Р-В</t>
        </is>
      </c>
      <c r="F1011" s="72" t="inlineStr">
        <is>
          <t>ОС</t>
        </is>
      </c>
      <c r="G1011" s="21" t="inlineStr">
        <is>
          <t>Ос (бок) бок: 4Ø12, участок 4700…21800 мм</t>
        </is>
      </c>
      <c r="H1011" s="51" t="n">
        <v>12</v>
      </c>
      <c r="I1011" s="72" t="inlineStr">
        <is>
          <t>А500С</t>
        </is>
      </c>
      <c r="J1011" s="72" t="inlineStr">
        <is>
          <t>—</t>
        </is>
      </c>
      <c r="K1011" s="75" t="n">
        <v>1</v>
      </c>
      <c r="L1011" s="51" t="n">
        <v>4</v>
      </c>
      <c r="M1011" s="69" t="n">
        <v>17.1</v>
      </c>
      <c r="N1011" s="70">
        <f>K1011*L1011*M1011</f>
        <v/>
      </c>
      <c r="O1011" s="37">
        <f>IFERROR(INDEX(Исходные!$B$19:$B$31,MATCH(H1011,Исходные!$A$19:$A$31,0)),0)</f>
        <v/>
      </c>
      <c r="P1011" s="76">
        <f>N1011*O1011</f>
        <v/>
      </c>
      <c r="Q1011" s="21" t="inlineStr">
        <is>
          <t>АС-22 (отм. 11.150): выноска «Ос (бок) 4Ø12 А500С»; длина по привязкам отдельных стержней</t>
        </is>
      </c>
      <c r="R1011" s="77" t="inlineStr">
        <is>
          <t>по геометрии чертежа</t>
        </is>
      </c>
      <c r="S1011" s="21" t="inlineStr">
        <is>
          <t>Координаты от оси 1: 4700…21800 мм</t>
        </is>
      </c>
      <c r="T1011" s="21" t="inlineStr">
        <is>
          <t>Ригели, балки, плита, С-1</t>
        </is>
      </c>
      <c r="U1011" s="49" t="n">
        <v>0</v>
      </c>
      <c r="V1011" s="72" t="inlineStr">
        <is>
          <t>Р-В</t>
        </is>
      </c>
      <c r="W1011" s="49" t="n">
        <v>3</v>
      </c>
    </row>
    <row r="1012">
      <c r="A1012" s="72" t="n">
        <v>988</v>
      </c>
      <c r="B1012" s="21" t="inlineStr">
        <is>
          <t>3 этаж (отм. +7.550…+11.150)</t>
        </is>
      </c>
      <c r="C1012" s="21" t="inlineStr">
        <is>
          <t>Ригели</t>
        </is>
      </c>
      <c r="D1012" s="21" t="inlineStr">
        <is>
          <t>ось В (отм. +11.150)</t>
        </is>
      </c>
      <c r="E1012" s="21" t="inlineStr">
        <is>
          <t>Р-В</t>
        </is>
      </c>
      <c r="F1012" s="72" t="inlineStr">
        <is>
          <t>ОС-нахл</t>
        </is>
      </c>
      <c r="G1012" s="21" t="inlineStr">
        <is>
          <t>Нахлёсты стыков к поз. «Ос (бок) бок: 4Ø12, участок 4700…21800 мм» (L=17.100 м &gt; 11,7 м): 2 куска, 1 стык(а) на стержень × 4 стерж.</t>
        </is>
      </c>
      <c r="H1012" s="51" t="n">
        <v>12</v>
      </c>
      <c r="I1012" s="72" t="inlineStr">
        <is>
          <t>А500С</t>
        </is>
      </c>
      <c r="J1012" s="72" t="inlineStr">
        <is>
          <t>—</t>
        </is>
      </c>
      <c r="K1012" s="75" t="n">
        <v>4</v>
      </c>
      <c r="L1012" s="51" t="n">
        <v>1</v>
      </c>
      <c r="M1012" s="69" t="n">
        <v>0.096</v>
      </c>
      <c r="N1012" s="70">
        <f>K1012*L1012*M1012</f>
        <v/>
      </c>
      <c r="O1012" s="37">
        <f>IFERROR(INDEX(Исходные!$B$19:$B$31,MATCH(H1012,Исходные!$A$19:$A$31,0)),0)</f>
        <v/>
      </c>
      <c r="P1012" s="76">
        <f>N1012*O1012</f>
        <v/>
      </c>
      <c r="Q1012" s="21" t="inlineStr">
        <is>
          <t>АС-19 прим.1: Ø18 и менее — внахлёстку электродуговой сваркой, Lшва=8d = 96 мм</t>
        </is>
      </c>
      <c r="R1012" s="77" t="inlineStr">
        <is>
          <t>по проекту (стыковка прутков 11,7 м)</t>
        </is>
      </c>
      <c r="S1012" s="21" t="inlineStr">
        <is>
          <t>Чистая длина 17.100 м; кусков 2; стыков 1; Lнахл=1×0.096=0.096 м на стержень</t>
        </is>
      </c>
      <c r="T1012" s="21" t="inlineStr">
        <is>
          <t>Ригели, балки, плита, С-1</t>
        </is>
      </c>
      <c r="U1012" s="49" t="n">
        <v>0</v>
      </c>
      <c r="V1012" s="72" t="inlineStr">
        <is>
          <t>Р-В</t>
        </is>
      </c>
      <c r="W1012" s="49" t="n">
        <v>3</v>
      </c>
    </row>
    <row r="1013">
      <c r="A1013" s="72" t="n">
        <v>989</v>
      </c>
      <c r="B1013" s="21" t="inlineStr">
        <is>
          <t>3 этаж (отм. +7.550…+11.150)</t>
        </is>
      </c>
      <c r="C1013" s="21" t="inlineStr">
        <is>
          <t>Ригели</t>
        </is>
      </c>
      <c r="D1013" s="21" t="inlineStr">
        <is>
          <t>ось В (отм. +11.150)</t>
        </is>
      </c>
      <c r="E1013" s="21" t="inlineStr">
        <is>
          <t>Р-В</t>
        </is>
      </c>
      <c r="F1013" s="72" t="inlineStr">
        <is>
          <t>12</t>
        </is>
      </c>
      <c r="G1013" s="21" t="inlineStr">
        <is>
          <t>Хомут Ø8 L=2060 ш.100 у опор, ш.150 в пролёте, 80×4 у балок — вне заштрихованных участков</t>
        </is>
      </c>
      <c r="H1013" s="51" t="n">
        <v>8</v>
      </c>
      <c r="I1013" s="72" t="inlineStr">
        <is>
          <t>А240</t>
        </is>
      </c>
      <c r="J1013" s="72" t="inlineStr">
        <is>
          <t>100/150</t>
        </is>
      </c>
      <c r="K1013" s="75" t="n">
        <v>1</v>
      </c>
      <c r="L1013" s="51" t="n">
        <v>78</v>
      </c>
      <c r="M1013" s="69" t="n">
        <v>2.06</v>
      </c>
      <c r="N1013" s="70">
        <f>K1013*L1013*M1013</f>
        <v/>
      </c>
      <c r="O1013" s="37">
        <f>IFERROR(INDEX(Исходные!$B$19:$B$31,MATCH(H1013,Исходные!$A$19:$A$31,0)),0)</f>
        <v/>
      </c>
      <c r="P1013" s="76">
        <f>N1013*O1013</f>
        <v/>
      </c>
      <c r="Q1013" s="21" t="inlineStr">
        <is>
          <t>АС-28 поз.12; АС-29 «Расстановка хомутов в ригелях»</t>
        </is>
      </c>
      <c r="R1013" s="77" t="inlineStr">
        <is>
          <t>по проекту</t>
        </is>
      </c>
      <c r="S1013" s="21" t="inlineStr">
        <is>
          <t>Пролёты в свету [(300, 6200), (6800, 13200), (13800, 19700), (20300, 24700)]</t>
        </is>
      </c>
      <c r="T1013" s="21" t="inlineStr">
        <is>
          <t>Ригели, балки, плита, С-1</t>
        </is>
      </c>
      <c r="U1013" s="49" t="n">
        <v>0</v>
      </c>
      <c r="V1013" s="72" t="inlineStr">
        <is>
          <t>Р-В</t>
        </is>
      </c>
      <c r="W1013" s="49" t="n">
        <v>3</v>
      </c>
    </row>
    <row r="1014">
      <c r="A1014" s="72" t="n">
        <v>990</v>
      </c>
      <c r="B1014" s="21" t="inlineStr">
        <is>
          <t>3 этаж (отм. +7.550…+11.150)</t>
        </is>
      </c>
      <c r="C1014" s="21" t="inlineStr">
        <is>
          <t>Ригели</t>
        </is>
      </c>
      <c r="D1014" s="21" t="inlineStr">
        <is>
          <t>ось В (отм. +11.150)</t>
        </is>
      </c>
      <c r="E1014" s="21" t="inlineStr">
        <is>
          <t>Р-В</t>
        </is>
      </c>
      <c r="F1014" s="72" t="inlineStr">
        <is>
          <t>13</t>
        </is>
      </c>
      <c r="G1014" s="21" t="inlineStr">
        <is>
          <t>Хомут наружный Ø10 L=2060 ш.100 — заштрихованные участки</t>
        </is>
      </c>
      <c r="H1014" s="51" t="n">
        <v>10</v>
      </c>
      <c r="I1014" s="72" t="inlineStr">
        <is>
          <t>А240</t>
        </is>
      </c>
      <c r="J1014" s="72" t="n">
        <v>100</v>
      </c>
      <c r="K1014" s="75" t="n">
        <v>1</v>
      </c>
      <c r="L1014" s="51" t="n">
        <v>124</v>
      </c>
      <c r="M1014" s="69" t="n">
        <v>2.06</v>
      </c>
      <c r="N1014" s="70">
        <f>K1014*L1014*M1014</f>
        <v/>
      </c>
      <c r="O1014" s="37">
        <f>IFERROR(INDEX(Исходные!$B$19:$B$31,MATCH(H1014,Исходные!$A$19:$A$31,0)),0)</f>
        <v/>
      </c>
      <c r="P1014" s="76">
        <f>N1014*O1014</f>
        <v/>
      </c>
      <c r="Q1014" s="21" t="inlineStr">
        <is>
          <t>АС-22 штриховка у отм. 11.150; АС-28 Фрагмент №1, поз.13</t>
        </is>
      </c>
      <c r="R1014" s="77" t="inlineStr">
        <is>
          <t>по проекту</t>
        </is>
      </c>
      <c r="S1014" s="21" t="inlineStr">
        <is>
          <t>Участки (мм): одинарные [(0, 1200)], двойные [(6500, 20000)]</t>
        </is>
      </c>
      <c r="T1014" s="21" t="inlineStr">
        <is>
          <t>Ригели, балки, плита, С-1</t>
        </is>
      </c>
      <c r="U1014" s="49" t="n">
        <v>0</v>
      </c>
      <c r="V1014" s="72" t="inlineStr">
        <is>
          <t>Р-В</t>
        </is>
      </c>
      <c r="W1014" s="49" t="n">
        <v>3</v>
      </c>
    </row>
    <row r="1015">
      <c r="A1015" s="72" t="n">
        <v>991</v>
      </c>
      <c r="B1015" s="21" t="inlineStr">
        <is>
          <t>3 этаж (отм. +7.550…+11.150)</t>
        </is>
      </c>
      <c r="C1015" s="21" t="inlineStr">
        <is>
          <t>Ригели</t>
        </is>
      </c>
      <c r="D1015" s="21" t="inlineStr">
        <is>
          <t>ось В (отм. +11.150)</t>
        </is>
      </c>
      <c r="E1015" s="21" t="inlineStr">
        <is>
          <t>Р-В</t>
        </is>
      </c>
      <c r="F1015" s="72" t="inlineStr">
        <is>
          <t>15</t>
        </is>
      </c>
      <c r="G1015" s="21" t="inlineStr">
        <is>
          <t>Хомут внутренний Ø10 L=1600 ш.100 — участки двойных хомутов</t>
        </is>
      </c>
      <c r="H1015" s="51" t="n">
        <v>10</v>
      </c>
      <c r="I1015" s="72" t="inlineStr">
        <is>
          <t>А240</t>
        </is>
      </c>
      <c r="J1015" s="72" t="n">
        <v>100</v>
      </c>
      <c r="K1015" s="75" t="n">
        <v>1</v>
      </c>
      <c r="L1015" s="51" t="n">
        <v>115</v>
      </c>
      <c r="M1015" s="69" t="n">
        <v>1.6</v>
      </c>
      <c r="N1015" s="70">
        <f>K1015*L1015*M1015</f>
        <v/>
      </c>
      <c r="O1015" s="37">
        <f>IFERROR(INDEX(Исходные!$B$19:$B$31,MATCH(H1015,Исходные!$A$19:$A$31,0)),0)</f>
        <v/>
      </c>
      <c r="P1015" s="76">
        <f>N1015*O1015</f>
        <v/>
      </c>
      <c r="Q1015" s="21" t="inlineStr">
        <is>
          <t>АС-22 двойная штриховка; АС-28 Фрагмент №1, поз.15</t>
        </is>
      </c>
      <c r="R1015" s="77" t="inlineStr">
        <is>
          <t>по проекту</t>
        </is>
      </c>
      <c r="S1015" s="21" t="inlineStr"/>
      <c r="T1015" s="21" t="inlineStr">
        <is>
          <t>Ригели, балки, плита, С-1</t>
        </is>
      </c>
      <c r="U1015" s="49" t="n">
        <v>0</v>
      </c>
      <c r="V1015" s="72" t="inlineStr">
        <is>
          <t>Р-В</t>
        </is>
      </c>
      <c r="W1015" s="49" t="n">
        <v>3</v>
      </c>
    </row>
    <row r="1016">
      <c r="A1016" s="72" t="n">
        <v>992</v>
      </c>
      <c r="B1016" s="21" t="inlineStr">
        <is>
          <t>3 этаж (отм. +7.550…+11.150)</t>
        </is>
      </c>
      <c r="C1016" s="21" t="inlineStr">
        <is>
          <t>Ригели</t>
        </is>
      </c>
      <c r="D1016" s="21" t="inlineStr">
        <is>
          <t>ось В (отм. +11.150)</t>
        </is>
      </c>
      <c r="E1016" s="21" t="inlineStr">
        <is>
          <t>Р-В</t>
        </is>
      </c>
      <c r="F1016" s="72" t="inlineStr">
        <is>
          <t>17</t>
        </is>
      </c>
      <c r="G1016" s="21" t="inlineStr">
        <is>
          <t>Шпилька вертикальная Ø8 L=750: ш.200 у опор, ш.150 в пролёте</t>
        </is>
      </c>
      <c r="H1016" s="51" t="n">
        <v>8</v>
      </c>
      <c r="I1016" s="72" t="inlineStr">
        <is>
          <t>А240</t>
        </is>
      </c>
      <c r="J1016" s="72" t="inlineStr">
        <is>
          <t>200/150</t>
        </is>
      </c>
      <c r="K1016" s="75" t="n">
        <v>1</v>
      </c>
      <c r="L1016" s="51" t="n">
        <v>54</v>
      </c>
      <c r="M1016" s="69" t="n">
        <v>0.75</v>
      </c>
      <c r="N1016" s="70">
        <f>K1016*L1016*M1016</f>
        <v/>
      </c>
      <c r="O1016" s="37">
        <f>IFERROR(INDEX(Исходные!$B$19:$B$31,MATCH(H1016,Исходные!$A$19:$A$31,0)),0)</f>
        <v/>
      </c>
      <c r="P1016" s="76">
        <f>N1016*O1016</f>
        <v/>
      </c>
      <c r="Q1016" s="21" t="inlineStr">
        <is>
          <t>АС-28 сеч.4-4/5-5 поз.17</t>
        </is>
      </c>
      <c r="R1016" s="77" t="inlineStr">
        <is>
          <t>по проекту</t>
        </is>
      </c>
      <c r="S1016" s="21" t="inlineStr"/>
      <c r="T1016" s="21" t="inlineStr">
        <is>
          <t>Ригели, балки, плита, С-1</t>
        </is>
      </c>
      <c r="U1016" s="49" t="n">
        <v>0</v>
      </c>
      <c r="V1016" s="72" t="inlineStr">
        <is>
          <t>Р-В</t>
        </is>
      </c>
      <c r="W1016" s="49" t="n">
        <v>3</v>
      </c>
    </row>
    <row r="1017">
      <c r="A1017" s="72" t="n">
        <v>993</v>
      </c>
      <c r="B1017" s="21" t="inlineStr">
        <is>
          <t>3 этаж (отм. +7.550…+11.150)</t>
        </is>
      </c>
      <c r="C1017" s="21" t="inlineStr">
        <is>
          <t>Ригели</t>
        </is>
      </c>
      <c r="D1017" s="21" t="inlineStr">
        <is>
          <t>ось В (отм. +11.150)</t>
        </is>
      </c>
      <c r="E1017" s="21" t="inlineStr">
        <is>
          <t>Р-В</t>
        </is>
      </c>
      <c r="F1017" s="72" t="inlineStr">
        <is>
          <t>16</t>
        </is>
      </c>
      <c r="G1017" s="21" t="inlineStr">
        <is>
          <t>Шпилька горизонтальная Ø8 L=580 ш.300</t>
        </is>
      </c>
      <c r="H1017" s="51" t="n">
        <v>8</v>
      </c>
      <c r="I1017" s="72" t="inlineStr">
        <is>
          <t>А240</t>
        </is>
      </c>
      <c r="J1017" s="72" t="n">
        <v>300</v>
      </c>
      <c r="K1017" s="75" t="n">
        <v>1</v>
      </c>
      <c r="L1017" s="51" t="n">
        <v>77</v>
      </c>
      <c r="M1017" s="69" t="n">
        <v>0.58</v>
      </c>
      <c r="N1017" s="70">
        <f>K1017*L1017*M1017</f>
        <v/>
      </c>
      <c r="O1017" s="37">
        <f>IFERROR(INDEX(Исходные!$B$19:$B$31,MATCH(H1017,Исходные!$A$19:$A$31,0)),0)</f>
        <v/>
      </c>
      <c r="P1017" s="76">
        <f>N1017*O1017</f>
        <v/>
      </c>
      <c r="Q1017" s="21" t="inlineStr">
        <is>
          <t>АС-28 «шп.Ø8 А240 ш.300», поз.16 L=580</t>
        </is>
      </c>
      <c r="R1017" s="78" t="inlineStr">
        <is>
          <t>принято (уточнить)</t>
        </is>
      </c>
      <c r="S1017" s="21" t="inlineStr"/>
      <c r="T1017" s="21" t="inlineStr">
        <is>
          <t>Ригели, балки, плита, С-1</t>
        </is>
      </c>
      <c r="U1017" s="49" t="n">
        <v>1</v>
      </c>
      <c r="V1017" s="72" t="inlineStr">
        <is>
          <t>Р-В</t>
        </is>
      </c>
      <c r="W1017" s="49" t="n">
        <v>3</v>
      </c>
    </row>
    <row r="1018">
      <c r="A1018" s="72" t="n">
        <v>994</v>
      </c>
      <c r="B1018" s="21" t="inlineStr">
        <is>
          <t>3 этаж (отм. +7.550…+11.150)</t>
        </is>
      </c>
      <c r="C1018" s="21" t="inlineStr">
        <is>
          <t>Ригели</t>
        </is>
      </c>
      <c r="D1018" s="21" t="inlineStr">
        <is>
          <t>ось Г (отм. +11.150)</t>
        </is>
      </c>
      <c r="E1018" s="21" t="inlineStr">
        <is>
          <t>Р-Г</t>
        </is>
      </c>
      <c r="F1018" s="72" t="inlineStr">
        <is>
          <t>2</t>
        </is>
      </c>
      <c r="G1018" s="21" t="inlineStr">
        <is>
          <t>Продольные угловые 4Ø28 (сеч.4-4/5-5), сквозные, концы с Аш</t>
        </is>
      </c>
      <c r="H1018" s="51" t="n">
        <v>28</v>
      </c>
      <c r="I1018" s="72" t="inlineStr">
        <is>
          <t>А500С</t>
        </is>
      </c>
      <c r="J1018" s="72" t="inlineStr">
        <is>
          <t>—</t>
        </is>
      </c>
      <c r="K1018" s="75" t="n">
        <v>1</v>
      </c>
      <c r="L1018" s="51" t="n">
        <v>4</v>
      </c>
      <c r="M1018" s="69" t="n">
        <v>25.5</v>
      </c>
      <c r="N1018" s="70">
        <f>K1018*L1018*M1018</f>
        <v/>
      </c>
      <c r="O1018" s="37">
        <f>IFERROR(INDEX(Исходные!$B$19:$B$31,MATCH(H1018,Исходные!$A$19:$A$31,0)),0)</f>
        <v/>
      </c>
      <c r="P1018" s="76">
        <f>N1018*O1018</f>
        <v/>
      </c>
      <c r="Q1018" s="21" t="inlineStr">
        <is>
          <t>АС-23 рама + АС-28 сеч.4-4/5-5 поз.2; длина = 25000+2×250</t>
        </is>
      </c>
      <c r="R1018" s="77" t="inlineStr">
        <is>
          <t>по геометрии чертежа</t>
        </is>
      </c>
      <c r="S1018" s="21" t="inlineStr">
        <is>
          <t>Стыки ванной сваркой без нахлёста: 2 на стержень (всего 8).</t>
        </is>
      </c>
      <c r="T1018" s="21" t="inlineStr">
        <is>
          <t>Ригели, балки, плита, С-1</t>
        </is>
      </c>
      <c r="U1018" s="49" t="n">
        <v>0</v>
      </c>
      <c r="V1018" s="72" t="inlineStr">
        <is>
          <t>Р-Г</t>
        </is>
      </c>
      <c r="W1018" s="49" t="n">
        <v>3</v>
      </c>
    </row>
    <row r="1019">
      <c r="A1019" s="72" t="n">
        <v>995</v>
      </c>
      <c r="B1019" s="21" t="inlineStr">
        <is>
          <t>3 этаж (отм. +7.550…+11.150)</t>
        </is>
      </c>
      <c r="C1019" s="21" t="inlineStr">
        <is>
          <t>Ригели</t>
        </is>
      </c>
      <c r="D1019" s="21" t="inlineStr">
        <is>
          <t>ось Г (отм. +11.150)</t>
        </is>
      </c>
      <c r="E1019" s="21" t="inlineStr">
        <is>
          <t>Р-Г</t>
        </is>
      </c>
      <c r="F1019" s="72" t="inlineStr">
        <is>
          <t>6</t>
        </is>
      </c>
      <c r="G1019" s="21" t="inlineStr">
        <is>
          <t>Продольные средние верх/низ 2Ø18 (сеч.4-4/5-5)</t>
        </is>
      </c>
      <c r="H1019" s="51" t="n">
        <v>18</v>
      </c>
      <c r="I1019" s="72" t="inlineStr">
        <is>
          <t>А500С</t>
        </is>
      </c>
      <c r="J1019" s="72" t="inlineStr">
        <is>
          <t>—</t>
        </is>
      </c>
      <c r="K1019" s="75" t="n">
        <v>1</v>
      </c>
      <c r="L1019" s="51" t="n">
        <v>2</v>
      </c>
      <c r="M1019" s="69" t="n">
        <v>25.5</v>
      </c>
      <c r="N1019" s="70">
        <f>K1019*L1019*M1019</f>
        <v/>
      </c>
      <c r="O1019" s="37">
        <f>IFERROR(INDEX(Исходные!$B$19:$B$31,MATCH(H1019,Исходные!$A$19:$A$31,0)),0)</f>
        <v/>
      </c>
      <c r="P1019" s="76">
        <f>N1019*O1019</f>
        <v/>
      </c>
      <c r="Q1019" s="21" t="inlineStr">
        <is>
          <t>АС-28 сеч.4-4/5-5 поз.6</t>
        </is>
      </c>
      <c r="R1019" s="77" t="inlineStr">
        <is>
          <t>по геометрии чертежа</t>
        </is>
      </c>
      <c r="S1019" s="21" t="inlineStr"/>
      <c r="T1019" s="21" t="inlineStr">
        <is>
          <t>Ригели, балки, плита, С-1</t>
        </is>
      </c>
      <c r="U1019" s="49" t="n">
        <v>0</v>
      </c>
      <c r="V1019" s="72" t="inlineStr">
        <is>
          <t>Р-Г</t>
        </is>
      </c>
      <c r="W1019" s="49" t="n">
        <v>3</v>
      </c>
    </row>
    <row r="1020">
      <c r="A1020" s="72" t="n">
        <v>996</v>
      </c>
      <c r="B1020" s="21" t="inlineStr">
        <is>
          <t>3 этаж (отм. +7.550…+11.150)</t>
        </is>
      </c>
      <c r="C1020" s="21" t="inlineStr">
        <is>
          <t>Ригели</t>
        </is>
      </c>
      <c r="D1020" s="21" t="inlineStr">
        <is>
          <t>ось Г (отм. +11.150)</t>
        </is>
      </c>
      <c r="E1020" s="21" t="inlineStr">
        <is>
          <t>Р-Г</t>
        </is>
      </c>
      <c r="F1020" s="72" t="inlineStr">
        <is>
          <t>6-нахл</t>
        </is>
      </c>
      <c r="G1020" s="21" t="inlineStr">
        <is>
          <t>Нахлёсты стыков к поз. «Продольные средние верх/низ 2Ø18 (сеч.4-4/5-5)» (L=25.500 м &gt; 11,7 м): 3 куска, 2 стык(а) на стержень × 2 стерж.</t>
        </is>
      </c>
      <c r="H1020" s="51" t="n">
        <v>18</v>
      </c>
      <c r="I1020" s="72" t="inlineStr">
        <is>
          <t>А500С</t>
        </is>
      </c>
      <c r="J1020" s="72" t="inlineStr">
        <is>
          <t>—</t>
        </is>
      </c>
      <c r="K1020" s="75" t="n">
        <v>2</v>
      </c>
      <c r="L1020" s="51" t="n">
        <v>2</v>
      </c>
      <c r="M1020" s="69" t="n">
        <v>0.144</v>
      </c>
      <c r="N1020" s="70">
        <f>K1020*L1020*M1020</f>
        <v/>
      </c>
      <c r="O1020" s="37">
        <f>IFERROR(INDEX(Исходные!$B$19:$B$31,MATCH(H1020,Исходные!$A$19:$A$31,0)),0)</f>
        <v/>
      </c>
      <c r="P1020" s="76">
        <f>N1020*O1020</f>
        <v/>
      </c>
      <c r="Q1020" s="21" t="inlineStr">
        <is>
          <t>АС-19 прим.1: Ø18 и менее — внахлёстку электродуговой сваркой, Lшва=8d = 144 мм</t>
        </is>
      </c>
      <c r="R1020" s="77" t="inlineStr">
        <is>
          <t>по проекту (стыковка прутков 11,7 м)</t>
        </is>
      </c>
      <c r="S1020" s="21" t="inlineStr">
        <is>
          <t>Чистая длина 25.500 м; кусков 3; стыков 2; Lнахл=2×0.144=0.288 м на стержень</t>
        </is>
      </c>
      <c r="T1020" s="21" t="inlineStr">
        <is>
          <t>Ригели, балки, плита, С-1</t>
        </is>
      </c>
      <c r="U1020" s="49" t="n">
        <v>0</v>
      </c>
      <c r="V1020" s="72" t="inlineStr">
        <is>
          <t>Р-Г</t>
        </is>
      </c>
      <c r="W1020" s="49" t="n">
        <v>3</v>
      </c>
    </row>
    <row r="1021">
      <c r="A1021" s="72" t="n">
        <v>997</v>
      </c>
      <c r="B1021" s="21" t="inlineStr">
        <is>
          <t>3 этаж (отм. +7.550…+11.150)</t>
        </is>
      </c>
      <c r="C1021" s="21" t="inlineStr">
        <is>
          <t>Ригели</t>
        </is>
      </c>
      <c r="D1021" s="21" t="inlineStr">
        <is>
          <t>ось Г (отм. +11.150)</t>
        </is>
      </c>
      <c r="E1021" s="21" t="inlineStr">
        <is>
          <t>Р-Г</t>
        </is>
      </c>
      <c r="F1021" s="72" t="inlineStr">
        <is>
          <t>7</t>
        </is>
      </c>
      <c r="G1021" s="21" t="inlineStr">
        <is>
          <t>Боковые стержни 2Ø16 (сеч.4-4/5-5)</t>
        </is>
      </c>
      <c r="H1021" s="51" t="n">
        <v>16</v>
      </c>
      <c r="I1021" s="72" t="inlineStr">
        <is>
          <t>А500С</t>
        </is>
      </c>
      <c r="J1021" s="72" t="inlineStr">
        <is>
          <t>—</t>
        </is>
      </c>
      <c r="K1021" s="75" t="n">
        <v>1</v>
      </c>
      <c r="L1021" s="51" t="n">
        <v>2</v>
      </c>
      <c r="M1021" s="69" t="n">
        <v>25.5</v>
      </c>
      <c r="N1021" s="70">
        <f>K1021*L1021*M1021</f>
        <v/>
      </c>
      <c r="O1021" s="37">
        <f>IFERROR(INDEX(Исходные!$B$19:$B$31,MATCH(H1021,Исходные!$A$19:$A$31,0)),0)</f>
        <v/>
      </c>
      <c r="P1021" s="76">
        <f>N1021*O1021</f>
        <v/>
      </c>
      <c r="Q1021" s="21" t="inlineStr">
        <is>
          <t>АС-28 сеч.4-4/5-5 «Боковые стержни 2Ø16»</t>
        </is>
      </c>
      <c r="R1021" s="77" t="inlineStr">
        <is>
          <t>по геометрии чертежа</t>
        </is>
      </c>
      <c r="S1021" s="21" t="inlineStr"/>
      <c r="T1021" s="21" t="inlineStr">
        <is>
          <t>Ригели, балки, плита, С-1</t>
        </is>
      </c>
      <c r="U1021" s="49" t="n">
        <v>0</v>
      </c>
      <c r="V1021" s="72" t="inlineStr">
        <is>
          <t>Р-Г</t>
        </is>
      </c>
      <c r="W1021" s="49" t="n">
        <v>3</v>
      </c>
    </row>
    <row r="1022">
      <c r="A1022" s="72" t="n">
        <v>998</v>
      </c>
      <c r="B1022" s="21" t="inlineStr">
        <is>
          <t>3 этаж (отм. +7.550…+11.150)</t>
        </is>
      </c>
      <c r="C1022" s="21" t="inlineStr">
        <is>
          <t>Ригели</t>
        </is>
      </c>
      <c r="D1022" s="21" t="inlineStr">
        <is>
          <t>ось Г (отм. +11.150)</t>
        </is>
      </c>
      <c r="E1022" s="21" t="inlineStr">
        <is>
          <t>Р-Г</t>
        </is>
      </c>
      <c r="F1022" s="72" t="inlineStr">
        <is>
          <t>7-нахл</t>
        </is>
      </c>
      <c r="G1022" s="21" t="inlineStr">
        <is>
          <t>Нахлёсты стыков к поз. «Боковые стержни 2Ø16 (сеч.4-4/5-5)» (L=25.500 м &gt; 11,7 м): 3 куска, 2 стык(а) на стержень × 2 стерж.</t>
        </is>
      </c>
      <c r="H1022" s="51" t="n">
        <v>16</v>
      </c>
      <c r="I1022" s="72" t="inlineStr">
        <is>
          <t>А500С</t>
        </is>
      </c>
      <c r="J1022" s="72" t="inlineStr">
        <is>
          <t>—</t>
        </is>
      </c>
      <c r="K1022" s="75" t="n">
        <v>2</v>
      </c>
      <c r="L1022" s="51" t="n">
        <v>2</v>
      </c>
      <c r="M1022" s="69" t="n">
        <v>0.128</v>
      </c>
      <c r="N1022" s="70">
        <f>K1022*L1022*M1022</f>
        <v/>
      </c>
      <c r="O1022" s="37">
        <f>IFERROR(INDEX(Исходные!$B$19:$B$31,MATCH(H1022,Исходные!$A$19:$A$31,0)),0)</f>
        <v/>
      </c>
      <c r="P1022" s="76">
        <f>N1022*O1022</f>
        <v/>
      </c>
      <c r="Q1022" s="21" t="inlineStr">
        <is>
          <t>АС-19 прим.1: Ø18 и менее — внахлёстку электродуговой сваркой, Lшва=8d = 128 мм</t>
        </is>
      </c>
      <c r="R1022" s="77" t="inlineStr">
        <is>
          <t>по проекту (стыковка прутков 11,7 м)</t>
        </is>
      </c>
      <c r="S1022" s="21" t="inlineStr">
        <is>
          <t>Чистая длина 25.500 м; кусков 3; стыков 2; Lнахл=2×0.128=0.256 м на стержень</t>
        </is>
      </c>
      <c r="T1022" s="21" t="inlineStr">
        <is>
          <t>Ригели, балки, плита, С-1</t>
        </is>
      </c>
      <c r="U1022" s="49" t="n">
        <v>0</v>
      </c>
      <c r="V1022" s="72" t="inlineStr">
        <is>
          <t>Р-Г</t>
        </is>
      </c>
      <c r="W1022" s="49" t="n">
        <v>3</v>
      </c>
    </row>
    <row r="1023">
      <c r="A1023" s="72" t="n">
        <v>999</v>
      </c>
      <c r="B1023" s="21" t="inlineStr">
        <is>
          <t>3 этаж (отм. +7.550…+11.150)</t>
        </is>
      </c>
      <c r="C1023" s="21" t="inlineStr">
        <is>
          <t>Ригели</t>
        </is>
      </c>
      <c r="D1023" s="21" t="inlineStr">
        <is>
          <t>ось Г (отм. +11.150)</t>
        </is>
      </c>
      <c r="E1023" s="21" t="inlineStr">
        <is>
          <t>Р-Г</t>
        </is>
      </c>
      <c r="F1023" s="72" t="inlineStr">
        <is>
          <t>ОС</t>
        </is>
      </c>
      <c r="G1023" s="21" t="inlineStr">
        <is>
          <t>ОС верх: 2Ø25, участок 0…1600 мм + 250 до торца</t>
        </is>
      </c>
      <c r="H1023" s="51" t="n">
        <v>25</v>
      </c>
      <c r="I1023" s="72" t="inlineStr">
        <is>
          <t>А500С</t>
        </is>
      </c>
      <c r="J1023" s="72" t="inlineStr">
        <is>
          <t>—</t>
        </is>
      </c>
      <c r="K1023" s="75" t="n">
        <v>1</v>
      </c>
      <c r="L1023" s="51" t="n">
        <v>2</v>
      </c>
      <c r="M1023" s="69" t="n">
        <v>1.85</v>
      </c>
      <c r="N1023" s="70">
        <f>K1023*L1023*M1023</f>
        <v/>
      </c>
      <c r="O1023" s="37">
        <f>IFERROR(INDEX(Исходные!$B$19:$B$31,MATCH(H1023,Исходные!$A$19:$A$31,0)),0)</f>
        <v/>
      </c>
      <c r="P1023" s="76">
        <f>N1023*O1023</f>
        <v/>
      </c>
      <c r="Q1023" s="21" t="inlineStr">
        <is>
          <t>АС-23 (отм. 11.150): выноска «ОС 2Ø25 А500С»; длина по привязкам отдельных стержней</t>
        </is>
      </c>
      <c r="R1023" s="77" t="inlineStr">
        <is>
          <t>по геометрии чертежа</t>
        </is>
      </c>
      <c r="S1023" s="21" t="inlineStr">
        <is>
          <t>Координаты от оси 1: 0…1600 мм; конец до торца крайней колонны (+250)</t>
        </is>
      </c>
      <c r="T1023" s="21" t="inlineStr">
        <is>
          <t>Ригели, балки, плита, С-1</t>
        </is>
      </c>
      <c r="U1023" s="49" t="n">
        <v>0</v>
      </c>
      <c r="V1023" s="72" t="inlineStr">
        <is>
          <t>Р-Г</t>
        </is>
      </c>
      <c r="W1023" s="49" t="n">
        <v>3</v>
      </c>
    </row>
    <row r="1024">
      <c r="A1024" s="72" t="n">
        <v>1000</v>
      </c>
      <c r="B1024" s="21" t="inlineStr">
        <is>
          <t>3 этаж (отм. +7.550…+11.150)</t>
        </is>
      </c>
      <c r="C1024" s="21" t="inlineStr">
        <is>
          <t>Ригели</t>
        </is>
      </c>
      <c r="D1024" s="21" t="inlineStr">
        <is>
          <t>ось Г (отм. +11.150)</t>
        </is>
      </c>
      <c r="E1024" s="21" t="inlineStr">
        <is>
          <t>Р-Г</t>
        </is>
      </c>
      <c r="F1024" s="72" t="inlineStr">
        <is>
          <t>ОС</t>
        </is>
      </c>
      <c r="G1024" s="21" t="inlineStr">
        <is>
          <t>ОС верх: 2Ø28, участок 3900…9400 мм</t>
        </is>
      </c>
      <c r="H1024" s="51" t="n">
        <v>28</v>
      </c>
      <c r="I1024" s="72" t="inlineStr">
        <is>
          <t>А500С</t>
        </is>
      </c>
      <c r="J1024" s="72" t="inlineStr">
        <is>
          <t>—</t>
        </is>
      </c>
      <c r="K1024" s="75" t="n">
        <v>1</v>
      </c>
      <c r="L1024" s="51" t="n">
        <v>2</v>
      </c>
      <c r="M1024" s="69" t="n">
        <v>5.5</v>
      </c>
      <c r="N1024" s="70">
        <f>K1024*L1024*M1024</f>
        <v/>
      </c>
      <c r="O1024" s="37">
        <f>IFERROR(INDEX(Исходные!$B$19:$B$31,MATCH(H1024,Исходные!$A$19:$A$31,0)),0)</f>
        <v/>
      </c>
      <c r="P1024" s="76">
        <f>N1024*O1024</f>
        <v/>
      </c>
      <c r="Q1024" s="21" t="inlineStr">
        <is>
          <t>АС-23 (отм. 11.150): выноска «ОС 2Ø28 А500С»; длина по привязкам отдельных стержней</t>
        </is>
      </c>
      <c r="R1024" s="77" t="inlineStr">
        <is>
          <t>по геометрии чертежа</t>
        </is>
      </c>
      <c r="S1024" s="21" t="inlineStr">
        <is>
          <t>Координаты от оси 1: 3900…9400 мм</t>
        </is>
      </c>
      <c r="T1024" s="21" t="inlineStr">
        <is>
          <t>Ригели, балки, плита, С-1</t>
        </is>
      </c>
      <c r="U1024" s="49" t="n">
        <v>0</v>
      </c>
      <c r="V1024" s="72" t="inlineStr">
        <is>
          <t>Р-Г</t>
        </is>
      </c>
      <c r="W1024" s="49" t="n">
        <v>3</v>
      </c>
    </row>
    <row r="1025">
      <c r="A1025" s="72" t="n">
        <v>1001</v>
      </c>
      <c r="B1025" s="21" t="inlineStr">
        <is>
          <t>3 этаж (отм. +7.550…+11.150)</t>
        </is>
      </c>
      <c r="C1025" s="21" t="inlineStr">
        <is>
          <t>Ригели</t>
        </is>
      </c>
      <c r="D1025" s="21" t="inlineStr">
        <is>
          <t>ось Г (отм. +11.150)</t>
        </is>
      </c>
      <c r="E1025" s="21" t="inlineStr">
        <is>
          <t>Р-Г</t>
        </is>
      </c>
      <c r="F1025" s="72" t="inlineStr">
        <is>
          <t>ОС</t>
        </is>
      </c>
      <c r="G1025" s="21" t="inlineStr">
        <is>
          <t>ОС верх ств.: 2Ø25, участок 3900…9400 мм</t>
        </is>
      </c>
      <c r="H1025" s="51" t="n">
        <v>25</v>
      </c>
      <c r="I1025" s="72" t="inlineStr">
        <is>
          <t>А500С</t>
        </is>
      </c>
      <c r="J1025" s="72" t="inlineStr">
        <is>
          <t>—</t>
        </is>
      </c>
      <c r="K1025" s="75" t="n">
        <v>1</v>
      </c>
      <c r="L1025" s="51" t="n">
        <v>2</v>
      </c>
      <c r="M1025" s="69" t="n">
        <v>5.5</v>
      </c>
      <c r="N1025" s="70">
        <f>K1025*L1025*M1025</f>
        <v/>
      </c>
      <c r="O1025" s="37">
        <f>IFERROR(INDEX(Исходные!$B$19:$B$31,MATCH(H1025,Исходные!$A$19:$A$31,0)),0)</f>
        <v/>
      </c>
      <c r="P1025" s="76">
        <f>N1025*O1025</f>
        <v/>
      </c>
      <c r="Q1025" s="21" t="inlineStr">
        <is>
          <t>АС-23 (отм. 11.150): выноска «ОС 2Ø25 А500С»; длина по привязкам отдельных стержней</t>
        </is>
      </c>
      <c r="R1025" s="77" t="inlineStr">
        <is>
          <t>по геометрии чертежа</t>
        </is>
      </c>
      <c r="S1025" s="21" t="inlineStr">
        <is>
          <t>Координаты от оси 1: 3900…9400 мм</t>
        </is>
      </c>
      <c r="T1025" s="21" t="inlineStr">
        <is>
          <t>Ригели, балки, плита, С-1</t>
        </is>
      </c>
      <c r="U1025" s="49" t="n">
        <v>0</v>
      </c>
      <c r="V1025" s="72" t="inlineStr">
        <is>
          <t>Р-Г</t>
        </is>
      </c>
      <c r="W1025" s="49" t="n">
        <v>3</v>
      </c>
    </row>
    <row r="1026">
      <c r="A1026" s="72" t="n">
        <v>1002</v>
      </c>
      <c r="B1026" s="21" t="inlineStr">
        <is>
          <t>3 этаж (отм. +7.550…+11.150)</t>
        </is>
      </c>
      <c r="C1026" s="21" t="inlineStr">
        <is>
          <t>Ригели</t>
        </is>
      </c>
      <c r="D1026" s="21" t="inlineStr">
        <is>
          <t>ось Г (отм. +11.150)</t>
        </is>
      </c>
      <c r="E1026" s="21" t="inlineStr">
        <is>
          <t>Р-Г</t>
        </is>
      </c>
      <c r="F1026" s="72" t="inlineStr">
        <is>
          <t>ОС</t>
        </is>
      </c>
      <c r="G1026" s="21" t="inlineStr">
        <is>
          <t>ОС верх: 2Ø32, участок 11300…16000 мм</t>
        </is>
      </c>
      <c r="H1026" s="51" t="n">
        <v>32</v>
      </c>
      <c r="I1026" s="72" t="inlineStr">
        <is>
          <t>А500С</t>
        </is>
      </c>
      <c r="J1026" s="72" t="inlineStr">
        <is>
          <t>—</t>
        </is>
      </c>
      <c r="K1026" s="75" t="n">
        <v>1</v>
      </c>
      <c r="L1026" s="51" t="n">
        <v>2</v>
      </c>
      <c r="M1026" s="69" t="n">
        <v>4.7</v>
      </c>
      <c r="N1026" s="70">
        <f>K1026*L1026*M1026</f>
        <v/>
      </c>
      <c r="O1026" s="37">
        <f>IFERROR(INDEX(Исходные!$B$19:$B$31,MATCH(H1026,Исходные!$A$19:$A$31,0)),0)</f>
        <v/>
      </c>
      <c r="P1026" s="76">
        <f>N1026*O1026</f>
        <v/>
      </c>
      <c r="Q1026" s="21" t="inlineStr">
        <is>
          <t>АС-23 (отм. 11.150): выноска «ОС 2Ø32 А500С»; длина по привязкам отдельных стержней</t>
        </is>
      </c>
      <c r="R1026" s="77" t="inlineStr">
        <is>
          <t>по геометрии чертежа</t>
        </is>
      </c>
      <c r="S1026" s="21" t="inlineStr">
        <is>
          <t>Координаты от оси 1: 11300…16000 мм</t>
        </is>
      </c>
      <c r="T1026" s="21" t="inlineStr">
        <is>
          <t>Ригели, балки, плита, С-1</t>
        </is>
      </c>
      <c r="U1026" s="49" t="n">
        <v>0</v>
      </c>
      <c r="V1026" s="72" t="inlineStr">
        <is>
          <t>Р-Г</t>
        </is>
      </c>
      <c r="W1026" s="49" t="n">
        <v>3</v>
      </c>
    </row>
    <row r="1027">
      <c r="A1027" s="72" t="n">
        <v>1003</v>
      </c>
      <c r="B1027" s="21" t="inlineStr">
        <is>
          <t>3 этаж (отм. +7.550…+11.150)</t>
        </is>
      </c>
      <c r="C1027" s="21" t="inlineStr">
        <is>
          <t>Ригели</t>
        </is>
      </c>
      <c r="D1027" s="21" t="inlineStr">
        <is>
          <t>ось Г (отм. +11.150)</t>
        </is>
      </c>
      <c r="E1027" s="21" t="inlineStr">
        <is>
          <t>Р-Г</t>
        </is>
      </c>
      <c r="F1027" s="72" t="inlineStr">
        <is>
          <t>ОС</t>
        </is>
      </c>
      <c r="G1027" s="21" t="inlineStr">
        <is>
          <t>ОС верх: 2Ø32, участок 17500…21800 мм</t>
        </is>
      </c>
      <c r="H1027" s="51" t="n">
        <v>32</v>
      </c>
      <c r="I1027" s="72" t="inlineStr">
        <is>
          <t>А500С</t>
        </is>
      </c>
      <c r="J1027" s="72" t="inlineStr">
        <is>
          <t>—</t>
        </is>
      </c>
      <c r="K1027" s="75" t="n">
        <v>1</v>
      </c>
      <c r="L1027" s="51" t="n">
        <v>2</v>
      </c>
      <c r="M1027" s="69" t="n">
        <v>4.3</v>
      </c>
      <c r="N1027" s="70">
        <f>K1027*L1027*M1027</f>
        <v/>
      </c>
      <c r="O1027" s="37">
        <f>IFERROR(INDEX(Исходные!$B$19:$B$31,MATCH(H1027,Исходные!$A$19:$A$31,0)),0)</f>
        <v/>
      </c>
      <c r="P1027" s="76">
        <f>N1027*O1027</f>
        <v/>
      </c>
      <c r="Q1027" s="21" t="inlineStr">
        <is>
          <t>АС-23 (отм. 11.150): выноска «ОС 2Ø32 А500С»; длина по привязкам отдельных стержней</t>
        </is>
      </c>
      <c r="R1027" s="77" t="inlineStr">
        <is>
          <t>по геометрии чертежа</t>
        </is>
      </c>
      <c r="S1027" s="21" t="inlineStr">
        <is>
          <t>Координаты от оси 1: 17500…21800 мм</t>
        </is>
      </c>
      <c r="T1027" s="21" t="inlineStr">
        <is>
          <t>Ригели, балки, плита, С-1</t>
        </is>
      </c>
      <c r="U1027" s="49" t="n">
        <v>0</v>
      </c>
      <c r="V1027" s="72" t="inlineStr">
        <is>
          <t>Р-Г</t>
        </is>
      </c>
      <c r="W1027" s="49" t="n">
        <v>3</v>
      </c>
    </row>
    <row r="1028">
      <c r="A1028" s="72" t="n">
        <v>1004</v>
      </c>
      <c r="B1028" s="21" t="inlineStr">
        <is>
          <t>3 этаж (отм. +7.550…+11.150)</t>
        </is>
      </c>
      <c r="C1028" s="21" t="inlineStr">
        <is>
          <t>Ригели</t>
        </is>
      </c>
      <c r="D1028" s="21" t="inlineStr">
        <is>
          <t>ось Г (отм. +11.150)</t>
        </is>
      </c>
      <c r="E1028" s="21" t="inlineStr">
        <is>
          <t>Р-Г</t>
        </is>
      </c>
      <c r="F1028" s="72" t="inlineStr">
        <is>
          <t>ОС</t>
        </is>
      </c>
      <c r="G1028" s="21" t="inlineStr">
        <is>
          <t>ОС верх: 2Ø25, участок 23200…25000 мм + 250 до торца</t>
        </is>
      </c>
      <c r="H1028" s="51" t="n">
        <v>25</v>
      </c>
      <c r="I1028" s="72" t="inlineStr">
        <is>
          <t>А500С</t>
        </is>
      </c>
      <c r="J1028" s="72" t="inlineStr">
        <is>
          <t>—</t>
        </is>
      </c>
      <c r="K1028" s="75" t="n">
        <v>1</v>
      </c>
      <c r="L1028" s="51" t="n">
        <v>2</v>
      </c>
      <c r="M1028" s="69" t="n">
        <v>2.05</v>
      </c>
      <c r="N1028" s="70">
        <f>K1028*L1028*M1028</f>
        <v/>
      </c>
      <c r="O1028" s="37">
        <f>IFERROR(INDEX(Исходные!$B$19:$B$31,MATCH(H1028,Исходные!$A$19:$A$31,0)),0)</f>
        <v/>
      </c>
      <c r="P1028" s="76">
        <f>N1028*O1028</f>
        <v/>
      </c>
      <c r="Q1028" s="21" t="inlineStr">
        <is>
          <t>АС-23 (отм. 11.150): выноска «ОС 2Ø25 А500С»; длина по привязкам отдельных стержней</t>
        </is>
      </c>
      <c r="R1028" s="77" t="inlineStr">
        <is>
          <t>по геометрии чертежа</t>
        </is>
      </c>
      <c r="S1028" s="21" t="inlineStr">
        <is>
          <t>Координаты от оси 1: 23200…25000 мм; конец до торца крайней колонны (+250)</t>
        </is>
      </c>
      <c r="T1028" s="21" t="inlineStr">
        <is>
          <t>Ригели, балки, плита, С-1</t>
        </is>
      </c>
      <c r="U1028" s="49" t="n">
        <v>0</v>
      </c>
      <c r="V1028" s="72" t="inlineStr">
        <is>
          <t>Р-Г</t>
        </is>
      </c>
      <c r="W1028" s="49" t="n">
        <v>3</v>
      </c>
    </row>
    <row r="1029">
      <c r="A1029" s="72" t="n">
        <v>1005</v>
      </c>
      <c r="B1029" s="21" t="inlineStr">
        <is>
          <t>3 этаж (отм. +7.550…+11.150)</t>
        </is>
      </c>
      <c r="C1029" s="21" t="inlineStr">
        <is>
          <t>Ригели</t>
        </is>
      </c>
      <c r="D1029" s="21" t="inlineStr">
        <is>
          <t>ось Г (отм. +11.150)</t>
        </is>
      </c>
      <c r="E1029" s="21" t="inlineStr">
        <is>
          <t>Р-Г</t>
        </is>
      </c>
      <c r="F1029" s="72" t="inlineStr">
        <is>
          <t>ОС</t>
        </is>
      </c>
      <c r="G1029" s="21" t="inlineStr">
        <is>
          <t>ОС низ: 2Ø16, участок 0…1600 мм + 250 до торца</t>
        </is>
      </c>
      <c r="H1029" s="51" t="n">
        <v>16</v>
      </c>
      <c r="I1029" s="72" t="inlineStr">
        <is>
          <t>А500С</t>
        </is>
      </c>
      <c r="J1029" s="72" t="inlineStr">
        <is>
          <t>—</t>
        </is>
      </c>
      <c r="K1029" s="75" t="n">
        <v>1</v>
      </c>
      <c r="L1029" s="51" t="n">
        <v>2</v>
      </c>
      <c r="M1029" s="69" t="n">
        <v>1.85</v>
      </c>
      <c r="N1029" s="70">
        <f>K1029*L1029*M1029</f>
        <v/>
      </c>
      <c r="O1029" s="37">
        <f>IFERROR(INDEX(Исходные!$B$19:$B$31,MATCH(H1029,Исходные!$A$19:$A$31,0)),0)</f>
        <v/>
      </c>
      <c r="P1029" s="76">
        <f>N1029*O1029</f>
        <v/>
      </c>
      <c r="Q1029" s="21" t="inlineStr">
        <is>
          <t>АС-23 (отм. 11.150): выноска «ОС 2Ø16 А500С»; длина по привязкам отдельных стержней</t>
        </is>
      </c>
      <c r="R1029" s="77" t="inlineStr">
        <is>
          <t>по геометрии чертежа</t>
        </is>
      </c>
      <c r="S1029" s="21" t="inlineStr">
        <is>
          <t>Координаты от оси 1: 0…1600 мм; конец до торца крайней колонны (+250)</t>
        </is>
      </c>
      <c r="T1029" s="21" t="inlineStr">
        <is>
          <t>Ригели, балки, плита, С-1</t>
        </is>
      </c>
      <c r="U1029" s="49" t="n">
        <v>0</v>
      </c>
      <c r="V1029" s="72" t="inlineStr">
        <is>
          <t>Р-Г</t>
        </is>
      </c>
      <c r="W1029" s="49" t="n">
        <v>3</v>
      </c>
    </row>
    <row r="1030">
      <c r="A1030" s="72" t="n">
        <v>1006</v>
      </c>
      <c r="B1030" s="21" t="inlineStr">
        <is>
          <t>3 этаж (отм. +7.550…+11.150)</t>
        </is>
      </c>
      <c r="C1030" s="21" t="inlineStr">
        <is>
          <t>Ригели</t>
        </is>
      </c>
      <c r="D1030" s="21" t="inlineStr">
        <is>
          <t>ось Г (отм. +11.150)</t>
        </is>
      </c>
      <c r="E1030" s="21" t="inlineStr">
        <is>
          <t>Р-Г</t>
        </is>
      </c>
      <c r="F1030" s="72" t="inlineStr">
        <is>
          <t>ОС</t>
        </is>
      </c>
      <c r="G1030" s="21" t="inlineStr">
        <is>
          <t>ОС низ: 2Ø22, участок 3900…9400 мм</t>
        </is>
      </c>
      <c r="H1030" s="51" t="n">
        <v>22</v>
      </c>
      <c r="I1030" s="72" t="inlineStr">
        <is>
          <t>А500С</t>
        </is>
      </c>
      <c r="J1030" s="72" t="inlineStr">
        <is>
          <t>—</t>
        </is>
      </c>
      <c r="K1030" s="75" t="n">
        <v>1</v>
      </c>
      <c r="L1030" s="51" t="n">
        <v>2</v>
      </c>
      <c r="M1030" s="69" t="n">
        <v>5.5</v>
      </c>
      <c r="N1030" s="70">
        <f>K1030*L1030*M1030</f>
        <v/>
      </c>
      <c r="O1030" s="37">
        <f>IFERROR(INDEX(Исходные!$B$19:$B$31,MATCH(H1030,Исходные!$A$19:$A$31,0)),0)</f>
        <v/>
      </c>
      <c r="P1030" s="76">
        <f>N1030*O1030</f>
        <v/>
      </c>
      <c r="Q1030" s="21" t="inlineStr">
        <is>
          <t>АС-23 (отм. 11.150): выноска «ОС 2Ø22 А500С»; длина по привязкам отдельных стержней</t>
        </is>
      </c>
      <c r="R1030" s="77" t="inlineStr">
        <is>
          <t>по геометрии чертежа</t>
        </is>
      </c>
      <c r="S1030" s="21" t="inlineStr">
        <is>
          <t>Координаты от оси 1: 3900…9400 мм</t>
        </is>
      </c>
      <c r="T1030" s="21" t="inlineStr">
        <is>
          <t>Ригели, балки, плита, С-1</t>
        </is>
      </c>
      <c r="U1030" s="49" t="n">
        <v>0</v>
      </c>
      <c r="V1030" s="72" t="inlineStr">
        <is>
          <t>Р-Г</t>
        </is>
      </c>
      <c r="W1030" s="49" t="n">
        <v>3</v>
      </c>
    </row>
    <row r="1031">
      <c r="A1031" s="72" t="n">
        <v>1007</v>
      </c>
      <c r="B1031" s="21" t="inlineStr">
        <is>
          <t>3 этаж (отм. +7.550…+11.150)</t>
        </is>
      </c>
      <c r="C1031" s="21" t="inlineStr">
        <is>
          <t>Ригели</t>
        </is>
      </c>
      <c r="D1031" s="21" t="inlineStr">
        <is>
          <t>ось Г (отм. +11.150)</t>
        </is>
      </c>
      <c r="E1031" s="21" t="inlineStr">
        <is>
          <t>Р-Г</t>
        </is>
      </c>
      <c r="F1031" s="72" t="inlineStr">
        <is>
          <t>ОС</t>
        </is>
      </c>
      <c r="G1031" s="21" t="inlineStr">
        <is>
          <t>ОС низ: 2Ø28, участок 11300…16000 мм</t>
        </is>
      </c>
      <c r="H1031" s="51" t="n">
        <v>28</v>
      </c>
      <c r="I1031" s="72" t="inlineStr">
        <is>
          <t>А500С</t>
        </is>
      </c>
      <c r="J1031" s="72" t="inlineStr">
        <is>
          <t>—</t>
        </is>
      </c>
      <c r="K1031" s="75" t="n">
        <v>1</v>
      </c>
      <c r="L1031" s="51" t="n">
        <v>2</v>
      </c>
      <c r="M1031" s="69" t="n">
        <v>4.7</v>
      </c>
      <c r="N1031" s="70">
        <f>K1031*L1031*M1031</f>
        <v/>
      </c>
      <c r="O1031" s="37">
        <f>IFERROR(INDEX(Исходные!$B$19:$B$31,MATCH(H1031,Исходные!$A$19:$A$31,0)),0)</f>
        <v/>
      </c>
      <c r="P1031" s="76">
        <f>N1031*O1031</f>
        <v/>
      </c>
      <c r="Q1031" s="21" t="inlineStr">
        <is>
          <t>АС-23 (отм. 11.150): выноска «ОС 2Ø28 А500С»; длина по привязкам отдельных стержней</t>
        </is>
      </c>
      <c r="R1031" s="77" t="inlineStr">
        <is>
          <t>по геометрии чертежа</t>
        </is>
      </c>
      <c r="S1031" s="21" t="inlineStr">
        <is>
          <t>Координаты от оси 1: 11300…16000 мм</t>
        </is>
      </c>
      <c r="T1031" s="21" t="inlineStr">
        <is>
          <t>Ригели, балки, плита, С-1</t>
        </is>
      </c>
      <c r="U1031" s="49" t="n">
        <v>0</v>
      </c>
      <c r="V1031" s="72" t="inlineStr">
        <is>
          <t>Р-Г</t>
        </is>
      </c>
      <c r="W1031" s="49" t="n">
        <v>3</v>
      </c>
    </row>
    <row r="1032">
      <c r="A1032" s="72" t="n">
        <v>1008</v>
      </c>
      <c r="B1032" s="21" t="inlineStr">
        <is>
          <t>3 этаж (отм. +7.550…+11.150)</t>
        </is>
      </c>
      <c r="C1032" s="21" t="inlineStr">
        <is>
          <t>Ригели</t>
        </is>
      </c>
      <c r="D1032" s="21" t="inlineStr">
        <is>
          <t>ось Г (отм. +11.150)</t>
        </is>
      </c>
      <c r="E1032" s="21" t="inlineStr">
        <is>
          <t>Р-Г</t>
        </is>
      </c>
      <c r="F1032" s="72" t="inlineStr">
        <is>
          <t>ОС</t>
        </is>
      </c>
      <c r="G1032" s="21" t="inlineStr">
        <is>
          <t>ОС низ: 2Ø25, участок 17500…21800 мм</t>
        </is>
      </c>
      <c r="H1032" s="51" t="n">
        <v>25</v>
      </c>
      <c r="I1032" s="72" t="inlineStr">
        <is>
          <t>А500С</t>
        </is>
      </c>
      <c r="J1032" s="72" t="inlineStr">
        <is>
          <t>—</t>
        </is>
      </c>
      <c r="K1032" s="75" t="n">
        <v>1</v>
      </c>
      <c r="L1032" s="51" t="n">
        <v>2</v>
      </c>
      <c r="M1032" s="69" t="n">
        <v>4.3</v>
      </c>
      <c r="N1032" s="70">
        <f>K1032*L1032*M1032</f>
        <v/>
      </c>
      <c r="O1032" s="37">
        <f>IFERROR(INDEX(Исходные!$B$19:$B$31,MATCH(H1032,Исходные!$A$19:$A$31,0)),0)</f>
        <v/>
      </c>
      <c r="P1032" s="76">
        <f>N1032*O1032</f>
        <v/>
      </c>
      <c r="Q1032" s="21" t="inlineStr">
        <is>
          <t>АС-23 (отм. 11.150): выноска «ОС 2Ø25 А500С»; длина по привязкам отдельных стержней</t>
        </is>
      </c>
      <c r="R1032" s="77" t="inlineStr">
        <is>
          <t>по геометрии чертежа</t>
        </is>
      </c>
      <c r="S1032" s="21" t="inlineStr">
        <is>
          <t>Координаты от оси 1: 17500…21800 мм</t>
        </is>
      </c>
      <c r="T1032" s="21" t="inlineStr">
        <is>
          <t>Ригели, балки, плита, С-1</t>
        </is>
      </c>
      <c r="U1032" s="49" t="n">
        <v>0</v>
      </c>
      <c r="V1032" s="72" t="inlineStr">
        <is>
          <t>Р-Г</t>
        </is>
      </c>
      <c r="W1032" s="49" t="n">
        <v>3</v>
      </c>
    </row>
    <row r="1033">
      <c r="A1033" s="72" t="n">
        <v>1009</v>
      </c>
      <c r="B1033" s="21" t="inlineStr">
        <is>
          <t>3 этаж (отм. +7.550…+11.150)</t>
        </is>
      </c>
      <c r="C1033" s="21" t="inlineStr">
        <is>
          <t>Ригели</t>
        </is>
      </c>
      <c r="D1033" s="21" t="inlineStr">
        <is>
          <t>ось Г (отм. +11.150)</t>
        </is>
      </c>
      <c r="E1033" s="21" t="inlineStr">
        <is>
          <t>Р-Г</t>
        </is>
      </c>
      <c r="F1033" s="72" t="inlineStr">
        <is>
          <t>ОС</t>
        </is>
      </c>
      <c r="G1033" s="21" t="inlineStr">
        <is>
          <t>ОС низ: 2Ø22, участок 23200…25000 мм + 250 до торца</t>
        </is>
      </c>
      <c r="H1033" s="51" t="n">
        <v>22</v>
      </c>
      <c r="I1033" s="72" t="inlineStr">
        <is>
          <t>А500С</t>
        </is>
      </c>
      <c r="J1033" s="72" t="inlineStr">
        <is>
          <t>—</t>
        </is>
      </c>
      <c r="K1033" s="75" t="n">
        <v>1</v>
      </c>
      <c r="L1033" s="51" t="n">
        <v>2</v>
      </c>
      <c r="M1033" s="69" t="n">
        <v>2.05</v>
      </c>
      <c r="N1033" s="70">
        <f>K1033*L1033*M1033</f>
        <v/>
      </c>
      <c r="O1033" s="37">
        <f>IFERROR(INDEX(Исходные!$B$19:$B$31,MATCH(H1033,Исходные!$A$19:$A$31,0)),0)</f>
        <v/>
      </c>
      <c r="P1033" s="76">
        <f>N1033*O1033</f>
        <v/>
      </c>
      <c r="Q1033" s="21" t="inlineStr">
        <is>
          <t>АС-23 (отм. 11.150): выноска «ОС 2Ø22 А500С»; длина по привязкам отдельных стержней</t>
        </is>
      </c>
      <c r="R1033" s="77" t="inlineStr">
        <is>
          <t>по геометрии чертежа</t>
        </is>
      </c>
      <c r="S1033" s="21" t="inlineStr">
        <is>
          <t>Координаты от оси 1: 23200…25000 мм; конец до торца крайней колонны (+250)</t>
        </is>
      </c>
      <c r="T1033" s="21" t="inlineStr">
        <is>
          <t>Ригели, балки, плита, С-1</t>
        </is>
      </c>
      <c r="U1033" s="49" t="n">
        <v>0</v>
      </c>
      <c r="V1033" s="72" t="inlineStr">
        <is>
          <t>Р-Г</t>
        </is>
      </c>
      <c r="W1033" s="49" t="n">
        <v>3</v>
      </c>
    </row>
    <row r="1034">
      <c r="A1034" s="72" t="n">
        <v>1010</v>
      </c>
      <c r="B1034" s="21" t="inlineStr">
        <is>
          <t>3 этаж (отм. +7.550…+11.150)</t>
        </is>
      </c>
      <c r="C1034" s="21" t="inlineStr">
        <is>
          <t>Ригели</t>
        </is>
      </c>
      <c r="D1034" s="21" t="inlineStr">
        <is>
          <t>ось Г (отм. +11.150)</t>
        </is>
      </c>
      <c r="E1034" s="21" t="inlineStr">
        <is>
          <t>Р-Г</t>
        </is>
      </c>
      <c r="F1034" s="72" t="inlineStr">
        <is>
          <t>ОС</t>
        </is>
      </c>
      <c r="G1034" s="21" t="inlineStr">
        <is>
          <t>Ос (бок) бок: 2Ø12, участок 3900…9400 мм</t>
        </is>
      </c>
      <c r="H1034" s="51" t="n">
        <v>12</v>
      </c>
      <c r="I1034" s="72" t="inlineStr">
        <is>
          <t>А500С</t>
        </is>
      </c>
      <c r="J1034" s="72" t="inlineStr">
        <is>
          <t>—</t>
        </is>
      </c>
      <c r="K1034" s="75" t="n">
        <v>1</v>
      </c>
      <c r="L1034" s="51" t="n">
        <v>2</v>
      </c>
      <c r="M1034" s="69" t="n">
        <v>5.5</v>
      </c>
      <c r="N1034" s="70">
        <f>K1034*L1034*M1034</f>
        <v/>
      </c>
      <c r="O1034" s="37">
        <f>IFERROR(INDEX(Исходные!$B$19:$B$31,MATCH(H1034,Исходные!$A$19:$A$31,0)),0)</f>
        <v/>
      </c>
      <c r="P1034" s="76">
        <f>N1034*O1034</f>
        <v/>
      </c>
      <c r="Q1034" s="21" t="inlineStr">
        <is>
          <t>АС-23 (отм. 11.150): выноска «Ос (бок) 2Ø12 А500С»; длина по привязкам отдельных стержней</t>
        </is>
      </c>
      <c r="R1034" s="77" t="inlineStr">
        <is>
          <t>по геометрии чертежа</t>
        </is>
      </c>
      <c r="S1034" s="21" t="inlineStr">
        <is>
          <t>Координаты от оси 1: 3900…9400 мм</t>
        </is>
      </c>
      <c r="T1034" s="21" t="inlineStr">
        <is>
          <t>Ригели, балки, плита, С-1</t>
        </is>
      </c>
      <c r="U1034" s="49" t="n">
        <v>0</v>
      </c>
      <c r="V1034" s="72" t="inlineStr">
        <is>
          <t>Р-Г</t>
        </is>
      </c>
      <c r="W1034" s="49" t="n">
        <v>3</v>
      </c>
    </row>
    <row r="1035">
      <c r="A1035" s="72" t="n">
        <v>1011</v>
      </c>
      <c r="B1035" s="21" t="inlineStr">
        <is>
          <t>3 этаж (отм. +7.550…+11.150)</t>
        </is>
      </c>
      <c r="C1035" s="21" t="inlineStr">
        <is>
          <t>Ригели</t>
        </is>
      </c>
      <c r="D1035" s="21" t="inlineStr">
        <is>
          <t>ось Г (отм. +11.150)</t>
        </is>
      </c>
      <c r="E1035" s="21" t="inlineStr">
        <is>
          <t>Р-Г</t>
        </is>
      </c>
      <c r="F1035" s="72" t="inlineStr">
        <is>
          <t>12</t>
        </is>
      </c>
      <c r="G1035" s="21" t="inlineStr">
        <is>
          <t>Хомут Ø8 L=2060 ш.100 у опор, ш.150 в пролёте, 80×4 у балок — вне заштрихованных участков</t>
        </is>
      </c>
      <c r="H1035" s="51" t="n">
        <v>8</v>
      </c>
      <c r="I1035" s="72" t="inlineStr">
        <is>
          <t>А240</t>
        </is>
      </c>
      <c r="J1035" s="72" t="inlineStr">
        <is>
          <t>100/150</t>
        </is>
      </c>
      <c r="K1035" s="75" t="n">
        <v>1</v>
      </c>
      <c r="L1035" s="51" t="n">
        <v>125</v>
      </c>
      <c r="M1035" s="69" t="n">
        <v>2.06</v>
      </c>
      <c r="N1035" s="70">
        <f>K1035*L1035*M1035</f>
        <v/>
      </c>
      <c r="O1035" s="37">
        <f>IFERROR(INDEX(Исходные!$B$19:$B$31,MATCH(H1035,Исходные!$A$19:$A$31,0)),0)</f>
        <v/>
      </c>
      <c r="P1035" s="76">
        <f>N1035*O1035</f>
        <v/>
      </c>
      <c r="Q1035" s="21" t="inlineStr">
        <is>
          <t>АС-28 поз.12; АС-29 «Расстановка хомутов в ригелях»</t>
        </is>
      </c>
      <c r="R1035" s="77" t="inlineStr">
        <is>
          <t>по проекту</t>
        </is>
      </c>
      <c r="S1035" s="21" t="inlineStr">
        <is>
          <t>Пролёты в свету [(300, 5500), (7500, 13200), (14500, 19000), (20300, 24700)]</t>
        </is>
      </c>
      <c r="T1035" s="21" t="inlineStr">
        <is>
          <t>Ригели, балки, плита, С-1</t>
        </is>
      </c>
      <c r="U1035" s="49" t="n">
        <v>0</v>
      </c>
      <c r="V1035" s="72" t="inlineStr">
        <is>
          <t>Р-Г</t>
        </is>
      </c>
      <c r="W1035" s="49" t="n">
        <v>3</v>
      </c>
    </row>
    <row r="1036">
      <c r="A1036" s="72" t="n">
        <v>1012</v>
      </c>
      <c r="B1036" s="21" t="inlineStr">
        <is>
          <t>3 этаж (отм. +7.550…+11.150)</t>
        </is>
      </c>
      <c r="C1036" s="21" t="inlineStr">
        <is>
          <t>Ригели</t>
        </is>
      </c>
      <c r="D1036" s="21" t="inlineStr">
        <is>
          <t>ось Г (отм. +11.150)</t>
        </is>
      </c>
      <c r="E1036" s="21" t="inlineStr">
        <is>
          <t>Р-Г</t>
        </is>
      </c>
      <c r="F1036" s="72" t="inlineStr">
        <is>
          <t>13</t>
        </is>
      </c>
      <c r="G1036" s="21" t="inlineStr">
        <is>
          <t>Хомут наружный Ø10 L=2060 ш.100 — заштрихованные участки</t>
        </is>
      </c>
      <c r="H1036" s="51" t="n">
        <v>10</v>
      </c>
      <c r="I1036" s="72" t="inlineStr">
        <is>
          <t>А240</t>
        </is>
      </c>
      <c r="J1036" s="72" t="n">
        <v>100</v>
      </c>
      <c r="K1036" s="75" t="n">
        <v>1</v>
      </c>
      <c r="L1036" s="51" t="n">
        <v>45</v>
      </c>
      <c r="M1036" s="69" t="n">
        <v>2.06</v>
      </c>
      <c r="N1036" s="70">
        <f>K1036*L1036*M1036</f>
        <v/>
      </c>
      <c r="O1036" s="37">
        <f>IFERROR(INDEX(Исходные!$B$19:$B$31,MATCH(H1036,Исходные!$A$19:$A$31,0)),0)</f>
        <v/>
      </c>
      <c r="P1036" s="76">
        <f>N1036*O1036</f>
        <v/>
      </c>
      <c r="Q1036" s="21" t="inlineStr">
        <is>
          <t>АС-23 штриховка у отм. 11.150; АС-28 Фрагмент №1, поз.13</t>
        </is>
      </c>
      <c r="R1036" s="77" t="inlineStr">
        <is>
          <t>по проекту</t>
        </is>
      </c>
      <c r="S1036" s="21" t="inlineStr">
        <is>
          <t>Участки (мм): одинарные [(4000, 5500), (7500, 9000), (17500, 19000)], двойные []</t>
        </is>
      </c>
      <c r="T1036" s="21" t="inlineStr">
        <is>
          <t>Ригели, балки, плита, С-1</t>
        </is>
      </c>
      <c r="U1036" s="49" t="n">
        <v>0</v>
      </c>
      <c r="V1036" s="72" t="inlineStr">
        <is>
          <t>Р-Г</t>
        </is>
      </c>
      <c r="W1036" s="49" t="n">
        <v>3</v>
      </c>
    </row>
    <row r="1037">
      <c r="A1037" s="72" t="n">
        <v>1013</v>
      </c>
      <c r="B1037" s="21" t="inlineStr">
        <is>
          <t>3 этаж (отм. +7.550…+11.150)</t>
        </is>
      </c>
      <c r="C1037" s="21" t="inlineStr">
        <is>
          <t>Ригели</t>
        </is>
      </c>
      <c r="D1037" s="21" t="inlineStr">
        <is>
          <t>ось Г (отм. +11.150)</t>
        </is>
      </c>
      <c r="E1037" s="21" t="inlineStr">
        <is>
          <t>Р-Г</t>
        </is>
      </c>
      <c r="F1037" s="72" t="inlineStr">
        <is>
          <t>17</t>
        </is>
      </c>
      <c r="G1037" s="21" t="inlineStr">
        <is>
          <t>Шпилька вертикальная Ø8 L=750: ш.200 у опор, ш.150 в пролёте</t>
        </is>
      </c>
      <c r="H1037" s="51" t="n">
        <v>8</v>
      </c>
      <c r="I1037" s="72" t="inlineStr">
        <is>
          <t>А240</t>
        </is>
      </c>
      <c r="J1037" s="72" t="inlineStr">
        <is>
          <t>200/150</t>
        </is>
      </c>
      <c r="K1037" s="75" t="n">
        <v>1</v>
      </c>
      <c r="L1037" s="51" t="n">
        <v>106</v>
      </c>
      <c r="M1037" s="69" t="n">
        <v>0.75</v>
      </c>
      <c r="N1037" s="70">
        <f>K1037*L1037*M1037</f>
        <v/>
      </c>
      <c r="O1037" s="37">
        <f>IFERROR(INDEX(Исходные!$B$19:$B$31,MATCH(H1037,Исходные!$A$19:$A$31,0)),0)</f>
        <v/>
      </c>
      <c r="P1037" s="76">
        <f>N1037*O1037</f>
        <v/>
      </c>
      <c r="Q1037" s="21" t="inlineStr">
        <is>
          <t>АС-28 сеч.4-4/5-5 поз.17</t>
        </is>
      </c>
      <c r="R1037" s="77" t="inlineStr">
        <is>
          <t>по проекту</t>
        </is>
      </c>
      <c r="S1037" s="21" t="inlineStr"/>
      <c r="T1037" s="21" t="inlineStr">
        <is>
          <t>Ригели, балки, плита, С-1</t>
        </is>
      </c>
      <c r="U1037" s="49" t="n">
        <v>0</v>
      </c>
      <c r="V1037" s="72" t="inlineStr">
        <is>
          <t>Р-Г</t>
        </is>
      </c>
      <c r="W1037" s="49" t="n">
        <v>3</v>
      </c>
    </row>
    <row r="1038">
      <c r="A1038" s="72" t="n">
        <v>1014</v>
      </c>
      <c r="B1038" s="21" t="inlineStr">
        <is>
          <t>3 этаж (отм. +7.550…+11.150)</t>
        </is>
      </c>
      <c r="C1038" s="21" t="inlineStr">
        <is>
          <t>Ригели</t>
        </is>
      </c>
      <c r="D1038" s="21" t="inlineStr">
        <is>
          <t>ось Г (отм. +11.150)</t>
        </is>
      </c>
      <c r="E1038" s="21" t="inlineStr">
        <is>
          <t>Р-Г</t>
        </is>
      </c>
      <c r="F1038" s="72" t="inlineStr">
        <is>
          <t>16</t>
        </is>
      </c>
      <c r="G1038" s="21" t="inlineStr">
        <is>
          <t>Шпилька горизонтальная Ø8 L=580 ш.300</t>
        </is>
      </c>
      <c r="H1038" s="51" t="n">
        <v>8</v>
      </c>
      <c r="I1038" s="72" t="inlineStr">
        <is>
          <t>А240</t>
        </is>
      </c>
      <c r="J1038" s="72" t="n">
        <v>300</v>
      </c>
      <c r="K1038" s="75" t="n">
        <v>1</v>
      </c>
      <c r="L1038" s="51" t="n">
        <v>67</v>
      </c>
      <c r="M1038" s="69" t="n">
        <v>0.58</v>
      </c>
      <c r="N1038" s="70">
        <f>K1038*L1038*M1038</f>
        <v/>
      </c>
      <c r="O1038" s="37">
        <f>IFERROR(INDEX(Исходные!$B$19:$B$31,MATCH(H1038,Исходные!$A$19:$A$31,0)),0)</f>
        <v/>
      </c>
      <c r="P1038" s="76">
        <f>N1038*O1038</f>
        <v/>
      </c>
      <c r="Q1038" s="21" t="inlineStr">
        <is>
          <t>АС-28 «шп.Ø8 А240 ш.300», поз.16 L=580</t>
        </is>
      </c>
      <c r="R1038" s="78" t="inlineStr">
        <is>
          <t>принято (уточнить)</t>
        </is>
      </c>
      <c r="S1038" s="21" t="inlineStr"/>
      <c r="T1038" s="21" t="inlineStr">
        <is>
          <t>Ригели, балки, плита, С-1</t>
        </is>
      </c>
      <c r="U1038" s="49" t="n">
        <v>1</v>
      </c>
      <c r="V1038" s="72" t="inlineStr">
        <is>
          <t>Р-Г</t>
        </is>
      </c>
      <c r="W1038" s="49" t="n">
        <v>3</v>
      </c>
    </row>
    <row r="1039">
      <c r="A1039" s="72" t="n">
        <v>1015</v>
      </c>
      <c r="B1039" s="21" t="inlineStr">
        <is>
          <t>3 этаж (отм. +7.550…+11.150)</t>
        </is>
      </c>
      <c r="C1039" s="21" t="inlineStr">
        <is>
          <t>Ригели</t>
        </is>
      </c>
      <c r="D1039" s="21" t="inlineStr">
        <is>
          <t>оси 1, 5 (отм. +11.150)</t>
        </is>
      </c>
      <c r="E1039" s="21" t="inlineStr">
        <is>
          <t>Р-1, 5</t>
        </is>
      </c>
      <c r="F1039" s="72" t="inlineStr">
        <is>
          <t>2</t>
        </is>
      </c>
      <c r="G1039" s="21" t="inlineStr">
        <is>
          <t>Продольные угловые 4Ø28 (сеч.4-4/5-5), сквозные, концы с Аш</t>
        </is>
      </c>
      <c r="H1039" s="51" t="n">
        <v>28</v>
      </c>
      <c r="I1039" s="72" t="inlineStr">
        <is>
          <t>А500С</t>
        </is>
      </c>
      <c r="J1039" s="72" t="inlineStr">
        <is>
          <t>—</t>
        </is>
      </c>
      <c r="K1039" s="75" t="n">
        <v>2</v>
      </c>
      <c r="L1039" s="51" t="n">
        <v>4</v>
      </c>
      <c r="M1039" s="69" t="n">
        <v>20.5</v>
      </c>
      <c r="N1039" s="70">
        <f>K1039*L1039*M1039</f>
        <v/>
      </c>
      <c r="O1039" s="37">
        <f>IFERROR(INDEX(Исходные!$B$19:$B$31,MATCH(H1039,Исходные!$A$19:$A$31,0)),0)</f>
        <v/>
      </c>
      <c r="P1039" s="76">
        <f>N1039*O1039</f>
        <v/>
      </c>
      <c r="Q1039" s="21" t="inlineStr">
        <is>
          <t>АС-24 рама + АС-28 сеч.4-4/5-5 поз.2; длина = 20000+2×250</t>
        </is>
      </c>
      <c r="R1039" s="77" t="inlineStr">
        <is>
          <t>по геометрии чертежа</t>
        </is>
      </c>
      <c r="S1039" s="21" t="inlineStr">
        <is>
          <t>Стыки ванной сваркой без нахлёста: 1 на стержень (всего 8).</t>
        </is>
      </c>
      <c r="T1039" s="21" t="inlineStr">
        <is>
          <t>Ригели, балки, плита, С-1</t>
        </is>
      </c>
      <c r="U1039" s="49" t="n">
        <v>0</v>
      </c>
      <c r="V1039" s="72" t="inlineStr">
        <is>
          <t>Р-1, 5</t>
        </is>
      </c>
      <c r="W1039" s="49" t="n">
        <v>3</v>
      </c>
    </row>
    <row r="1040">
      <c r="A1040" s="72" t="n">
        <v>1016</v>
      </c>
      <c r="B1040" s="21" t="inlineStr">
        <is>
          <t>3 этаж (отм. +7.550…+11.150)</t>
        </is>
      </c>
      <c r="C1040" s="21" t="inlineStr">
        <is>
          <t>Ригели</t>
        </is>
      </c>
      <c r="D1040" s="21" t="inlineStr">
        <is>
          <t>оси 1, 5 (отм. +11.150)</t>
        </is>
      </c>
      <c r="E1040" s="21" t="inlineStr">
        <is>
          <t>Р-1, 5</t>
        </is>
      </c>
      <c r="F1040" s="72" t="inlineStr">
        <is>
          <t>6</t>
        </is>
      </c>
      <c r="G1040" s="21" t="inlineStr">
        <is>
          <t>Продольные средние верх/низ 2Ø18 (сеч.4-4/5-5)</t>
        </is>
      </c>
      <c r="H1040" s="51" t="n">
        <v>18</v>
      </c>
      <c r="I1040" s="72" t="inlineStr">
        <is>
          <t>А500С</t>
        </is>
      </c>
      <c r="J1040" s="72" t="inlineStr">
        <is>
          <t>—</t>
        </is>
      </c>
      <c r="K1040" s="75" t="n">
        <v>2</v>
      </c>
      <c r="L1040" s="51" t="n">
        <v>2</v>
      </c>
      <c r="M1040" s="69" t="n">
        <v>20.5</v>
      </c>
      <c r="N1040" s="70">
        <f>K1040*L1040*M1040</f>
        <v/>
      </c>
      <c r="O1040" s="37">
        <f>IFERROR(INDEX(Исходные!$B$19:$B$31,MATCH(H1040,Исходные!$A$19:$A$31,0)),0)</f>
        <v/>
      </c>
      <c r="P1040" s="76">
        <f>N1040*O1040</f>
        <v/>
      </c>
      <c r="Q1040" s="21" t="inlineStr">
        <is>
          <t>АС-28 сеч.4-4/5-5 поз.6</t>
        </is>
      </c>
      <c r="R1040" s="77" t="inlineStr">
        <is>
          <t>по геометрии чертежа</t>
        </is>
      </c>
      <c r="S1040" s="21" t="inlineStr"/>
      <c r="T1040" s="21" t="inlineStr">
        <is>
          <t>Ригели, балки, плита, С-1</t>
        </is>
      </c>
      <c r="U1040" s="49" t="n">
        <v>0</v>
      </c>
      <c r="V1040" s="72" t="inlineStr">
        <is>
          <t>Р-1, 5</t>
        </is>
      </c>
      <c r="W1040" s="49" t="n">
        <v>3</v>
      </c>
    </row>
    <row r="1041">
      <c r="A1041" s="72" t="n">
        <v>1017</v>
      </c>
      <c r="B1041" s="21" t="inlineStr">
        <is>
          <t>3 этаж (отм. +7.550…+11.150)</t>
        </is>
      </c>
      <c r="C1041" s="21" t="inlineStr">
        <is>
          <t>Ригели</t>
        </is>
      </c>
      <c r="D1041" s="21" t="inlineStr">
        <is>
          <t>оси 1, 5 (отм. +11.150)</t>
        </is>
      </c>
      <c r="E1041" s="21" t="inlineStr">
        <is>
          <t>Р-1, 5</t>
        </is>
      </c>
      <c r="F1041" s="72" t="inlineStr">
        <is>
          <t>6-нахл</t>
        </is>
      </c>
      <c r="G1041" s="21" t="inlineStr">
        <is>
          <t>Нахлёсты стыков к поз. «Продольные средние верх/низ 2Ø18 (сеч.4-4/5-5)» (L=20.500 м &gt; 11,7 м): 2 куска, 1 стык(а) на стержень × 4 стерж.</t>
        </is>
      </c>
      <c r="H1041" s="51" t="n">
        <v>18</v>
      </c>
      <c r="I1041" s="72" t="inlineStr">
        <is>
          <t>А500С</t>
        </is>
      </c>
      <c r="J1041" s="72" t="inlineStr">
        <is>
          <t>—</t>
        </is>
      </c>
      <c r="K1041" s="75" t="n">
        <v>4</v>
      </c>
      <c r="L1041" s="51" t="n">
        <v>1</v>
      </c>
      <c r="M1041" s="69" t="n">
        <v>0.144</v>
      </c>
      <c r="N1041" s="70">
        <f>K1041*L1041*M1041</f>
        <v/>
      </c>
      <c r="O1041" s="37">
        <f>IFERROR(INDEX(Исходные!$B$19:$B$31,MATCH(H1041,Исходные!$A$19:$A$31,0)),0)</f>
        <v/>
      </c>
      <c r="P1041" s="76">
        <f>N1041*O1041</f>
        <v/>
      </c>
      <c r="Q1041" s="21" t="inlineStr">
        <is>
          <t>АС-19 прим.1: Ø18 и менее — внахлёстку электродуговой сваркой, Lшва=8d = 144 мм</t>
        </is>
      </c>
      <c r="R1041" s="77" t="inlineStr">
        <is>
          <t>по проекту (стыковка прутков 11,7 м)</t>
        </is>
      </c>
      <c r="S1041" s="21" t="inlineStr">
        <is>
          <t>Чистая длина 20.500 м; кусков 2; стыков 1; Lнахл=1×0.144=0.144 м на стержень</t>
        </is>
      </c>
      <c r="T1041" s="21" t="inlineStr">
        <is>
          <t>Ригели, балки, плита, С-1</t>
        </is>
      </c>
      <c r="U1041" s="49" t="n">
        <v>0</v>
      </c>
      <c r="V1041" s="72" t="inlineStr">
        <is>
          <t>Р-1, 5</t>
        </is>
      </c>
      <c r="W1041" s="49" t="n">
        <v>3</v>
      </c>
    </row>
    <row r="1042">
      <c r="A1042" s="72" t="n">
        <v>1018</v>
      </c>
      <c r="B1042" s="21" t="inlineStr">
        <is>
          <t>3 этаж (отм. +7.550…+11.150)</t>
        </is>
      </c>
      <c r="C1042" s="21" t="inlineStr">
        <is>
          <t>Ригели</t>
        </is>
      </c>
      <c r="D1042" s="21" t="inlineStr">
        <is>
          <t>оси 1, 5 (отм. +11.150)</t>
        </is>
      </c>
      <c r="E1042" s="21" t="inlineStr">
        <is>
          <t>Р-1, 5</t>
        </is>
      </c>
      <c r="F1042" s="72" t="inlineStr">
        <is>
          <t>7</t>
        </is>
      </c>
      <c r="G1042" s="21" t="inlineStr">
        <is>
          <t>Боковые стержни 2Ø16 (сеч.4-4/5-5)</t>
        </is>
      </c>
      <c r="H1042" s="51" t="n">
        <v>16</v>
      </c>
      <c r="I1042" s="72" t="inlineStr">
        <is>
          <t>А500С</t>
        </is>
      </c>
      <c r="J1042" s="72" t="inlineStr">
        <is>
          <t>—</t>
        </is>
      </c>
      <c r="K1042" s="75" t="n">
        <v>2</v>
      </c>
      <c r="L1042" s="51" t="n">
        <v>2</v>
      </c>
      <c r="M1042" s="69" t="n">
        <v>20.5</v>
      </c>
      <c r="N1042" s="70">
        <f>K1042*L1042*M1042</f>
        <v/>
      </c>
      <c r="O1042" s="37">
        <f>IFERROR(INDEX(Исходные!$B$19:$B$31,MATCH(H1042,Исходные!$A$19:$A$31,0)),0)</f>
        <v/>
      </c>
      <c r="P1042" s="76">
        <f>N1042*O1042</f>
        <v/>
      </c>
      <c r="Q1042" s="21" t="inlineStr">
        <is>
          <t>АС-28 сеч.4-4/5-5 «Боковые стержни 2Ø16»</t>
        </is>
      </c>
      <c r="R1042" s="77" t="inlineStr">
        <is>
          <t>по геометрии чертежа</t>
        </is>
      </c>
      <c r="S1042" s="21" t="inlineStr"/>
      <c r="T1042" s="21" t="inlineStr">
        <is>
          <t>Ригели, балки, плита, С-1</t>
        </is>
      </c>
      <c r="U1042" s="49" t="n">
        <v>0</v>
      </c>
      <c r="V1042" s="72" t="inlineStr">
        <is>
          <t>Р-1, 5</t>
        </is>
      </c>
      <c r="W1042" s="49" t="n">
        <v>3</v>
      </c>
    </row>
    <row r="1043">
      <c r="A1043" s="72" t="n">
        <v>1019</v>
      </c>
      <c r="B1043" s="21" t="inlineStr">
        <is>
          <t>3 этаж (отм. +7.550…+11.150)</t>
        </is>
      </c>
      <c r="C1043" s="21" t="inlineStr">
        <is>
          <t>Ригели</t>
        </is>
      </c>
      <c r="D1043" s="21" t="inlineStr">
        <is>
          <t>оси 1, 5 (отм. +11.150)</t>
        </is>
      </c>
      <c r="E1043" s="21" t="inlineStr">
        <is>
          <t>Р-1, 5</t>
        </is>
      </c>
      <c r="F1043" s="72" t="inlineStr">
        <is>
          <t>7-нахл</t>
        </is>
      </c>
      <c r="G1043" s="21" t="inlineStr">
        <is>
          <t>Нахлёсты стыков к поз. «Боковые стержни 2Ø16 (сеч.4-4/5-5)» (L=20.500 м &gt; 11,7 м): 2 куска, 1 стык(а) на стержень × 4 стерж.</t>
        </is>
      </c>
      <c r="H1043" s="51" t="n">
        <v>16</v>
      </c>
      <c r="I1043" s="72" t="inlineStr">
        <is>
          <t>А500С</t>
        </is>
      </c>
      <c r="J1043" s="72" t="inlineStr">
        <is>
          <t>—</t>
        </is>
      </c>
      <c r="K1043" s="75" t="n">
        <v>4</v>
      </c>
      <c r="L1043" s="51" t="n">
        <v>1</v>
      </c>
      <c r="M1043" s="69" t="n">
        <v>0.128</v>
      </c>
      <c r="N1043" s="70">
        <f>K1043*L1043*M1043</f>
        <v/>
      </c>
      <c r="O1043" s="37">
        <f>IFERROR(INDEX(Исходные!$B$19:$B$31,MATCH(H1043,Исходные!$A$19:$A$31,0)),0)</f>
        <v/>
      </c>
      <c r="P1043" s="76">
        <f>N1043*O1043</f>
        <v/>
      </c>
      <c r="Q1043" s="21" t="inlineStr">
        <is>
          <t>АС-19 прим.1: Ø18 и менее — внахлёстку электродуговой сваркой, Lшва=8d = 128 мм</t>
        </is>
      </c>
      <c r="R1043" s="77" t="inlineStr">
        <is>
          <t>по проекту (стыковка прутков 11,7 м)</t>
        </is>
      </c>
      <c r="S1043" s="21" t="inlineStr">
        <is>
          <t>Чистая длина 20.500 м; кусков 2; стыков 1; Lнахл=1×0.128=0.128 м на стержень</t>
        </is>
      </c>
      <c r="T1043" s="21" t="inlineStr">
        <is>
          <t>Ригели, балки, плита, С-1</t>
        </is>
      </c>
      <c r="U1043" s="49" t="n">
        <v>0</v>
      </c>
      <c r="V1043" s="72" t="inlineStr">
        <is>
          <t>Р-1, 5</t>
        </is>
      </c>
      <c r="W1043" s="49" t="n">
        <v>3</v>
      </c>
    </row>
    <row r="1044">
      <c r="A1044" s="72" t="n">
        <v>1020</v>
      </c>
      <c r="B1044" s="21" t="inlineStr">
        <is>
          <t>3 этаж (отм. +7.550…+11.150)</t>
        </is>
      </c>
      <c r="C1044" s="21" t="inlineStr">
        <is>
          <t>Ригели</t>
        </is>
      </c>
      <c r="D1044" s="21" t="inlineStr">
        <is>
          <t>оси 1, 5 (отм. +11.150)</t>
        </is>
      </c>
      <c r="E1044" s="21" t="inlineStr">
        <is>
          <t>Р-1, 5</t>
        </is>
      </c>
      <c r="F1044" s="72" t="inlineStr">
        <is>
          <t>ОС</t>
        </is>
      </c>
      <c r="G1044" s="21" t="inlineStr">
        <is>
          <t>ОС верх: 2Ø25, участок 0…1800 мм + 250 до торца</t>
        </is>
      </c>
      <c r="H1044" s="51" t="n">
        <v>25</v>
      </c>
      <c r="I1044" s="72" t="inlineStr">
        <is>
          <t>А500С</t>
        </is>
      </c>
      <c r="J1044" s="72" t="inlineStr">
        <is>
          <t>—</t>
        </is>
      </c>
      <c r="K1044" s="75" t="n">
        <v>2</v>
      </c>
      <c r="L1044" s="51" t="n">
        <v>2</v>
      </c>
      <c r="M1044" s="69" t="n">
        <v>2.05</v>
      </c>
      <c r="N1044" s="70">
        <f>K1044*L1044*M1044</f>
        <v/>
      </c>
      <c r="O1044" s="37">
        <f>IFERROR(INDEX(Исходные!$B$19:$B$31,MATCH(H1044,Исходные!$A$19:$A$31,0)),0)</f>
        <v/>
      </c>
      <c r="P1044" s="76">
        <f>N1044*O1044</f>
        <v/>
      </c>
      <c r="Q1044" s="21" t="inlineStr">
        <is>
          <t>АС-24 (отм. 11.150): выноска «ОС 2Ø25 А500С»; длина по привязкам отдельных стержней</t>
        </is>
      </c>
      <c r="R1044" s="77" t="inlineStr">
        <is>
          <t>по геометрии чертежа</t>
        </is>
      </c>
      <c r="S1044" s="21" t="inlineStr">
        <is>
          <t>Координаты от оси А: 0…1800 мм; конец до торца крайней колонны (+250)</t>
        </is>
      </c>
      <c r="T1044" s="21" t="inlineStr">
        <is>
          <t>Ригели, балки, плита, С-1</t>
        </is>
      </c>
      <c r="U1044" s="49" t="n">
        <v>0</v>
      </c>
      <c r="V1044" s="72" t="inlineStr">
        <is>
          <t>Р-1, 5</t>
        </is>
      </c>
      <c r="W1044" s="49" t="n">
        <v>3</v>
      </c>
    </row>
    <row r="1045">
      <c r="A1045" s="72" t="n">
        <v>1021</v>
      </c>
      <c r="B1045" s="21" t="inlineStr">
        <is>
          <t>3 этаж (отм. +7.550…+11.150)</t>
        </is>
      </c>
      <c r="C1045" s="21" t="inlineStr">
        <is>
          <t>Ригели</t>
        </is>
      </c>
      <c r="D1045" s="21" t="inlineStr">
        <is>
          <t>оси 1, 5 (отм. +11.150)</t>
        </is>
      </c>
      <c r="E1045" s="21" t="inlineStr">
        <is>
          <t>Р-1, 5</t>
        </is>
      </c>
      <c r="F1045" s="72" t="inlineStr">
        <is>
          <t>ОС</t>
        </is>
      </c>
      <c r="G1045" s="21" t="inlineStr">
        <is>
          <t>ОС верх: 2Ø25, участок 4700…8500 мм</t>
        </is>
      </c>
      <c r="H1045" s="51" t="n">
        <v>25</v>
      </c>
      <c r="I1045" s="72" t="inlineStr">
        <is>
          <t>А500С</t>
        </is>
      </c>
      <c r="J1045" s="72" t="inlineStr">
        <is>
          <t>—</t>
        </is>
      </c>
      <c r="K1045" s="75" t="n">
        <v>2</v>
      </c>
      <c r="L1045" s="51" t="n">
        <v>2</v>
      </c>
      <c r="M1045" s="69" t="n">
        <v>3.8</v>
      </c>
      <c r="N1045" s="70">
        <f>K1045*L1045*M1045</f>
        <v/>
      </c>
      <c r="O1045" s="37">
        <f>IFERROR(INDEX(Исходные!$B$19:$B$31,MATCH(H1045,Исходные!$A$19:$A$31,0)),0)</f>
        <v/>
      </c>
      <c r="P1045" s="76">
        <f>N1045*O1045</f>
        <v/>
      </c>
      <c r="Q1045" s="21" t="inlineStr">
        <is>
          <t>АС-24 (отм. 11.150): выноска «ОС 2Ø25 А500С»; длина по привязкам отдельных стержней</t>
        </is>
      </c>
      <c r="R1045" s="77" t="inlineStr">
        <is>
          <t>по геометрии чертежа</t>
        </is>
      </c>
      <c r="S1045" s="21" t="inlineStr">
        <is>
          <t>Координаты от оси А: 4700…8500 мм</t>
        </is>
      </c>
      <c r="T1045" s="21" t="inlineStr">
        <is>
          <t>Ригели, балки, плита, С-1</t>
        </is>
      </c>
      <c r="U1045" s="49" t="n">
        <v>0</v>
      </c>
      <c r="V1045" s="72" t="inlineStr">
        <is>
          <t>Р-1, 5</t>
        </is>
      </c>
      <c r="W1045" s="49" t="n">
        <v>3</v>
      </c>
    </row>
    <row r="1046">
      <c r="A1046" s="72" t="n">
        <v>1022</v>
      </c>
      <c r="B1046" s="21" t="inlineStr">
        <is>
          <t>3 этаж (отм. +7.550…+11.150)</t>
        </is>
      </c>
      <c r="C1046" s="21" t="inlineStr">
        <is>
          <t>Ригели</t>
        </is>
      </c>
      <c r="D1046" s="21" t="inlineStr">
        <is>
          <t>оси 1, 5 (отм. +11.150)</t>
        </is>
      </c>
      <c r="E1046" s="21" t="inlineStr">
        <is>
          <t>Р-1, 5</t>
        </is>
      </c>
      <c r="F1046" s="72" t="inlineStr">
        <is>
          <t>ОС</t>
        </is>
      </c>
      <c r="G1046" s="21" t="inlineStr">
        <is>
          <t>ОС верх: 2Ø28, участок 11500…15300 мм</t>
        </is>
      </c>
      <c r="H1046" s="51" t="n">
        <v>28</v>
      </c>
      <c r="I1046" s="72" t="inlineStr">
        <is>
          <t>А500С</t>
        </is>
      </c>
      <c r="J1046" s="72" t="inlineStr">
        <is>
          <t>—</t>
        </is>
      </c>
      <c r="K1046" s="75" t="n">
        <v>2</v>
      </c>
      <c r="L1046" s="51" t="n">
        <v>2</v>
      </c>
      <c r="M1046" s="69" t="n">
        <v>3.8</v>
      </c>
      <c r="N1046" s="70">
        <f>K1046*L1046*M1046</f>
        <v/>
      </c>
      <c r="O1046" s="37">
        <f>IFERROR(INDEX(Исходные!$B$19:$B$31,MATCH(H1046,Исходные!$A$19:$A$31,0)),0)</f>
        <v/>
      </c>
      <c r="P1046" s="76">
        <f>N1046*O1046</f>
        <v/>
      </c>
      <c r="Q1046" s="21" t="inlineStr">
        <is>
          <t>АС-24 (отм. 11.150): выноска «ОС 2Ø28 А500С»; длина по привязкам отдельных стержней</t>
        </is>
      </c>
      <c r="R1046" s="77" t="inlineStr">
        <is>
          <t>по геометрии чертежа</t>
        </is>
      </c>
      <c r="S1046" s="21" t="inlineStr">
        <is>
          <t>Координаты от оси А: 11500…15300 мм</t>
        </is>
      </c>
      <c r="T1046" s="21" t="inlineStr">
        <is>
          <t>Ригели, балки, плита, С-1</t>
        </is>
      </c>
      <c r="U1046" s="49" t="n">
        <v>0</v>
      </c>
      <c r="V1046" s="72" t="inlineStr">
        <is>
          <t>Р-1, 5</t>
        </is>
      </c>
      <c r="W1046" s="49" t="n">
        <v>3</v>
      </c>
    </row>
    <row r="1047">
      <c r="A1047" s="72" t="n">
        <v>1023</v>
      </c>
      <c r="B1047" s="21" t="inlineStr">
        <is>
          <t>3 этаж (отм. +7.550…+11.150)</t>
        </is>
      </c>
      <c r="C1047" s="21" t="inlineStr">
        <is>
          <t>Ригели</t>
        </is>
      </c>
      <c r="D1047" s="21" t="inlineStr">
        <is>
          <t>оси 1, 5 (отм. +11.150)</t>
        </is>
      </c>
      <c r="E1047" s="21" t="inlineStr">
        <is>
          <t>Р-1, 5</t>
        </is>
      </c>
      <c r="F1047" s="72" t="inlineStr">
        <is>
          <t>ОС</t>
        </is>
      </c>
      <c r="G1047" s="21" t="inlineStr">
        <is>
          <t>ОС верх: 2Ø28, участок 18200…20000 мм + 250 до торца</t>
        </is>
      </c>
      <c r="H1047" s="51" t="n">
        <v>28</v>
      </c>
      <c r="I1047" s="72" t="inlineStr">
        <is>
          <t>А500С</t>
        </is>
      </c>
      <c r="J1047" s="72" t="inlineStr">
        <is>
          <t>—</t>
        </is>
      </c>
      <c r="K1047" s="75" t="n">
        <v>2</v>
      </c>
      <c r="L1047" s="51" t="n">
        <v>2</v>
      </c>
      <c r="M1047" s="69" t="n">
        <v>2.05</v>
      </c>
      <c r="N1047" s="70">
        <f>K1047*L1047*M1047</f>
        <v/>
      </c>
      <c r="O1047" s="37">
        <f>IFERROR(INDEX(Исходные!$B$19:$B$31,MATCH(H1047,Исходные!$A$19:$A$31,0)),0)</f>
        <v/>
      </c>
      <c r="P1047" s="76">
        <f>N1047*O1047</f>
        <v/>
      </c>
      <c r="Q1047" s="21" t="inlineStr">
        <is>
          <t>АС-24 (отм. 11.150): выноска «ОС 2Ø28 А500С»; длина по привязкам отдельных стержней</t>
        </is>
      </c>
      <c r="R1047" s="77" t="inlineStr">
        <is>
          <t>по геометрии чертежа</t>
        </is>
      </c>
      <c r="S1047" s="21" t="inlineStr">
        <is>
          <t>Координаты от оси А: 18200…20000 мм; конец до торца крайней колонны (+250)</t>
        </is>
      </c>
      <c r="T1047" s="21" t="inlineStr">
        <is>
          <t>Ригели, балки, плита, С-1</t>
        </is>
      </c>
      <c r="U1047" s="49" t="n">
        <v>0</v>
      </c>
      <c r="V1047" s="72" t="inlineStr">
        <is>
          <t>Р-1, 5</t>
        </is>
      </c>
      <c r="W1047" s="49" t="n">
        <v>3</v>
      </c>
    </row>
    <row r="1048">
      <c r="A1048" s="72" t="n">
        <v>1024</v>
      </c>
      <c r="B1048" s="21" t="inlineStr">
        <is>
          <t>3 этаж (отм. +7.550…+11.150)</t>
        </is>
      </c>
      <c r="C1048" s="21" t="inlineStr">
        <is>
          <t>Ригели</t>
        </is>
      </c>
      <c r="D1048" s="21" t="inlineStr">
        <is>
          <t>оси 1, 5 (отм. +11.150)</t>
        </is>
      </c>
      <c r="E1048" s="21" t="inlineStr">
        <is>
          <t>Р-1, 5</t>
        </is>
      </c>
      <c r="F1048" s="72" t="inlineStr">
        <is>
          <t>ОС</t>
        </is>
      </c>
      <c r="G1048" s="21" t="inlineStr">
        <is>
          <t>ОС низ: 2Ø16, участок 8500…11500 мм</t>
        </is>
      </c>
      <c r="H1048" s="51" t="n">
        <v>16</v>
      </c>
      <c r="I1048" s="72" t="inlineStr">
        <is>
          <t>А500С</t>
        </is>
      </c>
      <c r="J1048" s="72" t="inlineStr">
        <is>
          <t>—</t>
        </is>
      </c>
      <c r="K1048" s="75" t="n">
        <v>2</v>
      </c>
      <c r="L1048" s="51" t="n">
        <v>2</v>
      </c>
      <c r="M1048" s="69" t="n">
        <v>3</v>
      </c>
      <c r="N1048" s="70">
        <f>K1048*L1048*M1048</f>
        <v/>
      </c>
      <c r="O1048" s="37">
        <f>IFERROR(INDEX(Исходные!$B$19:$B$31,MATCH(H1048,Исходные!$A$19:$A$31,0)),0)</f>
        <v/>
      </c>
      <c r="P1048" s="76">
        <f>N1048*O1048</f>
        <v/>
      </c>
      <c r="Q1048" s="21" t="inlineStr">
        <is>
          <t>АС-24 (отм. 11.150): выноска «ОС 2Ø16 А500С»; длина по привязкам отдельных стержней</t>
        </is>
      </c>
      <c r="R1048" s="77" t="inlineStr">
        <is>
          <t>по геометрии чертежа</t>
        </is>
      </c>
      <c r="S1048" s="21" t="inlineStr">
        <is>
          <t>Координаты от оси А: 8500…11500 мм</t>
        </is>
      </c>
      <c r="T1048" s="21" t="inlineStr">
        <is>
          <t>Ригели, балки, плита, С-1</t>
        </is>
      </c>
      <c r="U1048" s="49" t="n">
        <v>0</v>
      </c>
      <c r="V1048" s="72" t="inlineStr">
        <is>
          <t>Р-1, 5</t>
        </is>
      </c>
      <c r="W1048" s="49" t="n">
        <v>3</v>
      </c>
    </row>
    <row r="1049">
      <c r="A1049" s="72" t="n">
        <v>1025</v>
      </c>
      <c r="B1049" s="21" t="inlineStr">
        <is>
          <t>3 этаж (отм. +7.550…+11.150)</t>
        </is>
      </c>
      <c r="C1049" s="21" t="inlineStr">
        <is>
          <t>Ригели</t>
        </is>
      </c>
      <c r="D1049" s="21" t="inlineStr">
        <is>
          <t>оси 1, 5 (отм. +11.150)</t>
        </is>
      </c>
      <c r="E1049" s="21" t="inlineStr">
        <is>
          <t>Р-1, 5</t>
        </is>
      </c>
      <c r="F1049" s="72" t="inlineStr">
        <is>
          <t>ОС</t>
        </is>
      </c>
      <c r="G1049" s="21" t="inlineStr">
        <is>
          <t>ОС низ: 2Ø16, участок 15300…18200 мм</t>
        </is>
      </c>
      <c r="H1049" s="51" t="n">
        <v>16</v>
      </c>
      <c r="I1049" s="72" t="inlineStr">
        <is>
          <t>А500С</t>
        </is>
      </c>
      <c r="J1049" s="72" t="inlineStr">
        <is>
          <t>—</t>
        </is>
      </c>
      <c r="K1049" s="75" t="n">
        <v>2</v>
      </c>
      <c r="L1049" s="51" t="n">
        <v>2</v>
      </c>
      <c r="M1049" s="69" t="n">
        <v>2.9</v>
      </c>
      <c r="N1049" s="70">
        <f>K1049*L1049*M1049</f>
        <v/>
      </c>
      <c r="O1049" s="37">
        <f>IFERROR(INDEX(Исходные!$B$19:$B$31,MATCH(H1049,Исходные!$A$19:$A$31,0)),0)</f>
        <v/>
      </c>
      <c r="P1049" s="76">
        <f>N1049*O1049</f>
        <v/>
      </c>
      <c r="Q1049" s="21" t="inlineStr">
        <is>
          <t>АС-24 (отм. 11.150): выноска «ОС 2Ø16 А500С»; длина по привязкам отдельных стержней</t>
        </is>
      </c>
      <c r="R1049" s="77" t="inlineStr">
        <is>
          <t>по геометрии чертежа</t>
        </is>
      </c>
      <c r="S1049" s="21" t="inlineStr">
        <is>
          <t>Координаты от оси А: 15300…18200 мм</t>
        </is>
      </c>
      <c r="T1049" s="21" t="inlineStr">
        <is>
          <t>Ригели, балки, плита, С-1</t>
        </is>
      </c>
      <c r="U1049" s="49" t="n">
        <v>0</v>
      </c>
      <c r="V1049" s="72" t="inlineStr">
        <is>
          <t>Р-1, 5</t>
        </is>
      </c>
      <c r="W1049" s="49" t="n">
        <v>3</v>
      </c>
    </row>
    <row r="1050">
      <c r="A1050" s="72" t="n">
        <v>1026</v>
      </c>
      <c r="B1050" s="21" t="inlineStr">
        <is>
          <t>3 этаж (отм. +7.550…+11.150)</t>
        </is>
      </c>
      <c r="C1050" s="21" t="inlineStr">
        <is>
          <t>Ригели</t>
        </is>
      </c>
      <c r="D1050" s="21" t="inlineStr">
        <is>
          <t>оси 1, 5 (отм. +11.150)</t>
        </is>
      </c>
      <c r="E1050" s="21" t="inlineStr">
        <is>
          <t>Р-1, 5</t>
        </is>
      </c>
      <c r="F1050" s="72" t="inlineStr">
        <is>
          <t>ОС</t>
        </is>
      </c>
      <c r="G1050" s="21" t="inlineStr">
        <is>
          <t>Ос (бок) бок: 4Ø12, участок 0…1800 мм + 250 до торца</t>
        </is>
      </c>
      <c r="H1050" s="51" t="n">
        <v>12</v>
      </c>
      <c r="I1050" s="72" t="inlineStr">
        <is>
          <t>А500С</t>
        </is>
      </c>
      <c r="J1050" s="72" t="inlineStr">
        <is>
          <t>—</t>
        </is>
      </c>
      <c r="K1050" s="75" t="n">
        <v>2</v>
      </c>
      <c r="L1050" s="51" t="n">
        <v>4</v>
      </c>
      <c r="M1050" s="69" t="n">
        <v>2.05</v>
      </c>
      <c r="N1050" s="70">
        <f>K1050*L1050*M1050</f>
        <v/>
      </c>
      <c r="O1050" s="37">
        <f>IFERROR(INDEX(Исходные!$B$19:$B$31,MATCH(H1050,Исходные!$A$19:$A$31,0)),0)</f>
        <v/>
      </c>
      <c r="P1050" s="76">
        <f>N1050*O1050</f>
        <v/>
      </c>
      <c r="Q1050" s="21" t="inlineStr">
        <is>
          <t>АС-24 (отм. 11.150): выноска «Ос (бок) 4Ø12 А500С»; длина по привязкам отдельных стержней</t>
        </is>
      </c>
      <c r="R1050" s="77" t="inlineStr">
        <is>
          <t>по геометрии чертежа</t>
        </is>
      </c>
      <c r="S1050" s="21" t="inlineStr">
        <is>
          <t>Координаты от оси А: 0…1800 мм; конец до торца крайней колонны (+250)</t>
        </is>
      </c>
      <c r="T1050" s="21" t="inlineStr">
        <is>
          <t>Ригели, балки, плита, С-1</t>
        </is>
      </c>
      <c r="U1050" s="49" t="n">
        <v>0</v>
      </c>
      <c r="V1050" s="72" t="inlineStr">
        <is>
          <t>Р-1, 5</t>
        </is>
      </c>
      <c r="W1050" s="49" t="n">
        <v>3</v>
      </c>
    </row>
    <row r="1051">
      <c r="A1051" s="72" t="n">
        <v>1027</v>
      </c>
      <c r="B1051" s="21" t="inlineStr">
        <is>
          <t>3 этаж (отм. +7.550…+11.150)</t>
        </is>
      </c>
      <c r="C1051" s="21" t="inlineStr">
        <is>
          <t>Ригели</t>
        </is>
      </c>
      <c r="D1051" s="21" t="inlineStr">
        <is>
          <t>оси 1, 5 (отм. +11.150)</t>
        </is>
      </c>
      <c r="E1051" s="21" t="inlineStr">
        <is>
          <t>Р-1, 5</t>
        </is>
      </c>
      <c r="F1051" s="72" t="inlineStr">
        <is>
          <t>12</t>
        </is>
      </c>
      <c r="G1051" s="21" t="inlineStr">
        <is>
          <t>Хомут Ø8 L=2060 ш.100 у опор, ш.150 в пролёте, 80×4 у балок — вне заштрихованных участков</t>
        </is>
      </c>
      <c r="H1051" s="51" t="n">
        <v>8</v>
      </c>
      <c r="I1051" s="72" t="inlineStr">
        <is>
          <t>А240</t>
        </is>
      </c>
      <c r="J1051" s="72" t="inlineStr">
        <is>
          <t>100/150</t>
        </is>
      </c>
      <c r="K1051" s="75" t="n">
        <v>2</v>
      </c>
      <c r="L1051" s="51" t="n">
        <v>101</v>
      </c>
      <c r="M1051" s="69" t="n">
        <v>2.06</v>
      </c>
      <c r="N1051" s="70">
        <f>K1051*L1051*M1051</f>
        <v/>
      </c>
      <c r="O1051" s="37">
        <f>IFERROR(INDEX(Исходные!$B$19:$B$31,MATCH(H1051,Исходные!$A$19:$A$31,0)),0)</f>
        <v/>
      </c>
      <c r="P1051" s="76">
        <f>N1051*O1051</f>
        <v/>
      </c>
      <c r="Q1051" s="21" t="inlineStr">
        <is>
          <t>АС-28 поз.12; АС-29 «Расстановка хомутов в ригелях»</t>
        </is>
      </c>
      <c r="R1051" s="77" t="inlineStr">
        <is>
          <t>по проекту</t>
        </is>
      </c>
      <c r="S1051" s="21" t="inlineStr">
        <is>
          <t>Пролёты в свету [(300, 6200), (6800, 13200), (13800, 19700)]</t>
        </is>
      </c>
      <c r="T1051" s="21" t="inlineStr">
        <is>
          <t>Ригели, балки, плита, С-1</t>
        </is>
      </c>
      <c r="U1051" s="49" t="n">
        <v>0</v>
      </c>
      <c r="V1051" s="72" t="inlineStr">
        <is>
          <t>Р-1, 5</t>
        </is>
      </c>
      <c r="W1051" s="49" t="n">
        <v>3</v>
      </c>
    </row>
    <row r="1052">
      <c r="A1052" s="72" t="n">
        <v>1028</v>
      </c>
      <c r="B1052" s="21" t="inlineStr">
        <is>
          <t>3 этаж (отм. +7.550…+11.150)</t>
        </is>
      </c>
      <c r="C1052" s="21" t="inlineStr">
        <is>
          <t>Ригели</t>
        </is>
      </c>
      <c r="D1052" s="21" t="inlineStr">
        <is>
          <t>оси 1, 5 (отм. +11.150)</t>
        </is>
      </c>
      <c r="E1052" s="21" t="inlineStr">
        <is>
          <t>Р-1, 5</t>
        </is>
      </c>
      <c r="F1052" s="72" t="inlineStr">
        <is>
          <t>13</t>
        </is>
      </c>
      <c r="G1052" s="21" t="inlineStr">
        <is>
          <t>Хомут наружный Ø10 L=2060 ш.100 — заштрихованные участки</t>
        </is>
      </c>
      <c r="H1052" s="51" t="n">
        <v>10</v>
      </c>
      <c r="I1052" s="72" t="inlineStr">
        <is>
          <t>А240</t>
        </is>
      </c>
      <c r="J1052" s="72" t="n">
        <v>100</v>
      </c>
      <c r="K1052" s="75" t="n">
        <v>2</v>
      </c>
      <c r="L1052" s="51" t="n">
        <v>47</v>
      </c>
      <c r="M1052" s="69" t="n">
        <v>2.06</v>
      </c>
      <c r="N1052" s="70">
        <f>K1052*L1052*M1052</f>
        <v/>
      </c>
      <c r="O1052" s="37">
        <f>IFERROR(INDEX(Исходные!$B$19:$B$31,MATCH(H1052,Исходные!$A$19:$A$31,0)),0)</f>
        <v/>
      </c>
      <c r="P1052" s="76">
        <f>N1052*O1052</f>
        <v/>
      </c>
      <c r="Q1052" s="21" t="inlineStr">
        <is>
          <t>АС-24 штриховка у отм. 11.150; АС-28 Фрагмент №1, поз.13</t>
        </is>
      </c>
      <c r="R1052" s="77" t="inlineStr">
        <is>
          <t>по проекту</t>
        </is>
      </c>
      <c r="S1052" s="21" t="inlineStr">
        <is>
          <t>Участки (мм): одинарные [(300, 1700), (5100, 7900), (12100, 13500)], двойные []</t>
        </is>
      </c>
      <c r="T1052" s="21" t="inlineStr">
        <is>
          <t>Ригели, балки, плита, С-1</t>
        </is>
      </c>
      <c r="U1052" s="49" t="n">
        <v>0</v>
      </c>
      <c r="V1052" s="72" t="inlineStr">
        <is>
          <t>Р-1, 5</t>
        </is>
      </c>
      <c r="W1052" s="49" t="n">
        <v>3</v>
      </c>
    </row>
    <row r="1053">
      <c r="A1053" s="72" t="n">
        <v>1029</v>
      </c>
      <c r="B1053" s="21" t="inlineStr">
        <is>
          <t>3 этаж (отм. +7.550…+11.150)</t>
        </is>
      </c>
      <c r="C1053" s="21" t="inlineStr">
        <is>
          <t>Ригели</t>
        </is>
      </c>
      <c r="D1053" s="21" t="inlineStr">
        <is>
          <t>оси 1, 5 (отм. +11.150)</t>
        </is>
      </c>
      <c r="E1053" s="21" t="inlineStr">
        <is>
          <t>Р-1, 5</t>
        </is>
      </c>
      <c r="F1053" s="72" t="inlineStr">
        <is>
          <t>17</t>
        </is>
      </c>
      <c r="G1053" s="21" t="inlineStr">
        <is>
          <t>Шпилька вертикальная Ø8 L=750: ш.200 у опор, ш.150 в пролёте</t>
        </is>
      </c>
      <c r="H1053" s="51" t="n">
        <v>8</v>
      </c>
      <c r="I1053" s="72" t="inlineStr">
        <is>
          <t>А240</t>
        </is>
      </c>
      <c r="J1053" s="72" t="inlineStr">
        <is>
          <t>200/150</t>
        </is>
      </c>
      <c r="K1053" s="75" t="n">
        <v>2</v>
      </c>
      <c r="L1053" s="51" t="n">
        <v>99</v>
      </c>
      <c r="M1053" s="69" t="n">
        <v>0.75</v>
      </c>
      <c r="N1053" s="70">
        <f>K1053*L1053*M1053</f>
        <v/>
      </c>
      <c r="O1053" s="37">
        <f>IFERROR(INDEX(Исходные!$B$19:$B$31,MATCH(H1053,Исходные!$A$19:$A$31,0)),0)</f>
        <v/>
      </c>
      <c r="P1053" s="76">
        <f>N1053*O1053</f>
        <v/>
      </c>
      <c r="Q1053" s="21" t="inlineStr">
        <is>
          <t>АС-28 сеч.4-4/5-5 поз.17</t>
        </is>
      </c>
      <c r="R1053" s="77" t="inlineStr">
        <is>
          <t>по проекту</t>
        </is>
      </c>
      <c r="S1053" s="21" t="inlineStr"/>
      <c r="T1053" s="21" t="inlineStr">
        <is>
          <t>Ригели, балки, плита, С-1</t>
        </is>
      </c>
      <c r="U1053" s="49" t="n">
        <v>0</v>
      </c>
      <c r="V1053" s="72" t="inlineStr">
        <is>
          <t>Р-1, 5</t>
        </is>
      </c>
      <c r="W1053" s="49" t="n">
        <v>3</v>
      </c>
    </row>
    <row r="1054">
      <c r="A1054" s="72" t="n">
        <v>1030</v>
      </c>
      <c r="B1054" s="21" t="inlineStr">
        <is>
          <t>3 этаж (отм. +7.550…+11.150)</t>
        </is>
      </c>
      <c r="C1054" s="21" t="inlineStr">
        <is>
          <t>Ригели</t>
        </is>
      </c>
      <c r="D1054" s="21" t="inlineStr">
        <is>
          <t>оси 1, 5 (отм. +11.150)</t>
        </is>
      </c>
      <c r="E1054" s="21" t="inlineStr">
        <is>
          <t>Р-1, 5</t>
        </is>
      </c>
      <c r="F1054" s="72" t="inlineStr">
        <is>
          <t>16</t>
        </is>
      </c>
      <c r="G1054" s="21" t="inlineStr">
        <is>
          <t>Шпилька горизонтальная Ø8 L=580 ш.300</t>
        </is>
      </c>
      <c r="H1054" s="51" t="n">
        <v>8</v>
      </c>
      <c r="I1054" s="72" t="inlineStr">
        <is>
          <t>А240</t>
        </is>
      </c>
      <c r="J1054" s="72" t="n">
        <v>300</v>
      </c>
      <c r="K1054" s="75" t="n">
        <v>2</v>
      </c>
      <c r="L1054" s="51" t="n">
        <v>62</v>
      </c>
      <c r="M1054" s="69" t="n">
        <v>0.58</v>
      </c>
      <c r="N1054" s="70">
        <f>K1054*L1054*M1054</f>
        <v/>
      </c>
      <c r="O1054" s="37">
        <f>IFERROR(INDEX(Исходные!$B$19:$B$31,MATCH(H1054,Исходные!$A$19:$A$31,0)),0)</f>
        <v/>
      </c>
      <c r="P1054" s="76">
        <f>N1054*O1054</f>
        <v/>
      </c>
      <c r="Q1054" s="21" t="inlineStr">
        <is>
          <t>АС-28 «шп.Ø8 А240 ш.300», поз.16 L=580</t>
        </is>
      </c>
      <c r="R1054" s="78" t="inlineStr">
        <is>
          <t>принято (уточнить)</t>
        </is>
      </c>
      <c r="S1054" s="21" t="inlineStr"/>
      <c r="T1054" s="21" t="inlineStr">
        <is>
          <t>Ригели, балки, плита, С-1</t>
        </is>
      </c>
      <c r="U1054" s="49" t="n">
        <v>1</v>
      </c>
      <c r="V1054" s="72" t="inlineStr">
        <is>
          <t>Р-1, 5</t>
        </is>
      </c>
      <c r="W1054" s="49" t="n">
        <v>3</v>
      </c>
    </row>
    <row r="1055">
      <c r="A1055" s="72" t="n">
        <v>1031</v>
      </c>
      <c r="B1055" s="21" t="inlineStr">
        <is>
          <t>3 этаж (отм. +7.550…+11.150)</t>
        </is>
      </c>
      <c r="C1055" s="21" t="inlineStr">
        <is>
          <t>Ригели</t>
        </is>
      </c>
      <c r="D1055" s="21" t="inlineStr">
        <is>
          <t>ось 2 (отм. +11.150)</t>
        </is>
      </c>
      <c r="E1055" s="21" t="inlineStr">
        <is>
          <t>Р-2</t>
        </is>
      </c>
      <c r="F1055" s="72" t="inlineStr">
        <is>
          <t>2</t>
        </is>
      </c>
      <c r="G1055" s="21" t="inlineStr">
        <is>
          <t>Продольные угловые 4Ø28 (сеч.4-4/5-5), сквозные, концы с Аш</t>
        </is>
      </c>
      <c r="H1055" s="51" t="n">
        <v>28</v>
      </c>
      <c r="I1055" s="72" t="inlineStr">
        <is>
          <t>А500С</t>
        </is>
      </c>
      <c r="J1055" s="72" t="inlineStr">
        <is>
          <t>—</t>
        </is>
      </c>
      <c r="K1055" s="75" t="n">
        <v>1</v>
      </c>
      <c r="L1055" s="51" t="n">
        <v>4</v>
      </c>
      <c r="M1055" s="69" t="n">
        <v>20.5</v>
      </c>
      <c r="N1055" s="70">
        <f>K1055*L1055*M1055</f>
        <v/>
      </c>
      <c r="O1055" s="37">
        <f>IFERROR(INDEX(Исходные!$B$19:$B$31,MATCH(H1055,Исходные!$A$19:$A$31,0)),0)</f>
        <v/>
      </c>
      <c r="P1055" s="76">
        <f>N1055*O1055</f>
        <v/>
      </c>
      <c r="Q1055" s="21" t="inlineStr">
        <is>
          <t>АС-25 рама + АС-28 сеч.4-4/5-5 поз.2; длина = 20000+2×250</t>
        </is>
      </c>
      <c r="R1055" s="77" t="inlineStr">
        <is>
          <t>по геометрии чертежа</t>
        </is>
      </c>
      <c r="S1055" s="21" t="inlineStr">
        <is>
          <t>Стыки ванной сваркой без нахлёста: 1 на стержень (всего 4).</t>
        </is>
      </c>
      <c r="T1055" s="21" t="inlineStr">
        <is>
          <t>Ригели, балки, плита, С-1</t>
        </is>
      </c>
      <c r="U1055" s="49" t="n">
        <v>0</v>
      </c>
      <c r="V1055" s="72" t="inlineStr">
        <is>
          <t>Р-2</t>
        </is>
      </c>
      <c r="W1055" s="49" t="n">
        <v>3</v>
      </c>
    </row>
    <row r="1056">
      <c r="A1056" s="72" t="n">
        <v>1032</v>
      </c>
      <c r="B1056" s="21" t="inlineStr">
        <is>
          <t>3 этаж (отм. +7.550…+11.150)</t>
        </is>
      </c>
      <c r="C1056" s="21" t="inlineStr">
        <is>
          <t>Ригели</t>
        </is>
      </c>
      <c r="D1056" s="21" t="inlineStr">
        <is>
          <t>ось 2 (отм. +11.150)</t>
        </is>
      </c>
      <c r="E1056" s="21" t="inlineStr">
        <is>
          <t>Р-2</t>
        </is>
      </c>
      <c r="F1056" s="72" t="inlineStr">
        <is>
          <t>6</t>
        </is>
      </c>
      <c r="G1056" s="21" t="inlineStr">
        <is>
          <t>Продольные средние верх/низ 2Ø18 (сеч.4-4/5-5)</t>
        </is>
      </c>
      <c r="H1056" s="51" t="n">
        <v>18</v>
      </c>
      <c r="I1056" s="72" t="inlineStr">
        <is>
          <t>А500С</t>
        </is>
      </c>
      <c r="J1056" s="72" t="inlineStr">
        <is>
          <t>—</t>
        </is>
      </c>
      <c r="K1056" s="75" t="n">
        <v>1</v>
      </c>
      <c r="L1056" s="51" t="n">
        <v>2</v>
      </c>
      <c r="M1056" s="69" t="n">
        <v>20.5</v>
      </c>
      <c r="N1056" s="70">
        <f>K1056*L1056*M1056</f>
        <v/>
      </c>
      <c r="O1056" s="37">
        <f>IFERROR(INDEX(Исходные!$B$19:$B$31,MATCH(H1056,Исходные!$A$19:$A$31,0)),0)</f>
        <v/>
      </c>
      <c r="P1056" s="76">
        <f>N1056*O1056</f>
        <v/>
      </c>
      <c r="Q1056" s="21" t="inlineStr">
        <is>
          <t>АС-28 сеч.4-4/5-5 поз.6</t>
        </is>
      </c>
      <c r="R1056" s="77" t="inlineStr">
        <is>
          <t>по геометрии чертежа</t>
        </is>
      </c>
      <c r="S1056" s="21" t="inlineStr"/>
      <c r="T1056" s="21" t="inlineStr">
        <is>
          <t>Ригели, балки, плита, С-1</t>
        </is>
      </c>
      <c r="U1056" s="49" t="n">
        <v>0</v>
      </c>
      <c r="V1056" s="72" t="inlineStr">
        <is>
          <t>Р-2</t>
        </is>
      </c>
      <c r="W1056" s="49" t="n">
        <v>3</v>
      </c>
    </row>
    <row r="1057">
      <c r="A1057" s="72" t="n">
        <v>1033</v>
      </c>
      <c r="B1057" s="21" t="inlineStr">
        <is>
          <t>3 этаж (отм. +7.550…+11.150)</t>
        </is>
      </c>
      <c r="C1057" s="21" t="inlineStr">
        <is>
          <t>Ригели</t>
        </is>
      </c>
      <c r="D1057" s="21" t="inlineStr">
        <is>
          <t>ось 2 (отм. +11.150)</t>
        </is>
      </c>
      <c r="E1057" s="21" t="inlineStr">
        <is>
          <t>Р-2</t>
        </is>
      </c>
      <c r="F1057" s="72" t="inlineStr">
        <is>
          <t>6-нахл</t>
        </is>
      </c>
      <c r="G1057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057" s="51" t="n">
        <v>18</v>
      </c>
      <c r="I1057" s="72" t="inlineStr">
        <is>
          <t>А500С</t>
        </is>
      </c>
      <c r="J1057" s="72" t="inlineStr">
        <is>
          <t>—</t>
        </is>
      </c>
      <c r="K1057" s="75" t="n">
        <v>2</v>
      </c>
      <c r="L1057" s="51" t="n">
        <v>1</v>
      </c>
      <c r="M1057" s="69" t="n">
        <v>0.144</v>
      </c>
      <c r="N1057" s="70">
        <f>K1057*L1057*M1057</f>
        <v/>
      </c>
      <c r="O1057" s="37">
        <f>IFERROR(INDEX(Исходные!$B$19:$B$31,MATCH(H1057,Исходные!$A$19:$A$31,0)),0)</f>
        <v/>
      </c>
      <c r="P1057" s="76">
        <f>N1057*O1057</f>
        <v/>
      </c>
      <c r="Q1057" s="21" t="inlineStr">
        <is>
          <t>АС-19 прим.1: Ø18 и менее — внахлёстку электродуговой сваркой, Lшва=8d = 144 мм</t>
        </is>
      </c>
      <c r="R1057" s="77" t="inlineStr">
        <is>
          <t>по проекту (стыковка прутков 11,7 м)</t>
        </is>
      </c>
      <c r="S1057" s="21" t="inlineStr">
        <is>
          <t>Чистая длина 20.500 м; кусков 2; стыков 1; Lнахл=1×0.144=0.144 м на стержень</t>
        </is>
      </c>
      <c r="T1057" s="21" t="inlineStr">
        <is>
          <t>Ригели, балки, плита, С-1</t>
        </is>
      </c>
      <c r="U1057" s="49" t="n">
        <v>0</v>
      </c>
      <c r="V1057" s="72" t="inlineStr">
        <is>
          <t>Р-2</t>
        </is>
      </c>
      <c r="W1057" s="49" t="n">
        <v>3</v>
      </c>
    </row>
    <row r="1058">
      <c r="A1058" s="72" t="n">
        <v>1034</v>
      </c>
      <c r="B1058" s="21" t="inlineStr">
        <is>
          <t>3 этаж (отм. +7.550…+11.150)</t>
        </is>
      </c>
      <c r="C1058" s="21" t="inlineStr">
        <is>
          <t>Ригели</t>
        </is>
      </c>
      <c r="D1058" s="21" t="inlineStr">
        <is>
          <t>ось 2 (отм. +11.150)</t>
        </is>
      </c>
      <c r="E1058" s="21" t="inlineStr">
        <is>
          <t>Р-2</t>
        </is>
      </c>
      <c r="F1058" s="72" t="inlineStr">
        <is>
          <t>7</t>
        </is>
      </c>
      <c r="G1058" s="21" t="inlineStr">
        <is>
          <t>Боковые стержни 2Ø16 (сеч.4-4/5-5)</t>
        </is>
      </c>
      <c r="H1058" s="51" t="n">
        <v>16</v>
      </c>
      <c r="I1058" s="72" t="inlineStr">
        <is>
          <t>А500С</t>
        </is>
      </c>
      <c r="J1058" s="72" t="inlineStr">
        <is>
          <t>—</t>
        </is>
      </c>
      <c r="K1058" s="75" t="n">
        <v>1</v>
      </c>
      <c r="L1058" s="51" t="n">
        <v>2</v>
      </c>
      <c r="M1058" s="69" t="n">
        <v>20.5</v>
      </c>
      <c r="N1058" s="70">
        <f>K1058*L1058*M1058</f>
        <v/>
      </c>
      <c r="O1058" s="37">
        <f>IFERROR(INDEX(Исходные!$B$19:$B$31,MATCH(H1058,Исходные!$A$19:$A$31,0)),0)</f>
        <v/>
      </c>
      <c r="P1058" s="76">
        <f>N1058*O1058</f>
        <v/>
      </c>
      <c r="Q1058" s="21" t="inlineStr">
        <is>
          <t>АС-28 сеч.4-4/5-5 «Боковые стержни 2Ø16»</t>
        </is>
      </c>
      <c r="R1058" s="77" t="inlineStr">
        <is>
          <t>по геометрии чертежа</t>
        </is>
      </c>
      <c r="S1058" s="21" t="inlineStr"/>
      <c r="T1058" s="21" t="inlineStr">
        <is>
          <t>Ригели, балки, плита, С-1</t>
        </is>
      </c>
      <c r="U1058" s="49" t="n">
        <v>0</v>
      </c>
      <c r="V1058" s="72" t="inlineStr">
        <is>
          <t>Р-2</t>
        </is>
      </c>
      <c r="W1058" s="49" t="n">
        <v>3</v>
      </c>
    </row>
    <row r="1059">
      <c r="A1059" s="72" t="n">
        <v>1035</v>
      </c>
      <c r="B1059" s="21" t="inlineStr">
        <is>
          <t>3 этаж (отм. +7.550…+11.150)</t>
        </is>
      </c>
      <c r="C1059" s="21" t="inlineStr">
        <is>
          <t>Ригели</t>
        </is>
      </c>
      <c r="D1059" s="21" t="inlineStr">
        <is>
          <t>ось 2 (отм. +11.150)</t>
        </is>
      </c>
      <c r="E1059" s="21" t="inlineStr">
        <is>
          <t>Р-2</t>
        </is>
      </c>
      <c r="F1059" s="72" t="inlineStr">
        <is>
          <t>7-нахл</t>
        </is>
      </c>
      <c r="G1059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059" s="51" t="n">
        <v>16</v>
      </c>
      <c r="I1059" s="72" t="inlineStr">
        <is>
          <t>А500С</t>
        </is>
      </c>
      <c r="J1059" s="72" t="inlineStr">
        <is>
          <t>—</t>
        </is>
      </c>
      <c r="K1059" s="75" t="n">
        <v>2</v>
      </c>
      <c r="L1059" s="51" t="n">
        <v>1</v>
      </c>
      <c r="M1059" s="69" t="n">
        <v>0.128</v>
      </c>
      <c r="N1059" s="70">
        <f>K1059*L1059*M1059</f>
        <v/>
      </c>
      <c r="O1059" s="37">
        <f>IFERROR(INDEX(Исходные!$B$19:$B$31,MATCH(H1059,Исходные!$A$19:$A$31,0)),0)</f>
        <v/>
      </c>
      <c r="P1059" s="76">
        <f>N1059*O1059</f>
        <v/>
      </c>
      <c r="Q1059" s="21" t="inlineStr">
        <is>
          <t>АС-19 прим.1: Ø18 и менее — внахлёстку электродуговой сваркой, Lшва=8d = 128 мм</t>
        </is>
      </c>
      <c r="R1059" s="77" t="inlineStr">
        <is>
          <t>по проекту (стыковка прутков 11,7 м)</t>
        </is>
      </c>
      <c r="S1059" s="21" t="inlineStr">
        <is>
          <t>Чистая длина 20.500 м; кусков 2; стыков 1; Lнахл=1×0.128=0.128 м на стержень</t>
        </is>
      </c>
      <c r="T1059" s="21" t="inlineStr">
        <is>
          <t>Ригели, балки, плита, С-1</t>
        </is>
      </c>
      <c r="U1059" s="49" t="n">
        <v>0</v>
      </c>
      <c r="V1059" s="72" t="inlineStr">
        <is>
          <t>Р-2</t>
        </is>
      </c>
      <c r="W1059" s="49" t="n">
        <v>3</v>
      </c>
    </row>
    <row r="1060">
      <c r="A1060" s="72" t="n">
        <v>1036</v>
      </c>
      <c r="B1060" s="21" t="inlineStr">
        <is>
          <t>3 этаж (отм. +7.550…+11.150)</t>
        </is>
      </c>
      <c r="C1060" s="21" t="inlineStr">
        <is>
          <t>Ригели</t>
        </is>
      </c>
      <c r="D1060" s="21" t="inlineStr">
        <is>
          <t>ось 2 (отм. +11.150)</t>
        </is>
      </c>
      <c r="E1060" s="21" t="inlineStr">
        <is>
          <t>Р-2</t>
        </is>
      </c>
      <c r="F1060" s="72" t="inlineStr">
        <is>
          <t>ОС</t>
        </is>
      </c>
      <c r="G1060" s="21" t="inlineStr">
        <is>
          <t>ОС верх: 2Ø32, участок 1000…8500 мм</t>
        </is>
      </c>
      <c r="H1060" s="51" t="n">
        <v>32</v>
      </c>
      <c r="I1060" s="72" t="inlineStr">
        <is>
          <t>А500С</t>
        </is>
      </c>
      <c r="J1060" s="72" t="inlineStr">
        <is>
          <t>—</t>
        </is>
      </c>
      <c r="K1060" s="75" t="n">
        <v>1</v>
      </c>
      <c r="L1060" s="51" t="n">
        <v>2</v>
      </c>
      <c r="M1060" s="69" t="n">
        <v>7.5</v>
      </c>
      <c r="N1060" s="70">
        <f>K1060*L1060*M1060</f>
        <v/>
      </c>
      <c r="O1060" s="37">
        <f>IFERROR(INDEX(Исходные!$B$19:$B$31,MATCH(H1060,Исходные!$A$19:$A$31,0)),0)</f>
        <v/>
      </c>
      <c r="P1060" s="76">
        <f>N1060*O1060</f>
        <v/>
      </c>
      <c r="Q1060" s="21" t="inlineStr">
        <is>
          <t>АС-25 (отм. 11.150): выноска «ОС 2Ø32 А500С»; длина по привязкам отдельных стержней</t>
        </is>
      </c>
      <c r="R1060" s="77" t="inlineStr">
        <is>
          <t>по геометрии чертежа</t>
        </is>
      </c>
      <c r="S1060" s="21" t="inlineStr">
        <is>
          <t>Координаты от оси А: 1000…8500 мм</t>
        </is>
      </c>
      <c r="T1060" s="21" t="inlineStr">
        <is>
          <t>Ригели, балки, плита, С-1</t>
        </is>
      </c>
      <c r="U1060" s="49" t="n">
        <v>0</v>
      </c>
      <c r="V1060" s="72" t="inlineStr">
        <is>
          <t>Р-2</t>
        </is>
      </c>
      <c r="W1060" s="49" t="n">
        <v>3</v>
      </c>
    </row>
    <row r="1061">
      <c r="A1061" s="72" t="n">
        <v>1037</v>
      </c>
      <c r="B1061" s="21" t="inlineStr">
        <is>
          <t>3 этаж (отм. +7.550…+11.150)</t>
        </is>
      </c>
      <c r="C1061" s="21" t="inlineStr">
        <is>
          <t>Ригели</t>
        </is>
      </c>
      <c r="D1061" s="21" t="inlineStr">
        <is>
          <t>ось 2 (отм. +11.150)</t>
        </is>
      </c>
      <c r="E1061" s="21" t="inlineStr">
        <is>
          <t>Р-2</t>
        </is>
      </c>
      <c r="F1061" s="72" t="inlineStr">
        <is>
          <t>ОС</t>
        </is>
      </c>
      <c r="G1061" s="21" t="inlineStr">
        <is>
          <t>ОС верх: 2Ø32, участок 11500…15100 мм</t>
        </is>
      </c>
      <c r="H1061" s="51" t="n">
        <v>32</v>
      </c>
      <c r="I1061" s="72" t="inlineStr">
        <is>
          <t>А500С</t>
        </is>
      </c>
      <c r="J1061" s="72" t="inlineStr">
        <is>
          <t>—</t>
        </is>
      </c>
      <c r="K1061" s="75" t="n">
        <v>1</v>
      </c>
      <c r="L1061" s="51" t="n">
        <v>2</v>
      </c>
      <c r="M1061" s="69" t="n">
        <v>3.6</v>
      </c>
      <c r="N1061" s="70">
        <f>K1061*L1061*M1061</f>
        <v/>
      </c>
      <c r="O1061" s="37">
        <f>IFERROR(INDEX(Исходные!$B$19:$B$31,MATCH(H1061,Исходные!$A$19:$A$31,0)),0)</f>
        <v/>
      </c>
      <c r="P1061" s="76">
        <f>N1061*O1061</f>
        <v/>
      </c>
      <c r="Q1061" s="21" t="inlineStr">
        <is>
          <t>АС-25 (отм. 11.150): выноска «ОС 2Ø32 А500С»; длина по привязкам отдельных стержней</t>
        </is>
      </c>
      <c r="R1061" s="77" t="inlineStr">
        <is>
          <t>по геометрии чертежа</t>
        </is>
      </c>
      <c r="S1061" s="21" t="inlineStr">
        <is>
          <t>Координаты от оси А: 11500…15100 мм</t>
        </is>
      </c>
      <c r="T1061" s="21" t="inlineStr">
        <is>
          <t>Ригели, балки, плита, С-1</t>
        </is>
      </c>
      <c r="U1061" s="49" t="n">
        <v>0</v>
      </c>
      <c r="V1061" s="72" t="inlineStr">
        <is>
          <t>Р-2</t>
        </is>
      </c>
      <c r="W1061" s="49" t="n">
        <v>3</v>
      </c>
    </row>
    <row r="1062">
      <c r="A1062" s="72" t="n">
        <v>1038</v>
      </c>
      <c r="B1062" s="21" t="inlineStr">
        <is>
          <t>3 этаж (отм. +7.550…+11.150)</t>
        </is>
      </c>
      <c r="C1062" s="21" t="inlineStr">
        <is>
          <t>Ригели</t>
        </is>
      </c>
      <c r="D1062" s="21" t="inlineStr">
        <is>
          <t>ось 2 (отм. +11.150)</t>
        </is>
      </c>
      <c r="E1062" s="21" t="inlineStr">
        <is>
          <t>Р-2</t>
        </is>
      </c>
      <c r="F1062" s="72" t="inlineStr">
        <is>
          <t>ОС</t>
        </is>
      </c>
      <c r="G1062" s="21" t="inlineStr">
        <is>
          <t>ОС верх: 2Ø32, участок 17400…20000 мм + 250 до торца</t>
        </is>
      </c>
      <c r="H1062" s="51" t="n">
        <v>32</v>
      </c>
      <c r="I1062" s="72" t="inlineStr">
        <is>
          <t>А500С</t>
        </is>
      </c>
      <c r="J1062" s="72" t="inlineStr">
        <is>
          <t>—</t>
        </is>
      </c>
      <c r="K1062" s="75" t="n">
        <v>1</v>
      </c>
      <c r="L1062" s="51" t="n">
        <v>2</v>
      </c>
      <c r="M1062" s="69" t="n">
        <v>2.85</v>
      </c>
      <c r="N1062" s="70">
        <f>K1062*L1062*M1062</f>
        <v/>
      </c>
      <c r="O1062" s="37">
        <f>IFERROR(INDEX(Исходные!$B$19:$B$31,MATCH(H1062,Исходные!$A$19:$A$31,0)),0)</f>
        <v/>
      </c>
      <c r="P1062" s="76">
        <f>N1062*O1062</f>
        <v/>
      </c>
      <c r="Q1062" s="21" t="inlineStr">
        <is>
          <t>АС-25 (отм. 11.150): выноска «ОС 2Ø32 А500С»; длина по привязкам отдельных стержней</t>
        </is>
      </c>
      <c r="R1062" s="77" t="inlineStr">
        <is>
          <t>по геометрии чертежа</t>
        </is>
      </c>
      <c r="S1062" s="21" t="inlineStr">
        <is>
          <t>Координаты от оси А: 17400…20000 мм; конец до торца крайней колонны (+250)</t>
        </is>
      </c>
      <c r="T1062" s="21" t="inlineStr">
        <is>
          <t>Ригели, балки, плита, С-1</t>
        </is>
      </c>
      <c r="U1062" s="49" t="n">
        <v>0</v>
      </c>
      <c r="V1062" s="72" t="inlineStr">
        <is>
          <t>Р-2</t>
        </is>
      </c>
      <c r="W1062" s="49" t="n">
        <v>3</v>
      </c>
    </row>
    <row r="1063">
      <c r="A1063" s="72" t="n">
        <v>1039</v>
      </c>
      <c r="B1063" s="21" t="inlineStr">
        <is>
          <t>3 этаж (отм. +7.550…+11.150)</t>
        </is>
      </c>
      <c r="C1063" s="21" t="inlineStr">
        <is>
          <t>Ригели</t>
        </is>
      </c>
      <c r="D1063" s="21" t="inlineStr">
        <is>
          <t>ось 2 (отм. +11.150)</t>
        </is>
      </c>
      <c r="E1063" s="21" t="inlineStr">
        <is>
          <t>Р-2</t>
        </is>
      </c>
      <c r="F1063" s="72" t="inlineStr">
        <is>
          <t>ОС</t>
        </is>
      </c>
      <c r="G1063" s="21" t="inlineStr">
        <is>
          <t>ОС верх 2-й ряд: 1Ø22, участок 1000…3400 мм</t>
        </is>
      </c>
      <c r="H1063" s="51" t="n">
        <v>22</v>
      </c>
      <c r="I1063" s="72" t="inlineStr">
        <is>
          <t>А500С</t>
        </is>
      </c>
      <c r="J1063" s="72" t="inlineStr">
        <is>
          <t>—</t>
        </is>
      </c>
      <c r="K1063" s="75" t="n">
        <v>1</v>
      </c>
      <c r="L1063" s="51" t="n">
        <v>1</v>
      </c>
      <c r="M1063" s="69" t="n">
        <v>2.4</v>
      </c>
      <c r="N1063" s="70">
        <f>K1063*L1063*M1063</f>
        <v/>
      </c>
      <c r="O1063" s="37">
        <f>IFERROR(INDEX(Исходные!$B$19:$B$31,MATCH(H1063,Исходные!$A$19:$A$31,0)),0)</f>
        <v/>
      </c>
      <c r="P1063" s="76">
        <f>N1063*O1063</f>
        <v/>
      </c>
      <c r="Q1063" s="21" t="inlineStr">
        <is>
          <t>АС-25 (отм. 11.150): выноска «ОС 1Ø22 А500С»; длина по привязкам отдельных стержней</t>
        </is>
      </c>
      <c r="R1063" s="77" t="inlineStr">
        <is>
          <t>по геометрии чертежа</t>
        </is>
      </c>
      <c r="S1063" s="21" t="inlineStr">
        <is>
          <t>Координаты от оси А: 1000…3400 мм</t>
        </is>
      </c>
      <c r="T1063" s="21" t="inlineStr">
        <is>
          <t>Ригели, балки, плита, С-1</t>
        </is>
      </c>
      <c r="U1063" s="49" t="n">
        <v>0</v>
      </c>
      <c r="V1063" s="72" t="inlineStr">
        <is>
          <t>Р-2</t>
        </is>
      </c>
      <c r="W1063" s="49" t="n">
        <v>3</v>
      </c>
    </row>
    <row r="1064">
      <c r="A1064" s="72" t="n">
        <v>1040</v>
      </c>
      <c r="B1064" s="21" t="inlineStr">
        <is>
          <t>3 этаж (отм. +7.550…+11.150)</t>
        </is>
      </c>
      <c r="C1064" s="21" t="inlineStr">
        <is>
          <t>Ригели</t>
        </is>
      </c>
      <c r="D1064" s="21" t="inlineStr">
        <is>
          <t>ось 2 (отм. +11.150)</t>
        </is>
      </c>
      <c r="E1064" s="21" t="inlineStr">
        <is>
          <t>Р-2</t>
        </is>
      </c>
      <c r="F1064" s="72" t="inlineStr">
        <is>
          <t>ОС</t>
        </is>
      </c>
      <c r="G1064" s="21" t="inlineStr">
        <is>
          <t>ОС верх 2-й ряд: 2Ø14, участок 8000…12000 мм</t>
        </is>
      </c>
      <c r="H1064" s="51" t="n">
        <v>14</v>
      </c>
      <c r="I1064" s="72" t="inlineStr">
        <is>
          <t>А500С</t>
        </is>
      </c>
      <c r="J1064" s="72" t="inlineStr">
        <is>
          <t>—</t>
        </is>
      </c>
      <c r="K1064" s="75" t="n">
        <v>1</v>
      </c>
      <c r="L1064" s="51" t="n">
        <v>2</v>
      </c>
      <c r="M1064" s="69" t="n">
        <v>4</v>
      </c>
      <c r="N1064" s="70">
        <f>K1064*L1064*M1064</f>
        <v/>
      </c>
      <c r="O1064" s="37">
        <f>IFERROR(INDEX(Исходные!$B$19:$B$31,MATCH(H1064,Исходные!$A$19:$A$31,0)),0)</f>
        <v/>
      </c>
      <c r="P1064" s="76">
        <f>N1064*O1064</f>
        <v/>
      </c>
      <c r="Q1064" s="21" t="inlineStr">
        <is>
          <t>АС-25 (отм. 11.150): выноска «ОС 2Ø14 А500С»; длина по привязкам отдельных стержней</t>
        </is>
      </c>
      <c r="R1064" s="77" t="inlineStr">
        <is>
          <t>по геометрии чертежа</t>
        </is>
      </c>
      <c r="S1064" s="21" t="inlineStr">
        <is>
          <t>Координаты от оси А: 8000…12000 мм</t>
        </is>
      </c>
      <c r="T1064" s="21" t="inlineStr">
        <is>
          <t>Ригели, балки, плита, С-1</t>
        </is>
      </c>
      <c r="U1064" s="49" t="n">
        <v>0</v>
      </c>
      <c r="V1064" s="72" t="inlineStr">
        <is>
          <t>Р-2</t>
        </is>
      </c>
      <c r="W1064" s="49" t="n">
        <v>3</v>
      </c>
    </row>
    <row r="1065">
      <c r="A1065" s="72" t="n">
        <v>1041</v>
      </c>
      <c r="B1065" s="21" t="inlineStr">
        <is>
          <t>3 этаж (отм. +7.550…+11.150)</t>
        </is>
      </c>
      <c r="C1065" s="21" t="inlineStr">
        <is>
          <t>Ригели</t>
        </is>
      </c>
      <c r="D1065" s="21" t="inlineStr">
        <is>
          <t>ось 2 (отм. +11.150)</t>
        </is>
      </c>
      <c r="E1065" s="21" t="inlineStr">
        <is>
          <t>Р-2</t>
        </is>
      </c>
      <c r="F1065" s="72" t="inlineStr">
        <is>
          <t>ОС</t>
        </is>
      </c>
      <c r="G1065" s="21" t="inlineStr">
        <is>
          <t>ОС низ: 2Ø25, участок 1000…11500 мм</t>
        </is>
      </c>
      <c r="H1065" s="51" t="n">
        <v>25</v>
      </c>
      <c r="I1065" s="72" t="inlineStr">
        <is>
          <t>А500С</t>
        </is>
      </c>
      <c r="J1065" s="72" t="inlineStr">
        <is>
          <t>—</t>
        </is>
      </c>
      <c r="K1065" s="75" t="n">
        <v>1</v>
      </c>
      <c r="L1065" s="51" t="n">
        <v>2</v>
      </c>
      <c r="M1065" s="69" t="n">
        <v>10.5</v>
      </c>
      <c r="N1065" s="70">
        <f>K1065*L1065*M1065</f>
        <v/>
      </c>
      <c r="O1065" s="37">
        <f>IFERROR(INDEX(Исходные!$B$19:$B$31,MATCH(H1065,Исходные!$A$19:$A$31,0)),0)</f>
        <v/>
      </c>
      <c r="P1065" s="76">
        <f>N1065*O1065</f>
        <v/>
      </c>
      <c r="Q1065" s="21" t="inlineStr">
        <is>
          <t>АС-25 (отм. 11.150): выноска «ОС 2Ø25 А500С»; длина по привязкам отдельных стержней</t>
        </is>
      </c>
      <c r="R1065" s="77" t="inlineStr">
        <is>
          <t>по геометрии чертежа</t>
        </is>
      </c>
      <c r="S1065" s="21" t="inlineStr">
        <is>
          <t>Координаты от оси А: 1000…11500 мм</t>
        </is>
      </c>
      <c r="T1065" s="21" t="inlineStr">
        <is>
          <t>Ригели, балки, плита, С-1</t>
        </is>
      </c>
      <c r="U1065" s="49" t="n">
        <v>0</v>
      </c>
      <c r="V1065" s="72" t="inlineStr">
        <is>
          <t>Р-2</t>
        </is>
      </c>
      <c r="W1065" s="49" t="n">
        <v>3</v>
      </c>
    </row>
    <row r="1066">
      <c r="A1066" s="72" t="n">
        <v>1042</v>
      </c>
      <c r="B1066" s="21" t="inlineStr">
        <is>
          <t>3 этаж (отм. +7.550…+11.150)</t>
        </is>
      </c>
      <c r="C1066" s="21" t="inlineStr">
        <is>
          <t>Ригели</t>
        </is>
      </c>
      <c r="D1066" s="21" t="inlineStr">
        <is>
          <t>ось 2 (отм. +11.150)</t>
        </is>
      </c>
      <c r="E1066" s="21" t="inlineStr">
        <is>
          <t>Р-2</t>
        </is>
      </c>
      <c r="F1066" s="72" t="inlineStr">
        <is>
          <t>ОС</t>
        </is>
      </c>
      <c r="G1066" s="21" t="inlineStr">
        <is>
          <t>ОС низ: 2Ø20, участок 12800…15100 мм</t>
        </is>
      </c>
      <c r="H1066" s="51" t="n">
        <v>20</v>
      </c>
      <c r="I1066" s="72" t="inlineStr">
        <is>
          <t>А500С</t>
        </is>
      </c>
      <c r="J1066" s="72" t="inlineStr">
        <is>
          <t>—</t>
        </is>
      </c>
      <c r="K1066" s="75" t="n">
        <v>1</v>
      </c>
      <c r="L1066" s="51" t="n">
        <v>2</v>
      </c>
      <c r="M1066" s="69" t="n">
        <v>2.3</v>
      </c>
      <c r="N1066" s="70">
        <f>K1066*L1066*M1066</f>
        <v/>
      </c>
      <c r="O1066" s="37">
        <f>IFERROR(INDEX(Исходные!$B$19:$B$31,MATCH(H1066,Исходные!$A$19:$A$31,0)),0)</f>
        <v/>
      </c>
      <c r="P1066" s="76">
        <f>N1066*O1066</f>
        <v/>
      </c>
      <c r="Q1066" s="21" t="inlineStr">
        <is>
          <t>АС-25 (отм. 11.150): выноска «ОС 2Ø20 А500С»; длина по привязкам отдельных стержней</t>
        </is>
      </c>
      <c r="R1066" s="77" t="inlineStr">
        <is>
          <t>по геометрии чертежа</t>
        </is>
      </c>
      <c r="S1066" s="21" t="inlineStr">
        <is>
          <t>Координаты от оси А: 12800…15100 мм</t>
        </is>
      </c>
      <c r="T1066" s="21" t="inlineStr">
        <is>
          <t>Ригели, балки, плита, С-1</t>
        </is>
      </c>
      <c r="U1066" s="49" t="n">
        <v>0</v>
      </c>
      <c r="V1066" s="72" t="inlineStr">
        <is>
          <t>Р-2</t>
        </is>
      </c>
      <c r="W1066" s="49" t="n">
        <v>3</v>
      </c>
    </row>
    <row r="1067">
      <c r="A1067" s="72" t="n">
        <v>1043</v>
      </c>
      <c r="B1067" s="21" t="inlineStr">
        <is>
          <t>3 этаж (отм. +7.550…+11.150)</t>
        </is>
      </c>
      <c r="C1067" s="21" t="inlineStr">
        <is>
          <t>Ригели</t>
        </is>
      </c>
      <c r="D1067" s="21" t="inlineStr">
        <is>
          <t>ось 2 (отм. +11.150)</t>
        </is>
      </c>
      <c r="E1067" s="21" t="inlineStr">
        <is>
          <t>Р-2</t>
        </is>
      </c>
      <c r="F1067" s="72" t="inlineStr">
        <is>
          <t>ОС</t>
        </is>
      </c>
      <c r="G1067" s="21" t="inlineStr">
        <is>
          <t>ОС низ: 2Ø20, участок 17400…20000 мм + 250 до торца</t>
        </is>
      </c>
      <c r="H1067" s="51" t="n">
        <v>20</v>
      </c>
      <c r="I1067" s="72" t="inlineStr">
        <is>
          <t>А500С</t>
        </is>
      </c>
      <c r="J1067" s="72" t="inlineStr">
        <is>
          <t>—</t>
        </is>
      </c>
      <c r="K1067" s="75" t="n">
        <v>1</v>
      </c>
      <c r="L1067" s="51" t="n">
        <v>2</v>
      </c>
      <c r="M1067" s="69" t="n">
        <v>2.85</v>
      </c>
      <c r="N1067" s="70">
        <f>K1067*L1067*M1067</f>
        <v/>
      </c>
      <c r="O1067" s="37">
        <f>IFERROR(INDEX(Исходные!$B$19:$B$31,MATCH(H1067,Исходные!$A$19:$A$31,0)),0)</f>
        <v/>
      </c>
      <c r="P1067" s="76">
        <f>N1067*O1067</f>
        <v/>
      </c>
      <c r="Q1067" s="21" t="inlineStr">
        <is>
          <t>АС-25 (отм. 11.150): выноска «ОС 2Ø20 А500С»; длина по привязкам отдельных стержней</t>
        </is>
      </c>
      <c r="R1067" s="77" t="inlineStr">
        <is>
          <t>по геометрии чертежа</t>
        </is>
      </c>
      <c r="S1067" s="21" t="inlineStr">
        <is>
          <t>Координаты от оси А: 17400…20000 мм; конец до торца крайней колонны (+250)</t>
        </is>
      </c>
      <c r="T1067" s="21" t="inlineStr">
        <is>
          <t>Ригели, балки, плита, С-1</t>
        </is>
      </c>
      <c r="U1067" s="49" t="n">
        <v>0</v>
      </c>
      <c r="V1067" s="72" t="inlineStr">
        <is>
          <t>Р-2</t>
        </is>
      </c>
      <c r="W1067" s="49" t="n">
        <v>3</v>
      </c>
    </row>
    <row r="1068">
      <c r="A1068" s="72" t="n">
        <v>1044</v>
      </c>
      <c r="B1068" s="21" t="inlineStr">
        <is>
          <t>3 этаж (отм. +7.550…+11.150)</t>
        </is>
      </c>
      <c r="C1068" s="21" t="inlineStr">
        <is>
          <t>Ригели</t>
        </is>
      </c>
      <c r="D1068" s="21" t="inlineStr">
        <is>
          <t>ось 2 (отм. +11.150)</t>
        </is>
      </c>
      <c r="E1068" s="21" t="inlineStr">
        <is>
          <t>Р-2</t>
        </is>
      </c>
      <c r="F1068" s="72" t="inlineStr">
        <is>
          <t>ОС</t>
        </is>
      </c>
      <c r="G1068" s="21" t="inlineStr">
        <is>
          <t>ОС низ 2-й ряд: 2Ø14, участок 11500…14200 мм</t>
        </is>
      </c>
      <c r="H1068" s="51" t="n">
        <v>14</v>
      </c>
      <c r="I1068" s="72" t="inlineStr">
        <is>
          <t>А500С</t>
        </is>
      </c>
      <c r="J1068" s="72" t="inlineStr">
        <is>
          <t>—</t>
        </is>
      </c>
      <c r="K1068" s="75" t="n">
        <v>1</v>
      </c>
      <c r="L1068" s="51" t="n">
        <v>2</v>
      </c>
      <c r="M1068" s="69" t="n">
        <v>2.7</v>
      </c>
      <c r="N1068" s="70">
        <f>K1068*L1068*M1068</f>
        <v/>
      </c>
      <c r="O1068" s="37">
        <f>IFERROR(INDEX(Исходные!$B$19:$B$31,MATCH(H1068,Исходные!$A$19:$A$31,0)),0)</f>
        <v/>
      </c>
      <c r="P1068" s="76">
        <f>N1068*O1068</f>
        <v/>
      </c>
      <c r="Q1068" s="21" t="inlineStr">
        <is>
          <t>АС-25 (отм. 11.150): выноска «ОС 2Ø14 А500С»; длина по привязкам отдельных стержней</t>
        </is>
      </c>
      <c r="R1068" s="77" t="inlineStr">
        <is>
          <t>по геометрии чертежа</t>
        </is>
      </c>
      <c r="S1068" s="21" t="inlineStr">
        <is>
          <t>Координаты от оси А: 11500…14200 мм</t>
        </is>
      </c>
      <c r="T1068" s="21" t="inlineStr">
        <is>
          <t>Ригели, балки, плита, С-1</t>
        </is>
      </c>
      <c r="U1068" s="49" t="n">
        <v>0</v>
      </c>
      <c r="V1068" s="72" t="inlineStr">
        <is>
          <t>Р-2</t>
        </is>
      </c>
      <c r="W1068" s="49" t="n">
        <v>3</v>
      </c>
    </row>
    <row r="1069">
      <c r="A1069" s="72" t="n">
        <v>1045</v>
      </c>
      <c r="B1069" s="21" t="inlineStr">
        <is>
          <t>3 этаж (отм. +7.550…+11.150)</t>
        </is>
      </c>
      <c r="C1069" s="21" t="inlineStr">
        <is>
          <t>Ригели</t>
        </is>
      </c>
      <c r="D1069" s="21" t="inlineStr">
        <is>
          <t>ось 2 (отм. +11.150)</t>
        </is>
      </c>
      <c r="E1069" s="21" t="inlineStr">
        <is>
          <t>Р-2</t>
        </is>
      </c>
      <c r="F1069" s="72" t="inlineStr">
        <is>
          <t>ОС</t>
        </is>
      </c>
      <c r="G1069" s="21" t="inlineStr">
        <is>
          <t>Ос (бок) бок: 2Ø14, участок 1000…3400 мм</t>
        </is>
      </c>
      <c r="H1069" s="51" t="n">
        <v>14</v>
      </c>
      <c r="I1069" s="72" t="inlineStr">
        <is>
          <t>А500С</t>
        </is>
      </c>
      <c r="J1069" s="72" t="inlineStr">
        <is>
          <t>—</t>
        </is>
      </c>
      <c r="K1069" s="75" t="n">
        <v>1</v>
      </c>
      <c r="L1069" s="51" t="n">
        <v>2</v>
      </c>
      <c r="M1069" s="69" t="n">
        <v>2.4</v>
      </c>
      <c r="N1069" s="70">
        <f>K1069*L1069*M1069</f>
        <v/>
      </c>
      <c r="O1069" s="37">
        <f>IFERROR(INDEX(Исходные!$B$19:$B$31,MATCH(H1069,Исходные!$A$19:$A$31,0)),0)</f>
        <v/>
      </c>
      <c r="P1069" s="76">
        <f>N1069*O1069</f>
        <v/>
      </c>
      <c r="Q1069" s="21" t="inlineStr">
        <is>
          <t>АС-25 (отм. 11.150): выноска «Ос (бок) 2Ø14 А500С»; длина по привязкам отдельных стержней</t>
        </is>
      </c>
      <c r="R1069" s="77" t="inlineStr">
        <is>
          <t>по геометрии чертежа</t>
        </is>
      </c>
      <c r="S1069" s="21" t="inlineStr">
        <is>
          <t>Координаты от оси А: 1000…3400 мм</t>
        </is>
      </c>
      <c r="T1069" s="21" t="inlineStr">
        <is>
          <t>Ригели, балки, плита, С-1</t>
        </is>
      </c>
      <c r="U1069" s="49" t="n">
        <v>0</v>
      </c>
      <c r="V1069" s="72" t="inlineStr">
        <is>
          <t>Р-2</t>
        </is>
      </c>
      <c r="W1069" s="49" t="n">
        <v>3</v>
      </c>
    </row>
    <row r="1070">
      <c r="A1070" s="72" t="n">
        <v>1046</v>
      </c>
      <c r="B1070" s="21" t="inlineStr">
        <is>
          <t>3 этаж (отм. +7.550…+11.150)</t>
        </is>
      </c>
      <c r="C1070" s="21" t="inlineStr">
        <is>
          <t>Ригели</t>
        </is>
      </c>
      <c r="D1070" s="21" t="inlineStr">
        <is>
          <t>ось 2 (отм. +11.150)</t>
        </is>
      </c>
      <c r="E1070" s="21" t="inlineStr">
        <is>
          <t>Р-2</t>
        </is>
      </c>
      <c r="F1070" s="72" t="inlineStr">
        <is>
          <t>ОС</t>
        </is>
      </c>
      <c r="G1070" s="21" t="inlineStr">
        <is>
          <t>Ос (бок) бок: 4Ø14, участок 5100…14200 мм</t>
        </is>
      </c>
      <c r="H1070" s="51" t="n">
        <v>14</v>
      </c>
      <c r="I1070" s="72" t="inlineStr">
        <is>
          <t>А500С</t>
        </is>
      </c>
      <c r="J1070" s="72" t="inlineStr">
        <is>
          <t>—</t>
        </is>
      </c>
      <c r="K1070" s="75" t="n">
        <v>1</v>
      </c>
      <c r="L1070" s="51" t="n">
        <v>4</v>
      </c>
      <c r="M1070" s="69" t="n">
        <v>9.1</v>
      </c>
      <c r="N1070" s="70">
        <f>K1070*L1070*M1070</f>
        <v/>
      </c>
      <c r="O1070" s="37">
        <f>IFERROR(INDEX(Исходные!$B$19:$B$31,MATCH(H1070,Исходные!$A$19:$A$31,0)),0)</f>
        <v/>
      </c>
      <c r="P1070" s="76">
        <f>N1070*O1070</f>
        <v/>
      </c>
      <c r="Q1070" s="21" t="inlineStr">
        <is>
          <t>АС-25 (отм. 11.150): выноска «Ос (бок) 4Ø14 А500С»; длина по привязкам отдельных стержней</t>
        </is>
      </c>
      <c r="R1070" s="77" t="inlineStr">
        <is>
          <t>по геометрии чертежа</t>
        </is>
      </c>
      <c r="S1070" s="21" t="inlineStr">
        <is>
          <t>Координаты от оси А: 5100…14200 мм</t>
        </is>
      </c>
      <c r="T1070" s="21" t="inlineStr">
        <is>
          <t>Ригели, балки, плита, С-1</t>
        </is>
      </c>
      <c r="U1070" s="49" t="n">
        <v>0</v>
      </c>
      <c r="V1070" s="72" t="inlineStr">
        <is>
          <t>Р-2</t>
        </is>
      </c>
      <c r="W1070" s="49" t="n">
        <v>3</v>
      </c>
    </row>
    <row r="1071">
      <c r="A1071" s="72" t="n">
        <v>1047</v>
      </c>
      <c r="B1071" s="21" t="inlineStr">
        <is>
          <t>3 этаж (отм. +7.550…+11.150)</t>
        </is>
      </c>
      <c r="C1071" s="21" t="inlineStr">
        <is>
          <t>Ригели</t>
        </is>
      </c>
      <c r="D1071" s="21" t="inlineStr">
        <is>
          <t>ось 2 (отм. +11.150)</t>
        </is>
      </c>
      <c r="E1071" s="21" t="inlineStr">
        <is>
          <t>Р-2</t>
        </is>
      </c>
      <c r="F1071" s="72" t="inlineStr">
        <is>
          <t>ОС</t>
        </is>
      </c>
      <c r="G1071" s="21" t="inlineStr">
        <is>
          <t>Ос (бок) бок: 2Ø14, участок 17400…20000 мм + 250 до торца</t>
        </is>
      </c>
      <c r="H1071" s="51" t="n">
        <v>14</v>
      </c>
      <c r="I1071" s="72" t="inlineStr">
        <is>
          <t>А500С</t>
        </is>
      </c>
      <c r="J1071" s="72" t="inlineStr">
        <is>
          <t>—</t>
        </is>
      </c>
      <c r="K1071" s="75" t="n">
        <v>1</v>
      </c>
      <c r="L1071" s="51" t="n">
        <v>2</v>
      </c>
      <c r="M1071" s="69" t="n">
        <v>2.85</v>
      </c>
      <c r="N1071" s="70">
        <f>K1071*L1071*M1071</f>
        <v/>
      </c>
      <c r="O1071" s="37">
        <f>IFERROR(INDEX(Исходные!$B$19:$B$31,MATCH(H1071,Исходные!$A$19:$A$31,0)),0)</f>
        <v/>
      </c>
      <c r="P1071" s="76">
        <f>N1071*O1071</f>
        <v/>
      </c>
      <c r="Q1071" s="21" t="inlineStr">
        <is>
          <t>АС-25 (отм. 11.150): выноска «Ос (бок) 2Ø14 А500С»; длина по привязкам отдельных стержней</t>
        </is>
      </c>
      <c r="R1071" s="77" t="inlineStr">
        <is>
          <t>по геометрии чертежа</t>
        </is>
      </c>
      <c r="S1071" s="21" t="inlineStr">
        <is>
          <t>Координаты от оси А: 17400…20000 мм; конец до торца крайней колонны (+250)</t>
        </is>
      </c>
      <c r="T1071" s="21" t="inlineStr">
        <is>
          <t>Ригели, балки, плита, С-1</t>
        </is>
      </c>
      <c r="U1071" s="49" t="n">
        <v>0</v>
      </c>
      <c r="V1071" s="72" t="inlineStr">
        <is>
          <t>Р-2</t>
        </is>
      </c>
      <c r="W1071" s="49" t="n">
        <v>3</v>
      </c>
    </row>
    <row r="1072">
      <c r="A1072" s="72" t="n">
        <v>1048</v>
      </c>
      <c r="B1072" s="21" t="inlineStr">
        <is>
          <t>3 этаж (отм. +7.550…+11.150)</t>
        </is>
      </c>
      <c r="C1072" s="21" t="inlineStr">
        <is>
          <t>Ригели</t>
        </is>
      </c>
      <c r="D1072" s="21" t="inlineStr">
        <is>
          <t>ось 2 (отм. +11.150)</t>
        </is>
      </c>
      <c r="E1072" s="21" t="inlineStr">
        <is>
          <t>Р-2</t>
        </is>
      </c>
      <c r="F1072" s="72" t="inlineStr">
        <is>
          <t>12</t>
        </is>
      </c>
      <c r="G1072" s="21" t="inlineStr">
        <is>
          <t>Хомут Ø8 L=2060 ш.100 у опор, ш.150 в пролёте, 80×4 у балок — вне заштрихованных участков</t>
        </is>
      </c>
      <c r="H1072" s="51" t="n">
        <v>8</v>
      </c>
      <c r="I1072" s="72" t="inlineStr">
        <is>
          <t>А240</t>
        </is>
      </c>
      <c r="J1072" s="72" t="inlineStr">
        <is>
          <t>100/150</t>
        </is>
      </c>
      <c r="K1072" s="75" t="n">
        <v>1</v>
      </c>
      <c r="L1072" s="51" t="n">
        <v>47</v>
      </c>
      <c r="M1072" s="69" t="n">
        <v>2.06</v>
      </c>
      <c r="N1072" s="70">
        <f>K1072*L1072*M1072</f>
        <v/>
      </c>
      <c r="O1072" s="37">
        <f>IFERROR(INDEX(Исходные!$B$19:$B$31,MATCH(H1072,Исходные!$A$19:$A$31,0)),0)</f>
        <v/>
      </c>
      <c r="P1072" s="76">
        <f>N1072*O1072</f>
        <v/>
      </c>
      <c r="Q1072" s="21" t="inlineStr">
        <is>
          <t>АС-28 поз.12; АС-29 «Расстановка хомутов в ригелях»</t>
        </is>
      </c>
      <c r="R1072" s="77" t="inlineStr">
        <is>
          <t>по проекту</t>
        </is>
      </c>
      <c r="S1072" s="21" t="inlineStr">
        <is>
          <t>Пролёты в свету [(2000, 6200), (6800, 13200), (13800, 19000)]</t>
        </is>
      </c>
      <c r="T1072" s="21" t="inlineStr">
        <is>
          <t>Ригели, балки, плита, С-1</t>
        </is>
      </c>
      <c r="U1072" s="49" t="n">
        <v>0</v>
      </c>
      <c r="V1072" s="72" t="inlineStr">
        <is>
          <t>Р-2</t>
        </is>
      </c>
      <c r="W1072" s="49" t="n">
        <v>3</v>
      </c>
    </row>
    <row r="1073">
      <c r="A1073" s="72" t="n">
        <v>1049</v>
      </c>
      <c r="B1073" s="21" t="inlineStr">
        <is>
          <t>3 этаж (отм. +7.550…+11.150)</t>
        </is>
      </c>
      <c r="C1073" s="21" t="inlineStr">
        <is>
          <t>Ригели</t>
        </is>
      </c>
      <c r="D1073" s="21" t="inlineStr">
        <is>
          <t>ось 2 (отм. +11.150)</t>
        </is>
      </c>
      <c r="E1073" s="21" t="inlineStr">
        <is>
          <t>Р-2</t>
        </is>
      </c>
      <c r="F1073" s="72" t="inlineStr">
        <is>
          <t>13</t>
        </is>
      </c>
      <c r="G1073" s="21" t="inlineStr">
        <is>
          <t>Хомут наружный Ø10 L=2060 ш.100 — заштрихованные участки</t>
        </is>
      </c>
      <c r="H1073" s="51" t="n">
        <v>10</v>
      </c>
      <c r="I1073" s="72" t="inlineStr">
        <is>
          <t>А240</t>
        </is>
      </c>
      <c r="J1073" s="72" t="n">
        <v>100</v>
      </c>
      <c r="K1073" s="75" t="n">
        <v>1</v>
      </c>
      <c r="L1073" s="51" t="n">
        <v>92</v>
      </c>
      <c r="M1073" s="69" t="n">
        <v>2.06</v>
      </c>
      <c r="N1073" s="70">
        <f>K1073*L1073*M1073</f>
        <v/>
      </c>
      <c r="O1073" s="37">
        <f>IFERROR(INDEX(Исходные!$B$19:$B$31,MATCH(H1073,Исходные!$A$19:$A$31,0)),0)</f>
        <v/>
      </c>
      <c r="P1073" s="76">
        <f>N1073*O1073</f>
        <v/>
      </c>
      <c r="Q1073" s="21" t="inlineStr">
        <is>
          <t>АС-25 штриховка у отм. 11.150; АС-28 Фрагмент №1, поз.13</t>
        </is>
      </c>
      <c r="R1073" s="77" t="inlineStr">
        <is>
          <t>по проекту</t>
        </is>
      </c>
      <c r="S1073" s="21" t="inlineStr">
        <is>
          <t>Участки (мм): одинарные [(16400, 17400)], двойные [(2000, 3200), (6500, 13500), (17400, 19000)]</t>
        </is>
      </c>
      <c r="T1073" s="21" t="inlineStr">
        <is>
          <t>Ригели, балки, плита, С-1</t>
        </is>
      </c>
      <c r="U1073" s="49" t="n">
        <v>0</v>
      </c>
      <c r="V1073" s="72" t="inlineStr">
        <is>
          <t>Р-2</t>
        </is>
      </c>
      <c r="W1073" s="49" t="n">
        <v>3</v>
      </c>
    </row>
    <row r="1074">
      <c r="A1074" s="72" t="n">
        <v>1050</v>
      </c>
      <c r="B1074" s="21" t="inlineStr">
        <is>
          <t>3 этаж (отм. +7.550…+11.150)</t>
        </is>
      </c>
      <c r="C1074" s="21" t="inlineStr">
        <is>
          <t>Ригели</t>
        </is>
      </c>
      <c r="D1074" s="21" t="inlineStr">
        <is>
          <t>ось 2 (отм. +11.150)</t>
        </is>
      </c>
      <c r="E1074" s="21" t="inlineStr">
        <is>
          <t>Р-2</t>
        </is>
      </c>
      <c r="F1074" s="72" t="inlineStr">
        <is>
          <t>15</t>
        </is>
      </c>
      <c r="G1074" s="21" t="inlineStr">
        <is>
          <t>Хомут внутренний Ø10 L=1600 ш.100 — участки двойных хомутов</t>
        </is>
      </c>
      <c r="H1074" s="51" t="n">
        <v>10</v>
      </c>
      <c r="I1074" s="72" t="inlineStr">
        <is>
          <t>А240</t>
        </is>
      </c>
      <c r="J1074" s="72" t="n">
        <v>100</v>
      </c>
      <c r="K1074" s="75" t="n">
        <v>1</v>
      </c>
      <c r="L1074" s="51" t="n">
        <v>86</v>
      </c>
      <c r="M1074" s="69" t="n">
        <v>1.6</v>
      </c>
      <c r="N1074" s="70">
        <f>K1074*L1074*M1074</f>
        <v/>
      </c>
      <c r="O1074" s="37">
        <f>IFERROR(INDEX(Исходные!$B$19:$B$31,MATCH(H1074,Исходные!$A$19:$A$31,0)),0)</f>
        <v/>
      </c>
      <c r="P1074" s="76">
        <f>N1074*O1074</f>
        <v/>
      </c>
      <c r="Q1074" s="21" t="inlineStr">
        <is>
          <t>АС-25 двойная штриховка; АС-28 Фрагмент №1, поз.15</t>
        </is>
      </c>
      <c r="R1074" s="77" t="inlineStr">
        <is>
          <t>по проекту</t>
        </is>
      </c>
      <c r="S1074" s="21" t="inlineStr"/>
      <c r="T1074" s="21" t="inlineStr">
        <is>
          <t>Ригели, балки, плита, С-1</t>
        </is>
      </c>
      <c r="U1074" s="49" t="n">
        <v>0</v>
      </c>
      <c r="V1074" s="72" t="inlineStr">
        <is>
          <t>Р-2</t>
        </is>
      </c>
      <c r="W1074" s="49" t="n">
        <v>3</v>
      </c>
    </row>
    <row r="1075">
      <c r="A1075" s="72" t="n">
        <v>1051</v>
      </c>
      <c r="B1075" s="21" t="inlineStr">
        <is>
          <t>3 этаж (отм. +7.550…+11.150)</t>
        </is>
      </c>
      <c r="C1075" s="21" t="inlineStr">
        <is>
          <t>Ригели</t>
        </is>
      </c>
      <c r="D1075" s="21" t="inlineStr">
        <is>
          <t>ось 2 (отм. +11.150)</t>
        </is>
      </c>
      <c r="E1075" s="21" t="inlineStr">
        <is>
          <t>Р-2</t>
        </is>
      </c>
      <c r="F1075" s="72" t="inlineStr">
        <is>
          <t>17</t>
        </is>
      </c>
      <c r="G1075" s="21" t="inlineStr">
        <is>
          <t>Шпилька вертикальная Ø8 L=750: ш.200 у опор, ш.150 в пролёте</t>
        </is>
      </c>
      <c r="H1075" s="51" t="n">
        <v>8</v>
      </c>
      <c r="I1075" s="72" t="inlineStr">
        <is>
          <t>А240</t>
        </is>
      </c>
      <c r="J1075" s="72" t="inlineStr">
        <is>
          <t>200/150</t>
        </is>
      </c>
      <c r="K1075" s="75" t="n">
        <v>1</v>
      </c>
      <c r="L1075" s="51" t="n">
        <v>35</v>
      </c>
      <c r="M1075" s="69" t="n">
        <v>0.75</v>
      </c>
      <c r="N1075" s="70">
        <f>K1075*L1075*M1075</f>
        <v/>
      </c>
      <c r="O1075" s="37">
        <f>IFERROR(INDEX(Исходные!$B$19:$B$31,MATCH(H1075,Исходные!$A$19:$A$31,0)),0)</f>
        <v/>
      </c>
      <c r="P1075" s="76">
        <f>N1075*O1075</f>
        <v/>
      </c>
      <c r="Q1075" s="21" t="inlineStr">
        <is>
          <t>АС-28 сеч.4-4/5-5 поз.17</t>
        </is>
      </c>
      <c r="R1075" s="77" t="inlineStr">
        <is>
          <t>по проекту</t>
        </is>
      </c>
      <c r="S1075" s="21" t="inlineStr"/>
      <c r="T1075" s="21" t="inlineStr">
        <is>
          <t>Ригели, балки, плита, С-1</t>
        </is>
      </c>
      <c r="U1075" s="49" t="n">
        <v>0</v>
      </c>
      <c r="V1075" s="72" t="inlineStr">
        <is>
          <t>Р-2</t>
        </is>
      </c>
      <c r="W1075" s="49" t="n">
        <v>3</v>
      </c>
    </row>
    <row r="1076">
      <c r="A1076" s="72" t="n">
        <v>1052</v>
      </c>
      <c r="B1076" s="21" t="inlineStr">
        <is>
          <t>3 этаж (отм. +7.550…+11.150)</t>
        </is>
      </c>
      <c r="C1076" s="21" t="inlineStr">
        <is>
          <t>Ригели</t>
        </is>
      </c>
      <c r="D1076" s="21" t="inlineStr">
        <is>
          <t>ось 2 (отм. +11.150)</t>
        </is>
      </c>
      <c r="E1076" s="21" t="inlineStr">
        <is>
          <t>Р-2</t>
        </is>
      </c>
      <c r="F1076" s="72" t="inlineStr">
        <is>
          <t>16</t>
        </is>
      </c>
      <c r="G1076" s="21" t="inlineStr">
        <is>
          <t>Шпилька горизонтальная Ø8 L=580 ш.300</t>
        </is>
      </c>
      <c r="H1076" s="51" t="n">
        <v>8</v>
      </c>
      <c r="I1076" s="72" t="inlineStr">
        <is>
          <t>А240</t>
        </is>
      </c>
      <c r="J1076" s="72" t="n">
        <v>300</v>
      </c>
      <c r="K1076" s="75" t="n">
        <v>1</v>
      </c>
      <c r="L1076" s="51" t="n">
        <v>54</v>
      </c>
      <c r="M1076" s="69" t="n">
        <v>0.58</v>
      </c>
      <c r="N1076" s="70">
        <f>K1076*L1076*M1076</f>
        <v/>
      </c>
      <c r="O1076" s="37">
        <f>IFERROR(INDEX(Исходные!$B$19:$B$31,MATCH(H1076,Исходные!$A$19:$A$31,0)),0)</f>
        <v/>
      </c>
      <c r="P1076" s="76">
        <f>N1076*O1076</f>
        <v/>
      </c>
      <c r="Q1076" s="21" t="inlineStr">
        <is>
          <t>АС-28 «шп.Ø8 А240 ш.300», поз.16 L=580</t>
        </is>
      </c>
      <c r="R1076" s="78" t="inlineStr">
        <is>
          <t>принято (уточнить)</t>
        </is>
      </c>
      <c r="S1076" s="21" t="inlineStr"/>
      <c r="T1076" s="21" t="inlineStr">
        <is>
          <t>Ригели, балки, плита, С-1</t>
        </is>
      </c>
      <c r="U1076" s="49" t="n">
        <v>1</v>
      </c>
      <c r="V1076" s="72" t="inlineStr">
        <is>
          <t>Р-2</t>
        </is>
      </c>
      <c r="W1076" s="49" t="n">
        <v>3</v>
      </c>
    </row>
    <row r="1077">
      <c r="A1077" s="72" t="n">
        <v>1053</v>
      </c>
      <c r="B1077" s="21" t="inlineStr">
        <is>
          <t>3 этаж (отм. +7.550…+11.150)</t>
        </is>
      </c>
      <c r="C1077" s="21" t="inlineStr">
        <is>
          <t>Ригели</t>
        </is>
      </c>
      <c r="D1077" s="21" t="inlineStr">
        <is>
          <t>ось 3 (отм. +11.150)</t>
        </is>
      </c>
      <c r="E1077" s="21" t="inlineStr">
        <is>
          <t>Р-3</t>
        </is>
      </c>
      <c r="F1077" s="72" t="inlineStr">
        <is>
          <t>2</t>
        </is>
      </c>
      <c r="G1077" s="21" t="inlineStr">
        <is>
          <t>Продольные угловые 4Ø28 (сеч.4-4/5-5), сквозные, концы с Аш</t>
        </is>
      </c>
      <c r="H1077" s="51" t="n">
        <v>28</v>
      </c>
      <c r="I1077" s="72" t="inlineStr">
        <is>
          <t>А500С</t>
        </is>
      </c>
      <c r="J1077" s="72" t="inlineStr">
        <is>
          <t>—</t>
        </is>
      </c>
      <c r="K1077" s="75" t="n">
        <v>1</v>
      </c>
      <c r="L1077" s="51" t="n">
        <v>4</v>
      </c>
      <c r="M1077" s="69" t="n">
        <v>20.5</v>
      </c>
      <c r="N1077" s="70">
        <f>K1077*L1077*M1077</f>
        <v/>
      </c>
      <c r="O1077" s="37">
        <f>IFERROR(INDEX(Исходные!$B$19:$B$31,MATCH(H1077,Исходные!$A$19:$A$31,0)),0)</f>
        <v/>
      </c>
      <c r="P1077" s="76">
        <f>N1077*O1077</f>
        <v/>
      </c>
      <c r="Q1077" s="21" t="inlineStr">
        <is>
          <t>АС-26 рама + АС-28 сеч.4-4/5-5 поз.2; длина = 20000+2×250</t>
        </is>
      </c>
      <c r="R1077" s="77" t="inlineStr">
        <is>
          <t>по геометрии чертежа</t>
        </is>
      </c>
      <c r="S1077" s="21" t="inlineStr">
        <is>
          <t>Стыки ванной сваркой без нахлёста: 1 на стержень (всего 4).</t>
        </is>
      </c>
      <c r="T1077" s="21" t="inlineStr">
        <is>
          <t>Ригели, балки, плита, С-1</t>
        </is>
      </c>
      <c r="U1077" s="49" t="n">
        <v>0</v>
      </c>
      <c r="V1077" s="72" t="inlineStr">
        <is>
          <t>Р-3</t>
        </is>
      </c>
      <c r="W1077" s="49" t="n">
        <v>3</v>
      </c>
    </row>
    <row r="1078">
      <c r="A1078" s="72" t="n">
        <v>1054</v>
      </c>
      <c r="B1078" s="21" t="inlineStr">
        <is>
          <t>3 этаж (отм. +7.550…+11.150)</t>
        </is>
      </c>
      <c r="C1078" s="21" t="inlineStr">
        <is>
          <t>Ригели</t>
        </is>
      </c>
      <c r="D1078" s="21" t="inlineStr">
        <is>
          <t>ось 3 (отм. +11.150)</t>
        </is>
      </c>
      <c r="E1078" s="21" t="inlineStr">
        <is>
          <t>Р-3</t>
        </is>
      </c>
      <c r="F1078" s="72" t="inlineStr">
        <is>
          <t>6</t>
        </is>
      </c>
      <c r="G1078" s="21" t="inlineStr">
        <is>
          <t>Продольные средние верх/низ 2Ø18 (сеч.4-4/5-5)</t>
        </is>
      </c>
      <c r="H1078" s="51" t="n">
        <v>18</v>
      </c>
      <c r="I1078" s="72" t="inlineStr">
        <is>
          <t>А500С</t>
        </is>
      </c>
      <c r="J1078" s="72" t="inlineStr">
        <is>
          <t>—</t>
        </is>
      </c>
      <c r="K1078" s="75" t="n">
        <v>1</v>
      </c>
      <c r="L1078" s="51" t="n">
        <v>2</v>
      </c>
      <c r="M1078" s="69" t="n">
        <v>20.5</v>
      </c>
      <c r="N1078" s="70">
        <f>K1078*L1078*M1078</f>
        <v/>
      </c>
      <c r="O1078" s="37">
        <f>IFERROR(INDEX(Исходные!$B$19:$B$31,MATCH(H1078,Исходные!$A$19:$A$31,0)),0)</f>
        <v/>
      </c>
      <c r="P1078" s="76">
        <f>N1078*O1078</f>
        <v/>
      </c>
      <c r="Q1078" s="21" t="inlineStr">
        <is>
          <t>АС-28 сеч.4-4/5-5 поз.6</t>
        </is>
      </c>
      <c r="R1078" s="77" t="inlineStr">
        <is>
          <t>по геометрии чертежа</t>
        </is>
      </c>
      <c r="S1078" s="21" t="inlineStr"/>
      <c r="T1078" s="21" t="inlineStr">
        <is>
          <t>Ригели, балки, плита, С-1</t>
        </is>
      </c>
      <c r="U1078" s="49" t="n">
        <v>0</v>
      </c>
      <c r="V1078" s="72" t="inlineStr">
        <is>
          <t>Р-3</t>
        </is>
      </c>
      <c r="W1078" s="49" t="n">
        <v>3</v>
      </c>
    </row>
    <row r="1079">
      <c r="A1079" s="72" t="n">
        <v>1055</v>
      </c>
      <c r="B1079" s="21" t="inlineStr">
        <is>
          <t>3 этаж (отм. +7.550…+11.150)</t>
        </is>
      </c>
      <c r="C1079" s="21" t="inlineStr">
        <is>
          <t>Ригели</t>
        </is>
      </c>
      <c r="D1079" s="21" t="inlineStr">
        <is>
          <t>ось 3 (отм. +11.150)</t>
        </is>
      </c>
      <c r="E1079" s="21" t="inlineStr">
        <is>
          <t>Р-3</t>
        </is>
      </c>
      <c r="F1079" s="72" t="inlineStr">
        <is>
          <t>6-нахл</t>
        </is>
      </c>
      <c r="G1079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079" s="51" t="n">
        <v>18</v>
      </c>
      <c r="I1079" s="72" t="inlineStr">
        <is>
          <t>А500С</t>
        </is>
      </c>
      <c r="J1079" s="72" t="inlineStr">
        <is>
          <t>—</t>
        </is>
      </c>
      <c r="K1079" s="75" t="n">
        <v>2</v>
      </c>
      <c r="L1079" s="51" t="n">
        <v>1</v>
      </c>
      <c r="M1079" s="69" t="n">
        <v>0.144</v>
      </c>
      <c r="N1079" s="70">
        <f>K1079*L1079*M1079</f>
        <v/>
      </c>
      <c r="O1079" s="37">
        <f>IFERROR(INDEX(Исходные!$B$19:$B$31,MATCH(H1079,Исходные!$A$19:$A$31,0)),0)</f>
        <v/>
      </c>
      <c r="P1079" s="76">
        <f>N1079*O1079</f>
        <v/>
      </c>
      <c r="Q1079" s="21" t="inlineStr">
        <is>
          <t>АС-19 прим.1: Ø18 и менее — внахлёстку электродуговой сваркой, Lшва=8d = 144 мм</t>
        </is>
      </c>
      <c r="R1079" s="77" t="inlineStr">
        <is>
          <t>по проекту (стыковка прутков 11,7 м)</t>
        </is>
      </c>
      <c r="S1079" s="21" t="inlineStr">
        <is>
          <t>Чистая длина 20.500 м; кусков 2; стыков 1; Lнахл=1×0.144=0.144 м на стержень</t>
        </is>
      </c>
      <c r="T1079" s="21" t="inlineStr">
        <is>
          <t>Ригели, балки, плита, С-1</t>
        </is>
      </c>
      <c r="U1079" s="49" t="n">
        <v>0</v>
      </c>
      <c r="V1079" s="72" t="inlineStr">
        <is>
          <t>Р-3</t>
        </is>
      </c>
      <c r="W1079" s="49" t="n">
        <v>3</v>
      </c>
    </row>
    <row r="1080">
      <c r="A1080" s="72" t="n">
        <v>1056</v>
      </c>
      <c r="B1080" s="21" t="inlineStr">
        <is>
          <t>3 этаж (отм. +7.550…+11.150)</t>
        </is>
      </c>
      <c r="C1080" s="21" t="inlineStr">
        <is>
          <t>Ригели</t>
        </is>
      </c>
      <c r="D1080" s="21" t="inlineStr">
        <is>
          <t>ось 3 (отм. +11.150)</t>
        </is>
      </c>
      <c r="E1080" s="21" t="inlineStr">
        <is>
          <t>Р-3</t>
        </is>
      </c>
      <c r="F1080" s="72" t="inlineStr">
        <is>
          <t>7</t>
        </is>
      </c>
      <c r="G1080" s="21" t="inlineStr">
        <is>
          <t>Боковые стержни 2Ø16 (сеч.4-4/5-5)</t>
        </is>
      </c>
      <c r="H1080" s="51" t="n">
        <v>16</v>
      </c>
      <c r="I1080" s="72" t="inlineStr">
        <is>
          <t>А500С</t>
        </is>
      </c>
      <c r="J1080" s="72" t="inlineStr">
        <is>
          <t>—</t>
        </is>
      </c>
      <c r="K1080" s="75" t="n">
        <v>1</v>
      </c>
      <c r="L1080" s="51" t="n">
        <v>2</v>
      </c>
      <c r="M1080" s="69" t="n">
        <v>20.5</v>
      </c>
      <c r="N1080" s="70">
        <f>K1080*L1080*M1080</f>
        <v/>
      </c>
      <c r="O1080" s="37">
        <f>IFERROR(INDEX(Исходные!$B$19:$B$31,MATCH(H1080,Исходные!$A$19:$A$31,0)),0)</f>
        <v/>
      </c>
      <c r="P1080" s="76">
        <f>N1080*O1080</f>
        <v/>
      </c>
      <c r="Q1080" s="21" t="inlineStr">
        <is>
          <t>АС-28 сеч.4-4/5-5 «Боковые стержни 2Ø16»</t>
        </is>
      </c>
      <c r="R1080" s="77" t="inlineStr">
        <is>
          <t>по геометрии чертежа</t>
        </is>
      </c>
      <c r="S1080" s="21" t="inlineStr"/>
      <c r="T1080" s="21" t="inlineStr">
        <is>
          <t>Ригели, балки, плита, С-1</t>
        </is>
      </c>
      <c r="U1080" s="49" t="n">
        <v>0</v>
      </c>
      <c r="V1080" s="72" t="inlineStr">
        <is>
          <t>Р-3</t>
        </is>
      </c>
      <c r="W1080" s="49" t="n">
        <v>3</v>
      </c>
    </row>
    <row r="1081">
      <c r="A1081" s="72" t="n">
        <v>1057</v>
      </c>
      <c r="B1081" s="21" t="inlineStr">
        <is>
          <t>3 этаж (отм. +7.550…+11.150)</t>
        </is>
      </c>
      <c r="C1081" s="21" t="inlineStr">
        <is>
          <t>Ригели</t>
        </is>
      </c>
      <c r="D1081" s="21" t="inlineStr">
        <is>
          <t>ось 3 (отм. +11.150)</t>
        </is>
      </c>
      <c r="E1081" s="21" t="inlineStr">
        <is>
          <t>Р-3</t>
        </is>
      </c>
      <c r="F1081" s="72" t="inlineStr">
        <is>
          <t>7-нахл</t>
        </is>
      </c>
      <c r="G1081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081" s="51" t="n">
        <v>16</v>
      </c>
      <c r="I1081" s="72" t="inlineStr">
        <is>
          <t>А500С</t>
        </is>
      </c>
      <c r="J1081" s="72" t="inlineStr">
        <is>
          <t>—</t>
        </is>
      </c>
      <c r="K1081" s="75" t="n">
        <v>2</v>
      </c>
      <c r="L1081" s="51" t="n">
        <v>1</v>
      </c>
      <c r="M1081" s="69" t="n">
        <v>0.128</v>
      </c>
      <c r="N1081" s="70">
        <f>K1081*L1081*M1081</f>
        <v/>
      </c>
      <c r="O1081" s="37">
        <f>IFERROR(INDEX(Исходные!$B$19:$B$31,MATCH(H1081,Исходные!$A$19:$A$31,0)),0)</f>
        <v/>
      </c>
      <c r="P1081" s="76">
        <f>N1081*O1081</f>
        <v/>
      </c>
      <c r="Q1081" s="21" t="inlineStr">
        <is>
          <t>АС-19 прим.1: Ø18 и менее — внахлёстку электродуговой сваркой, Lшва=8d = 128 мм</t>
        </is>
      </c>
      <c r="R1081" s="77" t="inlineStr">
        <is>
          <t>по проекту (стыковка прутков 11,7 м)</t>
        </is>
      </c>
      <c r="S1081" s="21" t="inlineStr">
        <is>
          <t>Чистая длина 20.500 м; кусков 2; стыков 1; Lнахл=1×0.128=0.128 м на стержень</t>
        </is>
      </c>
      <c r="T1081" s="21" t="inlineStr">
        <is>
          <t>Ригели, балки, плита, С-1</t>
        </is>
      </c>
      <c r="U1081" s="49" t="n">
        <v>0</v>
      </c>
      <c r="V1081" s="72" t="inlineStr">
        <is>
          <t>Р-3</t>
        </is>
      </c>
      <c r="W1081" s="49" t="n">
        <v>3</v>
      </c>
    </row>
    <row r="1082">
      <c r="A1082" s="72" t="n">
        <v>1058</v>
      </c>
      <c r="B1082" s="21" t="inlineStr">
        <is>
          <t>3 этаж (отм. +7.550…+11.150)</t>
        </is>
      </c>
      <c r="C1082" s="21" t="inlineStr">
        <is>
          <t>Ригели</t>
        </is>
      </c>
      <c r="D1082" s="21" t="inlineStr">
        <is>
          <t>ось 3 (отм. +11.150)</t>
        </is>
      </c>
      <c r="E1082" s="21" t="inlineStr">
        <is>
          <t>Р-3</t>
        </is>
      </c>
      <c r="F1082" s="72" t="inlineStr">
        <is>
          <t>ОС</t>
        </is>
      </c>
      <c r="G1082" s="21" t="inlineStr">
        <is>
          <t>ОС верх: 2Ø28, участок 0…1800 мм + 250 до торца</t>
        </is>
      </c>
      <c r="H1082" s="51" t="n">
        <v>28</v>
      </c>
      <c r="I1082" s="72" t="inlineStr">
        <is>
          <t>А500С</t>
        </is>
      </c>
      <c r="J1082" s="72" t="inlineStr">
        <is>
          <t>—</t>
        </is>
      </c>
      <c r="K1082" s="75" t="n">
        <v>1</v>
      </c>
      <c r="L1082" s="51" t="n">
        <v>2</v>
      </c>
      <c r="M1082" s="69" t="n">
        <v>2.05</v>
      </c>
      <c r="N1082" s="70">
        <f>K1082*L1082*M1082</f>
        <v/>
      </c>
      <c r="O1082" s="37">
        <f>IFERROR(INDEX(Исходные!$B$19:$B$31,MATCH(H1082,Исходные!$A$19:$A$31,0)),0)</f>
        <v/>
      </c>
      <c r="P1082" s="76">
        <f>N1082*O1082</f>
        <v/>
      </c>
      <c r="Q1082" s="21" t="inlineStr">
        <is>
          <t>АС-26 (отм. 11.150): выноска «ОС 2Ø28 А500С»; длина по привязкам отдельных стержней</t>
        </is>
      </c>
      <c r="R1082" s="77" t="inlineStr">
        <is>
          <t>по геометрии чертежа</t>
        </is>
      </c>
      <c r="S1082" s="21" t="inlineStr">
        <is>
          <t>Координаты от оси А: 0…1800 мм; конец до торца крайней колонны (+250)</t>
        </is>
      </c>
      <c r="T1082" s="21" t="inlineStr">
        <is>
          <t>Ригели, балки, плита, С-1</t>
        </is>
      </c>
      <c r="U1082" s="49" t="n">
        <v>0</v>
      </c>
      <c r="V1082" s="72" t="inlineStr">
        <is>
          <t>Р-3</t>
        </is>
      </c>
      <c r="W1082" s="49" t="n">
        <v>3</v>
      </c>
    </row>
    <row r="1083">
      <c r="A1083" s="72" t="n">
        <v>1059</v>
      </c>
      <c r="B1083" s="21" t="inlineStr">
        <is>
          <t>3 этаж (отм. +7.550…+11.150)</t>
        </is>
      </c>
      <c r="C1083" s="21" t="inlineStr">
        <is>
          <t>Ригели</t>
        </is>
      </c>
      <c r="D1083" s="21" t="inlineStr">
        <is>
          <t>ось 3 (отм. +11.150)</t>
        </is>
      </c>
      <c r="E1083" s="21" t="inlineStr">
        <is>
          <t>Р-3</t>
        </is>
      </c>
      <c r="F1083" s="72" t="inlineStr">
        <is>
          <t>ОС</t>
        </is>
      </c>
      <c r="G1083" s="21" t="inlineStr">
        <is>
          <t>ОС верх: 2Ø28, участок 4700…8500 мм</t>
        </is>
      </c>
      <c r="H1083" s="51" t="n">
        <v>28</v>
      </c>
      <c r="I1083" s="72" t="inlineStr">
        <is>
          <t>А500С</t>
        </is>
      </c>
      <c r="J1083" s="72" t="inlineStr">
        <is>
          <t>—</t>
        </is>
      </c>
      <c r="K1083" s="75" t="n">
        <v>1</v>
      </c>
      <c r="L1083" s="51" t="n">
        <v>2</v>
      </c>
      <c r="M1083" s="69" t="n">
        <v>3.8</v>
      </c>
      <c r="N1083" s="70">
        <f>K1083*L1083*M1083</f>
        <v/>
      </c>
      <c r="O1083" s="37">
        <f>IFERROR(INDEX(Исходные!$B$19:$B$31,MATCH(H1083,Исходные!$A$19:$A$31,0)),0)</f>
        <v/>
      </c>
      <c r="P1083" s="76">
        <f>N1083*O1083</f>
        <v/>
      </c>
      <c r="Q1083" s="21" t="inlineStr">
        <is>
          <t>АС-26 (отм. 11.150): выноска «ОС 2Ø28 А500С»; длина по привязкам отдельных стержней</t>
        </is>
      </c>
      <c r="R1083" s="77" t="inlineStr">
        <is>
          <t>по геометрии чертежа</t>
        </is>
      </c>
      <c r="S1083" s="21" t="inlineStr">
        <is>
          <t>Координаты от оси А: 4700…8500 мм</t>
        </is>
      </c>
      <c r="T1083" s="21" t="inlineStr">
        <is>
          <t>Ригели, балки, плита, С-1</t>
        </is>
      </c>
      <c r="U1083" s="49" t="n">
        <v>0</v>
      </c>
      <c r="V1083" s="72" t="inlineStr">
        <is>
          <t>Р-3</t>
        </is>
      </c>
      <c r="W1083" s="49" t="n">
        <v>3</v>
      </c>
    </row>
    <row r="1084">
      <c r="A1084" s="72" t="n">
        <v>1060</v>
      </c>
      <c r="B1084" s="21" t="inlineStr">
        <is>
          <t>3 этаж (отм. +7.550…+11.150)</t>
        </is>
      </c>
      <c r="C1084" s="21" t="inlineStr">
        <is>
          <t>Ригели</t>
        </is>
      </c>
      <c r="D1084" s="21" t="inlineStr">
        <is>
          <t>ось 3 (отм. +11.150)</t>
        </is>
      </c>
      <c r="E1084" s="21" t="inlineStr">
        <is>
          <t>Р-3</t>
        </is>
      </c>
      <c r="F1084" s="72" t="inlineStr">
        <is>
          <t>ОС</t>
        </is>
      </c>
      <c r="G1084" s="21" t="inlineStr">
        <is>
          <t>ОС верх ств.: 2Ø28, участок 4700…8500 мм</t>
        </is>
      </c>
      <c r="H1084" s="51" t="n">
        <v>28</v>
      </c>
      <c r="I1084" s="72" t="inlineStr">
        <is>
          <t>А500С</t>
        </is>
      </c>
      <c r="J1084" s="72" t="inlineStr">
        <is>
          <t>—</t>
        </is>
      </c>
      <c r="K1084" s="75" t="n">
        <v>1</v>
      </c>
      <c r="L1084" s="51" t="n">
        <v>2</v>
      </c>
      <c r="M1084" s="69" t="n">
        <v>3.8</v>
      </c>
      <c r="N1084" s="70">
        <f>K1084*L1084*M1084</f>
        <v/>
      </c>
      <c r="O1084" s="37">
        <f>IFERROR(INDEX(Исходные!$B$19:$B$31,MATCH(H1084,Исходные!$A$19:$A$31,0)),0)</f>
        <v/>
      </c>
      <c r="P1084" s="76">
        <f>N1084*O1084</f>
        <v/>
      </c>
      <c r="Q1084" s="21" t="inlineStr">
        <is>
          <t>АС-26 (отм. 11.150): выноска «ОС 2Ø28 А500С»; длина по привязкам отдельных стержней</t>
        </is>
      </c>
      <c r="R1084" s="77" t="inlineStr">
        <is>
          <t>по геометрии чертежа</t>
        </is>
      </c>
      <c r="S1084" s="21" t="inlineStr">
        <is>
          <t>Координаты от оси А: 4700…8500 мм</t>
        </is>
      </c>
      <c r="T1084" s="21" t="inlineStr">
        <is>
          <t>Ригели, балки, плита, С-1</t>
        </is>
      </c>
      <c r="U1084" s="49" t="n">
        <v>0</v>
      </c>
      <c r="V1084" s="72" t="inlineStr">
        <is>
          <t>Р-3</t>
        </is>
      </c>
      <c r="W1084" s="49" t="n">
        <v>3</v>
      </c>
    </row>
    <row r="1085">
      <c r="A1085" s="72" t="n">
        <v>1061</v>
      </c>
      <c r="B1085" s="21" t="inlineStr">
        <is>
          <t>3 этаж (отм. +7.550…+11.150)</t>
        </is>
      </c>
      <c r="C1085" s="21" t="inlineStr">
        <is>
          <t>Ригели</t>
        </is>
      </c>
      <c r="D1085" s="21" t="inlineStr">
        <is>
          <t>ось 3 (отм. +11.150)</t>
        </is>
      </c>
      <c r="E1085" s="21" t="inlineStr">
        <is>
          <t>Р-3</t>
        </is>
      </c>
      <c r="F1085" s="72" t="inlineStr">
        <is>
          <t>ОС</t>
        </is>
      </c>
      <c r="G1085" s="21" t="inlineStr">
        <is>
          <t>ОС верх: 2Ø28, участок 11500…15300 мм</t>
        </is>
      </c>
      <c r="H1085" s="51" t="n">
        <v>28</v>
      </c>
      <c r="I1085" s="72" t="inlineStr">
        <is>
          <t>А500С</t>
        </is>
      </c>
      <c r="J1085" s="72" t="inlineStr">
        <is>
          <t>—</t>
        </is>
      </c>
      <c r="K1085" s="75" t="n">
        <v>1</v>
      </c>
      <c r="L1085" s="51" t="n">
        <v>2</v>
      </c>
      <c r="M1085" s="69" t="n">
        <v>3.8</v>
      </c>
      <c r="N1085" s="70">
        <f>K1085*L1085*M1085</f>
        <v/>
      </c>
      <c r="O1085" s="37">
        <f>IFERROR(INDEX(Исходные!$B$19:$B$31,MATCH(H1085,Исходные!$A$19:$A$31,0)),0)</f>
        <v/>
      </c>
      <c r="P1085" s="76">
        <f>N1085*O1085</f>
        <v/>
      </c>
      <c r="Q1085" s="21" t="inlineStr">
        <is>
          <t>АС-26 (отм. 11.150): выноска «ОС 2Ø28 А500С»; длина по привязкам отдельных стержней</t>
        </is>
      </c>
      <c r="R1085" s="77" t="inlineStr">
        <is>
          <t>по геометрии чертежа</t>
        </is>
      </c>
      <c r="S1085" s="21" t="inlineStr">
        <is>
          <t>Координаты от оси А: 11500…15300 мм</t>
        </is>
      </c>
      <c r="T1085" s="21" t="inlineStr">
        <is>
          <t>Ригели, балки, плита, С-1</t>
        </is>
      </c>
      <c r="U1085" s="49" t="n">
        <v>0</v>
      </c>
      <c r="V1085" s="72" t="inlineStr">
        <is>
          <t>Р-3</t>
        </is>
      </c>
      <c r="W1085" s="49" t="n">
        <v>3</v>
      </c>
    </row>
    <row r="1086">
      <c r="A1086" s="72" t="n">
        <v>1062</v>
      </c>
      <c r="B1086" s="21" t="inlineStr">
        <is>
          <t>3 этаж (отм. +7.550…+11.150)</t>
        </is>
      </c>
      <c r="C1086" s="21" t="inlineStr">
        <is>
          <t>Ригели</t>
        </is>
      </c>
      <c r="D1086" s="21" t="inlineStr">
        <is>
          <t>ось 3 (отм. +11.150)</t>
        </is>
      </c>
      <c r="E1086" s="21" t="inlineStr">
        <is>
          <t>Р-3</t>
        </is>
      </c>
      <c r="F1086" s="72" t="inlineStr">
        <is>
          <t>ОС</t>
        </is>
      </c>
      <c r="G1086" s="21" t="inlineStr">
        <is>
          <t>ОС верх ств.: 2Ø25, участок 11500…15300 мм</t>
        </is>
      </c>
      <c r="H1086" s="51" t="n">
        <v>25</v>
      </c>
      <c r="I1086" s="72" t="inlineStr">
        <is>
          <t>А500С</t>
        </is>
      </c>
      <c r="J1086" s="72" t="inlineStr">
        <is>
          <t>—</t>
        </is>
      </c>
      <c r="K1086" s="75" t="n">
        <v>1</v>
      </c>
      <c r="L1086" s="51" t="n">
        <v>2</v>
      </c>
      <c r="M1086" s="69" t="n">
        <v>3.8</v>
      </c>
      <c r="N1086" s="70">
        <f>K1086*L1086*M1086</f>
        <v/>
      </c>
      <c r="O1086" s="37">
        <f>IFERROR(INDEX(Исходные!$B$19:$B$31,MATCH(H1086,Исходные!$A$19:$A$31,0)),0)</f>
        <v/>
      </c>
      <c r="P1086" s="76">
        <f>N1086*O1086</f>
        <v/>
      </c>
      <c r="Q1086" s="21" t="inlineStr">
        <is>
          <t>АС-26 (отм. 11.150): выноска «ОС 2Ø25 А500С»; длина по привязкам отдельных стержней</t>
        </is>
      </c>
      <c r="R1086" s="77" t="inlineStr">
        <is>
          <t>по геометрии чертежа</t>
        </is>
      </c>
      <c r="S1086" s="21" t="inlineStr">
        <is>
          <t>Координаты от оси А: 11500…15300 мм</t>
        </is>
      </c>
      <c r="T1086" s="21" t="inlineStr">
        <is>
          <t>Ригели, балки, плита, С-1</t>
        </is>
      </c>
      <c r="U1086" s="49" t="n">
        <v>0</v>
      </c>
      <c r="V1086" s="72" t="inlineStr">
        <is>
          <t>Р-3</t>
        </is>
      </c>
      <c r="W1086" s="49" t="n">
        <v>3</v>
      </c>
    </row>
    <row r="1087">
      <c r="A1087" s="72" t="n">
        <v>1063</v>
      </c>
      <c r="B1087" s="21" t="inlineStr">
        <is>
          <t>3 этаж (отм. +7.550…+11.150)</t>
        </is>
      </c>
      <c r="C1087" s="21" t="inlineStr">
        <is>
          <t>Ригели</t>
        </is>
      </c>
      <c r="D1087" s="21" t="inlineStr">
        <is>
          <t>ось 3 (отм. +11.150)</t>
        </is>
      </c>
      <c r="E1087" s="21" t="inlineStr">
        <is>
          <t>Р-3</t>
        </is>
      </c>
      <c r="F1087" s="72" t="inlineStr">
        <is>
          <t>ОС</t>
        </is>
      </c>
      <c r="G1087" s="21" t="inlineStr">
        <is>
          <t>ОС верх: 2Ø32, участок 18200…20000 мм + 250 до торца</t>
        </is>
      </c>
      <c r="H1087" s="51" t="n">
        <v>32</v>
      </c>
      <c r="I1087" s="72" t="inlineStr">
        <is>
          <t>А500С</t>
        </is>
      </c>
      <c r="J1087" s="72" t="inlineStr">
        <is>
          <t>—</t>
        </is>
      </c>
      <c r="K1087" s="75" t="n">
        <v>1</v>
      </c>
      <c r="L1087" s="51" t="n">
        <v>2</v>
      </c>
      <c r="M1087" s="69" t="n">
        <v>2.05</v>
      </c>
      <c r="N1087" s="70">
        <f>K1087*L1087*M1087</f>
        <v/>
      </c>
      <c r="O1087" s="37">
        <f>IFERROR(INDEX(Исходные!$B$19:$B$31,MATCH(H1087,Исходные!$A$19:$A$31,0)),0)</f>
        <v/>
      </c>
      <c r="P1087" s="76">
        <f>N1087*O1087</f>
        <v/>
      </c>
      <c r="Q1087" s="21" t="inlineStr">
        <is>
          <t>АС-26 (отм. 11.150): выноска «ОС 2Ø32 А500С»; длина по привязкам отдельных стержней</t>
        </is>
      </c>
      <c r="R1087" s="77" t="inlineStr">
        <is>
          <t>по геометрии чертежа</t>
        </is>
      </c>
      <c r="S1087" s="21" t="inlineStr">
        <is>
          <t>Координаты от оси А: 18200…20000 мм; конец до торца крайней колонны (+250)</t>
        </is>
      </c>
      <c r="T1087" s="21" t="inlineStr">
        <is>
          <t>Ригели, балки, плита, С-1</t>
        </is>
      </c>
      <c r="U1087" s="49" t="n">
        <v>0</v>
      </c>
      <c r="V1087" s="72" t="inlineStr">
        <is>
          <t>Р-3</t>
        </is>
      </c>
      <c r="W1087" s="49" t="n">
        <v>3</v>
      </c>
    </row>
    <row r="1088">
      <c r="A1088" s="72" t="n">
        <v>1064</v>
      </c>
      <c r="B1088" s="21" t="inlineStr">
        <is>
          <t>3 этаж (отм. +7.550…+11.150)</t>
        </is>
      </c>
      <c r="C1088" s="21" t="inlineStr">
        <is>
          <t>Ригели</t>
        </is>
      </c>
      <c r="D1088" s="21" t="inlineStr">
        <is>
          <t>ось 3 (отм. +11.150)</t>
        </is>
      </c>
      <c r="E1088" s="21" t="inlineStr">
        <is>
          <t>Р-3</t>
        </is>
      </c>
      <c r="F1088" s="72" t="inlineStr">
        <is>
          <t>ОС</t>
        </is>
      </c>
      <c r="G1088" s="21" t="inlineStr">
        <is>
          <t>ОС низ: 2Ø16, участок 1800…4700 мм</t>
        </is>
      </c>
      <c r="H1088" s="51" t="n">
        <v>16</v>
      </c>
      <c r="I1088" s="72" t="inlineStr">
        <is>
          <t>А500С</t>
        </is>
      </c>
      <c r="J1088" s="72" t="inlineStr">
        <is>
          <t>—</t>
        </is>
      </c>
      <c r="K1088" s="75" t="n">
        <v>1</v>
      </c>
      <c r="L1088" s="51" t="n">
        <v>2</v>
      </c>
      <c r="M1088" s="69" t="n">
        <v>2.9</v>
      </c>
      <c r="N1088" s="70">
        <f>K1088*L1088*M1088</f>
        <v/>
      </c>
      <c r="O1088" s="37">
        <f>IFERROR(INDEX(Исходные!$B$19:$B$31,MATCH(H1088,Исходные!$A$19:$A$31,0)),0)</f>
        <v/>
      </c>
      <c r="P1088" s="76">
        <f>N1088*O1088</f>
        <v/>
      </c>
      <c r="Q1088" s="21" t="inlineStr">
        <is>
          <t>АС-26 (отм. 11.150): выноска «ОС 2Ø16 А500С»; длина по привязкам отдельных стержней</t>
        </is>
      </c>
      <c r="R1088" s="77" t="inlineStr">
        <is>
          <t>по геометрии чертежа</t>
        </is>
      </c>
      <c r="S1088" s="21" t="inlineStr">
        <is>
          <t>Координаты от оси А: 1800…4700 мм</t>
        </is>
      </c>
      <c r="T1088" s="21" t="inlineStr">
        <is>
          <t>Ригели, балки, плита, С-1</t>
        </is>
      </c>
      <c r="U1088" s="49" t="n">
        <v>0</v>
      </c>
      <c r="V1088" s="72" t="inlineStr">
        <is>
          <t>Р-3</t>
        </is>
      </c>
      <c r="W1088" s="49" t="n">
        <v>3</v>
      </c>
    </row>
    <row r="1089">
      <c r="A1089" s="72" t="n">
        <v>1065</v>
      </c>
      <c r="B1089" s="21" t="inlineStr">
        <is>
          <t>3 этаж (отм. +7.550…+11.150)</t>
        </is>
      </c>
      <c r="C1089" s="21" t="inlineStr">
        <is>
          <t>Ригели</t>
        </is>
      </c>
      <c r="D1089" s="21" t="inlineStr">
        <is>
          <t>ось 3 (отм. +11.150)</t>
        </is>
      </c>
      <c r="E1089" s="21" t="inlineStr">
        <is>
          <t>Р-3</t>
        </is>
      </c>
      <c r="F1089" s="72" t="inlineStr">
        <is>
          <t>ОС</t>
        </is>
      </c>
      <c r="G1089" s="21" t="inlineStr">
        <is>
          <t>ОС низ: 2Ø28, участок 8500…11500 мм</t>
        </is>
      </c>
      <c r="H1089" s="51" t="n">
        <v>28</v>
      </c>
      <c r="I1089" s="72" t="inlineStr">
        <is>
          <t>А500С</t>
        </is>
      </c>
      <c r="J1089" s="72" t="inlineStr">
        <is>
          <t>—</t>
        </is>
      </c>
      <c r="K1089" s="75" t="n">
        <v>1</v>
      </c>
      <c r="L1089" s="51" t="n">
        <v>2</v>
      </c>
      <c r="M1089" s="69" t="n">
        <v>3</v>
      </c>
      <c r="N1089" s="70">
        <f>K1089*L1089*M1089</f>
        <v/>
      </c>
      <c r="O1089" s="37">
        <f>IFERROR(INDEX(Исходные!$B$19:$B$31,MATCH(H1089,Исходные!$A$19:$A$31,0)),0)</f>
        <v/>
      </c>
      <c r="P1089" s="76">
        <f>N1089*O1089</f>
        <v/>
      </c>
      <c r="Q1089" s="21" t="inlineStr">
        <is>
          <t>АС-26 (отм. 11.150): выноска «ОС 2Ø28 А500С»; длина по привязкам отдельных стержней</t>
        </is>
      </c>
      <c r="R1089" s="77" t="inlineStr">
        <is>
          <t>по геометрии чертежа</t>
        </is>
      </c>
      <c r="S1089" s="21" t="inlineStr">
        <is>
          <t>Координаты от оси А: 8500…11500 мм</t>
        </is>
      </c>
      <c r="T1089" s="21" t="inlineStr">
        <is>
          <t>Ригели, балки, плита, С-1</t>
        </is>
      </c>
      <c r="U1089" s="49" t="n">
        <v>0</v>
      </c>
      <c r="V1089" s="72" t="inlineStr">
        <is>
          <t>Р-3</t>
        </is>
      </c>
      <c r="W1089" s="49" t="n">
        <v>3</v>
      </c>
    </row>
    <row r="1090">
      <c r="A1090" s="72" t="n">
        <v>1066</v>
      </c>
      <c r="B1090" s="21" t="inlineStr">
        <is>
          <t>3 этаж (отм. +7.550…+11.150)</t>
        </is>
      </c>
      <c r="C1090" s="21" t="inlineStr">
        <is>
          <t>Ригели</t>
        </is>
      </c>
      <c r="D1090" s="21" t="inlineStr">
        <is>
          <t>ось 3 (отм. +11.150)</t>
        </is>
      </c>
      <c r="E1090" s="21" t="inlineStr">
        <is>
          <t>Р-3</t>
        </is>
      </c>
      <c r="F1090" s="72" t="inlineStr">
        <is>
          <t>ОС</t>
        </is>
      </c>
      <c r="G1090" s="21" t="inlineStr">
        <is>
          <t>ОС низ: 2Ø18, участок 15300…20000 мм + 250 до торца</t>
        </is>
      </c>
      <c r="H1090" s="51" t="n">
        <v>18</v>
      </c>
      <c r="I1090" s="72" t="inlineStr">
        <is>
          <t>А500С</t>
        </is>
      </c>
      <c r="J1090" s="72" t="inlineStr">
        <is>
          <t>—</t>
        </is>
      </c>
      <c r="K1090" s="75" t="n">
        <v>1</v>
      </c>
      <c r="L1090" s="51" t="n">
        <v>2</v>
      </c>
      <c r="M1090" s="69" t="n">
        <v>4.95</v>
      </c>
      <c r="N1090" s="70">
        <f>K1090*L1090*M1090</f>
        <v/>
      </c>
      <c r="O1090" s="37">
        <f>IFERROR(INDEX(Исходные!$B$19:$B$31,MATCH(H1090,Исходные!$A$19:$A$31,0)),0)</f>
        <v/>
      </c>
      <c r="P1090" s="76">
        <f>N1090*O1090</f>
        <v/>
      </c>
      <c r="Q1090" s="21" t="inlineStr">
        <is>
          <t>АС-26 (отм. 11.150): выноска «ОС 2Ø18 А500С»; длина по привязкам отдельных стержней</t>
        </is>
      </c>
      <c r="R1090" s="77" t="inlineStr">
        <is>
          <t>по геометрии чертежа</t>
        </is>
      </c>
      <c r="S1090" s="21" t="inlineStr">
        <is>
          <t>Координаты от оси А: 15300…20000 мм; конец до торца крайней колонны (+250)</t>
        </is>
      </c>
      <c r="T1090" s="21" t="inlineStr">
        <is>
          <t>Ригели, балки, плита, С-1</t>
        </is>
      </c>
      <c r="U1090" s="49" t="n">
        <v>0</v>
      </c>
      <c r="V1090" s="72" t="inlineStr">
        <is>
          <t>Р-3</t>
        </is>
      </c>
      <c r="W1090" s="49" t="n">
        <v>3</v>
      </c>
    </row>
    <row r="1091">
      <c r="A1091" s="72" t="n">
        <v>1067</v>
      </c>
      <c r="B1091" s="21" t="inlineStr">
        <is>
          <t>3 этаж (отм. +7.550…+11.150)</t>
        </is>
      </c>
      <c r="C1091" s="21" t="inlineStr">
        <is>
          <t>Ригели</t>
        </is>
      </c>
      <c r="D1091" s="21" t="inlineStr">
        <is>
          <t>ось 3 (отм. +11.150)</t>
        </is>
      </c>
      <c r="E1091" s="21" t="inlineStr">
        <is>
          <t>Р-3</t>
        </is>
      </c>
      <c r="F1091" s="72" t="inlineStr">
        <is>
          <t>ОС</t>
        </is>
      </c>
      <c r="G1091" s="21" t="inlineStr">
        <is>
          <t>ОС низ 2-й ряд (Ос): 4Ø12, участок 4700…8500 мм</t>
        </is>
      </c>
      <c r="H1091" s="51" t="n">
        <v>12</v>
      </c>
      <c r="I1091" s="72" t="inlineStr">
        <is>
          <t>А500С</t>
        </is>
      </c>
      <c r="J1091" s="72" t="inlineStr">
        <is>
          <t>—</t>
        </is>
      </c>
      <c r="K1091" s="75" t="n">
        <v>1</v>
      </c>
      <c r="L1091" s="51" t="n">
        <v>4</v>
      </c>
      <c r="M1091" s="69" t="n">
        <v>3.8</v>
      </c>
      <c r="N1091" s="70">
        <f>K1091*L1091*M1091</f>
        <v/>
      </c>
      <c r="O1091" s="37">
        <f>IFERROR(INDEX(Исходные!$B$19:$B$31,MATCH(H1091,Исходные!$A$19:$A$31,0)),0)</f>
        <v/>
      </c>
      <c r="P1091" s="76">
        <f>N1091*O1091</f>
        <v/>
      </c>
      <c r="Q1091" s="21" t="inlineStr">
        <is>
          <t>АС-26 (отм. 11.150): выноска «ОС 4Ø12 А500С»; длина по привязкам отдельных стержней</t>
        </is>
      </c>
      <c r="R1091" s="77" t="inlineStr">
        <is>
          <t>по геометрии чертежа</t>
        </is>
      </c>
      <c r="S1091" s="21" t="inlineStr">
        <is>
          <t>Координаты от оси А: 4700…8500 мм</t>
        </is>
      </c>
      <c r="T1091" s="21" t="inlineStr">
        <is>
          <t>Ригели, балки, плита, С-1</t>
        </is>
      </c>
      <c r="U1091" s="49" t="n">
        <v>0</v>
      </c>
      <c r="V1091" s="72" t="inlineStr">
        <is>
          <t>Р-3</t>
        </is>
      </c>
      <c r="W1091" s="49" t="n">
        <v>3</v>
      </c>
    </row>
    <row r="1092">
      <c r="A1092" s="72" t="n">
        <v>1068</v>
      </c>
      <c r="B1092" s="21" t="inlineStr">
        <is>
          <t>3 этаж (отм. +7.550…+11.150)</t>
        </is>
      </c>
      <c r="C1092" s="21" t="inlineStr">
        <is>
          <t>Ригели</t>
        </is>
      </c>
      <c r="D1092" s="21" t="inlineStr">
        <is>
          <t>ось 3 (отм. +11.150)</t>
        </is>
      </c>
      <c r="E1092" s="21" t="inlineStr">
        <is>
          <t>Р-3</t>
        </is>
      </c>
      <c r="F1092" s="72" t="inlineStr">
        <is>
          <t>ОС</t>
        </is>
      </c>
      <c r="G1092" s="21" t="inlineStr">
        <is>
          <t>ОС низ 2-й ряд (Ос): 4Ø12, участок 11500…15300 мм</t>
        </is>
      </c>
      <c r="H1092" s="51" t="n">
        <v>12</v>
      </c>
      <c r="I1092" s="72" t="inlineStr">
        <is>
          <t>А500С</t>
        </is>
      </c>
      <c r="J1092" s="72" t="inlineStr">
        <is>
          <t>—</t>
        </is>
      </c>
      <c r="K1092" s="75" t="n">
        <v>1</v>
      </c>
      <c r="L1092" s="51" t="n">
        <v>4</v>
      </c>
      <c r="M1092" s="69" t="n">
        <v>3.8</v>
      </c>
      <c r="N1092" s="70">
        <f>K1092*L1092*M1092</f>
        <v/>
      </c>
      <c r="O1092" s="37">
        <f>IFERROR(INDEX(Исходные!$B$19:$B$31,MATCH(H1092,Исходные!$A$19:$A$31,0)),0)</f>
        <v/>
      </c>
      <c r="P1092" s="76">
        <f>N1092*O1092</f>
        <v/>
      </c>
      <c r="Q1092" s="21" t="inlineStr">
        <is>
          <t>АС-26 (отм. 11.150): выноска «ОС 4Ø12 А500С»; длина по привязкам отдельных стержней</t>
        </is>
      </c>
      <c r="R1092" s="77" t="inlineStr">
        <is>
          <t>по геометрии чертежа</t>
        </is>
      </c>
      <c r="S1092" s="21" t="inlineStr">
        <is>
          <t>Координаты от оси А: 11500…15300 мм</t>
        </is>
      </c>
      <c r="T1092" s="21" t="inlineStr">
        <is>
          <t>Ригели, балки, плита, С-1</t>
        </is>
      </c>
      <c r="U1092" s="49" t="n">
        <v>0</v>
      </c>
      <c r="V1092" s="72" t="inlineStr">
        <is>
          <t>Р-3</t>
        </is>
      </c>
      <c r="W1092" s="49" t="n">
        <v>3</v>
      </c>
    </row>
    <row r="1093">
      <c r="A1093" s="72" t="n">
        <v>1069</v>
      </c>
      <c r="B1093" s="21" t="inlineStr">
        <is>
          <t>3 этаж (отм. +7.550…+11.150)</t>
        </is>
      </c>
      <c r="C1093" s="21" t="inlineStr">
        <is>
          <t>Ригели</t>
        </is>
      </c>
      <c r="D1093" s="21" t="inlineStr">
        <is>
          <t>ось 3 (отм. +11.150)</t>
        </is>
      </c>
      <c r="E1093" s="21" t="inlineStr">
        <is>
          <t>Р-3</t>
        </is>
      </c>
      <c r="F1093" s="72" t="inlineStr">
        <is>
          <t>ОС</t>
        </is>
      </c>
      <c r="G1093" s="21" t="inlineStr">
        <is>
          <t>Ос (бок) бок: 4Ø12, участок 4700…15300 мм</t>
        </is>
      </c>
      <c r="H1093" s="51" t="n">
        <v>12</v>
      </c>
      <c r="I1093" s="72" t="inlineStr">
        <is>
          <t>А500С</t>
        </is>
      </c>
      <c r="J1093" s="72" t="inlineStr">
        <is>
          <t>—</t>
        </is>
      </c>
      <c r="K1093" s="75" t="n">
        <v>1</v>
      </c>
      <c r="L1093" s="51" t="n">
        <v>4</v>
      </c>
      <c r="M1093" s="69" t="n">
        <v>10.6</v>
      </c>
      <c r="N1093" s="70">
        <f>K1093*L1093*M1093</f>
        <v/>
      </c>
      <c r="O1093" s="37">
        <f>IFERROR(INDEX(Исходные!$B$19:$B$31,MATCH(H1093,Исходные!$A$19:$A$31,0)),0)</f>
        <v/>
      </c>
      <c r="P1093" s="76">
        <f>N1093*O1093</f>
        <v/>
      </c>
      <c r="Q1093" s="21" t="inlineStr">
        <is>
          <t>АС-26 (отм. 11.150): выноска «Ос (бок) 4Ø12 А500С»; длина по привязкам отдельных стержней</t>
        </is>
      </c>
      <c r="R1093" s="77" t="inlineStr">
        <is>
          <t>по геометрии чертежа</t>
        </is>
      </c>
      <c r="S1093" s="21" t="inlineStr">
        <is>
          <t>Координаты от оси А: 4700…15300 мм</t>
        </is>
      </c>
      <c r="T1093" s="21" t="inlineStr">
        <is>
          <t>Ригели, балки, плита, С-1</t>
        </is>
      </c>
      <c r="U1093" s="49" t="n">
        <v>0</v>
      </c>
      <c r="V1093" s="72" t="inlineStr">
        <is>
          <t>Р-3</t>
        </is>
      </c>
      <c r="W1093" s="49" t="n">
        <v>3</v>
      </c>
    </row>
    <row r="1094">
      <c r="A1094" s="72" t="n">
        <v>1070</v>
      </c>
      <c r="B1094" s="21" t="inlineStr">
        <is>
          <t>3 этаж (отм. +7.550…+11.150)</t>
        </is>
      </c>
      <c r="C1094" s="21" t="inlineStr">
        <is>
          <t>Ригели</t>
        </is>
      </c>
      <c r="D1094" s="21" t="inlineStr">
        <is>
          <t>ось 3 (отм. +11.150)</t>
        </is>
      </c>
      <c r="E1094" s="21" t="inlineStr">
        <is>
          <t>Р-3</t>
        </is>
      </c>
      <c r="F1094" s="72" t="inlineStr">
        <is>
          <t>ОС</t>
        </is>
      </c>
      <c r="G1094" s="21" t="inlineStr">
        <is>
          <t>Ос (бок) бок: 4Ø12, участок 18200…20000 мм + 250 до торца</t>
        </is>
      </c>
      <c r="H1094" s="51" t="n">
        <v>12</v>
      </c>
      <c r="I1094" s="72" t="inlineStr">
        <is>
          <t>А500С</t>
        </is>
      </c>
      <c r="J1094" s="72" t="inlineStr">
        <is>
          <t>—</t>
        </is>
      </c>
      <c r="K1094" s="75" t="n">
        <v>1</v>
      </c>
      <c r="L1094" s="51" t="n">
        <v>4</v>
      </c>
      <c r="M1094" s="69" t="n">
        <v>2.05</v>
      </c>
      <c r="N1094" s="70">
        <f>K1094*L1094*M1094</f>
        <v/>
      </c>
      <c r="O1094" s="37">
        <f>IFERROR(INDEX(Исходные!$B$19:$B$31,MATCH(H1094,Исходные!$A$19:$A$31,0)),0)</f>
        <v/>
      </c>
      <c r="P1094" s="76">
        <f>N1094*O1094</f>
        <v/>
      </c>
      <c r="Q1094" s="21" t="inlineStr">
        <is>
          <t>АС-26 (отм. 11.150): выноска «Ос (бок) 4Ø12 А500С»; длина по привязкам отдельных стержней</t>
        </is>
      </c>
      <c r="R1094" s="77" t="inlineStr">
        <is>
          <t>по геометрии чертежа</t>
        </is>
      </c>
      <c r="S1094" s="21" t="inlineStr">
        <is>
          <t>Координаты от оси А: 18200…20000 мм; конец до торца крайней колонны (+250)</t>
        </is>
      </c>
      <c r="T1094" s="21" t="inlineStr">
        <is>
          <t>Ригели, балки, плита, С-1</t>
        </is>
      </c>
      <c r="U1094" s="49" t="n">
        <v>0</v>
      </c>
      <c r="V1094" s="72" t="inlineStr">
        <is>
          <t>Р-3</t>
        </is>
      </c>
      <c r="W1094" s="49" t="n">
        <v>3</v>
      </c>
    </row>
    <row r="1095">
      <c r="A1095" s="72" t="n">
        <v>1071</v>
      </c>
      <c r="B1095" s="21" t="inlineStr">
        <is>
          <t>3 этаж (отм. +7.550…+11.150)</t>
        </is>
      </c>
      <c r="C1095" s="21" t="inlineStr">
        <is>
          <t>Ригели</t>
        </is>
      </c>
      <c r="D1095" s="21" t="inlineStr">
        <is>
          <t>ось 3 (отм. +11.150)</t>
        </is>
      </c>
      <c r="E1095" s="21" t="inlineStr">
        <is>
          <t>Р-3</t>
        </is>
      </c>
      <c r="F1095" s="72" t="inlineStr">
        <is>
          <t>12</t>
        </is>
      </c>
      <c r="G1095" s="21" t="inlineStr">
        <is>
          <t>Хомут Ø8 L=2060 ш.100 у опор, ш.150 в пролёте, 80×4 у балок — вне заштрихованных участков</t>
        </is>
      </c>
      <c r="H1095" s="51" t="n">
        <v>8</v>
      </c>
      <c r="I1095" s="72" t="inlineStr">
        <is>
          <t>А240</t>
        </is>
      </c>
      <c r="J1095" s="72" t="inlineStr">
        <is>
          <t>100/150</t>
        </is>
      </c>
      <c r="K1095" s="75" t="n">
        <v>1</v>
      </c>
      <c r="L1095" s="51" t="n">
        <v>64</v>
      </c>
      <c r="M1095" s="69" t="n">
        <v>2.06</v>
      </c>
      <c r="N1095" s="70">
        <f>K1095*L1095*M1095</f>
        <v/>
      </c>
      <c r="O1095" s="37">
        <f>IFERROR(INDEX(Исходные!$B$19:$B$31,MATCH(H1095,Исходные!$A$19:$A$31,0)),0)</f>
        <v/>
      </c>
      <c r="P1095" s="76">
        <f>N1095*O1095</f>
        <v/>
      </c>
      <c r="Q1095" s="21" t="inlineStr">
        <is>
          <t>АС-28 поз.12; АС-29 «Расстановка хомутов в ригелях»</t>
        </is>
      </c>
      <c r="R1095" s="77" t="inlineStr">
        <is>
          <t>по проекту</t>
        </is>
      </c>
      <c r="S1095" s="21" t="inlineStr">
        <is>
          <t>Пролёты в свету [(300, 6200), (6800, 13200), (13800, 19700)]</t>
        </is>
      </c>
      <c r="T1095" s="21" t="inlineStr">
        <is>
          <t>Ригели, балки, плита, С-1</t>
        </is>
      </c>
      <c r="U1095" s="49" t="n">
        <v>0</v>
      </c>
      <c r="V1095" s="72" t="inlineStr">
        <is>
          <t>Р-3</t>
        </is>
      </c>
      <c r="W1095" s="49" t="n">
        <v>3</v>
      </c>
    </row>
    <row r="1096">
      <c r="A1096" s="72" t="n">
        <v>1072</v>
      </c>
      <c r="B1096" s="21" t="inlineStr">
        <is>
          <t>3 этаж (отм. +7.550…+11.150)</t>
        </is>
      </c>
      <c r="C1096" s="21" t="inlineStr">
        <is>
          <t>Ригели</t>
        </is>
      </c>
      <c r="D1096" s="21" t="inlineStr">
        <is>
          <t>ось 3 (отм. +11.150)</t>
        </is>
      </c>
      <c r="E1096" s="21" t="inlineStr">
        <is>
          <t>Р-3</t>
        </is>
      </c>
      <c r="F1096" s="72" t="inlineStr">
        <is>
          <t>13</t>
        </is>
      </c>
      <c r="G1096" s="21" t="inlineStr">
        <is>
          <t>Хомут наружный Ø10 L=2060 ш.100 — заштрихованные участки</t>
        </is>
      </c>
      <c r="H1096" s="51" t="n">
        <v>10</v>
      </c>
      <c r="I1096" s="72" t="inlineStr">
        <is>
          <t>А240</t>
        </is>
      </c>
      <c r="J1096" s="72" t="n">
        <v>100</v>
      </c>
      <c r="K1096" s="75" t="n">
        <v>1</v>
      </c>
      <c r="L1096" s="51" t="n">
        <v>94</v>
      </c>
      <c r="M1096" s="69" t="n">
        <v>2.06</v>
      </c>
      <c r="N1096" s="70">
        <f>K1096*L1096*M1096</f>
        <v/>
      </c>
      <c r="O1096" s="37">
        <f>IFERROR(INDEX(Исходные!$B$19:$B$31,MATCH(H1096,Исходные!$A$19:$A$31,0)),0)</f>
        <v/>
      </c>
      <c r="P1096" s="76">
        <f>N1096*O1096</f>
        <v/>
      </c>
      <c r="Q1096" s="21" t="inlineStr">
        <is>
          <t>АС-26 штриховка у отм. 11.150; АС-28 Фрагмент №1, поз.13</t>
        </is>
      </c>
      <c r="R1096" s="77" t="inlineStr">
        <is>
          <t>по проекту</t>
        </is>
      </c>
      <c r="S1096" s="21" t="inlineStr">
        <is>
          <t>Участки (мм): одинарные [(0, 1500), (5000, 6500), (8500, 9500), (10500, 11500)], двойные [(6500, 8500), (11500, 13500), (18200, 20000)]</t>
        </is>
      </c>
      <c r="T1096" s="21" t="inlineStr">
        <is>
          <t>Ригели, балки, плита, С-1</t>
        </is>
      </c>
      <c r="U1096" s="49" t="n">
        <v>0</v>
      </c>
      <c r="V1096" s="72" t="inlineStr">
        <is>
          <t>Р-3</t>
        </is>
      </c>
      <c r="W1096" s="49" t="n">
        <v>3</v>
      </c>
    </row>
    <row r="1097">
      <c r="A1097" s="72" t="n">
        <v>1073</v>
      </c>
      <c r="B1097" s="21" t="inlineStr">
        <is>
          <t>3 этаж (отм. +7.550…+11.150)</t>
        </is>
      </c>
      <c r="C1097" s="21" t="inlineStr">
        <is>
          <t>Ригели</t>
        </is>
      </c>
      <c r="D1097" s="21" t="inlineStr">
        <is>
          <t>ось 3 (отм. +11.150)</t>
        </is>
      </c>
      <c r="E1097" s="21" t="inlineStr">
        <is>
          <t>Р-3</t>
        </is>
      </c>
      <c r="F1097" s="72" t="inlineStr">
        <is>
          <t>15</t>
        </is>
      </c>
      <c r="G1097" s="21" t="inlineStr">
        <is>
          <t>Хомут внутренний Ø10 L=1600 ш.100 — участки двойных хомутов</t>
        </is>
      </c>
      <c r="H1097" s="51" t="n">
        <v>10</v>
      </c>
      <c r="I1097" s="72" t="inlineStr">
        <is>
          <t>А240</t>
        </is>
      </c>
      <c r="J1097" s="72" t="n">
        <v>100</v>
      </c>
      <c r="K1097" s="75" t="n">
        <v>1</v>
      </c>
      <c r="L1097" s="51" t="n">
        <v>50</v>
      </c>
      <c r="M1097" s="69" t="n">
        <v>1.6</v>
      </c>
      <c r="N1097" s="70">
        <f>K1097*L1097*M1097</f>
        <v/>
      </c>
      <c r="O1097" s="37">
        <f>IFERROR(INDEX(Исходные!$B$19:$B$31,MATCH(H1097,Исходные!$A$19:$A$31,0)),0)</f>
        <v/>
      </c>
      <c r="P1097" s="76">
        <f>N1097*O1097</f>
        <v/>
      </c>
      <c r="Q1097" s="21" t="inlineStr">
        <is>
          <t>АС-26 двойная штриховка; АС-28 Фрагмент №1, поз.15</t>
        </is>
      </c>
      <c r="R1097" s="77" t="inlineStr">
        <is>
          <t>по проекту</t>
        </is>
      </c>
      <c r="S1097" s="21" t="inlineStr"/>
      <c r="T1097" s="21" t="inlineStr">
        <is>
          <t>Ригели, балки, плита, С-1</t>
        </is>
      </c>
      <c r="U1097" s="49" t="n">
        <v>0</v>
      </c>
      <c r="V1097" s="72" t="inlineStr">
        <is>
          <t>Р-3</t>
        </is>
      </c>
      <c r="W1097" s="49" t="n">
        <v>3</v>
      </c>
    </row>
    <row r="1098">
      <c r="A1098" s="72" t="n">
        <v>1074</v>
      </c>
      <c r="B1098" s="21" t="inlineStr">
        <is>
          <t>3 этаж (отм. +7.550…+11.150)</t>
        </is>
      </c>
      <c r="C1098" s="21" t="inlineStr">
        <is>
          <t>Ригели</t>
        </is>
      </c>
      <c r="D1098" s="21" t="inlineStr">
        <is>
          <t>ось 3 (отм. +11.150)</t>
        </is>
      </c>
      <c r="E1098" s="21" t="inlineStr">
        <is>
          <t>Р-3</t>
        </is>
      </c>
      <c r="F1098" s="72" t="inlineStr">
        <is>
          <t>17</t>
        </is>
      </c>
      <c r="G1098" s="21" t="inlineStr">
        <is>
          <t>Шпилька вертикальная Ø8 L=750: ш.200 у опор, ш.150 в пролёте</t>
        </is>
      </c>
      <c r="H1098" s="51" t="n">
        <v>8</v>
      </c>
      <c r="I1098" s="72" t="inlineStr">
        <is>
          <t>А240</t>
        </is>
      </c>
      <c r="J1098" s="72" t="inlineStr">
        <is>
          <t>200/150</t>
        </is>
      </c>
      <c r="K1098" s="75" t="n">
        <v>1</v>
      </c>
      <c r="L1098" s="51" t="n">
        <v>73</v>
      </c>
      <c r="M1098" s="69" t="n">
        <v>0.75</v>
      </c>
      <c r="N1098" s="70">
        <f>K1098*L1098*M1098</f>
        <v/>
      </c>
      <c r="O1098" s="37">
        <f>IFERROR(INDEX(Исходные!$B$19:$B$31,MATCH(H1098,Исходные!$A$19:$A$31,0)),0)</f>
        <v/>
      </c>
      <c r="P1098" s="76">
        <f>N1098*O1098</f>
        <v/>
      </c>
      <c r="Q1098" s="21" t="inlineStr">
        <is>
          <t>АС-28 сеч.4-4/5-5 поз.17</t>
        </is>
      </c>
      <c r="R1098" s="77" t="inlineStr">
        <is>
          <t>по проекту</t>
        </is>
      </c>
      <c r="S1098" s="21" t="inlineStr"/>
      <c r="T1098" s="21" t="inlineStr">
        <is>
          <t>Ригели, балки, плита, С-1</t>
        </is>
      </c>
      <c r="U1098" s="49" t="n">
        <v>0</v>
      </c>
      <c r="V1098" s="72" t="inlineStr">
        <is>
          <t>Р-3</t>
        </is>
      </c>
      <c r="W1098" s="49" t="n">
        <v>3</v>
      </c>
    </row>
    <row r="1099">
      <c r="A1099" s="72" t="n">
        <v>1075</v>
      </c>
      <c r="B1099" s="21" t="inlineStr">
        <is>
          <t>3 этаж (отм. +7.550…+11.150)</t>
        </is>
      </c>
      <c r="C1099" s="21" t="inlineStr">
        <is>
          <t>Ригели</t>
        </is>
      </c>
      <c r="D1099" s="21" t="inlineStr">
        <is>
          <t>ось 3 (отм. +11.150)</t>
        </is>
      </c>
      <c r="E1099" s="21" t="inlineStr">
        <is>
          <t>Р-3</t>
        </is>
      </c>
      <c r="F1099" s="72" t="inlineStr">
        <is>
          <t>16</t>
        </is>
      </c>
      <c r="G1099" s="21" t="inlineStr">
        <is>
          <t>Шпилька горизонтальная Ø8 L=580 ш.300</t>
        </is>
      </c>
      <c r="H1099" s="51" t="n">
        <v>8</v>
      </c>
      <c r="I1099" s="72" t="inlineStr">
        <is>
          <t>А240</t>
        </is>
      </c>
      <c r="J1099" s="72" t="n">
        <v>300</v>
      </c>
      <c r="K1099" s="75" t="n">
        <v>1</v>
      </c>
      <c r="L1099" s="51" t="n">
        <v>62</v>
      </c>
      <c r="M1099" s="69" t="n">
        <v>0.58</v>
      </c>
      <c r="N1099" s="70">
        <f>K1099*L1099*M1099</f>
        <v/>
      </c>
      <c r="O1099" s="37">
        <f>IFERROR(INDEX(Исходные!$B$19:$B$31,MATCH(H1099,Исходные!$A$19:$A$31,0)),0)</f>
        <v/>
      </c>
      <c r="P1099" s="76">
        <f>N1099*O1099</f>
        <v/>
      </c>
      <c r="Q1099" s="21" t="inlineStr">
        <is>
          <t>АС-28 «шп.Ø8 А240 ш.300», поз.16 L=580</t>
        </is>
      </c>
      <c r="R1099" s="78" t="inlineStr">
        <is>
          <t>принято (уточнить)</t>
        </is>
      </c>
      <c r="S1099" s="21" t="inlineStr"/>
      <c r="T1099" s="21" t="inlineStr">
        <is>
          <t>Ригели, балки, плита, С-1</t>
        </is>
      </c>
      <c r="U1099" s="49" t="n">
        <v>1</v>
      </c>
      <c r="V1099" s="72" t="inlineStr">
        <is>
          <t>Р-3</t>
        </is>
      </c>
      <c r="W1099" s="49" t="n">
        <v>3</v>
      </c>
    </row>
    <row r="1100">
      <c r="A1100" s="72" t="n">
        <v>1076</v>
      </c>
      <c r="B1100" s="21" t="inlineStr">
        <is>
          <t>3 этаж (отм. +7.550…+11.150)</t>
        </is>
      </c>
      <c r="C1100" s="21" t="inlineStr">
        <is>
          <t>Ригели</t>
        </is>
      </c>
      <c r="D1100" s="21" t="inlineStr">
        <is>
          <t>ось 4 (отм. +11.150)</t>
        </is>
      </c>
      <c r="E1100" s="21" t="inlineStr">
        <is>
          <t>Р-4</t>
        </is>
      </c>
      <c r="F1100" s="72" t="inlineStr">
        <is>
          <t>2</t>
        </is>
      </c>
      <c r="G1100" s="21" t="inlineStr">
        <is>
          <t>Продольные угловые 4Ø28 (сеч.4-4/5-5), сквозные, концы с Аш</t>
        </is>
      </c>
      <c r="H1100" s="51" t="n">
        <v>28</v>
      </c>
      <c r="I1100" s="72" t="inlineStr">
        <is>
          <t>А500С</t>
        </is>
      </c>
      <c r="J1100" s="72" t="inlineStr">
        <is>
          <t>—</t>
        </is>
      </c>
      <c r="K1100" s="75" t="n">
        <v>1</v>
      </c>
      <c r="L1100" s="51" t="n">
        <v>4</v>
      </c>
      <c r="M1100" s="69" t="n">
        <v>20.5</v>
      </c>
      <c r="N1100" s="70">
        <f>K1100*L1100*M1100</f>
        <v/>
      </c>
      <c r="O1100" s="37">
        <f>IFERROR(INDEX(Исходные!$B$19:$B$31,MATCH(H1100,Исходные!$A$19:$A$31,0)),0)</f>
        <v/>
      </c>
      <c r="P1100" s="76">
        <f>N1100*O1100</f>
        <v/>
      </c>
      <c r="Q1100" s="21" t="inlineStr">
        <is>
          <t>АС-27 рама + АС-28 сеч.4-4/5-5 поз.2; длина = 20000+2×250</t>
        </is>
      </c>
      <c r="R1100" s="77" t="inlineStr">
        <is>
          <t>по геометрии чертежа</t>
        </is>
      </c>
      <c r="S1100" s="21" t="inlineStr">
        <is>
          <t>Стыки ванной сваркой без нахлёста: 1 на стержень (всего 4).</t>
        </is>
      </c>
      <c r="T1100" s="21" t="inlineStr">
        <is>
          <t>Ригели, балки, плита, С-1</t>
        </is>
      </c>
      <c r="U1100" s="49" t="n">
        <v>0</v>
      </c>
      <c r="V1100" s="72" t="inlineStr">
        <is>
          <t>Р-4</t>
        </is>
      </c>
      <c r="W1100" s="49" t="n">
        <v>3</v>
      </c>
    </row>
    <row r="1101">
      <c r="A1101" s="72" t="n">
        <v>1077</v>
      </c>
      <c r="B1101" s="21" t="inlineStr">
        <is>
          <t>3 этаж (отм. +7.550…+11.150)</t>
        </is>
      </c>
      <c r="C1101" s="21" t="inlineStr">
        <is>
          <t>Ригели</t>
        </is>
      </c>
      <c r="D1101" s="21" t="inlineStr">
        <is>
          <t>ось 4 (отм. +11.150)</t>
        </is>
      </c>
      <c r="E1101" s="21" t="inlineStr">
        <is>
          <t>Р-4</t>
        </is>
      </c>
      <c r="F1101" s="72" t="inlineStr">
        <is>
          <t>6</t>
        </is>
      </c>
      <c r="G1101" s="21" t="inlineStr">
        <is>
          <t>Продольные средние верх/низ 2Ø18 (сеч.4-4/5-5)</t>
        </is>
      </c>
      <c r="H1101" s="51" t="n">
        <v>18</v>
      </c>
      <c r="I1101" s="72" t="inlineStr">
        <is>
          <t>А500С</t>
        </is>
      </c>
      <c r="J1101" s="72" t="inlineStr">
        <is>
          <t>—</t>
        </is>
      </c>
      <c r="K1101" s="75" t="n">
        <v>1</v>
      </c>
      <c r="L1101" s="51" t="n">
        <v>2</v>
      </c>
      <c r="M1101" s="69" t="n">
        <v>20.5</v>
      </c>
      <c r="N1101" s="70">
        <f>K1101*L1101*M1101</f>
        <v/>
      </c>
      <c r="O1101" s="37">
        <f>IFERROR(INDEX(Исходные!$B$19:$B$31,MATCH(H1101,Исходные!$A$19:$A$31,0)),0)</f>
        <v/>
      </c>
      <c r="P1101" s="76">
        <f>N1101*O1101</f>
        <v/>
      </c>
      <c r="Q1101" s="21" t="inlineStr">
        <is>
          <t>АС-28 сеч.4-4/5-5 поз.6</t>
        </is>
      </c>
      <c r="R1101" s="77" t="inlineStr">
        <is>
          <t>по геометрии чертежа</t>
        </is>
      </c>
      <c r="S1101" s="21" t="inlineStr"/>
      <c r="T1101" s="21" t="inlineStr">
        <is>
          <t>Ригели, балки, плита, С-1</t>
        </is>
      </c>
      <c r="U1101" s="49" t="n">
        <v>0</v>
      </c>
      <c r="V1101" s="72" t="inlineStr">
        <is>
          <t>Р-4</t>
        </is>
      </c>
      <c r="W1101" s="49" t="n">
        <v>3</v>
      </c>
    </row>
    <row r="1102">
      <c r="A1102" s="72" t="n">
        <v>1078</v>
      </c>
      <c r="B1102" s="21" t="inlineStr">
        <is>
          <t>3 этаж (отм. +7.550…+11.150)</t>
        </is>
      </c>
      <c r="C1102" s="21" t="inlineStr">
        <is>
          <t>Ригели</t>
        </is>
      </c>
      <c r="D1102" s="21" t="inlineStr">
        <is>
          <t>ось 4 (отм. +11.150)</t>
        </is>
      </c>
      <c r="E1102" s="21" t="inlineStr">
        <is>
          <t>Р-4</t>
        </is>
      </c>
      <c r="F1102" s="72" t="inlineStr">
        <is>
          <t>6-нахл</t>
        </is>
      </c>
      <c r="G1102" s="21" t="inlineStr">
        <is>
          <t>Нахлёсты стыков к поз. «Продольные средние верх/низ 2Ø18 (сеч.4-4/5-5)» (L=20.500 м &gt; 11,7 м): 2 куска, 1 стык(а) на стержень × 2 стерж.</t>
        </is>
      </c>
      <c r="H1102" s="51" t="n">
        <v>18</v>
      </c>
      <c r="I1102" s="72" t="inlineStr">
        <is>
          <t>А500С</t>
        </is>
      </c>
      <c r="J1102" s="72" t="inlineStr">
        <is>
          <t>—</t>
        </is>
      </c>
      <c r="K1102" s="75" t="n">
        <v>2</v>
      </c>
      <c r="L1102" s="51" t="n">
        <v>1</v>
      </c>
      <c r="M1102" s="69" t="n">
        <v>0.144</v>
      </c>
      <c r="N1102" s="70">
        <f>K1102*L1102*M1102</f>
        <v/>
      </c>
      <c r="O1102" s="37">
        <f>IFERROR(INDEX(Исходные!$B$19:$B$31,MATCH(H1102,Исходные!$A$19:$A$31,0)),0)</f>
        <v/>
      </c>
      <c r="P1102" s="76">
        <f>N1102*O1102</f>
        <v/>
      </c>
      <c r="Q1102" s="21" t="inlineStr">
        <is>
          <t>АС-19 прим.1: Ø18 и менее — внахлёстку электродуговой сваркой, Lшва=8d = 144 мм</t>
        </is>
      </c>
      <c r="R1102" s="77" t="inlineStr">
        <is>
          <t>по проекту (стыковка прутков 11,7 м)</t>
        </is>
      </c>
      <c r="S1102" s="21" t="inlineStr">
        <is>
          <t>Чистая длина 20.500 м; кусков 2; стыков 1; Lнахл=1×0.144=0.144 м на стержень</t>
        </is>
      </c>
      <c r="T1102" s="21" t="inlineStr">
        <is>
          <t>Ригели, балки, плита, С-1</t>
        </is>
      </c>
      <c r="U1102" s="49" t="n">
        <v>0</v>
      </c>
      <c r="V1102" s="72" t="inlineStr">
        <is>
          <t>Р-4</t>
        </is>
      </c>
      <c r="W1102" s="49" t="n">
        <v>3</v>
      </c>
    </row>
    <row r="1103">
      <c r="A1103" s="72" t="n">
        <v>1079</v>
      </c>
      <c r="B1103" s="21" t="inlineStr">
        <is>
          <t>3 этаж (отм. +7.550…+11.150)</t>
        </is>
      </c>
      <c r="C1103" s="21" t="inlineStr">
        <is>
          <t>Ригели</t>
        </is>
      </c>
      <c r="D1103" s="21" t="inlineStr">
        <is>
          <t>ось 4 (отм. +11.150)</t>
        </is>
      </c>
      <c r="E1103" s="21" t="inlineStr">
        <is>
          <t>Р-4</t>
        </is>
      </c>
      <c r="F1103" s="72" t="inlineStr">
        <is>
          <t>7</t>
        </is>
      </c>
      <c r="G1103" s="21" t="inlineStr">
        <is>
          <t>Боковые стержни 2Ø16 (сеч.4-4/5-5)</t>
        </is>
      </c>
      <c r="H1103" s="51" t="n">
        <v>16</v>
      </c>
      <c r="I1103" s="72" t="inlineStr">
        <is>
          <t>А500С</t>
        </is>
      </c>
      <c r="J1103" s="72" t="inlineStr">
        <is>
          <t>—</t>
        </is>
      </c>
      <c r="K1103" s="75" t="n">
        <v>1</v>
      </c>
      <c r="L1103" s="51" t="n">
        <v>2</v>
      </c>
      <c r="M1103" s="69" t="n">
        <v>20.5</v>
      </c>
      <c r="N1103" s="70">
        <f>K1103*L1103*M1103</f>
        <v/>
      </c>
      <c r="O1103" s="37">
        <f>IFERROR(INDEX(Исходные!$B$19:$B$31,MATCH(H1103,Исходные!$A$19:$A$31,0)),0)</f>
        <v/>
      </c>
      <c r="P1103" s="76">
        <f>N1103*O1103</f>
        <v/>
      </c>
      <c r="Q1103" s="21" t="inlineStr">
        <is>
          <t>АС-28 сеч.4-4/5-5 «Боковые стержни 2Ø16»</t>
        </is>
      </c>
      <c r="R1103" s="77" t="inlineStr">
        <is>
          <t>по геометрии чертежа</t>
        </is>
      </c>
      <c r="S1103" s="21" t="inlineStr"/>
      <c r="T1103" s="21" t="inlineStr">
        <is>
          <t>Ригели, балки, плита, С-1</t>
        </is>
      </c>
      <c r="U1103" s="49" t="n">
        <v>0</v>
      </c>
      <c r="V1103" s="72" t="inlineStr">
        <is>
          <t>Р-4</t>
        </is>
      </c>
      <c r="W1103" s="49" t="n">
        <v>3</v>
      </c>
    </row>
    <row r="1104">
      <c r="A1104" s="72" t="n">
        <v>1080</v>
      </c>
      <c r="B1104" s="21" t="inlineStr">
        <is>
          <t>3 этаж (отм. +7.550…+11.150)</t>
        </is>
      </c>
      <c r="C1104" s="21" t="inlineStr">
        <is>
          <t>Ригели</t>
        </is>
      </c>
      <c r="D1104" s="21" t="inlineStr">
        <is>
          <t>ось 4 (отм. +11.150)</t>
        </is>
      </c>
      <c r="E1104" s="21" t="inlineStr">
        <is>
          <t>Р-4</t>
        </is>
      </c>
      <c r="F1104" s="72" t="inlineStr">
        <is>
          <t>7-нахл</t>
        </is>
      </c>
      <c r="G1104" s="21" t="inlineStr">
        <is>
          <t>Нахлёсты стыков к поз. «Боковые стержни 2Ø16 (сеч.4-4/5-5)» (L=20.500 м &gt; 11,7 м): 2 куска, 1 стык(а) на стержень × 2 стерж.</t>
        </is>
      </c>
      <c r="H1104" s="51" t="n">
        <v>16</v>
      </c>
      <c r="I1104" s="72" t="inlineStr">
        <is>
          <t>А500С</t>
        </is>
      </c>
      <c r="J1104" s="72" t="inlineStr">
        <is>
          <t>—</t>
        </is>
      </c>
      <c r="K1104" s="75" t="n">
        <v>2</v>
      </c>
      <c r="L1104" s="51" t="n">
        <v>1</v>
      </c>
      <c r="M1104" s="69" t="n">
        <v>0.128</v>
      </c>
      <c r="N1104" s="70">
        <f>K1104*L1104*M1104</f>
        <v/>
      </c>
      <c r="O1104" s="37">
        <f>IFERROR(INDEX(Исходные!$B$19:$B$31,MATCH(H1104,Исходные!$A$19:$A$31,0)),0)</f>
        <v/>
      </c>
      <c r="P1104" s="76">
        <f>N1104*O1104</f>
        <v/>
      </c>
      <c r="Q1104" s="21" t="inlineStr">
        <is>
          <t>АС-19 прим.1: Ø18 и менее — внахлёстку электродуговой сваркой, Lшва=8d = 128 мм</t>
        </is>
      </c>
      <c r="R1104" s="77" t="inlineStr">
        <is>
          <t>по проекту (стыковка прутков 11,7 м)</t>
        </is>
      </c>
      <c r="S1104" s="21" t="inlineStr">
        <is>
          <t>Чистая длина 20.500 м; кусков 2; стыков 1; Lнахл=1×0.128=0.128 м на стержень</t>
        </is>
      </c>
      <c r="T1104" s="21" t="inlineStr">
        <is>
          <t>Ригели, балки, плита, С-1</t>
        </is>
      </c>
      <c r="U1104" s="49" t="n">
        <v>0</v>
      </c>
      <c r="V1104" s="72" t="inlineStr">
        <is>
          <t>Р-4</t>
        </is>
      </c>
      <c r="W1104" s="49" t="n">
        <v>3</v>
      </c>
    </row>
    <row r="1105">
      <c r="A1105" s="72" t="n">
        <v>1081</v>
      </c>
      <c r="B1105" s="21" t="inlineStr">
        <is>
          <t>3 этаж (отм. +7.550…+11.150)</t>
        </is>
      </c>
      <c r="C1105" s="21" t="inlineStr">
        <is>
          <t>Ригели</t>
        </is>
      </c>
      <c r="D1105" s="21" t="inlineStr">
        <is>
          <t>ось 4 (отм. +11.150)</t>
        </is>
      </c>
      <c r="E1105" s="21" t="inlineStr">
        <is>
          <t>Р-4</t>
        </is>
      </c>
      <c r="F1105" s="72" t="inlineStr">
        <is>
          <t>ОС</t>
        </is>
      </c>
      <c r="G1105" s="21" t="inlineStr">
        <is>
          <t>ОС верх: 2Ø25, участок 1000…3400 мм</t>
        </is>
      </c>
      <c r="H1105" s="51" t="n">
        <v>25</v>
      </c>
      <c r="I1105" s="72" t="inlineStr">
        <is>
          <t>А500С</t>
        </is>
      </c>
      <c r="J1105" s="72" t="inlineStr">
        <is>
          <t>—</t>
        </is>
      </c>
      <c r="K1105" s="75" t="n">
        <v>1</v>
      </c>
      <c r="L1105" s="51" t="n">
        <v>2</v>
      </c>
      <c r="M1105" s="69" t="n">
        <v>2.4</v>
      </c>
      <c r="N1105" s="70">
        <f>K1105*L1105*M1105</f>
        <v/>
      </c>
      <c r="O1105" s="37">
        <f>IFERROR(INDEX(Исходные!$B$19:$B$31,MATCH(H1105,Исходные!$A$19:$A$31,0)),0)</f>
        <v/>
      </c>
      <c r="P1105" s="76">
        <f>N1105*O1105</f>
        <v/>
      </c>
      <c r="Q1105" s="21" t="inlineStr">
        <is>
          <t>АС-27 (отм. 11.150): выноска «ОС 2Ø25 А500С»; длина по привязкам отдельных стержней</t>
        </is>
      </c>
      <c r="R1105" s="77" t="inlineStr">
        <is>
          <t>по геометрии чертежа</t>
        </is>
      </c>
      <c r="S1105" s="21" t="inlineStr">
        <is>
          <t>Координаты от оси А: 1000…3400 мм</t>
        </is>
      </c>
      <c r="T1105" s="21" t="inlineStr">
        <is>
          <t>Ригели, балки, плита, С-1</t>
        </is>
      </c>
      <c r="U1105" s="49" t="n">
        <v>0</v>
      </c>
      <c r="V1105" s="72" t="inlineStr">
        <is>
          <t>Р-4</t>
        </is>
      </c>
      <c r="W1105" s="49" t="n">
        <v>3</v>
      </c>
    </row>
    <row r="1106">
      <c r="A1106" s="72" t="n">
        <v>1082</v>
      </c>
      <c r="B1106" s="21" t="inlineStr">
        <is>
          <t>3 этаж (отм. +7.550…+11.150)</t>
        </is>
      </c>
      <c r="C1106" s="21" t="inlineStr">
        <is>
          <t>Ригели</t>
        </is>
      </c>
      <c r="D1106" s="21" t="inlineStr">
        <is>
          <t>ось 4 (отм. +11.150)</t>
        </is>
      </c>
      <c r="E1106" s="21" t="inlineStr">
        <is>
          <t>Р-4</t>
        </is>
      </c>
      <c r="F1106" s="72" t="inlineStr">
        <is>
          <t>ОС</t>
        </is>
      </c>
      <c r="G1106" s="21" t="inlineStr">
        <is>
          <t>ОС верх ств.: 2Ø25, участок 1000…3400 мм</t>
        </is>
      </c>
      <c r="H1106" s="51" t="n">
        <v>25</v>
      </c>
      <c r="I1106" s="72" t="inlineStr">
        <is>
          <t>А500С</t>
        </is>
      </c>
      <c r="J1106" s="72" t="inlineStr">
        <is>
          <t>—</t>
        </is>
      </c>
      <c r="K1106" s="75" t="n">
        <v>1</v>
      </c>
      <c r="L1106" s="51" t="n">
        <v>2</v>
      </c>
      <c r="M1106" s="69" t="n">
        <v>2.4</v>
      </c>
      <c r="N1106" s="70">
        <f>K1106*L1106*M1106</f>
        <v/>
      </c>
      <c r="O1106" s="37">
        <f>IFERROR(INDEX(Исходные!$B$19:$B$31,MATCH(H1106,Исходные!$A$19:$A$31,0)),0)</f>
        <v/>
      </c>
      <c r="P1106" s="76">
        <f>N1106*O1106</f>
        <v/>
      </c>
      <c r="Q1106" s="21" t="inlineStr">
        <is>
          <t>АС-27 (отм. 11.150): выноска «ОС 2Ø25 А500С»; длина по привязкам отдельных стержней</t>
        </is>
      </c>
      <c r="R1106" s="77" t="inlineStr">
        <is>
          <t>по геометрии чертежа</t>
        </is>
      </c>
      <c r="S1106" s="21" t="inlineStr">
        <is>
          <t>Координаты от оси А: 1000…3400 мм</t>
        </is>
      </c>
      <c r="T1106" s="21" t="inlineStr">
        <is>
          <t>Ригели, балки, плита, С-1</t>
        </is>
      </c>
      <c r="U1106" s="49" t="n">
        <v>0</v>
      </c>
      <c r="V1106" s="72" t="inlineStr">
        <is>
          <t>Р-4</t>
        </is>
      </c>
      <c r="W1106" s="49" t="n">
        <v>3</v>
      </c>
    </row>
    <row r="1107">
      <c r="A1107" s="72" t="n">
        <v>1083</v>
      </c>
      <c r="B1107" s="21" t="inlineStr">
        <is>
          <t>3 этаж (отм. +7.550…+11.150)</t>
        </is>
      </c>
      <c r="C1107" s="21" t="inlineStr">
        <is>
          <t>Ригели</t>
        </is>
      </c>
      <c r="D1107" s="21" t="inlineStr">
        <is>
          <t>ось 4 (отм. +11.150)</t>
        </is>
      </c>
      <c r="E1107" s="21" t="inlineStr">
        <is>
          <t>Р-4</t>
        </is>
      </c>
      <c r="F1107" s="72" t="inlineStr">
        <is>
          <t>ОС</t>
        </is>
      </c>
      <c r="G1107" s="21" t="inlineStr">
        <is>
          <t>ОС верх: 2Ø28, участок 5100…8500 мм</t>
        </is>
      </c>
      <c r="H1107" s="51" t="n">
        <v>28</v>
      </c>
      <c r="I1107" s="72" t="inlineStr">
        <is>
          <t>А500С</t>
        </is>
      </c>
      <c r="J1107" s="72" t="inlineStr">
        <is>
          <t>—</t>
        </is>
      </c>
      <c r="K1107" s="75" t="n">
        <v>1</v>
      </c>
      <c r="L1107" s="51" t="n">
        <v>2</v>
      </c>
      <c r="M1107" s="69" t="n">
        <v>3.4</v>
      </c>
      <c r="N1107" s="70">
        <f>K1107*L1107*M1107</f>
        <v/>
      </c>
      <c r="O1107" s="37">
        <f>IFERROR(INDEX(Исходные!$B$19:$B$31,MATCH(H1107,Исходные!$A$19:$A$31,0)),0)</f>
        <v/>
      </c>
      <c r="P1107" s="76">
        <f>N1107*O1107</f>
        <v/>
      </c>
      <c r="Q1107" s="21" t="inlineStr">
        <is>
          <t>АС-27 (отм. 11.150): выноска «ОС 2Ø28 А500С»; длина по привязкам отдельных стержней</t>
        </is>
      </c>
      <c r="R1107" s="77" t="inlineStr">
        <is>
          <t>по геометрии чертежа</t>
        </is>
      </c>
      <c r="S1107" s="21" t="inlineStr">
        <is>
          <t>Координаты от оси А: 5100…8500 мм</t>
        </is>
      </c>
      <c r="T1107" s="21" t="inlineStr">
        <is>
          <t>Ригели, балки, плита, С-1</t>
        </is>
      </c>
      <c r="U1107" s="49" t="n">
        <v>0</v>
      </c>
      <c r="V1107" s="72" t="inlineStr">
        <is>
          <t>Р-4</t>
        </is>
      </c>
      <c r="W1107" s="49" t="n">
        <v>3</v>
      </c>
    </row>
    <row r="1108">
      <c r="A1108" s="72" t="n">
        <v>1084</v>
      </c>
      <c r="B1108" s="21" t="inlineStr">
        <is>
          <t>3 этаж (отм. +7.550…+11.150)</t>
        </is>
      </c>
      <c r="C1108" s="21" t="inlineStr">
        <is>
          <t>Ригели</t>
        </is>
      </c>
      <c r="D1108" s="21" t="inlineStr">
        <is>
          <t>ось 4 (отм. +11.150)</t>
        </is>
      </c>
      <c r="E1108" s="21" t="inlineStr">
        <is>
          <t>Р-4</t>
        </is>
      </c>
      <c r="F1108" s="72" t="inlineStr">
        <is>
          <t>ОС</t>
        </is>
      </c>
      <c r="G1108" s="21" t="inlineStr">
        <is>
          <t>ОС верх: 2Ø32, участок 11500…15100 мм</t>
        </is>
      </c>
      <c r="H1108" s="51" t="n">
        <v>32</v>
      </c>
      <c r="I1108" s="72" t="inlineStr">
        <is>
          <t>А500С</t>
        </is>
      </c>
      <c r="J1108" s="72" t="inlineStr">
        <is>
          <t>—</t>
        </is>
      </c>
      <c r="K1108" s="75" t="n">
        <v>1</v>
      </c>
      <c r="L1108" s="51" t="n">
        <v>2</v>
      </c>
      <c r="M1108" s="69" t="n">
        <v>3.6</v>
      </c>
      <c r="N1108" s="70">
        <f>K1108*L1108*M1108</f>
        <v/>
      </c>
      <c r="O1108" s="37">
        <f>IFERROR(INDEX(Исходные!$B$19:$B$31,MATCH(H1108,Исходные!$A$19:$A$31,0)),0)</f>
        <v/>
      </c>
      <c r="P1108" s="76">
        <f>N1108*O1108</f>
        <v/>
      </c>
      <c r="Q1108" s="21" t="inlineStr">
        <is>
          <t>АС-27 (отм. 11.150): выноска «ОС 2Ø32 А500С»; длина по привязкам отдельных стержней</t>
        </is>
      </c>
      <c r="R1108" s="77" t="inlineStr">
        <is>
          <t>по геометрии чертежа</t>
        </is>
      </c>
      <c r="S1108" s="21" t="inlineStr">
        <is>
          <t>Координаты от оси А: 11500…15100 мм</t>
        </is>
      </c>
      <c r="T1108" s="21" t="inlineStr">
        <is>
          <t>Ригели, балки, плита, С-1</t>
        </is>
      </c>
      <c r="U1108" s="49" t="n">
        <v>0</v>
      </c>
      <c r="V1108" s="72" t="inlineStr">
        <is>
          <t>Р-4</t>
        </is>
      </c>
      <c r="W1108" s="49" t="n">
        <v>3</v>
      </c>
    </row>
    <row r="1109">
      <c r="A1109" s="72" t="n">
        <v>1085</v>
      </c>
      <c r="B1109" s="21" t="inlineStr">
        <is>
          <t>3 этаж (отм. +7.550…+11.150)</t>
        </is>
      </c>
      <c r="C1109" s="21" t="inlineStr">
        <is>
          <t>Ригели</t>
        </is>
      </c>
      <c r="D1109" s="21" t="inlineStr">
        <is>
          <t>ось 4 (отм. +11.150)</t>
        </is>
      </c>
      <c r="E1109" s="21" t="inlineStr">
        <is>
          <t>Р-4</t>
        </is>
      </c>
      <c r="F1109" s="72" t="inlineStr">
        <is>
          <t>ОС</t>
        </is>
      </c>
      <c r="G1109" s="21" t="inlineStr">
        <is>
          <t>ОС верх: 2Ø32, участок 17400…20000 мм + 250 до торца</t>
        </is>
      </c>
      <c r="H1109" s="51" t="n">
        <v>32</v>
      </c>
      <c r="I1109" s="72" t="inlineStr">
        <is>
          <t>А500С</t>
        </is>
      </c>
      <c r="J1109" s="72" t="inlineStr">
        <is>
          <t>—</t>
        </is>
      </c>
      <c r="K1109" s="75" t="n">
        <v>1</v>
      </c>
      <c r="L1109" s="51" t="n">
        <v>2</v>
      </c>
      <c r="M1109" s="69" t="n">
        <v>2.85</v>
      </c>
      <c r="N1109" s="70">
        <f>K1109*L1109*M1109</f>
        <v/>
      </c>
      <c r="O1109" s="37">
        <f>IFERROR(INDEX(Исходные!$B$19:$B$31,MATCH(H1109,Исходные!$A$19:$A$31,0)),0)</f>
        <v/>
      </c>
      <c r="P1109" s="76">
        <f>N1109*O1109</f>
        <v/>
      </c>
      <c r="Q1109" s="21" t="inlineStr">
        <is>
          <t>АС-27 (отм. 11.150): выноска «ОС 2Ø32 А500С»; длина по привязкам отдельных стержней</t>
        </is>
      </c>
      <c r="R1109" s="77" t="inlineStr">
        <is>
          <t>по геометрии чертежа</t>
        </is>
      </c>
      <c r="S1109" s="21" t="inlineStr">
        <is>
          <t>Координаты от оси А: 17400…20000 мм; конец до торца крайней колонны (+250)</t>
        </is>
      </c>
      <c r="T1109" s="21" t="inlineStr">
        <is>
          <t>Ригели, балки, плита, С-1</t>
        </is>
      </c>
      <c r="U1109" s="49" t="n">
        <v>0</v>
      </c>
      <c r="V1109" s="72" t="inlineStr">
        <is>
          <t>Р-4</t>
        </is>
      </c>
      <c r="W1109" s="49" t="n">
        <v>3</v>
      </c>
    </row>
    <row r="1110">
      <c r="A1110" s="72" t="n">
        <v>1086</v>
      </c>
      <c r="B1110" s="21" t="inlineStr">
        <is>
          <t>3 этаж (отм. +7.550…+11.150)</t>
        </is>
      </c>
      <c r="C1110" s="21" t="inlineStr">
        <is>
          <t>Ригели</t>
        </is>
      </c>
      <c r="D1110" s="21" t="inlineStr">
        <is>
          <t>ось 4 (отм. +11.150)</t>
        </is>
      </c>
      <c r="E1110" s="21" t="inlineStr">
        <is>
          <t>Р-4</t>
        </is>
      </c>
      <c r="F1110" s="72" t="inlineStr">
        <is>
          <t>ОС</t>
        </is>
      </c>
      <c r="G1110" s="21" t="inlineStr">
        <is>
          <t>ОС низ: 2Ø25, участок 1000…7200 мм</t>
        </is>
      </c>
      <c r="H1110" s="51" t="n">
        <v>25</v>
      </c>
      <c r="I1110" s="72" t="inlineStr">
        <is>
          <t>А500С</t>
        </is>
      </c>
      <c r="J1110" s="72" t="inlineStr">
        <is>
          <t>—</t>
        </is>
      </c>
      <c r="K1110" s="75" t="n">
        <v>1</v>
      </c>
      <c r="L1110" s="51" t="n">
        <v>2</v>
      </c>
      <c r="M1110" s="69" t="n">
        <v>6.2</v>
      </c>
      <c r="N1110" s="70">
        <f>K1110*L1110*M1110</f>
        <v/>
      </c>
      <c r="O1110" s="37">
        <f>IFERROR(INDEX(Исходные!$B$19:$B$31,MATCH(H1110,Исходные!$A$19:$A$31,0)),0)</f>
        <v/>
      </c>
      <c r="P1110" s="76">
        <f>N1110*O1110</f>
        <v/>
      </c>
      <c r="Q1110" s="21" t="inlineStr">
        <is>
          <t>АС-27 (отм. 11.150): выноска «ОС 2Ø25 А500С»; длина по привязкам отдельных стержней</t>
        </is>
      </c>
      <c r="R1110" s="77" t="inlineStr">
        <is>
          <t>по геометрии чертежа</t>
        </is>
      </c>
      <c r="S1110" s="21" t="inlineStr">
        <is>
          <t>Координаты от оси А: 1000…7200 мм</t>
        </is>
      </c>
      <c r="T1110" s="21" t="inlineStr">
        <is>
          <t>Ригели, балки, плита, С-1</t>
        </is>
      </c>
      <c r="U1110" s="49" t="n">
        <v>0</v>
      </c>
      <c r="V1110" s="72" t="inlineStr">
        <is>
          <t>Р-4</t>
        </is>
      </c>
      <c r="W1110" s="49" t="n">
        <v>3</v>
      </c>
    </row>
    <row r="1111">
      <c r="A1111" s="72" t="n">
        <v>1087</v>
      </c>
      <c r="B1111" s="21" t="inlineStr">
        <is>
          <t>3 этаж (отм. +7.550…+11.150)</t>
        </is>
      </c>
      <c r="C1111" s="21" t="inlineStr">
        <is>
          <t>Ригели</t>
        </is>
      </c>
      <c r="D1111" s="21" t="inlineStr">
        <is>
          <t>ось 4 (отм. +11.150)</t>
        </is>
      </c>
      <c r="E1111" s="21" t="inlineStr">
        <is>
          <t>Р-4</t>
        </is>
      </c>
      <c r="F1111" s="72" t="inlineStr">
        <is>
          <t>ОС</t>
        </is>
      </c>
      <c r="G1111" s="21" t="inlineStr">
        <is>
          <t>ОС низ: 2Ø20, участок 8500…11500 мм</t>
        </is>
      </c>
      <c r="H1111" s="51" t="n">
        <v>20</v>
      </c>
      <c r="I1111" s="72" t="inlineStr">
        <is>
          <t>А500С</t>
        </is>
      </c>
      <c r="J1111" s="72" t="inlineStr">
        <is>
          <t>—</t>
        </is>
      </c>
      <c r="K1111" s="75" t="n">
        <v>1</v>
      </c>
      <c r="L1111" s="51" t="n">
        <v>2</v>
      </c>
      <c r="M1111" s="69" t="n">
        <v>3</v>
      </c>
      <c r="N1111" s="70">
        <f>K1111*L1111*M1111</f>
        <v/>
      </c>
      <c r="O1111" s="37">
        <f>IFERROR(INDEX(Исходные!$B$19:$B$31,MATCH(H1111,Исходные!$A$19:$A$31,0)),0)</f>
        <v/>
      </c>
      <c r="P1111" s="76">
        <f>N1111*O1111</f>
        <v/>
      </c>
      <c r="Q1111" s="21" t="inlineStr">
        <is>
          <t>АС-27 (отм. 11.150): выноска «ОС 2Ø20 А500С»; длина по привязкам отдельных стержней</t>
        </is>
      </c>
      <c r="R1111" s="77" t="inlineStr">
        <is>
          <t>по геометрии чертежа</t>
        </is>
      </c>
      <c r="S1111" s="21" t="inlineStr">
        <is>
          <t>Координаты от оси А: 8500…11500 мм</t>
        </is>
      </c>
      <c r="T1111" s="21" t="inlineStr">
        <is>
          <t>Ригели, балки, плита, С-1</t>
        </is>
      </c>
      <c r="U1111" s="49" t="n">
        <v>0</v>
      </c>
      <c r="V1111" s="72" t="inlineStr">
        <is>
          <t>Р-4</t>
        </is>
      </c>
      <c r="W1111" s="49" t="n">
        <v>3</v>
      </c>
    </row>
    <row r="1112">
      <c r="A1112" s="72" t="n">
        <v>1088</v>
      </c>
      <c r="B1112" s="21" t="inlineStr">
        <is>
          <t>3 этаж (отм. +7.550…+11.150)</t>
        </is>
      </c>
      <c r="C1112" s="21" t="inlineStr">
        <is>
          <t>Ригели</t>
        </is>
      </c>
      <c r="D1112" s="21" t="inlineStr">
        <is>
          <t>ось 4 (отм. +11.150)</t>
        </is>
      </c>
      <c r="E1112" s="21" t="inlineStr">
        <is>
          <t>Р-4</t>
        </is>
      </c>
      <c r="F1112" s="72" t="inlineStr">
        <is>
          <t>ОС</t>
        </is>
      </c>
      <c r="G1112" s="21" t="inlineStr">
        <is>
          <t>ОС низ: 2Ø16, участок 11500…15100 мм</t>
        </is>
      </c>
      <c r="H1112" s="51" t="n">
        <v>16</v>
      </c>
      <c r="I1112" s="72" t="inlineStr">
        <is>
          <t>А500С</t>
        </is>
      </c>
      <c r="J1112" s="72" t="inlineStr">
        <is>
          <t>—</t>
        </is>
      </c>
      <c r="K1112" s="75" t="n">
        <v>1</v>
      </c>
      <c r="L1112" s="51" t="n">
        <v>2</v>
      </c>
      <c r="M1112" s="69" t="n">
        <v>3.6</v>
      </c>
      <c r="N1112" s="70">
        <f>K1112*L1112*M1112</f>
        <v/>
      </c>
      <c r="O1112" s="37">
        <f>IFERROR(INDEX(Исходные!$B$19:$B$31,MATCH(H1112,Исходные!$A$19:$A$31,0)),0)</f>
        <v/>
      </c>
      <c r="P1112" s="76">
        <f>N1112*O1112</f>
        <v/>
      </c>
      <c r="Q1112" s="21" t="inlineStr">
        <is>
          <t>АС-27 (отм. 11.150): выноска «ОС 2Ø16 А500С»; длина по привязкам отдельных стержней</t>
        </is>
      </c>
      <c r="R1112" s="77" t="inlineStr">
        <is>
          <t>по геометрии чертежа</t>
        </is>
      </c>
      <c r="S1112" s="21" t="inlineStr">
        <is>
          <t>Координаты от оси А: 11500…15100 мм</t>
        </is>
      </c>
      <c r="T1112" s="21" t="inlineStr">
        <is>
          <t>Ригели, балки, плита, С-1</t>
        </is>
      </c>
      <c r="U1112" s="49" t="n">
        <v>0</v>
      </c>
      <c r="V1112" s="72" t="inlineStr">
        <is>
          <t>Р-4</t>
        </is>
      </c>
      <c r="W1112" s="49" t="n">
        <v>3</v>
      </c>
    </row>
    <row r="1113">
      <c r="A1113" s="72" t="n">
        <v>1089</v>
      </c>
      <c r="B1113" s="21" t="inlineStr">
        <is>
          <t>3 этаж (отм. +7.550…+11.150)</t>
        </is>
      </c>
      <c r="C1113" s="21" t="inlineStr">
        <is>
          <t>Ригели</t>
        </is>
      </c>
      <c r="D1113" s="21" t="inlineStr">
        <is>
          <t>ось 4 (отм. +11.150)</t>
        </is>
      </c>
      <c r="E1113" s="21" t="inlineStr">
        <is>
          <t>Р-4</t>
        </is>
      </c>
      <c r="F1113" s="72" t="inlineStr">
        <is>
          <t>ОС</t>
        </is>
      </c>
      <c r="G1113" s="21" t="inlineStr">
        <is>
          <t>ОС низ 2-й ряд: 2Ø14, участок 5100…8500 мм</t>
        </is>
      </c>
      <c r="H1113" s="51" t="n">
        <v>14</v>
      </c>
      <c r="I1113" s="72" t="inlineStr">
        <is>
          <t>А500С</t>
        </is>
      </c>
      <c r="J1113" s="72" t="inlineStr">
        <is>
          <t>—</t>
        </is>
      </c>
      <c r="K1113" s="75" t="n">
        <v>1</v>
      </c>
      <c r="L1113" s="51" t="n">
        <v>2</v>
      </c>
      <c r="M1113" s="69" t="n">
        <v>3.4</v>
      </c>
      <c r="N1113" s="70">
        <f>K1113*L1113*M1113</f>
        <v/>
      </c>
      <c r="O1113" s="37">
        <f>IFERROR(INDEX(Исходные!$B$19:$B$31,MATCH(H1113,Исходные!$A$19:$A$31,0)),0)</f>
        <v/>
      </c>
      <c r="P1113" s="76">
        <f>N1113*O1113</f>
        <v/>
      </c>
      <c r="Q1113" s="21" t="inlineStr">
        <is>
          <t>АС-27 (отм. 11.150): выноска «ОС 2Ø14 А500С»; длина по привязкам отдельных стержней</t>
        </is>
      </c>
      <c r="R1113" s="77" t="inlineStr">
        <is>
          <t>по геометрии чертежа</t>
        </is>
      </c>
      <c r="S1113" s="21" t="inlineStr">
        <is>
          <t>Координаты от оси А: 5100…8500 мм</t>
        </is>
      </c>
      <c r="T1113" s="21" t="inlineStr">
        <is>
          <t>Ригели, балки, плита, С-1</t>
        </is>
      </c>
      <c r="U1113" s="49" t="n">
        <v>0</v>
      </c>
      <c r="V1113" s="72" t="inlineStr">
        <is>
          <t>Р-4</t>
        </is>
      </c>
      <c r="W1113" s="49" t="n">
        <v>3</v>
      </c>
    </row>
    <row r="1114">
      <c r="A1114" s="72" t="n">
        <v>1090</v>
      </c>
      <c r="B1114" s="21" t="inlineStr">
        <is>
          <t>3 этаж (отм. +7.550…+11.150)</t>
        </is>
      </c>
      <c r="C1114" s="21" t="inlineStr">
        <is>
          <t>Ригели</t>
        </is>
      </c>
      <c r="D1114" s="21" t="inlineStr">
        <is>
          <t>ось 4 (отм. +11.150)</t>
        </is>
      </c>
      <c r="E1114" s="21" t="inlineStr">
        <is>
          <t>Р-4</t>
        </is>
      </c>
      <c r="F1114" s="72" t="inlineStr">
        <is>
          <t>ОС</t>
        </is>
      </c>
      <c r="G1114" s="21" t="inlineStr">
        <is>
          <t>Ос (бок) бок: 4Ø12, участок 1000…3400 мм</t>
        </is>
      </c>
      <c r="H1114" s="51" t="n">
        <v>12</v>
      </c>
      <c r="I1114" s="72" t="inlineStr">
        <is>
          <t>А500С</t>
        </is>
      </c>
      <c r="J1114" s="72" t="inlineStr">
        <is>
          <t>—</t>
        </is>
      </c>
      <c r="K1114" s="75" t="n">
        <v>1</v>
      </c>
      <c r="L1114" s="51" t="n">
        <v>4</v>
      </c>
      <c r="M1114" s="69" t="n">
        <v>2.4</v>
      </c>
      <c r="N1114" s="70">
        <f>K1114*L1114*M1114</f>
        <v/>
      </c>
      <c r="O1114" s="37">
        <f>IFERROR(INDEX(Исходные!$B$19:$B$31,MATCH(H1114,Исходные!$A$19:$A$31,0)),0)</f>
        <v/>
      </c>
      <c r="P1114" s="76">
        <f>N1114*O1114</f>
        <v/>
      </c>
      <c r="Q1114" s="21" t="inlineStr">
        <is>
          <t>АС-27 (отм. 11.150): выноска «Ос (бок) 4Ø12 А500С»; длина по привязкам отдельных стержней</t>
        </is>
      </c>
      <c r="R1114" s="77" t="inlineStr">
        <is>
          <t>по геометрии чертежа</t>
        </is>
      </c>
      <c r="S1114" s="21" t="inlineStr">
        <is>
          <t>Координаты от оси А: 1000…3400 мм</t>
        </is>
      </c>
      <c r="T1114" s="21" t="inlineStr">
        <is>
          <t>Ригели, балки, плита, С-1</t>
        </is>
      </c>
      <c r="U1114" s="49" t="n">
        <v>0</v>
      </c>
      <c r="V1114" s="72" t="inlineStr">
        <is>
          <t>Р-4</t>
        </is>
      </c>
      <c r="W1114" s="49" t="n">
        <v>3</v>
      </c>
    </row>
    <row r="1115">
      <c r="A1115" s="72" t="n">
        <v>1091</v>
      </c>
      <c r="B1115" s="21" t="inlineStr">
        <is>
          <t>3 этаж (отм. +7.550…+11.150)</t>
        </is>
      </c>
      <c r="C1115" s="21" t="inlineStr">
        <is>
          <t>Ригели</t>
        </is>
      </c>
      <c r="D1115" s="21" t="inlineStr">
        <is>
          <t>ось 4 (отм. +11.150)</t>
        </is>
      </c>
      <c r="E1115" s="21" t="inlineStr">
        <is>
          <t>Р-4</t>
        </is>
      </c>
      <c r="F1115" s="72" t="inlineStr">
        <is>
          <t>ОС</t>
        </is>
      </c>
      <c r="G1115" s="21" t="inlineStr">
        <is>
          <t>Ос (бок) бок: 4Ø12, участок 5100…8500 мм</t>
        </is>
      </c>
      <c r="H1115" s="51" t="n">
        <v>12</v>
      </c>
      <c r="I1115" s="72" t="inlineStr">
        <is>
          <t>А500С</t>
        </is>
      </c>
      <c r="J1115" s="72" t="inlineStr">
        <is>
          <t>—</t>
        </is>
      </c>
      <c r="K1115" s="75" t="n">
        <v>1</v>
      </c>
      <c r="L1115" s="51" t="n">
        <v>4</v>
      </c>
      <c r="M1115" s="69" t="n">
        <v>3.4</v>
      </c>
      <c r="N1115" s="70">
        <f>K1115*L1115*M1115</f>
        <v/>
      </c>
      <c r="O1115" s="37">
        <f>IFERROR(INDEX(Исходные!$B$19:$B$31,MATCH(H1115,Исходные!$A$19:$A$31,0)),0)</f>
        <v/>
      </c>
      <c r="P1115" s="76">
        <f>N1115*O1115</f>
        <v/>
      </c>
      <c r="Q1115" s="21" t="inlineStr">
        <is>
          <t>АС-27 (отм. 11.150): выноска «Ос (бок) 4Ø12 А500С»; длина по привязкам отдельных стержней</t>
        </is>
      </c>
      <c r="R1115" s="77" t="inlineStr">
        <is>
          <t>по геометрии чертежа</t>
        </is>
      </c>
      <c r="S1115" s="21" t="inlineStr">
        <is>
          <t>Координаты от оси А: 5100…8500 мм</t>
        </is>
      </c>
      <c r="T1115" s="21" t="inlineStr">
        <is>
          <t>Ригели, балки, плита, С-1</t>
        </is>
      </c>
      <c r="U1115" s="49" t="n">
        <v>0</v>
      </c>
      <c r="V1115" s="72" t="inlineStr">
        <is>
          <t>Р-4</t>
        </is>
      </c>
      <c r="W1115" s="49" t="n">
        <v>3</v>
      </c>
    </row>
    <row r="1116">
      <c r="A1116" s="72" t="n">
        <v>1092</v>
      </c>
      <c r="B1116" s="21" t="inlineStr">
        <is>
          <t>3 этаж (отм. +7.550…+11.150)</t>
        </is>
      </c>
      <c r="C1116" s="21" t="inlineStr">
        <is>
          <t>Ригели</t>
        </is>
      </c>
      <c r="D1116" s="21" t="inlineStr">
        <is>
          <t>ось 4 (отм. +11.150)</t>
        </is>
      </c>
      <c r="E1116" s="21" t="inlineStr">
        <is>
          <t>Р-4</t>
        </is>
      </c>
      <c r="F1116" s="72" t="inlineStr">
        <is>
          <t>ОС</t>
        </is>
      </c>
      <c r="G1116" s="21" t="inlineStr">
        <is>
          <t>Ос (бок) бок: 4Ø12, участок 11500…15100 мм</t>
        </is>
      </c>
      <c r="H1116" s="51" t="n">
        <v>12</v>
      </c>
      <c r="I1116" s="72" t="inlineStr">
        <is>
          <t>А500С</t>
        </is>
      </c>
      <c r="J1116" s="72" t="inlineStr">
        <is>
          <t>—</t>
        </is>
      </c>
      <c r="K1116" s="75" t="n">
        <v>1</v>
      </c>
      <c r="L1116" s="51" t="n">
        <v>4</v>
      </c>
      <c r="M1116" s="69" t="n">
        <v>3.6</v>
      </c>
      <c r="N1116" s="70">
        <f>K1116*L1116*M1116</f>
        <v/>
      </c>
      <c r="O1116" s="37">
        <f>IFERROR(INDEX(Исходные!$B$19:$B$31,MATCH(H1116,Исходные!$A$19:$A$31,0)),0)</f>
        <v/>
      </c>
      <c r="P1116" s="76">
        <f>N1116*O1116</f>
        <v/>
      </c>
      <c r="Q1116" s="21" t="inlineStr">
        <is>
          <t>АС-27 (отм. 11.150): выноска «Ос (бок) 4Ø12 А500С»; длина по привязкам отдельных стержней</t>
        </is>
      </c>
      <c r="R1116" s="77" t="inlineStr">
        <is>
          <t>по геометрии чертежа</t>
        </is>
      </c>
      <c r="S1116" s="21" t="inlineStr">
        <is>
          <t>Координаты от оси А: 11500…15100 мм</t>
        </is>
      </c>
      <c r="T1116" s="21" t="inlineStr">
        <is>
          <t>Ригели, балки, плита, С-1</t>
        </is>
      </c>
      <c r="U1116" s="49" t="n">
        <v>0</v>
      </c>
      <c r="V1116" s="72" t="inlineStr">
        <is>
          <t>Р-4</t>
        </is>
      </c>
      <c r="W1116" s="49" t="n">
        <v>3</v>
      </c>
    </row>
    <row r="1117">
      <c r="A1117" s="72" t="n">
        <v>1093</v>
      </c>
      <c r="B1117" s="21" t="inlineStr">
        <is>
          <t>3 этаж (отм. +7.550…+11.150)</t>
        </is>
      </c>
      <c r="C1117" s="21" t="inlineStr">
        <is>
          <t>Ригели</t>
        </is>
      </c>
      <c r="D1117" s="21" t="inlineStr">
        <is>
          <t>ось 4 (отм. +11.150)</t>
        </is>
      </c>
      <c r="E1117" s="21" t="inlineStr">
        <is>
          <t>Р-4</t>
        </is>
      </c>
      <c r="F1117" s="72" t="inlineStr">
        <is>
          <t>ОС</t>
        </is>
      </c>
      <c r="G1117" s="21" t="inlineStr">
        <is>
          <t>Ос (бок) бок: 4Ø12, участок 17400…19700 мм</t>
        </is>
      </c>
      <c r="H1117" s="51" t="n">
        <v>12</v>
      </c>
      <c r="I1117" s="72" t="inlineStr">
        <is>
          <t>А500С</t>
        </is>
      </c>
      <c r="J1117" s="72" t="inlineStr">
        <is>
          <t>—</t>
        </is>
      </c>
      <c r="K1117" s="75" t="n">
        <v>1</v>
      </c>
      <c r="L1117" s="51" t="n">
        <v>4</v>
      </c>
      <c r="M1117" s="69" t="n">
        <v>2.3</v>
      </c>
      <c r="N1117" s="70">
        <f>K1117*L1117*M1117</f>
        <v/>
      </c>
      <c r="O1117" s="37">
        <f>IFERROR(INDEX(Исходные!$B$19:$B$31,MATCH(H1117,Исходные!$A$19:$A$31,0)),0)</f>
        <v/>
      </c>
      <c r="P1117" s="76">
        <f>N1117*O1117</f>
        <v/>
      </c>
      <c r="Q1117" s="21" t="inlineStr">
        <is>
          <t>АС-27 (отм. 11.150): выноска «Ос (бок) 4Ø12 А500С»; длина по привязкам отдельных стержней</t>
        </is>
      </c>
      <c r="R1117" s="77" t="inlineStr">
        <is>
          <t>по геометрии чертежа</t>
        </is>
      </c>
      <c r="S1117" s="21" t="inlineStr">
        <is>
          <t>Координаты от оси А: 17400…19700 мм</t>
        </is>
      </c>
      <c r="T1117" s="21" t="inlineStr">
        <is>
          <t>Ригели, балки, плита, С-1</t>
        </is>
      </c>
      <c r="U1117" s="49" t="n">
        <v>0</v>
      </c>
      <c r="V1117" s="72" t="inlineStr">
        <is>
          <t>Р-4</t>
        </is>
      </c>
      <c r="W1117" s="49" t="n">
        <v>3</v>
      </c>
    </row>
    <row r="1118">
      <c r="A1118" s="72" t="n">
        <v>1094</v>
      </c>
      <c r="B1118" s="21" t="inlineStr">
        <is>
          <t>3 этаж (отм. +7.550…+11.150)</t>
        </is>
      </c>
      <c r="C1118" s="21" t="inlineStr">
        <is>
          <t>Ригели</t>
        </is>
      </c>
      <c r="D1118" s="21" t="inlineStr">
        <is>
          <t>ось 4 (отм. +11.150)</t>
        </is>
      </c>
      <c r="E1118" s="21" t="inlineStr">
        <is>
          <t>Р-4</t>
        </is>
      </c>
      <c r="F1118" s="72" t="inlineStr">
        <is>
          <t>12</t>
        </is>
      </c>
      <c r="G1118" s="21" t="inlineStr">
        <is>
          <t>Хомут Ø8 L=2060 ш.100 у опор, ш.150 в пролёте, 80×4 у балок — вне заштрихованных участков</t>
        </is>
      </c>
      <c r="H1118" s="51" t="n">
        <v>8</v>
      </c>
      <c r="I1118" s="72" t="inlineStr">
        <is>
          <t>А240</t>
        </is>
      </c>
      <c r="J1118" s="72" t="inlineStr">
        <is>
          <t>100/150</t>
        </is>
      </c>
      <c r="K1118" s="75" t="n">
        <v>1</v>
      </c>
      <c r="L1118" s="51" t="n">
        <v>51</v>
      </c>
      <c r="M1118" s="69" t="n">
        <v>2.06</v>
      </c>
      <c r="N1118" s="70">
        <f>K1118*L1118*M1118</f>
        <v/>
      </c>
      <c r="O1118" s="37">
        <f>IFERROR(INDEX(Исходные!$B$19:$B$31,MATCH(H1118,Исходные!$A$19:$A$31,0)),0)</f>
        <v/>
      </c>
      <c r="P1118" s="76">
        <f>N1118*O1118</f>
        <v/>
      </c>
      <c r="Q1118" s="21" t="inlineStr">
        <is>
          <t>АС-28 поз.12; АС-29 «Расстановка хомутов в ригелях»</t>
        </is>
      </c>
      <c r="R1118" s="77" t="inlineStr">
        <is>
          <t>по проекту</t>
        </is>
      </c>
      <c r="S1118" s="21" t="inlineStr">
        <is>
          <t>Пролёты в свету [(2000, 6200), (6800, 13200), (13800, 19000)]</t>
        </is>
      </c>
      <c r="T1118" s="21" t="inlineStr">
        <is>
          <t>Ригели, балки, плита, С-1</t>
        </is>
      </c>
      <c r="U1118" s="49" t="n">
        <v>0</v>
      </c>
      <c r="V1118" s="72" t="inlineStr">
        <is>
          <t>Р-4</t>
        </is>
      </c>
      <c r="W1118" s="49" t="n">
        <v>3</v>
      </c>
    </row>
    <row r="1119">
      <c r="A1119" s="72" t="n">
        <v>1095</v>
      </c>
      <c r="B1119" s="21" t="inlineStr">
        <is>
          <t>3 этаж (отм. +7.550…+11.150)</t>
        </is>
      </c>
      <c r="C1119" s="21" t="inlineStr">
        <is>
          <t>Ригели</t>
        </is>
      </c>
      <c r="D1119" s="21" t="inlineStr">
        <is>
          <t>ось 4 (отм. +11.150)</t>
        </is>
      </c>
      <c r="E1119" s="21" t="inlineStr">
        <is>
          <t>Р-4</t>
        </is>
      </c>
      <c r="F1119" s="72" t="inlineStr">
        <is>
          <t>13</t>
        </is>
      </c>
      <c r="G1119" s="21" t="inlineStr">
        <is>
          <t>Хомут наружный Ø10 L=2060 ш.100 — заштрихованные участки</t>
        </is>
      </c>
      <c r="H1119" s="51" t="n">
        <v>10</v>
      </c>
      <c r="I1119" s="72" t="inlineStr">
        <is>
          <t>А240</t>
        </is>
      </c>
      <c r="J1119" s="72" t="n">
        <v>100</v>
      </c>
      <c r="K1119" s="75" t="n">
        <v>1</v>
      </c>
      <c r="L1119" s="51" t="n">
        <v>87</v>
      </c>
      <c r="M1119" s="69" t="n">
        <v>2.06</v>
      </c>
      <c r="N1119" s="70">
        <f>K1119*L1119*M1119</f>
        <v/>
      </c>
      <c r="O1119" s="37">
        <f>IFERROR(INDEX(Исходные!$B$19:$B$31,MATCH(H1119,Исходные!$A$19:$A$31,0)),0)</f>
        <v/>
      </c>
      <c r="P1119" s="76">
        <f>N1119*O1119</f>
        <v/>
      </c>
      <c r="Q1119" s="21" t="inlineStr">
        <is>
          <t>АС-27 штриховка у отм. 11.150; АС-28 Фрагмент №1, поз.13</t>
        </is>
      </c>
      <c r="R1119" s="77" t="inlineStr">
        <is>
          <t>по проекту</t>
        </is>
      </c>
      <c r="S1119" s="21" t="inlineStr">
        <is>
          <t>Участки (мм): одинарные [(8500, 9500), (10500, 11500), (16400, 17400)], двойные [(2000, 3200), (6500, 8500), (11500, 13500), (17400, 19000)]</t>
        </is>
      </c>
      <c r="T1119" s="21" t="inlineStr">
        <is>
          <t>Ригели, балки, плита, С-1</t>
        </is>
      </c>
      <c r="U1119" s="49" t="n">
        <v>0</v>
      </c>
      <c r="V1119" s="72" t="inlineStr">
        <is>
          <t>Р-4</t>
        </is>
      </c>
      <c r="W1119" s="49" t="n">
        <v>3</v>
      </c>
    </row>
    <row r="1120">
      <c r="A1120" s="72" t="n">
        <v>1096</v>
      </c>
      <c r="B1120" s="21" t="inlineStr">
        <is>
          <t>3 этаж (отм. +7.550…+11.150)</t>
        </is>
      </c>
      <c r="C1120" s="21" t="inlineStr">
        <is>
          <t>Ригели</t>
        </is>
      </c>
      <c r="D1120" s="21" t="inlineStr">
        <is>
          <t>ось 4 (отм. +11.150)</t>
        </is>
      </c>
      <c r="E1120" s="21" t="inlineStr">
        <is>
          <t>Р-4</t>
        </is>
      </c>
      <c r="F1120" s="72" t="inlineStr">
        <is>
          <t>15</t>
        </is>
      </c>
      <c r="G1120" s="21" t="inlineStr">
        <is>
          <t>Хомут внутренний Ø10 L=1600 ш.100 — участки двойных хомутов</t>
        </is>
      </c>
      <c r="H1120" s="51" t="n">
        <v>10</v>
      </c>
      <c r="I1120" s="72" t="inlineStr">
        <is>
          <t>А240</t>
        </is>
      </c>
      <c r="J1120" s="72" t="n">
        <v>100</v>
      </c>
      <c r="K1120" s="75" t="n">
        <v>1</v>
      </c>
      <c r="L1120" s="51" t="n">
        <v>61</v>
      </c>
      <c r="M1120" s="69" t="n">
        <v>1.6</v>
      </c>
      <c r="N1120" s="70">
        <f>K1120*L1120*M1120</f>
        <v/>
      </c>
      <c r="O1120" s="37">
        <f>IFERROR(INDEX(Исходные!$B$19:$B$31,MATCH(H1120,Исходные!$A$19:$A$31,0)),0)</f>
        <v/>
      </c>
      <c r="P1120" s="76">
        <f>N1120*O1120</f>
        <v/>
      </c>
      <c r="Q1120" s="21" t="inlineStr">
        <is>
          <t>АС-27 двойная штриховка; АС-28 Фрагмент №1, поз.15</t>
        </is>
      </c>
      <c r="R1120" s="77" t="inlineStr">
        <is>
          <t>по проекту</t>
        </is>
      </c>
      <c r="S1120" s="21" t="inlineStr"/>
      <c r="T1120" s="21" t="inlineStr">
        <is>
          <t>Ригели, балки, плита, С-1</t>
        </is>
      </c>
      <c r="U1120" s="49" t="n">
        <v>0</v>
      </c>
      <c r="V1120" s="72" t="inlineStr">
        <is>
          <t>Р-4</t>
        </is>
      </c>
      <c r="W1120" s="49" t="n">
        <v>3</v>
      </c>
    </row>
    <row r="1121">
      <c r="A1121" s="72" t="n">
        <v>1097</v>
      </c>
      <c r="B1121" s="21" t="inlineStr">
        <is>
          <t>3 этаж (отм. +7.550…+11.150)</t>
        </is>
      </c>
      <c r="C1121" s="21" t="inlineStr">
        <is>
          <t>Ригели</t>
        </is>
      </c>
      <c r="D1121" s="21" t="inlineStr">
        <is>
          <t>ось 4 (отм. +11.150)</t>
        </is>
      </c>
      <c r="E1121" s="21" t="inlineStr">
        <is>
          <t>Р-4</t>
        </is>
      </c>
      <c r="F1121" s="72" t="inlineStr">
        <is>
          <t>17</t>
        </is>
      </c>
      <c r="G1121" s="21" t="inlineStr">
        <is>
          <t>Шпилька вертикальная Ø8 L=750: ш.200 у опор, ш.150 в пролёте</t>
        </is>
      </c>
      <c r="H1121" s="51" t="n">
        <v>8</v>
      </c>
      <c r="I1121" s="72" t="inlineStr">
        <is>
          <t>А240</t>
        </is>
      </c>
      <c r="J1121" s="72" t="inlineStr">
        <is>
          <t>200/150</t>
        </is>
      </c>
      <c r="K1121" s="75" t="n">
        <v>1</v>
      </c>
      <c r="L1121" s="51" t="n">
        <v>53</v>
      </c>
      <c r="M1121" s="69" t="n">
        <v>0.75</v>
      </c>
      <c r="N1121" s="70">
        <f>K1121*L1121*M1121</f>
        <v/>
      </c>
      <c r="O1121" s="37">
        <f>IFERROR(INDEX(Исходные!$B$19:$B$31,MATCH(H1121,Исходные!$A$19:$A$31,0)),0)</f>
        <v/>
      </c>
      <c r="P1121" s="76">
        <f>N1121*O1121</f>
        <v/>
      </c>
      <c r="Q1121" s="21" t="inlineStr">
        <is>
          <t>АС-28 сеч.4-4/5-5 поз.17</t>
        </is>
      </c>
      <c r="R1121" s="77" t="inlineStr">
        <is>
          <t>по проекту</t>
        </is>
      </c>
      <c r="S1121" s="21" t="inlineStr"/>
      <c r="T1121" s="21" t="inlineStr">
        <is>
          <t>Ригели, балки, плита, С-1</t>
        </is>
      </c>
      <c r="U1121" s="49" t="n">
        <v>0</v>
      </c>
      <c r="V1121" s="72" t="inlineStr">
        <is>
          <t>Р-4</t>
        </is>
      </c>
      <c r="W1121" s="49" t="n">
        <v>3</v>
      </c>
    </row>
    <row r="1122">
      <c r="A1122" s="72" t="n">
        <v>1098</v>
      </c>
      <c r="B1122" s="21" t="inlineStr">
        <is>
          <t>3 этаж (отм. +7.550…+11.150)</t>
        </is>
      </c>
      <c r="C1122" s="21" t="inlineStr">
        <is>
          <t>Ригели</t>
        </is>
      </c>
      <c r="D1122" s="21" t="inlineStr">
        <is>
          <t>ось 4 (отм. +11.150)</t>
        </is>
      </c>
      <c r="E1122" s="21" t="inlineStr">
        <is>
          <t>Р-4</t>
        </is>
      </c>
      <c r="F1122" s="72" t="inlineStr">
        <is>
          <t>16</t>
        </is>
      </c>
      <c r="G1122" s="21" t="inlineStr">
        <is>
          <t>Шпилька горизонтальная Ø8 L=580 ш.300</t>
        </is>
      </c>
      <c r="H1122" s="51" t="n">
        <v>8</v>
      </c>
      <c r="I1122" s="72" t="inlineStr">
        <is>
          <t>А240</t>
        </is>
      </c>
      <c r="J1122" s="72" t="n">
        <v>300</v>
      </c>
      <c r="K1122" s="75" t="n">
        <v>1</v>
      </c>
      <c r="L1122" s="51" t="n">
        <v>54</v>
      </c>
      <c r="M1122" s="69" t="n">
        <v>0.58</v>
      </c>
      <c r="N1122" s="70">
        <f>K1122*L1122*M1122</f>
        <v/>
      </c>
      <c r="O1122" s="37">
        <f>IFERROR(INDEX(Исходные!$B$19:$B$31,MATCH(H1122,Исходные!$A$19:$A$31,0)),0)</f>
        <v/>
      </c>
      <c r="P1122" s="76">
        <f>N1122*O1122</f>
        <v/>
      </c>
      <c r="Q1122" s="21" t="inlineStr">
        <is>
          <t>АС-28 «шп.Ø8 А240 ш.300», поз.16 L=580</t>
        </is>
      </c>
      <c r="R1122" s="78" t="inlineStr">
        <is>
          <t>принято (уточнить)</t>
        </is>
      </c>
      <c r="S1122" s="21" t="inlineStr"/>
      <c r="T1122" s="21" t="inlineStr">
        <is>
          <t>Ригели, балки, плита, С-1</t>
        </is>
      </c>
      <c r="U1122" s="49" t="n">
        <v>1</v>
      </c>
      <c r="V1122" s="72" t="inlineStr">
        <is>
          <t>Р-4</t>
        </is>
      </c>
      <c r="W1122" s="49" t="n">
        <v>3</v>
      </c>
    </row>
    <row r="1123">
      <c r="A1123" s="74" t="inlineStr">
        <is>
          <t>3.4. ПЛИТА ПЕРЕКРЫТИЯ: сетки, доп. зоны, край, фиксаторы — отм. +11.150 (АС-48 «7.550÷14.750»)</t>
        </is>
      </c>
      <c r="B1123" s="33" t="n"/>
      <c r="C1123" s="33" t="n"/>
      <c r="D1123" s="33" t="n"/>
      <c r="E1123" s="33" t="n"/>
      <c r="F1123" s="33" t="n"/>
      <c r="G1123" s="33" t="n"/>
      <c r="H1123" s="33" t="n"/>
      <c r="I1123" s="33" t="n"/>
      <c r="J1123" s="33" t="n"/>
      <c r="K1123" s="33" t="n"/>
      <c r="L1123" s="33" t="n"/>
      <c r="M1123" s="33" t="n"/>
      <c r="N1123" s="33" t="n"/>
      <c r="O1123" s="33" t="n"/>
      <c r="P1123" s="33" t="n"/>
      <c r="Q1123" s="33" t="n"/>
      <c r="R1123" s="33" t="n"/>
      <c r="S1123" s="33" t="n"/>
      <c r="T1123" s="33" t="n"/>
      <c r="U1123" s="33" t="n"/>
      <c r="V1123" s="33" t="n"/>
      <c r="W1123" s="34" t="n"/>
    </row>
    <row r="1124">
      <c r="A1124" s="72" t="n">
        <v>1099</v>
      </c>
      <c r="B1124" s="21" t="inlineStr">
        <is>
          <t>3 этаж (отм. +7.550…+11.150)</t>
        </is>
      </c>
      <c r="C1124" s="21" t="inlineStr">
        <is>
          <t>Плита перекрытия</t>
        </is>
      </c>
      <c r="D1124" s="21" t="inlineStr">
        <is>
          <t>1–5 / А–Г</t>
        </is>
      </c>
      <c r="E1124" s="21" t="inlineStr">
        <is>
          <t>ПМ-11.150</t>
        </is>
      </c>
      <c r="F1124" s="72" t="inlineStr">
        <is>
          <t>НX</t>
        </is>
      </c>
      <c r="G1124" s="21" t="inlineStr">
        <is>
          <t>Нижняя осн. сетка, направление X (вдоль осей 1–5)</t>
        </is>
      </c>
      <c r="H1124" s="51" t="n">
        <v>10</v>
      </c>
      <c r="I1124" s="72" t="inlineStr">
        <is>
          <t>А500С</t>
        </is>
      </c>
      <c r="J1124" s="72" t="n">
        <v>200</v>
      </c>
      <c r="K1124" s="75" t="n">
        <v>1</v>
      </c>
      <c r="L1124" s="51" t="n">
        <v>26</v>
      </c>
      <c r="M1124" s="69" t="n">
        <v>27.32</v>
      </c>
      <c r="N1124" s="70">
        <f>K1124*L1124*M1124</f>
        <v/>
      </c>
      <c r="O1124" s="37">
        <f>IFERROR(INDEX(Исходные!$B$19:$B$31,MATCH(H1124,Исходные!$A$19:$A$31,0)),0)</f>
        <v/>
      </c>
      <c r="P1124" s="76">
        <f>N1124*O1124</f>
        <v/>
      </c>
      <c r="Q1124" s="21" t="inlineStr">
        <is>
          <t>АС-50/АС-51 «Осн. сетка Ø10 А500С ш.200×200»; контур — АС-48 (край 420, проём лестницы 13725…18200)</t>
        </is>
      </c>
      <c r="R1124" s="77" t="inlineStr">
        <is>
          <t>по геометрии чертежа</t>
        </is>
      </c>
      <c r="S1124" s="21" t="inlineStr"/>
      <c r="T1124" s="21" t="inlineStr">
        <is>
          <t>Ригели, балки, плита, С-1</t>
        </is>
      </c>
      <c r="U1124" s="49" t="n">
        <v>0</v>
      </c>
      <c r="V1124" s="72" t="inlineStr">
        <is>
          <t>П-сетка</t>
        </is>
      </c>
      <c r="W1124" s="49" t="n">
        <v>3</v>
      </c>
    </row>
    <row r="1125">
      <c r="A1125" s="72" t="n">
        <v>1100</v>
      </c>
      <c r="B1125" s="21" t="inlineStr">
        <is>
          <t>3 этаж (отм. +7.550…+11.150)</t>
        </is>
      </c>
      <c r="C1125" s="21" t="inlineStr">
        <is>
          <t>Плита перекрытия</t>
        </is>
      </c>
      <c r="D1125" s="21" t="inlineStr">
        <is>
          <t>1–5 / А–Г</t>
        </is>
      </c>
      <c r="E1125" s="21" t="inlineStr">
        <is>
          <t>ПМ-11.150</t>
        </is>
      </c>
      <c r="F1125" s="72" t="inlineStr">
        <is>
          <t>НX-нахл</t>
        </is>
      </c>
      <c r="G1125" s="21" t="inlineStr">
        <is>
          <t>Нахлёсты стыков к поз. «Нижняя осн. сетка, направление X (вдоль осей 1–5)» (L=27.320 м &gt; 11,7 м): 3 куска, 2 стык(а) на стержень × 26 стерж.</t>
        </is>
      </c>
      <c r="H1125" s="51" t="n">
        <v>10</v>
      </c>
      <c r="I1125" s="72" t="inlineStr">
        <is>
          <t>А500С</t>
        </is>
      </c>
      <c r="J1125" s="72" t="inlineStr">
        <is>
          <t>—</t>
        </is>
      </c>
      <c r="K1125" s="75" t="n">
        <v>26</v>
      </c>
      <c r="L1125" s="51" t="n">
        <v>2</v>
      </c>
      <c r="M1125" s="69" t="n">
        <v>0.4</v>
      </c>
      <c r="N1125" s="70">
        <f>K1125*L1125*M1125</f>
        <v/>
      </c>
      <c r="O1125" s="37">
        <f>IFERROR(INDEX(Исходные!$B$19:$B$31,MATCH(H1125,Исходные!$A$19:$A$31,0)),0)</f>
        <v/>
      </c>
      <c r="P1125" s="76">
        <f>N1125*O1125</f>
        <v/>
      </c>
      <c r="Q1125" s="21" t="inlineStr">
        <is>
          <t>АС-58 «Деталь стыка арматуры армирования плиты»: нахлёст 400 мм для Ø10</t>
        </is>
      </c>
      <c r="R1125" s="77" t="inlineStr">
        <is>
          <t>по проекту (стыковка прутков 11,7 м)</t>
        </is>
      </c>
      <c r="S1125" s="21" t="inlineStr">
        <is>
          <t>Чистая длина 27.320 м; кусков 3; стыков 2; Lнахл=2×0.400=0.8 м на стержень</t>
        </is>
      </c>
      <c r="T1125" s="21" t="inlineStr">
        <is>
          <t>Ригели, балки, плита, С-1</t>
        </is>
      </c>
      <c r="U1125" s="49" t="n">
        <v>0</v>
      </c>
      <c r="V1125" s="72" t="inlineStr">
        <is>
          <t>П-сетка</t>
        </is>
      </c>
      <c r="W1125" s="49" t="n">
        <v>3</v>
      </c>
    </row>
    <row r="1126">
      <c r="A1126" s="72" t="n">
        <v>1101</v>
      </c>
      <c r="B1126" s="21" t="inlineStr">
        <is>
          <t>3 этаж (отм. +7.550…+11.150)</t>
        </is>
      </c>
      <c r="C1126" s="21" t="inlineStr">
        <is>
          <t>Плита перекрытия</t>
        </is>
      </c>
      <c r="D1126" s="21" t="inlineStr">
        <is>
          <t>1–5 / А–Г</t>
        </is>
      </c>
      <c r="E1126" s="21" t="inlineStr">
        <is>
          <t>ПМ-11.150</t>
        </is>
      </c>
      <c r="F1126" s="72" t="inlineStr">
        <is>
          <t>НX</t>
        </is>
      </c>
      <c r="G1126" s="21" t="inlineStr">
        <is>
          <t>Нижняя осн. сетка, направление X (вдоль осей 1–5)</t>
        </is>
      </c>
      <c r="H1126" s="51" t="n">
        <v>10</v>
      </c>
      <c r="I1126" s="72" t="inlineStr">
        <is>
          <t>А500С</t>
        </is>
      </c>
      <c r="J1126" s="72" t="n">
        <v>200</v>
      </c>
      <c r="K1126" s="75" t="n">
        <v>1</v>
      </c>
      <c r="L1126" s="51" t="n">
        <v>49</v>
      </c>
      <c r="M1126" s="69" t="n">
        <v>25.6</v>
      </c>
      <c r="N1126" s="70">
        <f>K1126*L1126*M1126</f>
        <v/>
      </c>
      <c r="O1126" s="37">
        <f>IFERROR(INDEX(Исходные!$B$19:$B$31,MATCH(H1126,Исходные!$A$19:$A$31,0)),0)</f>
        <v/>
      </c>
      <c r="P1126" s="76">
        <f>N1126*O1126</f>
        <v/>
      </c>
      <c r="Q1126" s="21" t="inlineStr">
        <is>
          <t>АС-50/АС-51 «Осн. сетка Ø10 А500С ш.200×200»; контур — АС-48 (край 420, проём лестницы 13725…18200)</t>
        </is>
      </c>
      <c r="R1126" s="77" t="inlineStr">
        <is>
          <t>по геометрии чертежа</t>
        </is>
      </c>
      <c r="S1126" s="21" t="inlineStr"/>
      <c r="T1126" s="21" t="inlineStr">
        <is>
          <t>Ригели, балки, плита, С-1</t>
        </is>
      </c>
      <c r="U1126" s="49" t="n">
        <v>0</v>
      </c>
      <c r="V1126" s="72" t="inlineStr">
        <is>
          <t>П-сетка</t>
        </is>
      </c>
      <c r="W1126" s="49" t="n">
        <v>3</v>
      </c>
    </row>
    <row r="1127">
      <c r="A1127" s="72" t="n">
        <v>1102</v>
      </c>
      <c r="B1127" s="21" t="inlineStr">
        <is>
          <t>3 этаж (отм. +7.550…+11.150)</t>
        </is>
      </c>
      <c r="C1127" s="21" t="inlineStr">
        <is>
          <t>Плита перекрытия</t>
        </is>
      </c>
      <c r="D1127" s="21" t="inlineStr">
        <is>
          <t>1–5 / А–Г</t>
        </is>
      </c>
      <c r="E1127" s="21" t="inlineStr">
        <is>
          <t>ПМ-11.150</t>
        </is>
      </c>
      <c r="F1127" s="72" t="inlineStr">
        <is>
          <t>НX-нахл</t>
        </is>
      </c>
      <c r="G1127" s="21" t="inlineStr">
        <is>
          <t>Нахлёсты стыков к поз. «Нижняя осн. сетка, направление X (вдоль осей 1–5)» (L=25.600 м &gt; 11,7 м): 3 куска, 2 стык(а) на стержень × 49 стерж.</t>
        </is>
      </c>
      <c r="H1127" s="51" t="n">
        <v>10</v>
      </c>
      <c r="I1127" s="72" t="inlineStr">
        <is>
          <t>А500С</t>
        </is>
      </c>
      <c r="J1127" s="72" t="inlineStr">
        <is>
          <t>—</t>
        </is>
      </c>
      <c r="K1127" s="75" t="n">
        <v>49</v>
      </c>
      <c r="L1127" s="51" t="n">
        <v>2</v>
      </c>
      <c r="M1127" s="69" t="n">
        <v>0.4</v>
      </c>
      <c r="N1127" s="70">
        <f>K1127*L1127*M1127</f>
        <v/>
      </c>
      <c r="O1127" s="37">
        <f>IFERROR(INDEX(Исходные!$B$19:$B$31,MATCH(H1127,Исходные!$A$19:$A$31,0)),0)</f>
        <v/>
      </c>
      <c r="P1127" s="76">
        <f>N1127*O1127</f>
        <v/>
      </c>
      <c r="Q1127" s="21" t="inlineStr">
        <is>
          <t>АС-58 «Деталь стыка арматуры армирования плиты»: нахлёст 400 мм для Ø10</t>
        </is>
      </c>
      <c r="R1127" s="77" t="inlineStr">
        <is>
          <t>по проекту (стыковка прутков 11,7 м)</t>
        </is>
      </c>
      <c r="S1127" s="21" t="inlineStr">
        <is>
          <t>Чистая длина 25.600 м; кусков 3; стыков 2; Lнахл=2×0.400=0.8 м на стержень</t>
        </is>
      </c>
      <c r="T1127" s="21" t="inlineStr">
        <is>
          <t>Ригели, балки, плита, С-1</t>
        </is>
      </c>
      <c r="U1127" s="49" t="n">
        <v>0</v>
      </c>
      <c r="V1127" s="72" t="inlineStr">
        <is>
          <t>П-сетка</t>
        </is>
      </c>
      <c r="W1127" s="49" t="n">
        <v>3</v>
      </c>
    </row>
    <row r="1128">
      <c r="A1128" s="72" t="n">
        <v>1103</v>
      </c>
      <c r="B1128" s="21" t="inlineStr">
        <is>
          <t>3 этаж (отм. +7.550…+11.150)</t>
        </is>
      </c>
      <c r="C1128" s="21" t="inlineStr">
        <is>
          <t>Плита перекрытия</t>
        </is>
      </c>
      <c r="D1128" s="21" t="inlineStr">
        <is>
          <t>1–5 / А–Г</t>
        </is>
      </c>
      <c r="E1128" s="21" t="inlineStr">
        <is>
          <t>ПМ-11.150</t>
        </is>
      </c>
      <c r="F1128" s="72" t="inlineStr">
        <is>
          <t>НX</t>
        </is>
      </c>
      <c r="G1128" s="21" t="inlineStr">
        <is>
          <t>Нижняя осн. сетка, направление X (вдоль осей 1–5)</t>
        </is>
      </c>
      <c r="H1128" s="51" t="n">
        <v>10</v>
      </c>
      <c r="I1128" s="72" t="inlineStr">
        <is>
          <t>А500С</t>
        </is>
      </c>
      <c r="J1128" s="72" t="n">
        <v>200</v>
      </c>
      <c r="K1128" s="75" t="n">
        <v>1</v>
      </c>
      <c r="L1128" s="51" t="n">
        <v>1</v>
      </c>
      <c r="M1128" s="69" t="n">
        <v>22.2</v>
      </c>
      <c r="N1128" s="70">
        <f>K1128*L1128*M1128</f>
        <v/>
      </c>
      <c r="O1128" s="37">
        <f>IFERROR(INDEX(Исходные!$B$19:$B$31,MATCH(H1128,Исходные!$A$19:$A$31,0)),0)</f>
        <v/>
      </c>
      <c r="P1128" s="76">
        <f>N1128*O1128</f>
        <v/>
      </c>
      <c r="Q1128" s="21" t="inlineStr">
        <is>
          <t>АС-50/АС-51 «Осн. сетка Ø10 А500С ш.200×200»; контур — АС-48 (край 420, проём лестницы 13725…18200)</t>
        </is>
      </c>
      <c r="R1128" s="77" t="inlineStr">
        <is>
          <t>по геометрии чертежа</t>
        </is>
      </c>
      <c r="S1128" s="21" t="inlineStr"/>
      <c r="T1128" s="21" t="inlineStr">
        <is>
          <t>Ригели, балки, плита, С-1</t>
        </is>
      </c>
      <c r="U1128" s="49" t="n">
        <v>0</v>
      </c>
      <c r="V1128" s="72" t="inlineStr">
        <is>
          <t>П-сетка</t>
        </is>
      </c>
      <c r="W1128" s="49" t="n">
        <v>3</v>
      </c>
    </row>
    <row r="1129">
      <c r="A1129" s="72" t="n">
        <v>1104</v>
      </c>
      <c r="B1129" s="21" t="inlineStr">
        <is>
          <t>3 этаж (отм. +7.550…+11.150)</t>
        </is>
      </c>
      <c r="C1129" s="21" t="inlineStr">
        <is>
          <t>Плита перекрытия</t>
        </is>
      </c>
      <c r="D1129" s="21" t="inlineStr">
        <is>
          <t>1–5 / А–Г</t>
        </is>
      </c>
      <c r="E1129" s="21" t="inlineStr">
        <is>
          <t>ПМ-11.150</t>
        </is>
      </c>
      <c r="F1129" s="72" t="inlineStr">
        <is>
          <t>НX-нахл</t>
        </is>
      </c>
      <c r="G1129" s="21" t="inlineStr">
        <is>
          <t>Нахлёсты стыков к поз. «Нижняя осн. сетка, направление X (вдоль осей 1–5)» (L=22.200 м &gt; 11,7 м): 2 куска, 1 стык(а) на стержень × 1 стерж.</t>
        </is>
      </c>
      <c r="H1129" s="51" t="n">
        <v>10</v>
      </c>
      <c r="I1129" s="72" t="inlineStr">
        <is>
          <t>А500С</t>
        </is>
      </c>
      <c r="J1129" s="72" t="inlineStr">
        <is>
          <t>—</t>
        </is>
      </c>
      <c r="K1129" s="75" t="n">
        <v>1</v>
      </c>
      <c r="L1129" s="51" t="n">
        <v>1</v>
      </c>
      <c r="M1129" s="69" t="n">
        <v>0.4</v>
      </c>
      <c r="N1129" s="70">
        <f>K1129*L1129*M1129</f>
        <v/>
      </c>
      <c r="O1129" s="37">
        <f>IFERROR(INDEX(Исходные!$B$19:$B$31,MATCH(H1129,Исходные!$A$19:$A$31,0)),0)</f>
        <v/>
      </c>
      <c r="P1129" s="76">
        <f>N1129*O1129</f>
        <v/>
      </c>
      <c r="Q1129" s="21" t="inlineStr">
        <is>
          <t>АС-58 «Деталь стыка арматуры армирования плиты»: нахлёст 400 мм для Ø10</t>
        </is>
      </c>
      <c r="R1129" s="77" t="inlineStr">
        <is>
          <t>по проекту (стыковка прутков 11,7 м)</t>
        </is>
      </c>
      <c r="S1129" s="21" t="inlineStr">
        <is>
          <t>Чистая длина 22.200 м; кусков 2; стыков 1; Lнахл=1×0.400=0.4 м на стержень</t>
        </is>
      </c>
      <c r="T1129" s="21" t="inlineStr">
        <is>
          <t>Ригели, балки, плита, С-1</t>
        </is>
      </c>
      <c r="U1129" s="49" t="n">
        <v>0</v>
      </c>
      <c r="V1129" s="72" t="inlineStr">
        <is>
          <t>П-сетка</t>
        </is>
      </c>
      <c r="W1129" s="49" t="n">
        <v>3</v>
      </c>
    </row>
    <row r="1130">
      <c r="A1130" s="72" t="n">
        <v>1105</v>
      </c>
      <c r="B1130" s="21" t="inlineStr">
        <is>
          <t>3 этаж (отм. +7.550…+11.150)</t>
        </is>
      </c>
      <c r="C1130" s="21" t="inlineStr">
        <is>
          <t>Плита перекрытия</t>
        </is>
      </c>
      <c r="D1130" s="21" t="inlineStr">
        <is>
          <t>1–5 / А–Г</t>
        </is>
      </c>
      <c r="E1130" s="21" t="inlineStr">
        <is>
          <t>ПМ-11.150</t>
        </is>
      </c>
      <c r="F1130" s="72" t="inlineStr">
        <is>
          <t>НX</t>
        </is>
      </c>
      <c r="G1130" s="21" t="inlineStr">
        <is>
          <t>Нижняя осн. сетка, направление X (вдоль осей 1–5)</t>
        </is>
      </c>
      <c r="H1130" s="51" t="n">
        <v>10</v>
      </c>
      <c r="I1130" s="72" t="inlineStr">
        <is>
          <t>А500С</t>
        </is>
      </c>
      <c r="J1130" s="72" t="n">
        <v>200</v>
      </c>
      <c r="K1130" s="75" t="n">
        <v>1</v>
      </c>
      <c r="L1130" s="51" t="n">
        <v>16</v>
      </c>
      <c r="M1130" s="69" t="n">
        <v>15.62</v>
      </c>
      <c r="N1130" s="70">
        <f>K1130*L1130*M1130</f>
        <v/>
      </c>
      <c r="O1130" s="37">
        <f>IFERROR(INDEX(Исходные!$B$19:$B$31,MATCH(H1130,Исходные!$A$19:$A$31,0)),0)</f>
        <v/>
      </c>
      <c r="P1130" s="76">
        <f>N1130*O1130</f>
        <v/>
      </c>
      <c r="Q1130" s="21" t="inlineStr">
        <is>
          <t>АС-50/АС-51 «Осн. сетка Ø10 А500С ш.200×200»; контур — АС-48 (край 420, проём лестницы 13725…18200)</t>
        </is>
      </c>
      <c r="R1130" s="77" t="inlineStr">
        <is>
          <t>по геометрии чертежа</t>
        </is>
      </c>
      <c r="S1130" s="21" t="inlineStr"/>
      <c r="T1130" s="21" t="inlineStr">
        <is>
          <t>Ригели, балки, плита, С-1</t>
        </is>
      </c>
      <c r="U1130" s="49" t="n">
        <v>0</v>
      </c>
      <c r="V1130" s="72" t="inlineStr">
        <is>
          <t>П-сетка</t>
        </is>
      </c>
      <c r="W1130" s="49" t="n">
        <v>3</v>
      </c>
    </row>
    <row r="1131">
      <c r="A1131" s="72" t="n">
        <v>1106</v>
      </c>
      <c r="B1131" s="21" t="inlineStr">
        <is>
          <t>3 этаж (отм. +7.550…+11.150)</t>
        </is>
      </c>
      <c r="C1131" s="21" t="inlineStr">
        <is>
          <t>Плита перекрытия</t>
        </is>
      </c>
      <c r="D1131" s="21" t="inlineStr">
        <is>
          <t>1–5 / А–Г</t>
        </is>
      </c>
      <c r="E1131" s="21" t="inlineStr">
        <is>
          <t>ПМ-11.150</t>
        </is>
      </c>
      <c r="F1131" s="72" t="inlineStr">
        <is>
          <t>НX-нахл</t>
        </is>
      </c>
      <c r="G1131" s="21" t="inlineStr">
        <is>
          <t>Нахлёсты стыков к поз. «Нижняя осн. сетка, направление X (вдоль осей 1–5)» (L=15.620 м &gt; 11,7 м): 2 куска, 1 стык(а) на стержень × 16 стерж.</t>
        </is>
      </c>
      <c r="H1131" s="51" t="n">
        <v>10</v>
      </c>
      <c r="I1131" s="72" t="inlineStr">
        <is>
          <t>А500С</t>
        </is>
      </c>
      <c r="J1131" s="72" t="inlineStr">
        <is>
          <t>—</t>
        </is>
      </c>
      <c r="K1131" s="75" t="n">
        <v>16</v>
      </c>
      <c r="L1131" s="51" t="n">
        <v>1</v>
      </c>
      <c r="M1131" s="69" t="n">
        <v>0.4</v>
      </c>
      <c r="N1131" s="70">
        <f>K1131*L1131*M1131</f>
        <v/>
      </c>
      <c r="O1131" s="37">
        <f>IFERROR(INDEX(Исходные!$B$19:$B$31,MATCH(H1131,Исходные!$A$19:$A$31,0)),0)</f>
        <v/>
      </c>
      <c r="P1131" s="76">
        <f>N1131*O1131</f>
        <v/>
      </c>
      <c r="Q1131" s="21" t="inlineStr">
        <is>
          <t>АС-58 «Деталь стыка арматуры армирования плиты»: нахлёст 400 мм для Ø10</t>
        </is>
      </c>
      <c r="R1131" s="77" t="inlineStr">
        <is>
          <t>по проекту (стыковка прутков 11,7 м)</t>
        </is>
      </c>
      <c r="S1131" s="21" t="inlineStr">
        <is>
          <t>Чистая длина 15.620 м; кусков 2; стыков 1; Lнахл=1×0.400=0.4 м на стержень</t>
        </is>
      </c>
      <c r="T1131" s="21" t="inlineStr">
        <is>
          <t>Ригели, балки, плита, С-1</t>
        </is>
      </c>
      <c r="U1131" s="49" t="n">
        <v>0</v>
      </c>
      <c r="V1131" s="72" t="inlineStr">
        <is>
          <t>П-сетка</t>
        </is>
      </c>
      <c r="W1131" s="49" t="n">
        <v>3</v>
      </c>
    </row>
    <row r="1132">
      <c r="A1132" s="72" t="n">
        <v>1107</v>
      </c>
      <c r="B1132" s="21" t="inlineStr">
        <is>
          <t>3 этаж (отм. +7.550…+11.150)</t>
        </is>
      </c>
      <c r="C1132" s="21" t="inlineStr">
        <is>
          <t>Плита перекрытия</t>
        </is>
      </c>
      <c r="D1132" s="21" t="inlineStr">
        <is>
          <t>1–5 / А–Г</t>
        </is>
      </c>
      <c r="E1132" s="21" t="inlineStr">
        <is>
          <t>ПМ-11.150</t>
        </is>
      </c>
      <c r="F1132" s="72" t="inlineStr">
        <is>
          <t>НX</t>
        </is>
      </c>
      <c r="G1132" s="21" t="inlineStr">
        <is>
          <t>Нижняя осн. сетка, направление X (вдоль осей 1–5)</t>
        </is>
      </c>
      <c r="H1132" s="51" t="n">
        <v>10</v>
      </c>
      <c r="I1132" s="72" t="inlineStr">
        <is>
          <t>А500С</t>
        </is>
      </c>
      <c r="J1132" s="72" t="n">
        <v>200</v>
      </c>
      <c r="K1132" s="75" t="n">
        <v>1</v>
      </c>
      <c r="L1132" s="51" t="n">
        <v>12</v>
      </c>
      <c r="M1132" s="69" t="n">
        <v>13.9</v>
      </c>
      <c r="N1132" s="70">
        <f>K1132*L1132*M1132</f>
        <v/>
      </c>
      <c r="O1132" s="37">
        <f>IFERROR(INDEX(Исходные!$B$19:$B$31,MATCH(H1132,Исходные!$A$19:$A$31,0)),0)</f>
        <v/>
      </c>
      <c r="P1132" s="76">
        <f>N1132*O1132</f>
        <v/>
      </c>
      <c r="Q1132" s="21" t="inlineStr">
        <is>
          <t>АС-50/АС-51 «Осн. сетка Ø10 А500С ш.200×200»; контур — АС-48 (край 420, проём лестницы 13725…18200)</t>
        </is>
      </c>
      <c r="R1132" s="77" t="inlineStr">
        <is>
          <t>по геометрии чертежа</t>
        </is>
      </c>
      <c r="S1132" s="21" t="inlineStr"/>
      <c r="T1132" s="21" t="inlineStr">
        <is>
          <t>Ригели, балки, плита, С-1</t>
        </is>
      </c>
      <c r="U1132" s="49" t="n">
        <v>0</v>
      </c>
      <c r="V1132" s="72" t="inlineStr">
        <is>
          <t>П-сетка</t>
        </is>
      </c>
      <c r="W1132" s="49" t="n">
        <v>3</v>
      </c>
    </row>
    <row r="1133">
      <c r="A1133" s="72" t="n">
        <v>1108</v>
      </c>
      <c r="B1133" s="21" t="inlineStr">
        <is>
          <t>3 этаж (отм. +7.550…+11.150)</t>
        </is>
      </c>
      <c r="C1133" s="21" t="inlineStr">
        <is>
          <t>Плита перекрытия</t>
        </is>
      </c>
      <c r="D1133" s="21" t="inlineStr">
        <is>
          <t>1–5 / А–Г</t>
        </is>
      </c>
      <c r="E1133" s="21" t="inlineStr">
        <is>
          <t>ПМ-11.150</t>
        </is>
      </c>
      <c r="F1133" s="72" t="inlineStr">
        <is>
          <t>НX-нахл</t>
        </is>
      </c>
      <c r="G1133" s="21" t="inlineStr">
        <is>
          <t>Нахлёсты стыков к поз. «Нижняя осн. сетка, направление X (вдоль осей 1–5)» (L=13.900 м &gt; 11,7 м): 2 куска, 1 стык(а) на стержень × 12 стерж.</t>
        </is>
      </c>
      <c r="H1133" s="51" t="n">
        <v>10</v>
      </c>
      <c r="I1133" s="72" t="inlineStr">
        <is>
          <t>А500С</t>
        </is>
      </c>
      <c r="J1133" s="72" t="inlineStr">
        <is>
          <t>—</t>
        </is>
      </c>
      <c r="K1133" s="75" t="n">
        <v>12</v>
      </c>
      <c r="L1133" s="51" t="n">
        <v>1</v>
      </c>
      <c r="M1133" s="69" t="n">
        <v>0.4</v>
      </c>
      <c r="N1133" s="70">
        <f>K1133*L1133*M1133</f>
        <v/>
      </c>
      <c r="O1133" s="37">
        <f>IFERROR(INDEX(Исходные!$B$19:$B$31,MATCH(H1133,Исходные!$A$19:$A$31,0)),0)</f>
        <v/>
      </c>
      <c r="P1133" s="76">
        <f>N1133*O1133</f>
        <v/>
      </c>
      <c r="Q1133" s="21" t="inlineStr">
        <is>
          <t>АС-58 «Деталь стыка арматуры армирования плиты»: нахлёст 400 мм для Ø10</t>
        </is>
      </c>
      <c r="R1133" s="77" t="inlineStr">
        <is>
          <t>по проекту (стыковка прутков 11,7 м)</t>
        </is>
      </c>
      <c r="S1133" s="21" t="inlineStr">
        <is>
          <t>Чистая длина 13.900 м; кусков 2; стыков 1; Lнахл=1×0.400=0.4 м на стержень</t>
        </is>
      </c>
      <c r="T1133" s="21" t="inlineStr">
        <is>
          <t>Ригели, балки, плита, С-1</t>
        </is>
      </c>
      <c r="U1133" s="49" t="n">
        <v>0</v>
      </c>
      <c r="V1133" s="72" t="inlineStr">
        <is>
          <t>П-сетка</t>
        </is>
      </c>
      <c r="W1133" s="49" t="n">
        <v>3</v>
      </c>
    </row>
    <row r="1134">
      <c r="A1134" s="72" t="n">
        <v>1109</v>
      </c>
      <c r="B1134" s="21" t="inlineStr">
        <is>
          <t>3 этаж (отм. +7.550…+11.150)</t>
        </is>
      </c>
      <c r="C1134" s="21" t="inlineStr">
        <is>
          <t>Плита перекрытия</t>
        </is>
      </c>
      <c r="D1134" s="21" t="inlineStr">
        <is>
          <t>1–5 / А–Г</t>
        </is>
      </c>
      <c r="E1134" s="21" t="inlineStr">
        <is>
          <t>ПМ-11.150</t>
        </is>
      </c>
      <c r="F1134" s="72" t="inlineStr">
        <is>
          <t>НX</t>
        </is>
      </c>
      <c r="G1134" s="21" t="inlineStr">
        <is>
          <t>Нижняя осн. сетка, направление X (вдоль осей 1–5)</t>
        </is>
      </c>
      <c r="H1134" s="51" t="n">
        <v>10</v>
      </c>
      <c r="I1134" s="72" t="inlineStr">
        <is>
          <t>А500С</t>
        </is>
      </c>
      <c r="J1134" s="72" t="n">
        <v>200</v>
      </c>
      <c r="K1134" s="75" t="n">
        <v>1</v>
      </c>
      <c r="L1134" s="51" t="n">
        <v>1</v>
      </c>
      <c r="M1134" s="69" t="n">
        <v>10.77</v>
      </c>
      <c r="N1134" s="70">
        <f>K1134*L1134*M1134</f>
        <v/>
      </c>
      <c r="O1134" s="37">
        <f>IFERROR(INDEX(Исходные!$B$19:$B$31,MATCH(H1134,Исходные!$A$19:$A$31,0)),0)</f>
        <v/>
      </c>
      <c r="P1134" s="76">
        <f>N1134*O1134</f>
        <v/>
      </c>
      <c r="Q1134" s="21" t="inlineStr">
        <is>
          <t>АС-50/АС-51 «Осн. сетка Ø10 А500С ш.200×200»; контур — АС-48 (край 420, проём лестницы 13725…18200)</t>
        </is>
      </c>
      <c r="R1134" s="77" t="inlineStr">
        <is>
          <t>по геометрии чертежа</t>
        </is>
      </c>
      <c r="S1134" s="21" t="inlineStr"/>
      <c r="T1134" s="21" t="inlineStr">
        <is>
          <t>Ригели, балки, плита, С-1</t>
        </is>
      </c>
      <c r="U1134" s="49" t="n">
        <v>0</v>
      </c>
      <c r="V1134" s="72" t="inlineStr">
        <is>
          <t>П-сетка</t>
        </is>
      </c>
      <c r="W1134" s="49" t="n">
        <v>3</v>
      </c>
    </row>
    <row r="1135">
      <c r="A1135" s="72" t="n">
        <v>1110</v>
      </c>
      <c r="B1135" s="21" t="inlineStr">
        <is>
          <t>3 этаж (отм. +7.550…+11.150)</t>
        </is>
      </c>
      <c r="C1135" s="21" t="inlineStr">
        <is>
          <t>Плита перекрытия</t>
        </is>
      </c>
      <c r="D1135" s="21" t="inlineStr">
        <is>
          <t>1–5 / А–Г</t>
        </is>
      </c>
      <c r="E1135" s="21" t="inlineStr">
        <is>
          <t>ПМ-11.150</t>
        </is>
      </c>
      <c r="F1135" s="72" t="inlineStr">
        <is>
          <t>НX</t>
        </is>
      </c>
      <c r="G1135" s="21" t="inlineStr">
        <is>
          <t>Нижняя осн. сетка, направление X (вдоль осей 1–5)</t>
        </is>
      </c>
      <c r="H1135" s="51" t="n">
        <v>10</v>
      </c>
      <c r="I1135" s="72" t="inlineStr">
        <is>
          <t>А500С</t>
        </is>
      </c>
      <c r="J1135" s="72" t="n">
        <v>200</v>
      </c>
      <c r="K1135" s="75" t="n">
        <v>1</v>
      </c>
      <c r="L1135" s="51" t="n">
        <v>14</v>
      </c>
      <c r="M1135" s="69" t="n">
        <v>7.97</v>
      </c>
      <c r="N1135" s="70">
        <f>K1135*L1135*M1135</f>
        <v/>
      </c>
      <c r="O1135" s="37">
        <f>IFERROR(INDEX(Исходные!$B$19:$B$31,MATCH(H1135,Исходные!$A$19:$A$31,0)),0)</f>
        <v/>
      </c>
      <c r="P1135" s="76">
        <f>N1135*O1135</f>
        <v/>
      </c>
      <c r="Q1135" s="21" t="inlineStr">
        <is>
          <t>АС-50/АС-51 «Осн. сетка Ø10 А500С ш.200×200»; контур — АС-48 (край 420, проём лестницы 13725…18200)</t>
        </is>
      </c>
      <c r="R1135" s="77" t="inlineStr">
        <is>
          <t>по геометрии чертежа</t>
        </is>
      </c>
      <c r="S1135" s="21" t="inlineStr"/>
      <c r="T1135" s="21" t="inlineStr">
        <is>
          <t>Ригели, балки, плита, С-1</t>
        </is>
      </c>
      <c r="U1135" s="49" t="n">
        <v>0</v>
      </c>
      <c r="V1135" s="72" t="inlineStr">
        <is>
          <t>П-сетка</t>
        </is>
      </c>
      <c r="W1135" s="49" t="n">
        <v>3</v>
      </c>
    </row>
    <row r="1136">
      <c r="A1136" s="72" t="n">
        <v>1111</v>
      </c>
      <c r="B1136" s="21" t="inlineStr">
        <is>
          <t>3 этаж (отм. +7.550…+11.150)</t>
        </is>
      </c>
      <c r="C1136" s="21" t="inlineStr">
        <is>
          <t>Плита перекрытия</t>
        </is>
      </c>
      <c r="D1136" s="21" t="inlineStr">
        <is>
          <t>1–5 / А–Г</t>
        </is>
      </c>
      <c r="E1136" s="21" t="inlineStr">
        <is>
          <t>ПМ-11.150</t>
        </is>
      </c>
      <c r="F1136" s="72" t="inlineStr">
        <is>
          <t>НX</t>
        </is>
      </c>
      <c r="G1136" s="21" t="inlineStr">
        <is>
          <t>Нижняя осн. сетка, направление X (вдоль осей 1–5)</t>
        </is>
      </c>
      <c r="H1136" s="51" t="n">
        <v>10</v>
      </c>
      <c r="I1136" s="72" t="inlineStr">
        <is>
          <t>А500С</t>
        </is>
      </c>
      <c r="J1136" s="72" t="n">
        <v>200</v>
      </c>
      <c r="K1136" s="75" t="n">
        <v>1</v>
      </c>
      <c r="L1136" s="51" t="n">
        <v>9</v>
      </c>
      <c r="M1136" s="69" t="n">
        <v>7.95</v>
      </c>
      <c r="N1136" s="70">
        <f>K1136*L1136*M1136</f>
        <v/>
      </c>
      <c r="O1136" s="37">
        <f>IFERROR(INDEX(Исходные!$B$19:$B$31,MATCH(H1136,Исходные!$A$19:$A$31,0)),0)</f>
        <v/>
      </c>
      <c r="P1136" s="76">
        <f>N1136*O1136</f>
        <v/>
      </c>
      <c r="Q1136" s="21" t="inlineStr">
        <is>
          <t>АС-50/АС-51 «Осн. сетка Ø10 А500С ш.200×200»; контур — АС-48 (край 420, проём лестницы 13725…18200)</t>
        </is>
      </c>
      <c r="R1136" s="77" t="inlineStr">
        <is>
          <t>по геометрии чертежа</t>
        </is>
      </c>
      <c r="S1136" s="21" t="inlineStr"/>
      <c r="T1136" s="21" t="inlineStr">
        <is>
          <t>Ригели, балки, плита, С-1</t>
        </is>
      </c>
      <c r="U1136" s="49" t="n">
        <v>0</v>
      </c>
      <c r="V1136" s="72" t="inlineStr">
        <is>
          <t>П-сетка</t>
        </is>
      </c>
      <c r="W1136" s="49" t="n">
        <v>3</v>
      </c>
    </row>
    <row r="1137">
      <c r="A1137" s="72" t="n">
        <v>1112</v>
      </c>
      <c r="B1137" s="21" t="inlineStr">
        <is>
          <t>3 этаж (отм. +7.550…+11.150)</t>
        </is>
      </c>
      <c r="C1137" s="21" t="inlineStr">
        <is>
          <t>Плита перекрытия</t>
        </is>
      </c>
      <c r="D1137" s="21" t="inlineStr">
        <is>
          <t>1–5 / А–Г</t>
        </is>
      </c>
      <c r="E1137" s="21" t="inlineStr">
        <is>
          <t>ПМ-11.150</t>
        </is>
      </c>
      <c r="F1137" s="72" t="inlineStr">
        <is>
          <t>НX</t>
        </is>
      </c>
      <c r="G1137" s="21" t="inlineStr">
        <is>
          <t>Нижняя осн. сетка, направление X (вдоль осей 1–5)</t>
        </is>
      </c>
      <c r="H1137" s="51" t="n">
        <v>10</v>
      </c>
      <c r="I1137" s="72" t="inlineStr">
        <is>
          <t>А500С</t>
        </is>
      </c>
      <c r="J1137" s="72" t="n">
        <v>200</v>
      </c>
      <c r="K1137" s="75" t="n">
        <v>1</v>
      </c>
      <c r="L1137" s="51" t="n">
        <v>13</v>
      </c>
      <c r="M1137" s="69" t="n">
        <v>7.17</v>
      </c>
      <c r="N1137" s="70">
        <f>K1137*L1137*M1137</f>
        <v/>
      </c>
      <c r="O1137" s="37">
        <f>IFERROR(INDEX(Исходные!$B$19:$B$31,MATCH(H1137,Исходные!$A$19:$A$31,0)),0)</f>
        <v/>
      </c>
      <c r="P1137" s="76">
        <f>N1137*O1137</f>
        <v/>
      </c>
      <c r="Q1137" s="21" t="inlineStr">
        <is>
          <t>АС-50/АС-51 «Осн. сетка Ø10 А500С ш.200×200»; контур — АС-48 (край 420, проём лестницы 13725…18200)</t>
        </is>
      </c>
      <c r="R1137" s="77" t="inlineStr">
        <is>
          <t>по геометрии чертежа</t>
        </is>
      </c>
      <c r="S1137" s="21" t="inlineStr"/>
      <c r="T1137" s="21" t="inlineStr">
        <is>
          <t>Ригели, балки, плита, С-1</t>
        </is>
      </c>
      <c r="U1137" s="49" t="n">
        <v>0</v>
      </c>
      <c r="V1137" s="72" t="inlineStr">
        <is>
          <t>П-сетка</t>
        </is>
      </c>
      <c r="W1137" s="49" t="n">
        <v>3</v>
      </c>
    </row>
    <row r="1138">
      <c r="A1138" s="72" t="n">
        <v>1113</v>
      </c>
      <c r="B1138" s="21" t="inlineStr">
        <is>
          <t>3 этаж (отм. +7.550…+11.150)</t>
        </is>
      </c>
      <c r="C1138" s="21" t="inlineStr">
        <is>
          <t>Плита перекрытия</t>
        </is>
      </c>
      <c r="D1138" s="21" t="inlineStr">
        <is>
          <t>1–5 / А–Г</t>
        </is>
      </c>
      <c r="E1138" s="21" t="inlineStr">
        <is>
          <t>ПМ-11.150</t>
        </is>
      </c>
      <c r="F1138" s="72" t="inlineStr">
        <is>
          <t>НX</t>
        </is>
      </c>
      <c r="G1138" s="21" t="inlineStr">
        <is>
          <t>Нижняя осн. сетка, направление X (вдоль осей 1–5)</t>
        </is>
      </c>
      <c r="H1138" s="51" t="n">
        <v>10</v>
      </c>
      <c r="I1138" s="72" t="inlineStr">
        <is>
          <t>А500С</t>
        </is>
      </c>
      <c r="J1138" s="72" t="n">
        <v>200</v>
      </c>
      <c r="K1138" s="75" t="n">
        <v>1</v>
      </c>
      <c r="L1138" s="51" t="n">
        <v>9</v>
      </c>
      <c r="M1138" s="69" t="n">
        <v>3.78</v>
      </c>
      <c r="N1138" s="70">
        <f>K1138*L1138*M1138</f>
        <v/>
      </c>
      <c r="O1138" s="37">
        <f>IFERROR(INDEX(Исходные!$B$19:$B$31,MATCH(H1138,Исходные!$A$19:$A$31,0)),0)</f>
        <v/>
      </c>
      <c r="P1138" s="76">
        <f>N1138*O1138</f>
        <v/>
      </c>
      <c r="Q1138" s="21" t="inlineStr">
        <is>
          <t>АС-50/АС-51 «Осн. сетка Ø10 А500С ш.200×200»; контур — АС-48 (край 420, проём лестницы 13725…18200)</t>
        </is>
      </c>
      <c r="R1138" s="77" t="inlineStr">
        <is>
          <t>по геометрии чертежа</t>
        </is>
      </c>
      <c r="S1138" s="21" t="inlineStr"/>
      <c r="T1138" s="21" t="inlineStr">
        <is>
          <t>Ригели, балки, плита, С-1</t>
        </is>
      </c>
      <c r="U1138" s="49" t="n">
        <v>0</v>
      </c>
      <c r="V1138" s="72" t="inlineStr">
        <is>
          <t>П-сетка</t>
        </is>
      </c>
      <c r="W1138" s="49" t="n">
        <v>3</v>
      </c>
    </row>
    <row r="1139">
      <c r="A1139" s="72" t="n">
        <v>1114</v>
      </c>
      <c r="B1139" s="21" t="inlineStr">
        <is>
          <t>3 этаж (отм. +7.550…+11.150)</t>
        </is>
      </c>
      <c r="C1139" s="21" t="inlineStr">
        <is>
          <t>Плита перекрытия</t>
        </is>
      </c>
      <c r="D1139" s="21" t="inlineStr">
        <is>
          <t>1–5 / А–Г</t>
        </is>
      </c>
      <c r="E1139" s="21" t="inlineStr">
        <is>
          <t>ПМ-11.150</t>
        </is>
      </c>
      <c r="F1139" s="72" t="inlineStr">
        <is>
          <t>НY</t>
        </is>
      </c>
      <c r="G1139" s="21" t="inlineStr">
        <is>
          <t>Нижняя осн. сетка, направление Y (вдоль осей А–Г)</t>
        </is>
      </c>
      <c r="H1139" s="51" t="n">
        <v>10</v>
      </c>
      <c r="I1139" s="72" t="inlineStr">
        <is>
          <t>А500С</t>
        </is>
      </c>
      <c r="J1139" s="72" t="n">
        <v>200</v>
      </c>
      <c r="K1139" s="75" t="n">
        <v>1</v>
      </c>
      <c r="L1139" s="51" t="n">
        <v>40</v>
      </c>
      <c r="M1139" s="69" t="n">
        <v>22.32</v>
      </c>
      <c r="N1139" s="70">
        <f>K1139*L1139*M1139</f>
        <v/>
      </c>
      <c r="O1139" s="37">
        <f>IFERROR(INDEX(Исходные!$B$19:$B$31,MATCH(H1139,Исходные!$A$19:$A$31,0)),0)</f>
        <v/>
      </c>
      <c r="P1139" s="76">
        <f>N1139*O1139</f>
        <v/>
      </c>
      <c r="Q1139" s="21" t="inlineStr">
        <is>
          <t>АС-50/АС-51 «Осн. сетка Ø10 А500С ш.200×200»; контур — АС-48 (край 420, проём лестницы 13725…18200)</t>
        </is>
      </c>
      <c r="R1139" s="77" t="inlineStr">
        <is>
          <t>по геометрии чертежа</t>
        </is>
      </c>
      <c r="S1139" s="21" t="inlineStr"/>
      <c r="T1139" s="21" t="inlineStr">
        <is>
          <t>Ригели, балки, плита, С-1</t>
        </is>
      </c>
      <c r="U1139" s="49" t="n">
        <v>0</v>
      </c>
      <c r="V1139" s="72" t="inlineStr">
        <is>
          <t>П-сетка</t>
        </is>
      </c>
      <c r="W1139" s="49" t="n">
        <v>3</v>
      </c>
    </row>
    <row r="1140">
      <c r="A1140" s="72" t="n">
        <v>1115</v>
      </c>
      <c r="B1140" s="21" t="inlineStr">
        <is>
          <t>3 этаж (отм. +7.550…+11.150)</t>
        </is>
      </c>
      <c r="C1140" s="21" t="inlineStr">
        <is>
          <t>Плита перекрытия</t>
        </is>
      </c>
      <c r="D1140" s="21" t="inlineStr">
        <is>
          <t>1–5 / А–Г</t>
        </is>
      </c>
      <c r="E1140" s="21" t="inlineStr">
        <is>
          <t>ПМ-11.150</t>
        </is>
      </c>
      <c r="F1140" s="72" t="inlineStr">
        <is>
          <t>НY-нахл</t>
        </is>
      </c>
      <c r="G1140" s="21" t="inlineStr">
        <is>
          <t>Нахлёсты стыков к поз. «Нижняя осн. сетка, направление Y (вдоль осей А–Г)» (L=22.320 м &gt; 11,7 м): 2 куска, 1 стык(а) на стержень × 40 стерж.</t>
        </is>
      </c>
      <c r="H1140" s="51" t="n">
        <v>10</v>
      </c>
      <c r="I1140" s="72" t="inlineStr">
        <is>
          <t>А500С</t>
        </is>
      </c>
      <c r="J1140" s="72" t="inlineStr">
        <is>
          <t>—</t>
        </is>
      </c>
      <c r="K1140" s="75" t="n">
        <v>40</v>
      </c>
      <c r="L1140" s="51" t="n">
        <v>1</v>
      </c>
      <c r="M1140" s="69" t="n">
        <v>0.4</v>
      </c>
      <c r="N1140" s="70">
        <f>K1140*L1140*M1140</f>
        <v/>
      </c>
      <c r="O1140" s="37">
        <f>IFERROR(INDEX(Исходные!$B$19:$B$31,MATCH(H1140,Исходные!$A$19:$A$31,0)),0)</f>
        <v/>
      </c>
      <c r="P1140" s="76">
        <f>N1140*O1140</f>
        <v/>
      </c>
      <c r="Q1140" s="21" t="inlineStr">
        <is>
          <t>АС-58 «Деталь стыка арматуры армирования плиты»: нахлёст 400 мм для Ø10</t>
        </is>
      </c>
      <c r="R1140" s="77" t="inlineStr">
        <is>
          <t>по проекту (стыковка прутков 11,7 м)</t>
        </is>
      </c>
      <c r="S1140" s="21" t="inlineStr">
        <is>
          <t>Чистая длина 22.320 м; кусков 2; стыков 1; Lнахл=1×0.400=0.4 м на стержень</t>
        </is>
      </c>
      <c r="T1140" s="21" t="inlineStr">
        <is>
          <t>Ригели, балки, плита, С-1</t>
        </is>
      </c>
      <c r="U1140" s="49" t="n">
        <v>0</v>
      </c>
      <c r="V1140" s="72" t="inlineStr">
        <is>
          <t>П-сетка</t>
        </is>
      </c>
      <c r="W1140" s="49" t="n">
        <v>3</v>
      </c>
    </row>
    <row r="1141">
      <c r="A1141" s="72" t="n">
        <v>1116</v>
      </c>
      <c r="B1141" s="21" t="inlineStr">
        <is>
          <t>3 этаж (отм. +7.550…+11.150)</t>
        </is>
      </c>
      <c r="C1141" s="21" t="inlineStr">
        <is>
          <t>Плита перекрытия</t>
        </is>
      </c>
      <c r="D1141" s="21" t="inlineStr">
        <is>
          <t>1–5 / А–Г</t>
        </is>
      </c>
      <c r="E1141" s="21" t="inlineStr">
        <is>
          <t>ПМ-11.150</t>
        </is>
      </c>
      <c r="F1141" s="72" t="inlineStr">
        <is>
          <t>НY</t>
        </is>
      </c>
      <c r="G1141" s="21" t="inlineStr">
        <is>
          <t>Нижняя осн. сетка, направление Y (вдоль осей А–Г)</t>
        </is>
      </c>
      <c r="H1141" s="51" t="n">
        <v>10</v>
      </c>
      <c r="I1141" s="72" t="inlineStr">
        <is>
          <t>А500С</t>
        </is>
      </c>
      <c r="J1141" s="72" t="n">
        <v>200</v>
      </c>
      <c r="K1141" s="75" t="n">
        <v>1</v>
      </c>
      <c r="L1141" s="51" t="n">
        <v>41</v>
      </c>
      <c r="M1141" s="69" t="n">
        <v>20.6</v>
      </c>
      <c r="N1141" s="70">
        <f>K1141*L1141*M1141</f>
        <v/>
      </c>
      <c r="O1141" s="37">
        <f>IFERROR(INDEX(Исходные!$B$19:$B$31,MATCH(H1141,Исходные!$A$19:$A$31,0)),0)</f>
        <v/>
      </c>
      <c r="P1141" s="76">
        <f>N1141*O1141</f>
        <v/>
      </c>
      <c r="Q1141" s="21" t="inlineStr">
        <is>
          <t>АС-50/АС-51 «Осн. сетка Ø10 А500С ш.200×200»; контур — АС-48 (край 420, проём лестницы 13725…18200)</t>
        </is>
      </c>
      <c r="R1141" s="77" t="inlineStr">
        <is>
          <t>по геометрии чертежа</t>
        </is>
      </c>
      <c r="S1141" s="21" t="inlineStr"/>
      <c r="T1141" s="21" t="inlineStr">
        <is>
          <t>Ригели, балки, плита, С-1</t>
        </is>
      </c>
      <c r="U1141" s="49" t="n">
        <v>0</v>
      </c>
      <c r="V1141" s="72" t="inlineStr">
        <is>
          <t>П-сетка</t>
        </is>
      </c>
      <c r="W1141" s="49" t="n">
        <v>3</v>
      </c>
    </row>
    <row r="1142">
      <c r="A1142" s="72" t="n">
        <v>1117</v>
      </c>
      <c r="B1142" s="21" t="inlineStr">
        <is>
          <t>3 этаж (отм. +7.550…+11.150)</t>
        </is>
      </c>
      <c r="C1142" s="21" t="inlineStr">
        <is>
          <t>Плита перекрытия</t>
        </is>
      </c>
      <c r="D1142" s="21" t="inlineStr">
        <is>
          <t>1–5 / А–Г</t>
        </is>
      </c>
      <c r="E1142" s="21" t="inlineStr">
        <is>
          <t>ПМ-11.150</t>
        </is>
      </c>
      <c r="F1142" s="72" t="inlineStr">
        <is>
          <t>НY-нахл</t>
        </is>
      </c>
      <c r="G1142" s="21" t="inlineStr">
        <is>
          <t>Нахлёсты стыков к поз. «Нижняя осн. сетка, направление Y (вдоль осей А–Г)» (L=20.600 м &gt; 11,7 м): 2 куска, 1 стык(а) на стержень × 41 стерж.</t>
        </is>
      </c>
      <c r="H1142" s="51" t="n">
        <v>10</v>
      </c>
      <c r="I1142" s="72" t="inlineStr">
        <is>
          <t>А500С</t>
        </is>
      </c>
      <c r="J1142" s="72" t="inlineStr">
        <is>
          <t>—</t>
        </is>
      </c>
      <c r="K1142" s="75" t="n">
        <v>41</v>
      </c>
      <c r="L1142" s="51" t="n">
        <v>1</v>
      </c>
      <c r="M1142" s="69" t="n">
        <v>0.4</v>
      </c>
      <c r="N1142" s="70">
        <f>K1142*L1142*M1142</f>
        <v/>
      </c>
      <c r="O1142" s="37">
        <f>IFERROR(INDEX(Исходные!$B$19:$B$31,MATCH(H1142,Исходные!$A$19:$A$31,0)),0)</f>
        <v/>
      </c>
      <c r="P1142" s="76">
        <f>N1142*O1142</f>
        <v/>
      </c>
      <c r="Q1142" s="21" t="inlineStr">
        <is>
          <t>АС-58 «Деталь стыка арматуры армирования плиты»: нахлёст 400 мм для Ø10</t>
        </is>
      </c>
      <c r="R1142" s="77" t="inlineStr">
        <is>
          <t>по проекту (стыковка прутков 11,7 м)</t>
        </is>
      </c>
      <c r="S1142" s="21" t="inlineStr">
        <is>
          <t>Чистая длина 20.600 м; кусков 2; стыков 1; Lнахл=1×0.400=0.4 м на стержень</t>
        </is>
      </c>
      <c r="T1142" s="21" t="inlineStr">
        <is>
          <t>Ригели, балки, плита, С-1</t>
        </is>
      </c>
      <c r="U1142" s="49" t="n">
        <v>0</v>
      </c>
      <c r="V1142" s="72" t="inlineStr">
        <is>
          <t>П-сетка</t>
        </is>
      </c>
      <c r="W1142" s="49" t="n">
        <v>3</v>
      </c>
    </row>
    <row r="1143">
      <c r="A1143" s="72" t="n">
        <v>1118</v>
      </c>
      <c r="B1143" s="21" t="inlineStr">
        <is>
          <t>3 этаж (отм. +7.550…+11.150)</t>
        </is>
      </c>
      <c r="C1143" s="21" t="inlineStr">
        <is>
          <t>Плита перекрытия</t>
        </is>
      </c>
      <c r="D1143" s="21" t="inlineStr">
        <is>
          <t>1–5 / А–Г</t>
        </is>
      </c>
      <c r="E1143" s="21" t="inlineStr">
        <is>
          <t>ПМ-11.150</t>
        </is>
      </c>
      <c r="F1143" s="72" t="inlineStr">
        <is>
          <t>НY</t>
        </is>
      </c>
      <c r="G1143" s="21" t="inlineStr">
        <is>
          <t>Нижняя осн. сетка, направление Y (вдоль осей А–Г)</t>
        </is>
      </c>
      <c r="H1143" s="51" t="n">
        <v>10</v>
      </c>
      <c r="I1143" s="72" t="inlineStr">
        <is>
          <t>А500С</t>
        </is>
      </c>
      <c r="J1143" s="72" t="n">
        <v>200</v>
      </c>
      <c r="K1143" s="75" t="n">
        <v>1</v>
      </c>
      <c r="L1143" s="51" t="n">
        <v>26</v>
      </c>
      <c r="M1143" s="69" t="n">
        <v>20.48</v>
      </c>
      <c r="N1143" s="70">
        <f>K1143*L1143*M1143</f>
        <v/>
      </c>
      <c r="O1143" s="37">
        <f>IFERROR(INDEX(Исходные!$B$19:$B$31,MATCH(H1143,Исходные!$A$19:$A$31,0)),0)</f>
        <v/>
      </c>
      <c r="P1143" s="76">
        <f>N1143*O1143</f>
        <v/>
      </c>
      <c r="Q1143" s="21" t="inlineStr">
        <is>
          <t>АС-50/АС-51 «Осн. сетка Ø10 А500С ш.200×200»; контур — АС-48 (край 420, проём лестницы 13725…18200)</t>
        </is>
      </c>
      <c r="R1143" s="77" t="inlineStr">
        <is>
          <t>по геометрии чертежа</t>
        </is>
      </c>
      <c r="S1143" s="21" t="inlineStr"/>
      <c r="T1143" s="21" t="inlineStr">
        <is>
          <t>Ригели, балки, плита, С-1</t>
        </is>
      </c>
      <c r="U1143" s="49" t="n">
        <v>0</v>
      </c>
      <c r="V1143" s="72" t="inlineStr">
        <is>
          <t>П-сетка</t>
        </is>
      </c>
      <c r="W1143" s="49" t="n">
        <v>3</v>
      </c>
    </row>
    <row r="1144">
      <c r="A1144" s="72" t="n">
        <v>1119</v>
      </c>
      <c r="B1144" s="21" t="inlineStr">
        <is>
          <t>3 этаж (отм. +7.550…+11.150)</t>
        </is>
      </c>
      <c r="C1144" s="21" t="inlineStr">
        <is>
          <t>Плита перекрытия</t>
        </is>
      </c>
      <c r="D1144" s="21" t="inlineStr">
        <is>
          <t>1–5 / А–Г</t>
        </is>
      </c>
      <c r="E1144" s="21" t="inlineStr">
        <is>
          <t>ПМ-11.150</t>
        </is>
      </c>
      <c r="F1144" s="72" t="inlineStr">
        <is>
          <t>НY-нахл</t>
        </is>
      </c>
      <c r="G1144" s="21" t="inlineStr">
        <is>
          <t>Нахлёсты стыков к поз. «Нижняя осн. сетка, направление Y (вдоль осей А–Г)» (L=20.480 м &gt; 11,7 м): 2 куска, 1 стык(а) на стержень × 26 стерж.</t>
        </is>
      </c>
      <c r="H1144" s="51" t="n">
        <v>10</v>
      </c>
      <c r="I1144" s="72" t="inlineStr">
        <is>
          <t>А500С</t>
        </is>
      </c>
      <c r="J1144" s="72" t="inlineStr">
        <is>
          <t>—</t>
        </is>
      </c>
      <c r="K1144" s="75" t="n">
        <v>26</v>
      </c>
      <c r="L1144" s="51" t="n">
        <v>1</v>
      </c>
      <c r="M1144" s="69" t="n">
        <v>0.4</v>
      </c>
      <c r="N1144" s="70">
        <f>K1144*L1144*M1144</f>
        <v/>
      </c>
      <c r="O1144" s="37">
        <f>IFERROR(INDEX(Исходные!$B$19:$B$31,MATCH(H1144,Исходные!$A$19:$A$31,0)),0)</f>
        <v/>
      </c>
      <c r="P1144" s="76">
        <f>N1144*O1144</f>
        <v/>
      </c>
      <c r="Q1144" s="21" t="inlineStr">
        <is>
          <t>АС-58 «Деталь стыка арматуры армирования плиты»: нахлёст 400 мм для Ø10</t>
        </is>
      </c>
      <c r="R1144" s="77" t="inlineStr">
        <is>
          <t>по проекту (стыковка прутков 11,7 м)</t>
        </is>
      </c>
      <c r="S1144" s="21" t="inlineStr">
        <is>
          <t>Чистая длина 20.480 м; кусков 2; стыков 1; Lнахл=1×0.400=0.4 м на стержень</t>
        </is>
      </c>
      <c r="T1144" s="21" t="inlineStr">
        <is>
          <t>Ригели, балки, плита, С-1</t>
        </is>
      </c>
      <c r="U1144" s="49" t="n">
        <v>0</v>
      </c>
      <c r="V1144" s="72" t="inlineStr">
        <is>
          <t>П-сетка</t>
        </is>
      </c>
      <c r="W1144" s="49" t="n">
        <v>3</v>
      </c>
    </row>
    <row r="1145">
      <c r="A1145" s="72" t="n">
        <v>1120</v>
      </c>
      <c r="B1145" s="21" t="inlineStr">
        <is>
          <t>3 этаж (отм. +7.550…+11.150)</t>
        </is>
      </c>
      <c r="C1145" s="21" t="inlineStr">
        <is>
          <t>Плита перекрытия</t>
        </is>
      </c>
      <c r="D1145" s="21" t="inlineStr">
        <is>
          <t>1–5 / А–Г</t>
        </is>
      </c>
      <c r="E1145" s="21" t="inlineStr">
        <is>
          <t>ПМ-11.150</t>
        </is>
      </c>
      <c r="F1145" s="72" t="inlineStr">
        <is>
          <t>НY</t>
        </is>
      </c>
      <c r="G1145" s="21" t="inlineStr">
        <is>
          <t>Нижняя осн. сетка, направление Y (вдоль осей А–Г)</t>
        </is>
      </c>
      <c r="H1145" s="51" t="n">
        <v>10</v>
      </c>
      <c r="I1145" s="72" t="inlineStr">
        <is>
          <t>А500С</t>
        </is>
      </c>
      <c r="J1145" s="72" t="n">
        <v>200</v>
      </c>
      <c r="K1145" s="75" t="n">
        <v>1</v>
      </c>
      <c r="L1145" s="51" t="n">
        <v>2</v>
      </c>
      <c r="M1145" s="69" t="n">
        <v>19.01</v>
      </c>
      <c r="N1145" s="70">
        <f>K1145*L1145*M1145</f>
        <v/>
      </c>
      <c r="O1145" s="37">
        <f>IFERROR(INDEX(Исходные!$B$19:$B$31,MATCH(H1145,Исходные!$A$19:$A$31,0)),0)</f>
        <v/>
      </c>
      <c r="P1145" s="76">
        <f>N1145*O1145</f>
        <v/>
      </c>
      <c r="Q1145" s="21" t="inlineStr">
        <is>
          <t>АС-50/АС-51 «Осн. сетка Ø10 А500С ш.200×200»; контур — АС-48 (край 420, проём лестницы 13725…18200)</t>
        </is>
      </c>
      <c r="R1145" s="77" t="inlineStr">
        <is>
          <t>по геометрии чертежа</t>
        </is>
      </c>
      <c r="S1145" s="21" t="inlineStr"/>
      <c r="T1145" s="21" t="inlineStr">
        <is>
          <t>Ригели, балки, плита, С-1</t>
        </is>
      </c>
      <c r="U1145" s="49" t="n">
        <v>0</v>
      </c>
      <c r="V1145" s="72" t="inlineStr">
        <is>
          <t>П-сетка</t>
        </is>
      </c>
      <c r="W1145" s="49" t="n">
        <v>3</v>
      </c>
    </row>
    <row r="1146">
      <c r="A1146" s="72" t="n">
        <v>1121</v>
      </c>
      <c r="B1146" s="21" t="inlineStr">
        <is>
          <t>3 этаж (отм. +7.550…+11.150)</t>
        </is>
      </c>
      <c r="C1146" s="21" t="inlineStr">
        <is>
          <t>Плита перекрытия</t>
        </is>
      </c>
      <c r="D1146" s="21" t="inlineStr">
        <is>
          <t>1–5 / А–Г</t>
        </is>
      </c>
      <c r="E1146" s="21" t="inlineStr">
        <is>
          <t>ПМ-11.150</t>
        </is>
      </c>
      <c r="F1146" s="72" t="inlineStr">
        <is>
          <t>НY-нахл</t>
        </is>
      </c>
      <c r="G1146" s="21" t="inlineStr">
        <is>
          <t>Нахлёсты стыков к поз. «Нижняя осн. сетка, направление Y (вдоль осей А–Г)» (L=19.010 м &gt; 11,7 м): 2 куска, 1 стык(а) на стержень × 2 стерж.</t>
        </is>
      </c>
      <c r="H1146" s="51" t="n">
        <v>10</v>
      </c>
      <c r="I1146" s="72" t="inlineStr">
        <is>
          <t>А500С</t>
        </is>
      </c>
      <c r="J1146" s="72" t="inlineStr">
        <is>
          <t>—</t>
        </is>
      </c>
      <c r="K1146" s="75" t="n">
        <v>2</v>
      </c>
      <c r="L1146" s="51" t="n">
        <v>1</v>
      </c>
      <c r="M1146" s="69" t="n">
        <v>0.4</v>
      </c>
      <c r="N1146" s="70">
        <f>K1146*L1146*M1146</f>
        <v/>
      </c>
      <c r="O1146" s="37">
        <f>IFERROR(INDEX(Исходные!$B$19:$B$31,MATCH(H1146,Исходные!$A$19:$A$31,0)),0)</f>
        <v/>
      </c>
      <c r="P1146" s="76">
        <f>N1146*O1146</f>
        <v/>
      </c>
      <c r="Q1146" s="21" t="inlineStr">
        <is>
          <t>АС-58 «Деталь стыка арматуры армирования плиты»: нахлёст 400 мм для Ø10</t>
        </is>
      </c>
      <c r="R1146" s="77" t="inlineStr">
        <is>
          <t>по проекту (стыковка прутков 11,7 м)</t>
        </is>
      </c>
      <c r="S1146" s="21" t="inlineStr">
        <is>
          <t>Чистая длина 19.010 м; кусков 2; стыков 1; Lнахл=1×0.400=0.4 м на стержень</t>
        </is>
      </c>
      <c r="T1146" s="21" t="inlineStr">
        <is>
          <t>Ригели, балки, плита, С-1</t>
        </is>
      </c>
      <c r="U1146" s="49" t="n">
        <v>0</v>
      </c>
      <c r="V1146" s="72" t="inlineStr">
        <is>
          <t>П-сетка</t>
        </is>
      </c>
      <c r="W1146" s="49" t="n">
        <v>3</v>
      </c>
    </row>
    <row r="1147">
      <c r="A1147" s="72" t="n">
        <v>1122</v>
      </c>
      <c r="B1147" s="21" t="inlineStr">
        <is>
          <t>3 этаж (отм. +7.550…+11.150)</t>
        </is>
      </c>
      <c r="C1147" s="21" t="inlineStr">
        <is>
          <t>Плита перекрытия</t>
        </is>
      </c>
      <c r="D1147" s="21" t="inlineStr">
        <is>
          <t>1–5 / А–Г</t>
        </is>
      </c>
      <c r="E1147" s="21" t="inlineStr">
        <is>
          <t>ПМ-11.150</t>
        </is>
      </c>
      <c r="F1147" s="72" t="inlineStr">
        <is>
          <t>НY</t>
        </is>
      </c>
      <c r="G1147" s="21" t="inlineStr">
        <is>
          <t>Нижняя осн. сетка, направление Y (вдоль осей А–Г)</t>
        </is>
      </c>
      <c r="H1147" s="51" t="n">
        <v>10</v>
      </c>
      <c r="I1147" s="72" t="inlineStr">
        <is>
          <t>А500С</t>
        </is>
      </c>
      <c r="J1147" s="72" t="n">
        <v>200</v>
      </c>
      <c r="K1147" s="75" t="n">
        <v>1</v>
      </c>
      <c r="L1147" s="51" t="n">
        <v>3</v>
      </c>
      <c r="M1147" s="69" t="n">
        <v>17.28</v>
      </c>
      <c r="N1147" s="70">
        <f>K1147*L1147*M1147</f>
        <v/>
      </c>
      <c r="O1147" s="37">
        <f>IFERROR(INDEX(Исходные!$B$19:$B$31,MATCH(H1147,Исходные!$A$19:$A$31,0)),0)</f>
        <v/>
      </c>
      <c r="P1147" s="76">
        <f>N1147*O1147</f>
        <v/>
      </c>
      <c r="Q1147" s="21" t="inlineStr">
        <is>
          <t>АС-50/АС-51 «Осн. сетка Ø10 А500С ш.200×200»; контур — АС-48 (край 420, проём лестницы 13725…18200)</t>
        </is>
      </c>
      <c r="R1147" s="77" t="inlineStr">
        <is>
          <t>по геометрии чертежа</t>
        </is>
      </c>
      <c r="S1147" s="21" t="inlineStr"/>
      <c r="T1147" s="21" t="inlineStr">
        <is>
          <t>Ригели, балки, плита, С-1</t>
        </is>
      </c>
      <c r="U1147" s="49" t="n">
        <v>0</v>
      </c>
      <c r="V1147" s="72" t="inlineStr">
        <is>
          <t>П-сетка</t>
        </is>
      </c>
      <c r="W1147" s="49" t="n">
        <v>3</v>
      </c>
    </row>
    <row r="1148">
      <c r="A1148" s="72" t="n">
        <v>1123</v>
      </c>
      <c r="B1148" s="21" t="inlineStr">
        <is>
          <t>3 этаж (отм. +7.550…+11.150)</t>
        </is>
      </c>
      <c r="C1148" s="21" t="inlineStr">
        <is>
          <t>Плита перекрытия</t>
        </is>
      </c>
      <c r="D1148" s="21" t="inlineStr">
        <is>
          <t>1–5 / А–Г</t>
        </is>
      </c>
      <c r="E1148" s="21" t="inlineStr">
        <is>
          <t>ПМ-11.150</t>
        </is>
      </c>
      <c r="F1148" s="72" t="inlineStr">
        <is>
          <t>НY-нахл</t>
        </is>
      </c>
      <c r="G1148" s="21" t="inlineStr">
        <is>
          <t>Нахлёсты стыков к поз. «Нижняя осн. сетка, направление Y (вдоль осей А–Г)» (L=17.280 м &gt; 11,7 м): 2 куска, 1 стык(а) на стержень × 3 стерж.</t>
        </is>
      </c>
      <c r="H1148" s="51" t="n">
        <v>10</v>
      </c>
      <c r="I1148" s="72" t="inlineStr">
        <is>
          <t>А500С</t>
        </is>
      </c>
      <c r="J1148" s="72" t="inlineStr">
        <is>
          <t>—</t>
        </is>
      </c>
      <c r="K1148" s="75" t="n">
        <v>3</v>
      </c>
      <c r="L1148" s="51" t="n">
        <v>1</v>
      </c>
      <c r="M1148" s="69" t="n">
        <v>0.4</v>
      </c>
      <c r="N1148" s="70">
        <f>K1148*L1148*M1148</f>
        <v/>
      </c>
      <c r="O1148" s="37">
        <f>IFERROR(INDEX(Исходные!$B$19:$B$31,MATCH(H1148,Исходные!$A$19:$A$31,0)),0)</f>
        <v/>
      </c>
      <c r="P1148" s="76">
        <f>N1148*O1148</f>
        <v/>
      </c>
      <c r="Q1148" s="21" t="inlineStr">
        <is>
          <t>АС-58 «Деталь стыка арматуры армирования плиты»: нахлёст 400 мм для Ø10</t>
        </is>
      </c>
      <c r="R1148" s="77" t="inlineStr">
        <is>
          <t>по проекту (стыковка прутков 11,7 м)</t>
        </is>
      </c>
      <c r="S1148" s="21" t="inlineStr">
        <is>
          <t>Чистая длина 17.280 м; кусков 2; стыков 1; Lнахл=1×0.400=0.4 м на стержень</t>
        </is>
      </c>
      <c r="T1148" s="21" t="inlineStr">
        <is>
          <t>Ригели, балки, плита, С-1</t>
        </is>
      </c>
      <c r="U1148" s="49" t="n">
        <v>0</v>
      </c>
      <c r="V1148" s="72" t="inlineStr">
        <is>
          <t>П-сетка</t>
        </is>
      </c>
      <c r="W1148" s="49" t="n">
        <v>3</v>
      </c>
    </row>
    <row r="1149">
      <c r="A1149" s="72" t="n">
        <v>1124</v>
      </c>
      <c r="B1149" s="21" t="inlineStr">
        <is>
          <t>3 этаж (отм. +7.550…+11.150)</t>
        </is>
      </c>
      <c r="C1149" s="21" t="inlineStr">
        <is>
          <t>Плита перекрытия</t>
        </is>
      </c>
      <c r="D1149" s="21" t="inlineStr">
        <is>
          <t>1–5 / А–Г</t>
        </is>
      </c>
      <c r="E1149" s="21" t="inlineStr">
        <is>
          <t>ПМ-11.150</t>
        </is>
      </c>
      <c r="F1149" s="72" t="inlineStr">
        <is>
          <t>НY</t>
        </is>
      </c>
      <c r="G1149" s="21" t="inlineStr">
        <is>
          <t>Нижняя осн. сетка, направление Y (вдоль осей А–Г)</t>
        </is>
      </c>
      <c r="H1149" s="51" t="n">
        <v>10</v>
      </c>
      <c r="I1149" s="72" t="inlineStr">
        <is>
          <t>А500С</t>
        </is>
      </c>
      <c r="J1149" s="72" t="n">
        <v>200</v>
      </c>
      <c r="K1149" s="75" t="n">
        <v>1</v>
      </c>
      <c r="L1149" s="51" t="n">
        <v>17</v>
      </c>
      <c r="M1149" s="69" t="n">
        <v>15.6</v>
      </c>
      <c r="N1149" s="70">
        <f>K1149*L1149*M1149</f>
        <v/>
      </c>
      <c r="O1149" s="37">
        <f>IFERROR(INDEX(Исходные!$B$19:$B$31,MATCH(H1149,Исходные!$A$19:$A$31,0)),0)</f>
        <v/>
      </c>
      <c r="P1149" s="76">
        <f>N1149*O1149</f>
        <v/>
      </c>
      <c r="Q1149" s="21" t="inlineStr">
        <is>
          <t>АС-50/АС-51 «Осн. сетка Ø10 А500С ш.200×200»; контур — АС-48 (край 420, проём лестницы 13725…18200)</t>
        </is>
      </c>
      <c r="R1149" s="77" t="inlineStr">
        <is>
          <t>по геометрии чертежа</t>
        </is>
      </c>
      <c r="S1149" s="21" t="inlineStr"/>
      <c r="T1149" s="21" t="inlineStr">
        <is>
          <t>Ригели, балки, плита, С-1</t>
        </is>
      </c>
      <c r="U1149" s="49" t="n">
        <v>0</v>
      </c>
      <c r="V1149" s="72" t="inlineStr">
        <is>
          <t>П-сетка</t>
        </is>
      </c>
      <c r="W1149" s="49" t="n">
        <v>3</v>
      </c>
    </row>
    <row r="1150">
      <c r="A1150" s="72" t="n">
        <v>1125</v>
      </c>
      <c r="B1150" s="21" t="inlineStr">
        <is>
          <t>3 этаж (отм. +7.550…+11.150)</t>
        </is>
      </c>
      <c r="C1150" s="21" t="inlineStr">
        <is>
          <t>Плита перекрытия</t>
        </is>
      </c>
      <c r="D1150" s="21" t="inlineStr">
        <is>
          <t>1–5 / А–Г</t>
        </is>
      </c>
      <c r="E1150" s="21" t="inlineStr">
        <is>
          <t>ПМ-11.150</t>
        </is>
      </c>
      <c r="F1150" s="72" t="inlineStr">
        <is>
          <t>НY-нахл</t>
        </is>
      </c>
      <c r="G1150" s="21" t="inlineStr">
        <is>
          <t>Нахлёсты стыков к поз. «Нижняя осн. сетка, направление Y (вдоль осей А–Г)» (L=15.600 м &gt; 11,7 м): 2 куска, 1 стык(а) на стержень × 17 стерж.</t>
        </is>
      </c>
      <c r="H1150" s="51" t="n">
        <v>10</v>
      </c>
      <c r="I1150" s="72" t="inlineStr">
        <is>
          <t>А500С</t>
        </is>
      </c>
      <c r="J1150" s="72" t="inlineStr">
        <is>
          <t>—</t>
        </is>
      </c>
      <c r="K1150" s="75" t="n">
        <v>17</v>
      </c>
      <c r="L1150" s="51" t="n">
        <v>1</v>
      </c>
      <c r="M1150" s="69" t="n">
        <v>0.4</v>
      </c>
      <c r="N1150" s="70">
        <f>K1150*L1150*M1150</f>
        <v/>
      </c>
      <c r="O1150" s="37">
        <f>IFERROR(INDEX(Исходные!$B$19:$B$31,MATCH(H1150,Исходные!$A$19:$A$31,0)),0)</f>
        <v/>
      </c>
      <c r="P1150" s="76">
        <f>N1150*O1150</f>
        <v/>
      </c>
      <c r="Q1150" s="21" t="inlineStr">
        <is>
          <t>АС-58 «Деталь стыка арматуры армирования плиты»: нахлёст 400 мм для Ø10</t>
        </is>
      </c>
      <c r="R1150" s="77" t="inlineStr">
        <is>
          <t>по проекту (стыковка прутков 11,7 м)</t>
        </is>
      </c>
      <c r="S1150" s="21" t="inlineStr">
        <is>
          <t>Чистая длина 15.600 м; кусков 2; стыков 1; Lнахл=1×0.400=0.4 м на стержень</t>
        </is>
      </c>
      <c r="T1150" s="21" t="inlineStr">
        <is>
          <t>Ригели, балки, плита, С-1</t>
        </is>
      </c>
      <c r="U1150" s="49" t="n">
        <v>0</v>
      </c>
      <c r="V1150" s="72" t="inlineStr">
        <is>
          <t>П-сетка</t>
        </is>
      </c>
      <c r="W1150" s="49" t="n">
        <v>3</v>
      </c>
    </row>
    <row r="1151">
      <c r="A1151" s="72" t="n">
        <v>1126</v>
      </c>
      <c r="B1151" s="21" t="inlineStr">
        <is>
          <t>3 этаж (отм. +7.550…+11.150)</t>
        </is>
      </c>
      <c r="C1151" s="21" t="inlineStr">
        <is>
          <t>Плита перекрытия</t>
        </is>
      </c>
      <c r="D1151" s="21" t="inlineStr">
        <is>
          <t>1–5 / А–Г</t>
        </is>
      </c>
      <c r="E1151" s="21" t="inlineStr">
        <is>
          <t>ПМ-11.150</t>
        </is>
      </c>
      <c r="F1151" s="72" t="inlineStr">
        <is>
          <t>НY</t>
        </is>
      </c>
      <c r="G1151" s="21" t="inlineStr">
        <is>
          <t>Нижняя осн. сетка, направление Y (вдоль осей А–Г)</t>
        </is>
      </c>
      <c r="H1151" s="51" t="n">
        <v>10</v>
      </c>
      <c r="I1151" s="72" t="inlineStr">
        <is>
          <t>А500С</t>
        </is>
      </c>
      <c r="J1151" s="72" t="n">
        <v>200</v>
      </c>
      <c r="K1151" s="75" t="n">
        <v>1</v>
      </c>
      <c r="L1151" s="51" t="n">
        <v>18</v>
      </c>
      <c r="M1151" s="69" t="n">
        <v>4.15</v>
      </c>
      <c r="N1151" s="70">
        <f>K1151*L1151*M1151</f>
        <v/>
      </c>
      <c r="O1151" s="37">
        <f>IFERROR(INDEX(Исходные!$B$19:$B$31,MATCH(H1151,Исходные!$A$19:$A$31,0)),0)</f>
        <v/>
      </c>
      <c r="P1151" s="76">
        <f>N1151*O1151</f>
        <v/>
      </c>
      <c r="Q1151" s="21" t="inlineStr">
        <is>
          <t>АС-50/АС-51 «Осн. сетка Ø10 А500С ш.200×200»; контур — АС-48 (край 420, проём лестницы 13725…18200)</t>
        </is>
      </c>
      <c r="R1151" s="77" t="inlineStr">
        <is>
          <t>по геометрии чертежа</t>
        </is>
      </c>
      <c r="S1151" s="21" t="inlineStr"/>
      <c r="T1151" s="21" t="inlineStr">
        <is>
          <t>Ригели, балки, плита, С-1</t>
        </is>
      </c>
      <c r="U1151" s="49" t="n">
        <v>0</v>
      </c>
      <c r="V1151" s="72" t="inlineStr">
        <is>
          <t>П-сетка</t>
        </is>
      </c>
      <c r="W1151" s="49" t="n">
        <v>3</v>
      </c>
    </row>
    <row r="1152">
      <c r="A1152" s="72" t="n">
        <v>1127</v>
      </c>
      <c r="B1152" s="21" t="inlineStr">
        <is>
          <t>3 этаж (отм. +7.550…+11.150)</t>
        </is>
      </c>
      <c r="C1152" s="21" t="inlineStr">
        <is>
          <t>Плита перекрытия</t>
        </is>
      </c>
      <c r="D1152" s="21" t="inlineStr">
        <is>
          <t>1–5 / А–Г</t>
        </is>
      </c>
      <c r="E1152" s="21" t="inlineStr">
        <is>
          <t>ПМ-11.150</t>
        </is>
      </c>
      <c r="F1152" s="72" t="inlineStr">
        <is>
          <t>НY</t>
        </is>
      </c>
      <c r="G1152" s="21" t="inlineStr">
        <is>
          <t>Нижняя осн. сетка, направление Y (вдоль осей А–Г)</t>
        </is>
      </c>
      <c r="H1152" s="51" t="n">
        <v>10</v>
      </c>
      <c r="I1152" s="72" t="inlineStr">
        <is>
          <t>А500С</t>
        </is>
      </c>
      <c r="J1152" s="72" t="n">
        <v>200</v>
      </c>
      <c r="K1152" s="75" t="n">
        <v>1</v>
      </c>
      <c r="L1152" s="51" t="n">
        <v>22</v>
      </c>
      <c r="M1152" s="69" t="n">
        <v>0.6</v>
      </c>
      <c r="N1152" s="70">
        <f>K1152*L1152*M1152</f>
        <v/>
      </c>
      <c r="O1152" s="37">
        <f>IFERROR(INDEX(Исходные!$B$19:$B$31,MATCH(H1152,Исходные!$A$19:$A$31,0)),0)</f>
        <v/>
      </c>
      <c r="P1152" s="76">
        <f>N1152*O1152</f>
        <v/>
      </c>
      <c r="Q1152" s="21" t="inlineStr">
        <is>
          <t>АС-50/АС-51 «Осн. сетка Ø10 А500С ш.200×200»; контур — АС-48 (край 420, проём лестницы 13725…18200)</t>
        </is>
      </c>
      <c r="R1152" s="77" t="inlineStr">
        <is>
          <t>по геометрии чертежа</t>
        </is>
      </c>
      <c r="S1152" s="21" t="inlineStr"/>
      <c r="T1152" s="21" t="inlineStr">
        <is>
          <t>Ригели, балки, плита, С-1</t>
        </is>
      </c>
      <c r="U1152" s="49" t="n">
        <v>0</v>
      </c>
      <c r="V1152" s="72" t="inlineStr">
        <is>
          <t>П-сетка</t>
        </is>
      </c>
      <c r="W1152" s="49" t="n">
        <v>3</v>
      </c>
    </row>
    <row r="1153">
      <c r="A1153" s="72" t="n">
        <v>1128</v>
      </c>
      <c r="B1153" s="21" t="inlineStr">
        <is>
          <t>3 этаж (отм. +7.550…+11.150)</t>
        </is>
      </c>
      <c r="C1153" s="21" t="inlineStr">
        <is>
          <t>Плита перекрытия</t>
        </is>
      </c>
      <c r="D1153" s="21" t="inlineStr">
        <is>
          <t>1–5 / А–Г</t>
        </is>
      </c>
      <c r="E1153" s="21" t="inlineStr">
        <is>
          <t>ПМ-11.150</t>
        </is>
      </c>
      <c r="F1153" s="72" t="inlineStr">
        <is>
          <t>ВX</t>
        </is>
      </c>
      <c r="G1153" s="21" t="inlineStr">
        <is>
          <t>Верхняя осн. сетка, направление X (вдоль осей 1–5)</t>
        </is>
      </c>
      <c r="H1153" s="51" t="n">
        <v>10</v>
      </c>
      <c r="I1153" s="72" t="inlineStr">
        <is>
          <t>А500С</t>
        </is>
      </c>
      <c r="J1153" s="72" t="n">
        <v>200</v>
      </c>
      <c r="K1153" s="75" t="n">
        <v>1</v>
      </c>
      <c r="L1153" s="51" t="n">
        <v>26</v>
      </c>
      <c r="M1153" s="69" t="n">
        <v>27.32</v>
      </c>
      <c r="N1153" s="70">
        <f>K1153*L1153*M1153</f>
        <v/>
      </c>
      <c r="O1153" s="37">
        <f>IFERROR(INDEX(Исходные!$B$19:$B$31,MATCH(H1153,Исходные!$A$19:$A$31,0)),0)</f>
        <v/>
      </c>
      <c r="P1153" s="76">
        <f>N1153*O1153</f>
        <v/>
      </c>
      <c r="Q1153" s="21" t="inlineStr">
        <is>
          <t>АС-50/АС-51 «Осн. сетка Ø10 А500С ш.200×200»; контур — АС-48 (край 420, проём лестницы 13725…18200)</t>
        </is>
      </c>
      <c r="R1153" s="77" t="inlineStr">
        <is>
          <t>по геометрии чертежа</t>
        </is>
      </c>
      <c r="S1153" s="21" t="inlineStr"/>
      <c r="T1153" s="21" t="inlineStr">
        <is>
          <t>Ригели, балки, плита, С-1</t>
        </is>
      </c>
      <c r="U1153" s="49" t="n">
        <v>0</v>
      </c>
      <c r="V1153" s="72" t="inlineStr">
        <is>
          <t>П-сетка</t>
        </is>
      </c>
      <c r="W1153" s="49" t="n">
        <v>3</v>
      </c>
    </row>
    <row r="1154">
      <c r="A1154" s="72" t="n">
        <v>1129</v>
      </c>
      <c r="B1154" s="21" t="inlineStr">
        <is>
          <t>3 этаж (отм. +7.550…+11.150)</t>
        </is>
      </c>
      <c r="C1154" s="21" t="inlineStr">
        <is>
          <t>Плита перекрытия</t>
        </is>
      </c>
      <c r="D1154" s="21" t="inlineStr">
        <is>
          <t>1–5 / А–Г</t>
        </is>
      </c>
      <c r="E1154" s="21" t="inlineStr">
        <is>
          <t>ПМ-11.150</t>
        </is>
      </c>
      <c r="F1154" s="72" t="inlineStr">
        <is>
          <t>ВX-нахл</t>
        </is>
      </c>
      <c r="G1154" s="21" t="inlineStr">
        <is>
          <t>Нахлёсты стыков к поз. «Верхняя осн. сетка, направление X (вдоль осей 1–5)» (L=27.320 м &gt; 11,7 м): 3 куска, 2 стык(а) на стержень × 26 стерж.</t>
        </is>
      </c>
      <c r="H1154" s="51" t="n">
        <v>10</v>
      </c>
      <c r="I1154" s="72" t="inlineStr">
        <is>
          <t>А500С</t>
        </is>
      </c>
      <c r="J1154" s="72" t="inlineStr">
        <is>
          <t>—</t>
        </is>
      </c>
      <c r="K1154" s="75" t="n">
        <v>26</v>
      </c>
      <c r="L1154" s="51" t="n">
        <v>2</v>
      </c>
      <c r="M1154" s="69" t="n">
        <v>0.4</v>
      </c>
      <c r="N1154" s="70">
        <f>K1154*L1154*M1154</f>
        <v/>
      </c>
      <c r="O1154" s="37">
        <f>IFERROR(INDEX(Исходные!$B$19:$B$31,MATCH(H1154,Исходные!$A$19:$A$31,0)),0)</f>
        <v/>
      </c>
      <c r="P1154" s="76">
        <f>N1154*O1154</f>
        <v/>
      </c>
      <c r="Q1154" s="21" t="inlineStr">
        <is>
          <t>АС-58 «Деталь стыка арматуры армирования плиты»: нахлёст 400 мм для Ø10</t>
        </is>
      </c>
      <c r="R1154" s="77" t="inlineStr">
        <is>
          <t>по проекту (стыковка прутков 11,7 м)</t>
        </is>
      </c>
      <c r="S1154" s="21" t="inlineStr">
        <is>
          <t>Чистая длина 27.320 м; кусков 3; стыков 2; Lнахл=2×0.400=0.8 м на стержень</t>
        </is>
      </c>
      <c r="T1154" s="21" t="inlineStr">
        <is>
          <t>Ригели, балки, плита, С-1</t>
        </is>
      </c>
      <c r="U1154" s="49" t="n">
        <v>0</v>
      </c>
      <c r="V1154" s="72" t="inlineStr">
        <is>
          <t>П-сетка</t>
        </is>
      </c>
      <c r="W1154" s="49" t="n">
        <v>3</v>
      </c>
    </row>
    <row r="1155">
      <c r="A1155" s="72" t="n">
        <v>1130</v>
      </c>
      <c r="B1155" s="21" t="inlineStr">
        <is>
          <t>3 этаж (отм. +7.550…+11.150)</t>
        </is>
      </c>
      <c r="C1155" s="21" t="inlineStr">
        <is>
          <t>Плита перекрытия</t>
        </is>
      </c>
      <c r="D1155" s="21" t="inlineStr">
        <is>
          <t>1–5 / А–Г</t>
        </is>
      </c>
      <c r="E1155" s="21" t="inlineStr">
        <is>
          <t>ПМ-11.150</t>
        </is>
      </c>
      <c r="F1155" s="72" t="inlineStr">
        <is>
          <t>ВX</t>
        </is>
      </c>
      <c r="G1155" s="21" t="inlineStr">
        <is>
          <t>Верхняя осн. сетка, направление X (вдоль осей 1–5)</t>
        </is>
      </c>
      <c r="H1155" s="51" t="n">
        <v>10</v>
      </c>
      <c r="I1155" s="72" t="inlineStr">
        <is>
          <t>А500С</t>
        </is>
      </c>
      <c r="J1155" s="72" t="n">
        <v>200</v>
      </c>
      <c r="K1155" s="75" t="n">
        <v>1</v>
      </c>
      <c r="L1155" s="51" t="n">
        <v>49</v>
      </c>
      <c r="M1155" s="69" t="n">
        <v>25.6</v>
      </c>
      <c r="N1155" s="70">
        <f>K1155*L1155*M1155</f>
        <v/>
      </c>
      <c r="O1155" s="37">
        <f>IFERROR(INDEX(Исходные!$B$19:$B$31,MATCH(H1155,Исходные!$A$19:$A$31,0)),0)</f>
        <v/>
      </c>
      <c r="P1155" s="76">
        <f>N1155*O1155</f>
        <v/>
      </c>
      <c r="Q1155" s="21" t="inlineStr">
        <is>
          <t>АС-50/АС-51 «Осн. сетка Ø10 А500С ш.200×200»; контур — АС-48 (край 420, проём лестницы 13725…18200)</t>
        </is>
      </c>
      <c r="R1155" s="77" t="inlineStr">
        <is>
          <t>по геометрии чертежа</t>
        </is>
      </c>
      <c r="S1155" s="21" t="inlineStr"/>
      <c r="T1155" s="21" t="inlineStr">
        <is>
          <t>Ригели, балки, плита, С-1</t>
        </is>
      </c>
      <c r="U1155" s="49" t="n">
        <v>0</v>
      </c>
      <c r="V1155" s="72" t="inlineStr">
        <is>
          <t>П-сетка</t>
        </is>
      </c>
      <c r="W1155" s="49" t="n">
        <v>3</v>
      </c>
    </row>
    <row r="1156">
      <c r="A1156" s="72" t="n">
        <v>1131</v>
      </c>
      <c r="B1156" s="21" t="inlineStr">
        <is>
          <t>3 этаж (отм. +7.550…+11.150)</t>
        </is>
      </c>
      <c r="C1156" s="21" t="inlineStr">
        <is>
          <t>Плита перекрытия</t>
        </is>
      </c>
      <c r="D1156" s="21" t="inlineStr">
        <is>
          <t>1–5 / А–Г</t>
        </is>
      </c>
      <c r="E1156" s="21" t="inlineStr">
        <is>
          <t>ПМ-11.150</t>
        </is>
      </c>
      <c r="F1156" s="72" t="inlineStr">
        <is>
          <t>ВX-нахл</t>
        </is>
      </c>
      <c r="G1156" s="21" t="inlineStr">
        <is>
          <t>Нахлёсты стыков к поз. «Верхняя осн. сетка, направление X (вдоль осей 1–5)» (L=25.600 м &gt; 11,7 м): 3 куска, 2 стык(а) на стержень × 49 стерж.</t>
        </is>
      </c>
      <c r="H1156" s="51" t="n">
        <v>10</v>
      </c>
      <c r="I1156" s="72" t="inlineStr">
        <is>
          <t>А500С</t>
        </is>
      </c>
      <c r="J1156" s="72" t="inlineStr">
        <is>
          <t>—</t>
        </is>
      </c>
      <c r="K1156" s="75" t="n">
        <v>49</v>
      </c>
      <c r="L1156" s="51" t="n">
        <v>2</v>
      </c>
      <c r="M1156" s="69" t="n">
        <v>0.4</v>
      </c>
      <c r="N1156" s="70">
        <f>K1156*L1156*M1156</f>
        <v/>
      </c>
      <c r="O1156" s="37">
        <f>IFERROR(INDEX(Исходные!$B$19:$B$31,MATCH(H1156,Исходные!$A$19:$A$31,0)),0)</f>
        <v/>
      </c>
      <c r="P1156" s="76">
        <f>N1156*O1156</f>
        <v/>
      </c>
      <c r="Q1156" s="21" t="inlineStr">
        <is>
          <t>АС-58 «Деталь стыка арматуры армирования плиты»: нахлёст 400 мм для Ø10</t>
        </is>
      </c>
      <c r="R1156" s="77" t="inlineStr">
        <is>
          <t>по проекту (стыковка прутков 11,7 м)</t>
        </is>
      </c>
      <c r="S1156" s="21" t="inlineStr">
        <is>
          <t>Чистая длина 25.600 м; кусков 3; стыков 2; Lнахл=2×0.400=0.8 м на стержень</t>
        </is>
      </c>
      <c r="T1156" s="21" t="inlineStr">
        <is>
          <t>Ригели, балки, плита, С-1</t>
        </is>
      </c>
      <c r="U1156" s="49" t="n">
        <v>0</v>
      </c>
      <c r="V1156" s="72" t="inlineStr">
        <is>
          <t>П-сетка</t>
        </is>
      </c>
      <c r="W1156" s="49" t="n">
        <v>3</v>
      </c>
    </row>
    <row r="1157">
      <c r="A1157" s="72" t="n">
        <v>1132</v>
      </c>
      <c r="B1157" s="21" t="inlineStr">
        <is>
          <t>3 этаж (отм. +7.550…+11.150)</t>
        </is>
      </c>
      <c r="C1157" s="21" t="inlineStr">
        <is>
          <t>Плита перекрытия</t>
        </is>
      </c>
      <c r="D1157" s="21" t="inlineStr">
        <is>
          <t>1–5 / А–Г</t>
        </is>
      </c>
      <c r="E1157" s="21" t="inlineStr">
        <is>
          <t>ПМ-11.150</t>
        </is>
      </c>
      <c r="F1157" s="72" t="inlineStr">
        <is>
          <t>ВX</t>
        </is>
      </c>
      <c r="G1157" s="21" t="inlineStr">
        <is>
          <t>Верхняя осн. сетка, направление X (вдоль осей 1–5)</t>
        </is>
      </c>
      <c r="H1157" s="51" t="n">
        <v>10</v>
      </c>
      <c r="I1157" s="72" t="inlineStr">
        <is>
          <t>А500С</t>
        </is>
      </c>
      <c r="J1157" s="72" t="n">
        <v>200</v>
      </c>
      <c r="K1157" s="75" t="n">
        <v>1</v>
      </c>
      <c r="L1157" s="51" t="n">
        <v>1</v>
      </c>
      <c r="M1157" s="69" t="n">
        <v>22.2</v>
      </c>
      <c r="N1157" s="70">
        <f>K1157*L1157*M1157</f>
        <v/>
      </c>
      <c r="O1157" s="37">
        <f>IFERROR(INDEX(Исходные!$B$19:$B$31,MATCH(H1157,Исходные!$A$19:$A$31,0)),0)</f>
        <v/>
      </c>
      <c r="P1157" s="76">
        <f>N1157*O1157</f>
        <v/>
      </c>
      <c r="Q1157" s="21" t="inlineStr">
        <is>
          <t>АС-50/АС-51 «Осн. сетка Ø10 А500С ш.200×200»; контур — АС-48 (край 420, проём лестницы 13725…18200)</t>
        </is>
      </c>
      <c r="R1157" s="77" t="inlineStr">
        <is>
          <t>по геометрии чертежа</t>
        </is>
      </c>
      <c r="S1157" s="21" t="inlineStr"/>
      <c r="T1157" s="21" t="inlineStr">
        <is>
          <t>Ригели, балки, плита, С-1</t>
        </is>
      </c>
      <c r="U1157" s="49" t="n">
        <v>0</v>
      </c>
      <c r="V1157" s="72" t="inlineStr">
        <is>
          <t>П-сетка</t>
        </is>
      </c>
      <c r="W1157" s="49" t="n">
        <v>3</v>
      </c>
    </row>
    <row r="1158">
      <c r="A1158" s="72" t="n">
        <v>1133</v>
      </c>
      <c r="B1158" s="21" t="inlineStr">
        <is>
          <t>3 этаж (отм. +7.550…+11.150)</t>
        </is>
      </c>
      <c r="C1158" s="21" t="inlineStr">
        <is>
          <t>Плита перекрытия</t>
        </is>
      </c>
      <c r="D1158" s="21" t="inlineStr">
        <is>
          <t>1–5 / А–Г</t>
        </is>
      </c>
      <c r="E1158" s="21" t="inlineStr">
        <is>
          <t>ПМ-11.150</t>
        </is>
      </c>
      <c r="F1158" s="72" t="inlineStr">
        <is>
          <t>ВX-нахл</t>
        </is>
      </c>
      <c r="G1158" s="21" t="inlineStr">
        <is>
          <t>Нахлёсты стыков к поз. «Верхняя осн. сетка, направление X (вдоль осей 1–5)» (L=22.200 м &gt; 11,7 м): 2 куска, 1 стык(а) на стержень × 1 стерж.</t>
        </is>
      </c>
      <c r="H1158" s="51" t="n">
        <v>10</v>
      </c>
      <c r="I1158" s="72" t="inlineStr">
        <is>
          <t>А500С</t>
        </is>
      </c>
      <c r="J1158" s="72" t="inlineStr">
        <is>
          <t>—</t>
        </is>
      </c>
      <c r="K1158" s="75" t="n">
        <v>1</v>
      </c>
      <c r="L1158" s="51" t="n">
        <v>1</v>
      </c>
      <c r="M1158" s="69" t="n">
        <v>0.4</v>
      </c>
      <c r="N1158" s="70">
        <f>K1158*L1158*M1158</f>
        <v/>
      </c>
      <c r="O1158" s="37">
        <f>IFERROR(INDEX(Исходные!$B$19:$B$31,MATCH(H1158,Исходные!$A$19:$A$31,0)),0)</f>
        <v/>
      </c>
      <c r="P1158" s="76">
        <f>N1158*O1158</f>
        <v/>
      </c>
      <c r="Q1158" s="21" t="inlineStr">
        <is>
          <t>АС-58 «Деталь стыка арматуры армирования плиты»: нахлёст 400 мм для Ø10</t>
        </is>
      </c>
      <c r="R1158" s="77" t="inlineStr">
        <is>
          <t>по проекту (стыковка прутков 11,7 м)</t>
        </is>
      </c>
      <c r="S1158" s="21" t="inlineStr">
        <is>
          <t>Чистая длина 22.200 м; кусков 2; стыков 1; Lнахл=1×0.400=0.4 м на стержень</t>
        </is>
      </c>
      <c r="T1158" s="21" t="inlineStr">
        <is>
          <t>Ригели, балки, плита, С-1</t>
        </is>
      </c>
      <c r="U1158" s="49" t="n">
        <v>0</v>
      </c>
      <c r="V1158" s="72" t="inlineStr">
        <is>
          <t>П-сетка</t>
        </is>
      </c>
      <c r="W1158" s="49" t="n">
        <v>3</v>
      </c>
    </row>
    <row r="1159">
      <c r="A1159" s="72" t="n">
        <v>1134</v>
      </c>
      <c r="B1159" s="21" t="inlineStr">
        <is>
          <t>3 этаж (отм. +7.550…+11.150)</t>
        </is>
      </c>
      <c r="C1159" s="21" t="inlineStr">
        <is>
          <t>Плита перекрытия</t>
        </is>
      </c>
      <c r="D1159" s="21" t="inlineStr">
        <is>
          <t>1–5 / А–Г</t>
        </is>
      </c>
      <c r="E1159" s="21" t="inlineStr">
        <is>
          <t>ПМ-11.150</t>
        </is>
      </c>
      <c r="F1159" s="72" t="inlineStr">
        <is>
          <t>ВX</t>
        </is>
      </c>
      <c r="G1159" s="21" t="inlineStr">
        <is>
          <t>Верхняя осн. сетка, направление X (вдоль осей 1–5)</t>
        </is>
      </c>
      <c r="H1159" s="51" t="n">
        <v>10</v>
      </c>
      <c r="I1159" s="72" t="inlineStr">
        <is>
          <t>А500С</t>
        </is>
      </c>
      <c r="J1159" s="72" t="n">
        <v>200</v>
      </c>
      <c r="K1159" s="75" t="n">
        <v>1</v>
      </c>
      <c r="L1159" s="51" t="n">
        <v>16</v>
      </c>
      <c r="M1159" s="69" t="n">
        <v>15.62</v>
      </c>
      <c r="N1159" s="70">
        <f>K1159*L1159*M1159</f>
        <v/>
      </c>
      <c r="O1159" s="37">
        <f>IFERROR(INDEX(Исходные!$B$19:$B$31,MATCH(H1159,Исходные!$A$19:$A$31,0)),0)</f>
        <v/>
      </c>
      <c r="P1159" s="76">
        <f>N1159*O1159</f>
        <v/>
      </c>
      <c r="Q1159" s="21" t="inlineStr">
        <is>
          <t>АС-50/АС-51 «Осн. сетка Ø10 А500С ш.200×200»; контур — АС-48 (край 420, проём лестницы 13725…18200)</t>
        </is>
      </c>
      <c r="R1159" s="77" t="inlineStr">
        <is>
          <t>по геометрии чертежа</t>
        </is>
      </c>
      <c r="S1159" s="21" t="inlineStr"/>
      <c r="T1159" s="21" t="inlineStr">
        <is>
          <t>Ригели, балки, плита, С-1</t>
        </is>
      </c>
      <c r="U1159" s="49" t="n">
        <v>0</v>
      </c>
      <c r="V1159" s="72" t="inlineStr">
        <is>
          <t>П-сетка</t>
        </is>
      </c>
      <c r="W1159" s="49" t="n">
        <v>3</v>
      </c>
    </row>
    <row r="1160">
      <c r="A1160" s="72" t="n">
        <v>1135</v>
      </c>
      <c r="B1160" s="21" t="inlineStr">
        <is>
          <t>3 этаж (отм. +7.550…+11.150)</t>
        </is>
      </c>
      <c r="C1160" s="21" t="inlineStr">
        <is>
          <t>Плита перекрытия</t>
        </is>
      </c>
      <c r="D1160" s="21" t="inlineStr">
        <is>
          <t>1–5 / А–Г</t>
        </is>
      </c>
      <c r="E1160" s="21" t="inlineStr">
        <is>
          <t>ПМ-11.150</t>
        </is>
      </c>
      <c r="F1160" s="72" t="inlineStr">
        <is>
          <t>ВX-нахл</t>
        </is>
      </c>
      <c r="G1160" s="21" t="inlineStr">
        <is>
          <t>Нахлёсты стыков к поз. «Верхняя осн. сетка, направление X (вдоль осей 1–5)» (L=15.620 м &gt; 11,7 м): 2 куска, 1 стык(а) на стержень × 16 стерж.</t>
        </is>
      </c>
      <c r="H1160" s="51" t="n">
        <v>10</v>
      </c>
      <c r="I1160" s="72" t="inlineStr">
        <is>
          <t>А500С</t>
        </is>
      </c>
      <c r="J1160" s="72" t="inlineStr">
        <is>
          <t>—</t>
        </is>
      </c>
      <c r="K1160" s="75" t="n">
        <v>16</v>
      </c>
      <c r="L1160" s="51" t="n">
        <v>1</v>
      </c>
      <c r="M1160" s="69" t="n">
        <v>0.4</v>
      </c>
      <c r="N1160" s="70">
        <f>K1160*L1160*M1160</f>
        <v/>
      </c>
      <c r="O1160" s="37">
        <f>IFERROR(INDEX(Исходные!$B$19:$B$31,MATCH(H1160,Исходные!$A$19:$A$31,0)),0)</f>
        <v/>
      </c>
      <c r="P1160" s="76">
        <f>N1160*O1160</f>
        <v/>
      </c>
      <c r="Q1160" s="21" t="inlineStr">
        <is>
          <t>АС-58 «Деталь стыка арматуры армирования плиты»: нахлёст 400 мм для Ø10</t>
        </is>
      </c>
      <c r="R1160" s="77" t="inlineStr">
        <is>
          <t>по проекту (стыковка прутков 11,7 м)</t>
        </is>
      </c>
      <c r="S1160" s="21" t="inlineStr">
        <is>
          <t>Чистая длина 15.620 м; кусков 2; стыков 1; Lнахл=1×0.400=0.4 м на стержень</t>
        </is>
      </c>
      <c r="T1160" s="21" t="inlineStr">
        <is>
          <t>Ригели, балки, плита, С-1</t>
        </is>
      </c>
      <c r="U1160" s="49" t="n">
        <v>0</v>
      </c>
      <c r="V1160" s="72" t="inlineStr">
        <is>
          <t>П-сетка</t>
        </is>
      </c>
      <c r="W1160" s="49" t="n">
        <v>3</v>
      </c>
    </row>
    <row r="1161">
      <c r="A1161" s="72" t="n">
        <v>1136</v>
      </c>
      <c r="B1161" s="21" t="inlineStr">
        <is>
          <t>3 этаж (отм. +7.550…+11.150)</t>
        </is>
      </c>
      <c r="C1161" s="21" t="inlineStr">
        <is>
          <t>Плита перекрытия</t>
        </is>
      </c>
      <c r="D1161" s="21" t="inlineStr">
        <is>
          <t>1–5 / А–Г</t>
        </is>
      </c>
      <c r="E1161" s="21" t="inlineStr">
        <is>
          <t>ПМ-11.150</t>
        </is>
      </c>
      <c r="F1161" s="72" t="inlineStr">
        <is>
          <t>ВX</t>
        </is>
      </c>
      <c r="G1161" s="21" t="inlineStr">
        <is>
          <t>Верхняя осн. сетка, направление X (вдоль осей 1–5)</t>
        </is>
      </c>
      <c r="H1161" s="51" t="n">
        <v>10</v>
      </c>
      <c r="I1161" s="72" t="inlineStr">
        <is>
          <t>А500С</t>
        </is>
      </c>
      <c r="J1161" s="72" t="n">
        <v>200</v>
      </c>
      <c r="K1161" s="75" t="n">
        <v>1</v>
      </c>
      <c r="L1161" s="51" t="n">
        <v>12</v>
      </c>
      <c r="M1161" s="69" t="n">
        <v>13.9</v>
      </c>
      <c r="N1161" s="70">
        <f>K1161*L1161*M1161</f>
        <v/>
      </c>
      <c r="O1161" s="37">
        <f>IFERROR(INDEX(Исходные!$B$19:$B$31,MATCH(H1161,Исходные!$A$19:$A$31,0)),0)</f>
        <v/>
      </c>
      <c r="P1161" s="76">
        <f>N1161*O1161</f>
        <v/>
      </c>
      <c r="Q1161" s="21" t="inlineStr">
        <is>
          <t>АС-50/АС-51 «Осн. сетка Ø10 А500С ш.200×200»; контур — АС-48 (край 420, проём лестницы 13725…18200)</t>
        </is>
      </c>
      <c r="R1161" s="77" t="inlineStr">
        <is>
          <t>по геометрии чертежа</t>
        </is>
      </c>
      <c r="S1161" s="21" t="inlineStr"/>
      <c r="T1161" s="21" t="inlineStr">
        <is>
          <t>Ригели, балки, плита, С-1</t>
        </is>
      </c>
      <c r="U1161" s="49" t="n">
        <v>0</v>
      </c>
      <c r="V1161" s="72" t="inlineStr">
        <is>
          <t>П-сетка</t>
        </is>
      </c>
      <c r="W1161" s="49" t="n">
        <v>3</v>
      </c>
    </row>
    <row r="1162">
      <c r="A1162" s="72" t="n">
        <v>1137</v>
      </c>
      <c r="B1162" s="21" t="inlineStr">
        <is>
          <t>3 этаж (отм. +7.550…+11.150)</t>
        </is>
      </c>
      <c r="C1162" s="21" t="inlineStr">
        <is>
          <t>Плита перекрытия</t>
        </is>
      </c>
      <c r="D1162" s="21" t="inlineStr">
        <is>
          <t>1–5 / А–Г</t>
        </is>
      </c>
      <c r="E1162" s="21" t="inlineStr">
        <is>
          <t>ПМ-11.150</t>
        </is>
      </c>
      <c r="F1162" s="72" t="inlineStr">
        <is>
          <t>ВX-нахл</t>
        </is>
      </c>
      <c r="G1162" s="21" t="inlineStr">
        <is>
          <t>Нахлёсты стыков к поз. «Верхняя осн. сетка, направление X (вдоль осей 1–5)» (L=13.900 м &gt; 11,7 м): 2 куска, 1 стык(а) на стержень × 12 стерж.</t>
        </is>
      </c>
      <c r="H1162" s="51" t="n">
        <v>10</v>
      </c>
      <c r="I1162" s="72" t="inlineStr">
        <is>
          <t>А500С</t>
        </is>
      </c>
      <c r="J1162" s="72" t="inlineStr">
        <is>
          <t>—</t>
        </is>
      </c>
      <c r="K1162" s="75" t="n">
        <v>12</v>
      </c>
      <c r="L1162" s="51" t="n">
        <v>1</v>
      </c>
      <c r="M1162" s="69" t="n">
        <v>0.4</v>
      </c>
      <c r="N1162" s="70">
        <f>K1162*L1162*M1162</f>
        <v/>
      </c>
      <c r="O1162" s="37">
        <f>IFERROR(INDEX(Исходные!$B$19:$B$31,MATCH(H1162,Исходные!$A$19:$A$31,0)),0)</f>
        <v/>
      </c>
      <c r="P1162" s="76">
        <f>N1162*O1162</f>
        <v/>
      </c>
      <c r="Q1162" s="21" t="inlineStr">
        <is>
          <t>АС-58 «Деталь стыка арматуры армирования плиты»: нахлёст 400 мм для Ø10</t>
        </is>
      </c>
      <c r="R1162" s="77" t="inlineStr">
        <is>
          <t>по проекту (стыковка прутков 11,7 м)</t>
        </is>
      </c>
      <c r="S1162" s="21" t="inlineStr">
        <is>
          <t>Чистая длина 13.900 м; кусков 2; стыков 1; Lнахл=1×0.400=0.4 м на стержень</t>
        </is>
      </c>
      <c r="T1162" s="21" t="inlineStr">
        <is>
          <t>Ригели, балки, плита, С-1</t>
        </is>
      </c>
      <c r="U1162" s="49" t="n">
        <v>0</v>
      </c>
      <c r="V1162" s="72" t="inlineStr">
        <is>
          <t>П-сетка</t>
        </is>
      </c>
      <c r="W1162" s="49" t="n">
        <v>3</v>
      </c>
    </row>
    <row r="1163">
      <c r="A1163" s="72" t="n">
        <v>1138</v>
      </c>
      <c r="B1163" s="21" t="inlineStr">
        <is>
          <t>3 этаж (отм. +7.550…+11.150)</t>
        </is>
      </c>
      <c r="C1163" s="21" t="inlineStr">
        <is>
          <t>Плита перекрытия</t>
        </is>
      </c>
      <c r="D1163" s="21" t="inlineStr">
        <is>
          <t>1–5 / А–Г</t>
        </is>
      </c>
      <c r="E1163" s="21" t="inlineStr">
        <is>
          <t>ПМ-11.150</t>
        </is>
      </c>
      <c r="F1163" s="72" t="inlineStr">
        <is>
          <t>ВX</t>
        </is>
      </c>
      <c r="G1163" s="21" t="inlineStr">
        <is>
          <t>Верхняя осн. сетка, направление X (вдоль осей 1–5)</t>
        </is>
      </c>
      <c r="H1163" s="51" t="n">
        <v>10</v>
      </c>
      <c r="I1163" s="72" t="inlineStr">
        <is>
          <t>А500С</t>
        </is>
      </c>
      <c r="J1163" s="72" t="n">
        <v>200</v>
      </c>
      <c r="K1163" s="75" t="n">
        <v>1</v>
      </c>
      <c r="L1163" s="51" t="n">
        <v>1</v>
      </c>
      <c r="M1163" s="69" t="n">
        <v>10.77</v>
      </c>
      <c r="N1163" s="70">
        <f>K1163*L1163*M1163</f>
        <v/>
      </c>
      <c r="O1163" s="37">
        <f>IFERROR(INDEX(Исходные!$B$19:$B$31,MATCH(H1163,Исходные!$A$19:$A$31,0)),0)</f>
        <v/>
      </c>
      <c r="P1163" s="76">
        <f>N1163*O1163</f>
        <v/>
      </c>
      <c r="Q1163" s="21" t="inlineStr">
        <is>
          <t>АС-50/АС-51 «Осн. сетка Ø10 А500С ш.200×200»; контур — АС-48 (край 420, проём лестницы 13725…18200)</t>
        </is>
      </c>
      <c r="R1163" s="77" t="inlineStr">
        <is>
          <t>по геометрии чертежа</t>
        </is>
      </c>
      <c r="S1163" s="21" t="inlineStr"/>
      <c r="T1163" s="21" t="inlineStr">
        <is>
          <t>Ригели, балки, плита, С-1</t>
        </is>
      </c>
      <c r="U1163" s="49" t="n">
        <v>0</v>
      </c>
      <c r="V1163" s="72" t="inlineStr">
        <is>
          <t>П-сетка</t>
        </is>
      </c>
      <c r="W1163" s="49" t="n">
        <v>3</v>
      </c>
    </row>
    <row r="1164">
      <c r="A1164" s="72" t="n">
        <v>1139</v>
      </c>
      <c r="B1164" s="21" t="inlineStr">
        <is>
          <t>3 этаж (отм. +7.550…+11.150)</t>
        </is>
      </c>
      <c r="C1164" s="21" t="inlineStr">
        <is>
          <t>Плита перекрытия</t>
        </is>
      </c>
      <c r="D1164" s="21" t="inlineStr">
        <is>
          <t>1–5 / А–Г</t>
        </is>
      </c>
      <c r="E1164" s="21" t="inlineStr">
        <is>
          <t>ПМ-11.150</t>
        </is>
      </c>
      <c r="F1164" s="72" t="inlineStr">
        <is>
          <t>ВX</t>
        </is>
      </c>
      <c r="G1164" s="21" t="inlineStr">
        <is>
          <t>Верхняя осн. сетка, направление X (вдоль осей 1–5)</t>
        </is>
      </c>
      <c r="H1164" s="51" t="n">
        <v>10</v>
      </c>
      <c r="I1164" s="72" t="inlineStr">
        <is>
          <t>А500С</t>
        </is>
      </c>
      <c r="J1164" s="72" t="n">
        <v>200</v>
      </c>
      <c r="K1164" s="75" t="n">
        <v>1</v>
      </c>
      <c r="L1164" s="51" t="n">
        <v>14</v>
      </c>
      <c r="M1164" s="69" t="n">
        <v>7.97</v>
      </c>
      <c r="N1164" s="70">
        <f>K1164*L1164*M1164</f>
        <v/>
      </c>
      <c r="O1164" s="37">
        <f>IFERROR(INDEX(Исходные!$B$19:$B$31,MATCH(H1164,Исходные!$A$19:$A$31,0)),0)</f>
        <v/>
      </c>
      <c r="P1164" s="76">
        <f>N1164*O1164</f>
        <v/>
      </c>
      <c r="Q1164" s="21" t="inlineStr">
        <is>
          <t>АС-50/АС-51 «Осн. сетка Ø10 А500С ш.200×200»; контур — АС-48 (край 420, проём лестницы 13725…18200)</t>
        </is>
      </c>
      <c r="R1164" s="77" t="inlineStr">
        <is>
          <t>по геометрии чертежа</t>
        </is>
      </c>
      <c r="S1164" s="21" t="inlineStr"/>
      <c r="T1164" s="21" t="inlineStr">
        <is>
          <t>Ригели, балки, плита, С-1</t>
        </is>
      </c>
      <c r="U1164" s="49" t="n">
        <v>0</v>
      </c>
      <c r="V1164" s="72" t="inlineStr">
        <is>
          <t>П-сетка</t>
        </is>
      </c>
      <c r="W1164" s="49" t="n">
        <v>3</v>
      </c>
    </row>
    <row r="1165">
      <c r="A1165" s="72" t="n">
        <v>1140</v>
      </c>
      <c r="B1165" s="21" t="inlineStr">
        <is>
          <t>3 этаж (отм. +7.550…+11.150)</t>
        </is>
      </c>
      <c r="C1165" s="21" t="inlineStr">
        <is>
          <t>Плита перекрытия</t>
        </is>
      </c>
      <c r="D1165" s="21" t="inlineStr">
        <is>
          <t>1–5 / А–Г</t>
        </is>
      </c>
      <c r="E1165" s="21" t="inlineStr">
        <is>
          <t>ПМ-11.150</t>
        </is>
      </c>
      <c r="F1165" s="72" t="inlineStr">
        <is>
          <t>ВX</t>
        </is>
      </c>
      <c r="G1165" s="21" t="inlineStr">
        <is>
          <t>Верхняя осн. сетка, направление X (вдоль осей 1–5)</t>
        </is>
      </c>
      <c r="H1165" s="51" t="n">
        <v>10</v>
      </c>
      <c r="I1165" s="72" t="inlineStr">
        <is>
          <t>А500С</t>
        </is>
      </c>
      <c r="J1165" s="72" t="n">
        <v>200</v>
      </c>
      <c r="K1165" s="75" t="n">
        <v>1</v>
      </c>
      <c r="L1165" s="51" t="n">
        <v>9</v>
      </c>
      <c r="M1165" s="69" t="n">
        <v>7.95</v>
      </c>
      <c r="N1165" s="70">
        <f>K1165*L1165*M1165</f>
        <v/>
      </c>
      <c r="O1165" s="37">
        <f>IFERROR(INDEX(Исходные!$B$19:$B$31,MATCH(H1165,Исходные!$A$19:$A$31,0)),0)</f>
        <v/>
      </c>
      <c r="P1165" s="76">
        <f>N1165*O1165</f>
        <v/>
      </c>
      <c r="Q1165" s="21" t="inlineStr">
        <is>
          <t>АС-50/АС-51 «Осн. сетка Ø10 А500С ш.200×200»; контур — АС-48 (край 420, проём лестницы 13725…18200)</t>
        </is>
      </c>
      <c r="R1165" s="77" t="inlineStr">
        <is>
          <t>по геометрии чертежа</t>
        </is>
      </c>
      <c r="S1165" s="21" t="inlineStr"/>
      <c r="T1165" s="21" t="inlineStr">
        <is>
          <t>Ригели, балки, плита, С-1</t>
        </is>
      </c>
      <c r="U1165" s="49" t="n">
        <v>0</v>
      </c>
      <c r="V1165" s="72" t="inlineStr">
        <is>
          <t>П-сетка</t>
        </is>
      </c>
      <c r="W1165" s="49" t="n">
        <v>3</v>
      </c>
    </row>
    <row r="1166">
      <c r="A1166" s="72" t="n">
        <v>1141</v>
      </c>
      <c r="B1166" s="21" t="inlineStr">
        <is>
          <t>3 этаж (отм. +7.550…+11.150)</t>
        </is>
      </c>
      <c r="C1166" s="21" t="inlineStr">
        <is>
          <t>Плита перекрытия</t>
        </is>
      </c>
      <c r="D1166" s="21" t="inlineStr">
        <is>
          <t>1–5 / А–Г</t>
        </is>
      </c>
      <c r="E1166" s="21" t="inlineStr">
        <is>
          <t>ПМ-11.150</t>
        </is>
      </c>
      <c r="F1166" s="72" t="inlineStr">
        <is>
          <t>ВX</t>
        </is>
      </c>
      <c r="G1166" s="21" t="inlineStr">
        <is>
          <t>Верхняя осн. сетка, направление X (вдоль осей 1–5)</t>
        </is>
      </c>
      <c r="H1166" s="51" t="n">
        <v>10</v>
      </c>
      <c r="I1166" s="72" t="inlineStr">
        <is>
          <t>А500С</t>
        </is>
      </c>
      <c r="J1166" s="72" t="n">
        <v>200</v>
      </c>
      <c r="K1166" s="75" t="n">
        <v>1</v>
      </c>
      <c r="L1166" s="51" t="n">
        <v>13</v>
      </c>
      <c r="M1166" s="69" t="n">
        <v>7.17</v>
      </c>
      <c r="N1166" s="70">
        <f>K1166*L1166*M1166</f>
        <v/>
      </c>
      <c r="O1166" s="37">
        <f>IFERROR(INDEX(Исходные!$B$19:$B$31,MATCH(H1166,Исходные!$A$19:$A$31,0)),0)</f>
        <v/>
      </c>
      <c r="P1166" s="76">
        <f>N1166*O1166</f>
        <v/>
      </c>
      <c r="Q1166" s="21" t="inlineStr">
        <is>
          <t>АС-50/АС-51 «Осн. сетка Ø10 А500С ш.200×200»; контур — АС-48 (край 420, проём лестницы 13725…18200)</t>
        </is>
      </c>
      <c r="R1166" s="77" t="inlineStr">
        <is>
          <t>по геометрии чертежа</t>
        </is>
      </c>
      <c r="S1166" s="21" t="inlineStr"/>
      <c r="T1166" s="21" t="inlineStr">
        <is>
          <t>Ригели, балки, плита, С-1</t>
        </is>
      </c>
      <c r="U1166" s="49" t="n">
        <v>0</v>
      </c>
      <c r="V1166" s="72" t="inlineStr">
        <is>
          <t>П-сетка</t>
        </is>
      </c>
      <c r="W1166" s="49" t="n">
        <v>3</v>
      </c>
    </row>
    <row r="1167">
      <c r="A1167" s="72" t="n">
        <v>1142</v>
      </c>
      <c r="B1167" s="21" t="inlineStr">
        <is>
          <t>3 этаж (отм. +7.550…+11.150)</t>
        </is>
      </c>
      <c r="C1167" s="21" t="inlineStr">
        <is>
          <t>Плита перекрытия</t>
        </is>
      </c>
      <c r="D1167" s="21" t="inlineStr">
        <is>
          <t>1–5 / А–Г</t>
        </is>
      </c>
      <c r="E1167" s="21" t="inlineStr">
        <is>
          <t>ПМ-11.150</t>
        </is>
      </c>
      <c r="F1167" s="72" t="inlineStr">
        <is>
          <t>ВX</t>
        </is>
      </c>
      <c r="G1167" s="21" t="inlineStr">
        <is>
          <t>Верхняя осн. сетка, направление X (вдоль осей 1–5)</t>
        </is>
      </c>
      <c r="H1167" s="51" t="n">
        <v>10</v>
      </c>
      <c r="I1167" s="72" t="inlineStr">
        <is>
          <t>А500С</t>
        </is>
      </c>
      <c r="J1167" s="72" t="n">
        <v>200</v>
      </c>
      <c r="K1167" s="75" t="n">
        <v>1</v>
      </c>
      <c r="L1167" s="51" t="n">
        <v>9</v>
      </c>
      <c r="M1167" s="69" t="n">
        <v>3.78</v>
      </c>
      <c r="N1167" s="70">
        <f>K1167*L1167*M1167</f>
        <v/>
      </c>
      <c r="O1167" s="37">
        <f>IFERROR(INDEX(Исходные!$B$19:$B$31,MATCH(H1167,Исходные!$A$19:$A$31,0)),0)</f>
        <v/>
      </c>
      <c r="P1167" s="76">
        <f>N1167*O1167</f>
        <v/>
      </c>
      <c r="Q1167" s="21" t="inlineStr">
        <is>
          <t>АС-50/АС-51 «Осн. сетка Ø10 А500С ш.200×200»; контур — АС-48 (край 420, проём лестницы 13725…18200)</t>
        </is>
      </c>
      <c r="R1167" s="77" t="inlineStr">
        <is>
          <t>по геометрии чертежа</t>
        </is>
      </c>
      <c r="S1167" s="21" t="inlineStr"/>
      <c r="T1167" s="21" t="inlineStr">
        <is>
          <t>Ригели, балки, плита, С-1</t>
        </is>
      </c>
      <c r="U1167" s="49" t="n">
        <v>0</v>
      </c>
      <c r="V1167" s="72" t="inlineStr">
        <is>
          <t>П-сетка</t>
        </is>
      </c>
      <c r="W1167" s="49" t="n">
        <v>3</v>
      </c>
    </row>
    <row r="1168">
      <c r="A1168" s="72" t="n">
        <v>1143</v>
      </c>
      <c r="B1168" s="21" t="inlineStr">
        <is>
          <t>3 этаж (отм. +7.550…+11.150)</t>
        </is>
      </c>
      <c r="C1168" s="21" t="inlineStr">
        <is>
          <t>Плита перекрытия</t>
        </is>
      </c>
      <c r="D1168" s="21" t="inlineStr">
        <is>
          <t>1–5 / А–Г</t>
        </is>
      </c>
      <c r="E1168" s="21" t="inlineStr">
        <is>
          <t>ПМ-11.150</t>
        </is>
      </c>
      <c r="F1168" s="72" t="inlineStr">
        <is>
          <t>ВY</t>
        </is>
      </c>
      <c r="G1168" s="21" t="inlineStr">
        <is>
          <t>Верхняя осн. сетка, направление Y (вдоль осей А–Г)</t>
        </is>
      </c>
      <c r="H1168" s="51" t="n">
        <v>10</v>
      </c>
      <c r="I1168" s="72" t="inlineStr">
        <is>
          <t>А500С</t>
        </is>
      </c>
      <c r="J1168" s="72" t="n">
        <v>200</v>
      </c>
      <c r="K1168" s="75" t="n">
        <v>1</v>
      </c>
      <c r="L1168" s="51" t="n">
        <v>40</v>
      </c>
      <c r="M1168" s="69" t="n">
        <v>22.32</v>
      </c>
      <c r="N1168" s="70">
        <f>K1168*L1168*M1168</f>
        <v/>
      </c>
      <c r="O1168" s="37">
        <f>IFERROR(INDEX(Исходные!$B$19:$B$31,MATCH(H1168,Исходные!$A$19:$A$31,0)),0)</f>
        <v/>
      </c>
      <c r="P1168" s="76">
        <f>N1168*O1168</f>
        <v/>
      </c>
      <c r="Q1168" s="21" t="inlineStr">
        <is>
          <t>АС-50/АС-51 «Осн. сетка Ø10 А500С ш.200×200»; контур — АС-48 (край 420, проём лестницы 13725…18200)</t>
        </is>
      </c>
      <c r="R1168" s="77" t="inlineStr">
        <is>
          <t>по геометрии чертежа</t>
        </is>
      </c>
      <c r="S1168" s="21" t="inlineStr"/>
      <c r="T1168" s="21" t="inlineStr">
        <is>
          <t>Ригели, балки, плита, С-1</t>
        </is>
      </c>
      <c r="U1168" s="49" t="n">
        <v>0</v>
      </c>
      <c r="V1168" s="72" t="inlineStr">
        <is>
          <t>П-сетка</t>
        </is>
      </c>
      <c r="W1168" s="49" t="n">
        <v>3</v>
      </c>
    </row>
    <row r="1169">
      <c r="A1169" s="72" t="n">
        <v>1144</v>
      </c>
      <c r="B1169" s="21" t="inlineStr">
        <is>
          <t>3 этаж (отм. +7.550…+11.150)</t>
        </is>
      </c>
      <c r="C1169" s="21" t="inlineStr">
        <is>
          <t>Плита перекрытия</t>
        </is>
      </c>
      <c r="D1169" s="21" t="inlineStr">
        <is>
          <t>1–5 / А–Г</t>
        </is>
      </c>
      <c r="E1169" s="21" t="inlineStr">
        <is>
          <t>ПМ-11.150</t>
        </is>
      </c>
      <c r="F1169" s="72" t="inlineStr">
        <is>
          <t>ВY-нахл</t>
        </is>
      </c>
      <c r="G1169" s="21" t="inlineStr">
        <is>
          <t>Нахлёсты стыков к поз. «Верхняя осн. сетка, направление Y (вдоль осей А–Г)» (L=22.320 м &gt; 11,7 м): 2 куска, 1 стык(а) на стержень × 40 стерж.</t>
        </is>
      </c>
      <c r="H1169" s="51" t="n">
        <v>10</v>
      </c>
      <c r="I1169" s="72" t="inlineStr">
        <is>
          <t>А500С</t>
        </is>
      </c>
      <c r="J1169" s="72" t="inlineStr">
        <is>
          <t>—</t>
        </is>
      </c>
      <c r="K1169" s="75" t="n">
        <v>40</v>
      </c>
      <c r="L1169" s="51" t="n">
        <v>1</v>
      </c>
      <c r="M1169" s="69" t="n">
        <v>0.4</v>
      </c>
      <c r="N1169" s="70">
        <f>K1169*L1169*M1169</f>
        <v/>
      </c>
      <c r="O1169" s="37">
        <f>IFERROR(INDEX(Исходные!$B$19:$B$31,MATCH(H1169,Исходные!$A$19:$A$31,0)),0)</f>
        <v/>
      </c>
      <c r="P1169" s="76">
        <f>N1169*O1169</f>
        <v/>
      </c>
      <c r="Q1169" s="21" t="inlineStr">
        <is>
          <t>АС-58 «Деталь стыка арматуры армирования плиты»: нахлёст 400 мм для Ø10</t>
        </is>
      </c>
      <c r="R1169" s="77" t="inlineStr">
        <is>
          <t>по проекту (стыковка прутков 11,7 м)</t>
        </is>
      </c>
      <c r="S1169" s="21" t="inlineStr">
        <is>
          <t>Чистая длина 22.320 м; кусков 2; стыков 1; Lнахл=1×0.400=0.4 м на стержень</t>
        </is>
      </c>
      <c r="T1169" s="21" t="inlineStr">
        <is>
          <t>Ригели, балки, плита, С-1</t>
        </is>
      </c>
      <c r="U1169" s="49" t="n">
        <v>0</v>
      </c>
      <c r="V1169" s="72" t="inlineStr">
        <is>
          <t>П-сетка</t>
        </is>
      </c>
      <c r="W1169" s="49" t="n">
        <v>3</v>
      </c>
    </row>
    <row r="1170">
      <c r="A1170" s="72" t="n">
        <v>1145</v>
      </c>
      <c r="B1170" s="21" t="inlineStr">
        <is>
          <t>3 этаж (отм. +7.550…+11.150)</t>
        </is>
      </c>
      <c r="C1170" s="21" t="inlineStr">
        <is>
          <t>Плита перекрытия</t>
        </is>
      </c>
      <c r="D1170" s="21" t="inlineStr">
        <is>
          <t>1–5 / А–Г</t>
        </is>
      </c>
      <c r="E1170" s="21" t="inlineStr">
        <is>
          <t>ПМ-11.150</t>
        </is>
      </c>
      <c r="F1170" s="72" t="inlineStr">
        <is>
          <t>ВY</t>
        </is>
      </c>
      <c r="G1170" s="21" t="inlineStr">
        <is>
          <t>Верхняя осн. сетка, направление Y (вдоль осей А–Г)</t>
        </is>
      </c>
      <c r="H1170" s="51" t="n">
        <v>10</v>
      </c>
      <c r="I1170" s="72" t="inlineStr">
        <is>
          <t>А500С</t>
        </is>
      </c>
      <c r="J1170" s="72" t="n">
        <v>200</v>
      </c>
      <c r="K1170" s="75" t="n">
        <v>1</v>
      </c>
      <c r="L1170" s="51" t="n">
        <v>41</v>
      </c>
      <c r="M1170" s="69" t="n">
        <v>20.6</v>
      </c>
      <c r="N1170" s="70">
        <f>K1170*L1170*M1170</f>
        <v/>
      </c>
      <c r="O1170" s="37">
        <f>IFERROR(INDEX(Исходные!$B$19:$B$31,MATCH(H1170,Исходные!$A$19:$A$31,0)),0)</f>
        <v/>
      </c>
      <c r="P1170" s="76">
        <f>N1170*O1170</f>
        <v/>
      </c>
      <c r="Q1170" s="21" t="inlineStr">
        <is>
          <t>АС-50/АС-51 «Осн. сетка Ø10 А500С ш.200×200»; контур — АС-48 (край 420, проём лестницы 13725…18200)</t>
        </is>
      </c>
      <c r="R1170" s="77" t="inlineStr">
        <is>
          <t>по геометрии чертежа</t>
        </is>
      </c>
      <c r="S1170" s="21" t="inlineStr"/>
      <c r="T1170" s="21" t="inlineStr">
        <is>
          <t>Ригели, балки, плита, С-1</t>
        </is>
      </c>
      <c r="U1170" s="49" t="n">
        <v>0</v>
      </c>
      <c r="V1170" s="72" t="inlineStr">
        <is>
          <t>П-сетка</t>
        </is>
      </c>
      <c r="W1170" s="49" t="n">
        <v>3</v>
      </c>
    </row>
    <row r="1171">
      <c r="A1171" s="72" t="n">
        <v>1146</v>
      </c>
      <c r="B1171" s="21" t="inlineStr">
        <is>
          <t>3 этаж (отм. +7.550…+11.150)</t>
        </is>
      </c>
      <c r="C1171" s="21" t="inlineStr">
        <is>
          <t>Плита перекрытия</t>
        </is>
      </c>
      <c r="D1171" s="21" t="inlineStr">
        <is>
          <t>1–5 / А–Г</t>
        </is>
      </c>
      <c r="E1171" s="21" t="inlineStr">
        <is>
          <t>ПМ-11.150</t>
        </is>
      </c>
      <c r="F1171" s="72" t="inlineStr">
        <is>
          <t>ВY-нахл</t>
        </is>
      </c>
      <c r="G1171" s="21" t="inlineStr">
        <is>
          <t>Нахлёсты стыков к поз. «Верхняя осн. сетка, направление Y (вдоль осей А–Г)» (L=20.600 м &gt; 11,7 м): 2 куска, 1 стык(а) на стержень × 41 стерж.</t>
        </is>
      </c>
      <c r="H1171" s="51" t="n">
        <v>10</v>
      </c>
      <c r="I1171" s="72" t="inlineStr">
        <is>
          <t>А500С</t>
        </is>
      </c>
      <c r="J1171" s="72" t="inlineStr">
        <is>
          <t>—</t>
        </is>
      </c>
      <c r="K1171" s="75" t="n">
        <v>41</v>
      </c>
      <c r="L1171" s="51" t="n">
        <v>1</v>
      </c>
      <c r="M1171" s="69" t="n">
        <v>0.4</v>
      </c>
      <c r="N1171" s="70">
        <f>K1171*L1171*M1171</f>
        <v/>
      </c>
      <c r="O1171" s="37">
        <f>IFERROR(INDEX(Исходные!$B$19:$B$31,MATCH(H1171,Исходные!$A$19:$A$31,0)),0)</f>
        <v/>
      </c>
      <c r="P1171" s="76">
        <f>N1171*O1171</f>
        <v/>
      </c>
      <c r="Q1171" s="21" t="inlineStr">
        <is>
          <t>АС-58 «Деталь стыка арматуры армирования плиты»: нахлёст 400 мм для Ø10</t>
        </is>
      </c>
      <c r="R1171" s="77" t="inlineStr">
        <is>
          <t>по проекту (стыковка прутков 11,7 м)</t>
        </is>
      </c>
      <c r="S1171" s="21" t="inlineStr">
        <is>
          <t>Чистая длина 20.600 м; кусков 2; стыков 1; Lнахл=1×0.400=0.4 м на стержень</t>
        </is>
      </c>
      <c r="T1171" s="21" t="inlineStr">
        <is>
          <t>Ригели, балки, плита, С-1</t>
        </is>
      </c>
      <c r="U1171" s="49" t="n">
        <v>0</v>
      </c>
      <c r="V1171" s="72" t="inlineStr">
        <is>
          <t>П-сетка</t>
        </is>
      </c>
      <c r="W1171" s="49" t="n">
        <v>3</v>
      </c>
    </row>
    <row r="1172">
      <c r="A1172" s="72" t="n">
        <v>1147</v>
      </c>
      <c r="B1172" s="21" t="inlineStr">
        <is>
          <t>3 этаж (отм. +7.550…+11.150)</t>
        </is>
      </c>
      <c r="C1172" s="21" t="inlineStr">
        <is>
          <t>Плита перекрытия</t>
        </is>
      </c>
      <c r="D1172" s="21" t="inlineStr">
        <is>
          <t>1–5 / А–Г</t>
        </is>
      </c>
      <c r="E1172" s="21" t="inlineStr">
        <is>
          <t>ПМ-11.150</t>
        </is>
      </c>
      <c r="F1172" s="72" t="inlineStr">
        <is>
          <t>ВY</t>
        </is>
      </c>
      <c r="G1172" s="21" t="inlineStr">
        <is>
          <t>Верхняя осн. сетка, направление Y (вдоль осей А–Г)</t>
        </is>
      </c>
      <c r="H1172" s="51" t="n">
        <v>10</v>
      </c>
      <c r="I1172" s="72" t="inlineStr">
        <is>
          <t>А500С</t>
        </is>
      </c>
      <c r="J1172" s="72" t="n">
        <v>200</v>
      </c>
      <c r="K1172" s="75" t="n">
        <v>1</v>
      </c>
      <c r="L1172" s="51" t="n">
        <v>26</v>
      </c>
      <c r="M1172" s="69" t="n">
        <v>20.48</v>
      </c>
      <c r="N1172" s="70">
        <f>K1172*L1172*M1172</f>
        <v/>
      </c>
      <c r="O1172" s="37">
        <f>IFERROR(INDEX(Исходные!$B$19:$B$31,MATCH(H1172,Исходные!$A$19:$A$31,0)),0)</f>
        <v/>
      </c>
      <c r="P1172" s="76">
        <f>N1172*O1172</f>
        <v/>
      </c>
      <c r="Q1172" s="21" t="inlineStr">
        <is>
          <t>АС-50/АС-51 «Осн. сетка Ø10 А500С ш.200×200»; контур — АС-48 (край 420, проём лестницы 13725…18200)</t>
        </is>
      </c>
      <c r="R1172" s="77" t="inlineStr">
        <is>
          <t>по геометрии чертежа</t>
        </is>
      </c>
      <c r="S1172" s="21" t="inlineStr"/>
      <c r="T1172" s="21" t="inlineStr">
        <is>
          <t>Ригели, балки, плита, С-1</t>
        </is>
      </c>
      <c r="U1172" s="49" t="n">
        <v>0</v>
      </c>
      <c r="V1172" s="72" t="inlineStr">
        <is>
          <t>П-сетка</t>
        </is>
      </c>
      <c r="W1172" s="49" t="n">
        <v>3</v>
      </c>
    </row>
    <row r="1173">
      <c r="A1173" s="72" t="n">
        <v>1148</v>
      </c>
      <c r="B1173" s="21" t="inlineStr">
        <is>
          <t>3 этаж (отм. +7.550…+11.150)</t>
        </is>
      </c>
      <c r="C1173" s="21" t="inlineStr">
        <is>
          <t>Плита перекрытия</t>
        </is>
      </c>
      <c r="D1173" s="21" t="inlineStr">
        <is>
          <t>1–5 / А–Г</t>
        </is>
      </c>
      <c r="E1173" s="21" t="inlineStr">
        <is>
          <t>ПМ-11.150</t>
        </is>
      </c>
      <c r="F1173" s="72" t="inlineStr">
        <is>
          <t>ВY-нахл</t>
        </is>
      </c>
      <c r="G1173" s="21" t="inlineStr">
        <is>
          <t>Нахлёсты стыков к поз. «Верхняя осн. сетка, направление Y (вдоль осей А–Г)» (L=20.480 м &gt; 11,7 м): 2 куска, 1 стык(а) на стержень × 26 стерж.</t>
        </is>
      </c>
      <c r="H1173" s="51" t="n">
        <v>10</v>
      </c>
      <c r="I1173" s="72" t="inlineStr">
        <is>
          <t>А500С</t>
        </is>
      </c>
      <c r="J1173" s="72" t="inlineStr">
        <is>
          <t>—</t>
        </is>
      </c>
      <c r="K1173" s="75" t="n">
        <v>26</v>
      </c>
      <c r="L1173" s="51" t="n">
        <v>1</v>
      </c>
      <c r="M1173" s="69" t="n">
        <v>0.4</v>
      </c>
      <c r="N1173" s="70">
        <f>K1173*L1173*M1173</f>
        <v/>
      </c>
      <c r="O1173" s="37">
        <f>IFERROR(INDEX(Исходные!$B$19:$B$31,MATCH(H1173,Исходные!$A$19:$A$31,0)),0)</f>
        <v/>
      </c>
      <c r="P1173" s="76">
        <f>N1173*O1173</f>
        <v/>
      </c>
      <c r="Q1173" s="21" t="inlineStr">
        <is>
          <t>АС-58 «Деталь стыка арматуры армирования плиты»: нахлёст 400 мм для Ø10</t>
        </is>
      </c>
      <c r="R1173" s="77" t="inlineStr">
        <is>
          <t>по проекту (стыковка прутков 11,7 м)</t>
        </is>
      </c>
      <c r="S1173" s="21" t="inlineStr">
        <is>
          <t>Чистая длина 20.480 м; кусков 2; стыков 1; Lнахл=1×0.400=0.4 м на стержень</t>
        </is>
      </c>
      <c r="T1173" s="21" t="inlineStr">
        <is>
          <t>Ригели, балки, плита, С-1</t>
        </is>
      </c>
      <c r="U1173" s="49" t="n">
        <v>0</v>
      </c>
      <c r="V1173" s="72" t="inlineStr">
        <is>
          <t>П-сетка</t>
        </is>
      </c>
      <c r="W1173" s="49" t="n">
        <v>3</v>
      </c>
    </row>
    <row r="1174">
      <c r="A1174" s="72" t="n">
        <v>1149</v>
      </c>
      <c r="B1174" s="21" t="inlineStr">
        <is>
          <t>3 этаж (отм. +7.550…+11.150)</t>
        </is>
      </c>
      <c r="C1174" s="21" t="inlineStr">
        <is>
          <t>Плита перекрытия</t>
        </is>
      </c>
      <c r="D1174" s="21" t="inlineStr">
        <is>
          <t>1–5 / А–Г</t>
        </is>
      </c>
      <c r="E1174" s="21" t="inlineStr">
        <is>
          <t>ПМ-11.150</t>
        </is>
      </c>
      <c r="F1174" s="72" t="inlineStr">
        <is>
          <t>ВY</t>
        </is>
      </c>
      <c r="G1174" s="21" t="inlineStr">
        <is>
          <t>Верхняя осн. сетка, направление Y (вдоль осей А–Г)</t>
        </is>
      </c>
      <c r="H1174" s="51" t="n">
        <v>10</v>
      </c>
      <c r="I1174" s="72" t="inlineStr">
        <is>
          <t>А500С</t>
        </is>
      </c>
      <c r="J1174" s="72" t="n">
        <v>200</v>
      </c>
      <c r="K1174" s="75" t="n">
        <v>1</v>
      </c>
      <c r="L1174" s="51" t="n">
        <v>2</v>
      </c>
      <c r="M1174" s="69" t="n">
        <v>19.01</v>
      </c>
      <c r="N1174" s="70">
        <f>K1174*L1174*M1174</f>
        <v/>
      </c>
      <c r="O1174" s="37">
        <f>IFERROR(INDEX(Исходные!$B$19:$B$31,MATCH(H1174,Исходные!$A$19:$A$31,0)),0)</f>
        <v/>
      </c>
      <c r="P1174" s="76">
        <f>N1174*O1174</f>
        <v/>
      </c>
      <c r="Q1174" s="21" t="inlineStr">
        <is>
          <t>АС-50/АС-51 «Осн. сетка Ø10 А500С ш.200×200»; контур — АС-48 (край 420, проём лестницы 13725…18200)</t>
        </is>
      </c>
      <c r="R1174" s="77" t="inlineStr">
        <is>
          <t>по геометрии чертежа</t>
        </is>
      </c>
      <c r="S1174" s="21" t="inlineStr"/>
      <c r="T1174" s="21" t="inlineStr">
        <is>
          <t>Ригели, балки, плита, С-1</t>
        </is>
      </c>
      <c r="U1174" s="49" t="n">
        <v>0</v>
      </c>
      <c r="V1174" s="72" t="inlineStr">
        <is>
          <t>П-сетка</t>
        </is>
      </c>
      <c r="W1174" s="49" t="n">
        <v>3</v>
      </c>
    </row>
    <row r="1175">
      <c r="A1175" s="72" t="n">
        <v>1150</v>
      </c>
      <c r="B1175" s="21" t="inlineStr">
        <is>
          <t>3 этаж (отм. +7.550…+11.150)</t>
        </is>
      </c>
      <c r="C1175" s="21" t="inlineStr">
        <is>
          <t>Плита перекрытия</t>
        </is>
      </c>
      <c r="D1175" s="21" t="inlineStr">
        <is>
          <t>1–5 / А–Г</t>
        </is>
      </c>
      <c r="E1175" s="21" t="inlineStr">
        <is>
          <t>ПМ-11.150</t>
        </is>
      </c>
      <c r="F1175" s="72" t="inlineStr">
        <is>
          <t>ВY-нахл</t>
        </is>
      </c>
      <c r="G1175" s="21" t="inlineStr">
        <is>
          <t>Нахлёсты стыков к поз. «Верхняя осн. сетка, направление Y (вдоль осей А–Г)» (L=19.010 м &gt; 11,7 м): 2 куска, 1 стык(а) на стержень × 2 стерж.</t>
        </is>
      </c>
      <c r="H1175" s="51" t="n">
        <v>10</v>
      </c>
      <c r="I1175" s="72" t="inlineStr">
        <is>
          <t>А500С</t>
        </is>
      </c>
      <c r="J1175" s="72" t="inlineStr">
        <is>
          <t>—</t>
        </is>
      </c>
      <c r="K1175" s="75" t="n">
        <v>2</v>
      </c>
      <c r="L1175" s="51" t="n">
        <v>1</v>
      </c>
      <c r="M1175" s="69" t="n">
        <v>0.4</v>
      </c>
      <c r="N1175" s="70">
        <f>K1175*L1175*M1175</f>
        <v/>
      </c>
      <c r="O1175" s="37">
        <f>IFERROR(INDEX(Исходные!$B$19:$B$31,MATCH(H1175,Исходные!$A$19:$A$31,0)),0)</f>
        <v/>
      </c>
      <c r="P1175" s="76">
        <f>N1175*O1175</f>
        <v/>
      </c>
      <c r="Q1175" s="21" t="inlineStr">
        <is>
          <t>АС-58 «Деталь стыка арматуры армирования плиты»: нахлёст 400 мм для Ø10</t>
        </is>
      </c>
      <c r="R1175" s="77" t="inlineStr">
        <is>
          <t>по проекту (стыковка прутков 11,7 м)</t>
        </is>
      </c>
      <c r="S1175" s="21" t="inlineStr">
        <is>
          <t>Чистая длина 19.010 м; кусков 2; стыков 1; Lнахл=1×0.400=0.4 м на стержень</t>
        </is>
      </c>
      <c r="T1175" s="21" t="inlineStr">
        <is>
          <t>Ригели, балки, плита, С-1</t>
        </is>
      </c>
      <c r="U1175" s="49" t="n">
        <v>0</v>
      </c>
      <c r="V1175" s="72" t="inlineStr">
        <is>
          <t>П-сетка</t>
        </is>
      </c>
      <c r="W1175" s="49" t="n">
        <v>3</v>
      </c>
    </row>
    <row r="1176">
      <c r="A1176" s="72" t="n">
        <v>1151</v>
      </c>
      <c r="B1176" s="21" t="inlineStr">
        <is>
          <t>3 этаж (отм. +7.550…+11.150)</t>
        </is>
      </c>
      <c r="C1176" s="21" t="inlineStr">
        <is>
          <t>Плита перекрытия</t>
        </is>
      </c>
      <c r="D1176" s="21" t="inlineStr">
        <is>
          <t>1–5 / А–Г</t>
        </is>
      </c>
      <c r="E1176" s="21" t="inlineStr">
        <is>
          <t>ПМ-11.150</t>
        </is>
      </c>
      <c r="F1176" s="72" t="inlineStr">
        <is>
          <t>ВY</t>
        </is>
      </c>
      <c r="G1176" s="21" t="inlineStr">
        <is>
          <t>Верхняя осн. сетка, направление Y (вдоль осей А–Г)</t>
        </is>
      </c>
      <c r="H1176" s="51" t="n">
        <v>10</v>
      </c>
      <c r="I1176" s="72" t="inlineStr">
        <is>
          <t>А500С</t>
        </is>
      </c>
      <c r="J1176" s="72" t="n">
        <v>200</v>
      </c>
      <c r="K1176" s="75" t="n">
        <v>1</v>
      </c>
      <c r="L1176" s="51" t="n">
        <v>3</v>
      </c>
      <c r="M1176" s="69" t="n">
        <v>17.28</v>
      </c>
      <c r="N1176" s="70">
        <f>K1176*L1176*M1176</f>
        <v/>
      </c>
      <c r="O1176" s="37">
        <f>IFERROR(INDEX(Исходные!$B$19:$B$31,MATCH(H1176,Исходные!$A$19:$A$31,0)),0)</f>
        <v/>
      </c>
      <c r="P1176" s="76">
        <f>N1176*O1176</f>
        <v/>
      </c>
      <c r="Q1176" s="21" t="inlineStr">
        <is>
          <t>АС-50/АС-51 «Осн. сетка Ø10 А500С ш.200×200»; контур — АС-48 (край 420, проём лестницы 13725…18200)</t>
        </is>
      </c>
      <c r="R1176" s="77" t="inlineStr">
        <is>
          <t>по геометрии чертежа</t>
        </is>
      </c>
      <c r="S1176" s="21" t="inlineStr"/>
      <c r="T1176" s="21" t="inlineStr">
        <is>
          <t>Ригели, балки, плита, С-1</t>
        </is>
      </c>
      <c r="U1176" s="49" t="n">
        <v>0</v>
      </c>
      <c r="V1176" s="72" t="inlineStr">
        <is>
          <t>П-сетка</t>
        </is>
      </c>
      <c r="W1176" s="49" t="n">
        <v>3</v>
      </c>
    </row>
    <row r="1177">
      <c r="A1177" s="72" t="n">
        <v>1152</v>
      </c>
      <c r="B1177" s="21" t="inlineStr">
        <is>
          <t>3 этаж (отм. +7.550…+11.150)</t>
        </is>
      </c>
      <c r="C1177" s="21" t="inlineStr">
        <is>
          <t>Плита перекрытия</t>
        </is>
      </c>
      <c r="D1177" s="21" t="inlineStr">
        <is>
          <t>1–5 / А–Г</t>
        </is>
      </c>
      <c r="E1177" s="21" t="inlineStr">
        <is>
          <t>ПМ-11.150</t>
        </is>
      </c>
      <c r="F1177" s="72" t="inlineStr">
        <is>
          <t>ВY-нахл</t>
        </is>
      </c>
      <c r="G1177" s="21" t="inlineStr">
        <is>
          <t>Нахлёсты стыков к поз. «Верхняя осн. сетка, направление Y (вдоль осей А–Г)» (L=17.280 м &gt; 11,7 м): 2 куска, 1 стык(а) на стержень × 3 стерж.</t>
        </is>
      </c>
      <c r="H1177" s="51" t="n">
        <v>10</v>
      </c>
      <c r="I1177" s="72" t="inlineStr">
        <is>
          <t>А500С</t>
        </is>
      </c>
      <c r="J1177" s="72" t="inlineStr">
        <is>
          <t>—</t>
        </is>
      </c>
      <c r="K1177" s="75" t="n">
        <v>3</v>
      </c>
      <c r="L1177" s="51" t="n">
        <v>1</v>
      </c>
      <c r="M1177" s="69" t="n">
        <v>0.4</v>
      </c>
      <c r="N1177" s="70">
        <f>K1177*L1177*M1177</f>
        <v/>
      </c>
      <c r="O1177" s="37">
        <f>IFERROR(INDEX(Исходные!$B$19:$B$31,MATCH(H1177,Исходные!$A$19:$A$31,0)),0)</f>
        <v/>
      </c>
      <c r="P1177" s="76">
        <f>N1177*O1177</f>
        <v/>
      </c>
      <c r="Q1177" s="21" t="inlineStr">
        <is>
          <t>АС-58 «Деталь стыка арматуры армирования плиты»: нахлёст 400 мм для Ø10</t>
        </is>
      </c>
      <c r="R1177" s="77" t="inlineStr">
        <is>
          <t>по проекту (стыковка прутков 11,7 м)</t>
        </is>
      </c>
      <c r="S1177" s="21" t="inlineStr">
        <is>
          <t>Чистая длина 17.280 м; кусков 2; стыков 1; Lнахл=1×0.400=0.4 м на стержень</t>
        </is>
      </c>
      <c r="T1177" s="21" t="inlineStr">
        <is>
          <t>Ригели, балки, плита, С-1</t>
        </is>
      </c>
      <c r="U1177" s="49" t="n">
        <v>0</v>
      </c>
      <c r="V1177" s="72" t="inlineStr">
        <is>
          <t>П-сетка</t>
        </is>
      </c>
      <c r="W1177" s="49" t="n">
        <v>3</v>
      </c>
    </row>
    <row r="1178">
      <c r="A1178" s="72" t="n">
        <v>1153</v>
      </c>
      <c r="B1178" s="21" t="inlineStr">
        <is>
          <t>3 этаж (отм. +7.550…+11.150)</t>
        </is>
      </c>
      <c r="C1178" s="21" t="inlineStr">
        <is>
          <t>Плита перекрытия</t>
        </is>
      </c>
      <c r="D1178" s="21" t="inlineStr">
        <is>
          <t>1–5 / А–Г</t>
        </is>
      </c>
      <c r="E1178" s="21" t="inlineStr">
        <is>
          <t>ПМ-11.150</t>
        </is>
      </c>
      <c r="F1178" s="72" t="inlineStr">
        <is>
          <t>ВY</t>
        </is>
      </c>
      <c r="G1178" s="21" t="inlineStr">
        <is>
          <t>Верхняя осн. сетка, направление Y (вдоль осей А–Г)</t>
        </is>
      </c>
      <c r="H1178" s="51" t="n">
        <v>10</v>
      </c>
      <c r="I1178" s="72" t="inlineStr">
        <is>
          <t>А500С</t>
        </is>
      </c>
      <c r="J1178" s="72" t="n">
        <v>200</v>
      </c>
      <c r="K1178" s="75" t="n">
        <v>1</v>
      </c>
      <c r="L1178" s="51" t="n">
        <v>17</v>
      </c>
      <c r="M1178" s="69" t="n">
        <v>15.6</v>
      </c>
      <c r="N1178" s="70">
        <f>K1178*L1178*M1178</f>
        <v/>
      </c>
      <c r="O1178" s="37">
        <f>IFERROR(INDEX(Исходные!$B$19:$B$31,MATCH(H1178,Исходные!$A$19:$A$31,0)),0)</f>
        <v/>
      </c>
      <c r="P1178" s="76">
        <f>N1178*O1178</f>
        <v/>
      </c>
      <c r="Q1178" s="21" t="inlineStr">
        <is>
          <t>АС-50/АС-51 «Осн. сетка Ø10 А500С ш.200×200»; контур — АС-48 (край 420, проём лестницы 13725…18200)</t>
        </is>
      </c>
      <c r="R1178" s="77" t="inlineStr">
        <is>
          <t>по геометрии чертежа</t>
        </is>
      </c>
      <c r="S1178" s="21" t="inlineStr"/>
      <c r="T1178" s="21" t="inlineStr">
        <is>
          <t>Ригели, балки, плита, С-1</t>
        </is>
      </c>
      <c r="U1178" s="49" t="n">
        <v>0</v>
      </c>
      <c r="V1178" s="72" t="inlineStr">
        <is>
          <t>П-сетка</t>
        </is>
      </c>
      <c r="W1178" s="49" t="n">
        <v>3</v>
      </c>
    </row>
    <row r="1179">
      <c r="A1179" s="72" t="n">
        <v>1154</v>
      </c>
      <c r="B1179" s="21" t="inlineStr">
        <is>
          <t>3 этаж (отм. +7.550…+11.150)</t>
        </is>
      </c>
      <c r="C1179" s="21" t="inlineStr">
        <is>
          <t>Плита перекрытия</t>
        </is>
      </c>
      <c r="D1179" s="21" t="inlineStr">
        <is>
          <t>1–5 / А–Г</t>
        </is>
      </c>
      <c r="E1179" s="21" t="inlineStr">
        <is>
          <t>ПМ-11.150</t>
        </is>
      </c>
      <c r="F1179" s="72" t="inlineStr">
        <is>
          <t>ВY-нахл</t>
        </is>
      </c>
      <c r="G1179" s="21" t="inlineStr">
        <is>
          <t>Нахлёсты стыков к поз. «Верхняя осн. сетка, направление Y (вдоль осей А–Г)» (L=15.600 м &gt; 11,7 м): 2 куска, 1 стык(а) на стержень × 17 стерж.</t>
        </is>
      </c>
      <c r="H1179" s="51" t="n">
        <v>10</v>
      </c>
      <c r="I1179" s="72" t="inlineStr">
        <is>
          <t>А500С</t>
        </is>
      </c>
      <c r="J1179" s="72" t="inlineStr">
        <is>
          <t>—</t>
        </is>
      </c>
      <c r="K1179" s="75" t="n">
        <v>17</v>
      </c>
      <c r="L1179" s="51" t="n">
        <v>1</v>
      </c>
      <c r="M1179" s="69" t="n">
        <v>0.4</v>
      </c>
      <c r="N1179" s="70">
        <f>K1179*L1179*M1179</f>
        <v/>
      </c>
      <c r="O1179" s="37">
        <f>IFERROR(INDEX(Исходные!$B$19:$B$31,MATCH(H1179,Исходные!$A$19:$A$31,0)),0)</f>
        <v/>
      </c>
      <c r="P1179" s="76">
        <f>N1179*O1179</f>
        <v/>
      </c>
      <c r="Q1179" s="21" t="inlineStr">
        <is>
          <t>АС-58 «Деталь стыка арматуры армирования плиты»: нахлёст 400 мм для Ø10</t>
        </is>
      </c>
      <c r="R1179" s="77" t="inlineStr">
        <is>
          <t>по проекту (стыковка прутков 11,7 м)</t>
        </is>
      </c>
      <c r="S1179" s="21" t="inlineStr">
        <is>
          <t>Чистая длина 15.600 м; кусков 2; стыков 1; Lнахл=1×0.400=0.4 м на стержень</t>
        </is>
      </c>
      <c r="T1179" s="21" t="inlineStr">
        <is>
          <t>Ригели, балки, плита, С-1</t>
        </is>
      </c>
      <c r="U1179" s="49" t="n">
        <v>0</v>
      </c>
      <c r="V1179" s="72" t="inlineStr">
        <is>
          <t>П-сетка</t>
        </is>
      </c>
      <c r="W1179" s="49" t="n">
        <v>3</v>
      </c>
    </row>
    <row r="1180">
      <c r="A1180" s="72" t="n">
        <v>1155</v>
      </c>
      <c r="B1180" s="21" t="inlineStr">
        <is>
          <t>3 этаж (отм. +7.550…+11.150)</t>
        </is>
      </c>
      <c r="C1180" s="21" t="inlineStr">
        <is>
          <t>Плита перекрытия</t>
        </is>
      </c>
      <c r="D1180" s="21" t="inlineStr">
        <is>
          <t>1–5 / А–Г</t>
        </is>
      </c>
      <c r="E1180" s="21" t="inlineStr">
        <is>
          <t>ПМ-11.150</t>
        </is>
      </c>
      <c r="F1180" s="72" t="inlineStr">
        <is>
          <t>ВY</t>
        </is>
      </c>
      <c r="G1180" s="21" t="inlineStr">
        <is>
          <t>Верхняя осн. сетка, направление Y (вдоль осей А–Г)</t>
        </is>
      </c>
      <c r="H1180" s="51" t="n">
        <v>10</v>
      </c>
      <c r="I1180" s="72" t="inlineStr">
        <is>
          <t>А500С</t>
        </is>
      </c>
      <c r="J1180" s="72" t="n">
        <v>200</v>
      </c>
      <c r="K1180" s="75" t="n">
        <v>1</v>
      </c>
      <c r="L1180" s="51" t="n">
        <v>18</v>
      </c>
      <c r="M1180" s="69" t="n">
        <v>4.15</v>
      </c>
      <c r="N1180" s="70">
        <f>K1180*L1180*M1180</f>
        <v/>
      </c>
      <c r="O1180" s="37">
        <f>IFERROR(INDEX(Исходные!$B$19:$B$31,MATCH(H1180,Исходные!$A$19:$A$31,0)),0)</f>
        <v/>
      </c>
      <c r="P1180" s="76">
        <f>N1180*O1180</f>
        <v/>
      </c>
      <c r="Q1180" s="21" t="inlineStr">
        <is>
          <t>АС-50/АС-51 «Осн. сетка Ø10 А500С ш.200×200»; контур — АС-48 (край 420, проём лестницы 13725…18200)</t>
        </is>
      </c>
      <c r="R1180" s="77" t="inlineStr">
        <is>
          <t>по геометрии чертежа</t>
        </is>
      </c>
      <c r="S1180" s="21" t="inlineStr"/>
      <c r="T1180" s="21" t="inlineStr">
        <is>
          <t>Ригели, балки, плита, С-1</t>
        </is>
      </c>
      <c r="U1180" s="49" t="n">
        <v>0</v>
      </c>
      <c r="V1180" s="72" t="inlineStr">
        <is>
          <t>П-сетка</t>
        </is>
      </c>
      <c r="W1180" s="49" t="n">
        <v>3</v>
      </c>
    </row>
    <row r="1181">
      <c r="A1181" s="72" t="n">
        <v>1156</v>
      </c>
      <c r="B1181" s="21" t="inlineStr">
        <is>
          <t>3 этаж (отм. +7.550…+11.150)</t>
        </is>
      </c>
      <c r="C1181" s="21" t="inlineStr">
        <is>
          <t>Плита перекрытия</t>
        </is>
      </c>
      <c r="D1181" s="21" t="inlineStr">
        <is>
          <t>1–5 / А–Г</t>
        </is>
      </c>
      <c r="E1181" s="21" t="inlineStr">
        <is>
          <t>ПМ-11.150</t>
        </is>
      </c>
      <c r="F1181" s="72" t="inlineStr">
        <is>
          <t>ВY</t>
        </is>
      </c>
      <c r="G1181" s="21" t="inlineStr">
        <is>
          <t>Верхняя осн. сетка, направление Y (вдоль осей А–Г)</t>
        </is>
      </c>
      <c r="H1181" s="51" t="n">
        <v>10</v>
      </c>
      <c r="I1181" s="72" t="inlineStr">
        <is>
          <t>А500С</t>
        </is>
      </c>
      <c r="J1181" s="72" t="n">
        <v>200</v>
      </c>
      <c r="K1181" s="75" t="n">
        <v>1</v>
      </c>
      <c r="L1181" s="51" t="n">
        <v>22</v>
      </c>
      <c r="M1181" s="69" t="n">
        <v>0.6</v>
      </c>
      <c r="N1181" s="70">
        <f>K1181*L1181*M1181</f>
        <v/>
      </c>
      <c r="O1181" s="37">
        <f>IFERROR(INDEX(Исходные!$B$19:$B$31,MATCH(H1181,Исходные!$A$19:$A$31,0)),0)</f>
        <v/>
      </c>
      <c r="P1181" s="76">
        <f>N1181*O1181</f>
        <v/>
      </c>
      <c r="Q1181" s="21" t="inlineStr">
        <is>
          <t>АС-50/АС-51 «Осн. сетка Ø10 А500С ш.200×200»; контур — АС-48 (край 420, проём лестницы 13725…18200)</t>
        </is>
      </c>
      <c r="R1181" s="77" t="inlineStr">
        <is>
          <t>по геометрии чертежа</t>
        </is>
      </c>
      <c r="S1181" s="21" t="inlineStr"/>
      <c r="T1181" s="21" t="inlineStr">
        <is>
          <t>Ригели, балки, плита, С-1</t>
        </is>
      </c>
      <c r="U1181" s="49" t="n">
        <v>0</v>
      </c>
      <c r="V1181" s="72" t="inlineStr">
        <is>
          <t>П-сетка</t>
        </is>
      </c>
      <c r="W1181" s="49" t="n">
        <v>3</v>
      </c>
    </row>
    <row r="1182">
      <c r="A1182" s="72" t="n">
        <v>1157</v>
      </c>
      <c r="B1182" s="21" t="inlineStr">
        <is>
          <t>3 этаж (отм. +7.550…+11.150)</t>
        </is>
      </c>
      <c r="C1182" s="21" t="inlineStr">
        <is>
          <t>Плита перекрытия</t>
        </is>
      </c>
      <c r="D1182" s="21" t="inlineStr">
        <is>
          <t>см. описание</t>
        </is>
      </c>
      <c r="E1182" s="21" t="inlineStr">
        <is>
          <t>ПМ-11.150</t>
        </is>
      </c>
      <c r="F1182" s="72" t="inlineStr">
        <is>
          <t>дн</t>
        </is>
      </c>
      <c r="G1182" s="21" t="inlineStr">
        <is>
          <t>Доп. нижние, зона оси 2–3 / Б–В, вдоль X (7500…12550)</t>
        </is>
      </c>
      <c r="H1182" s="51" t="n">
        <v>10</v>
      </c>
      <c r="I1182" s="72" t="inlineStr">
        <is>
          <t>А500С</t>
        </is>
      </c>
      <c r="J1182" s="72" t="n">
        <v>200</v>
      </c>
      <c r="K1182" s="75" t="n">
        <v>1</v>
      </c>
      <c r="L1182" s="51" t="n">
        <v>22</v>
      </c>
      <c r="M1182" s="69" t="n">
        <v>5.05</v>
      </c>
      <c r="N1182" s="70">
        <f>K1182*L1182*M1182</f>
        <v/>
      </c>
      <c r="O1182" s="37">
        <f>IFERROR(INDEX(Исходные!$B$19:$B$31,MATCH(H1182,Исходные!$A$19:$A$31,0)),0)</f>
        <v/>
      </c>
      <c r="P1182" s="76">
        <f>N1182*O1182</f>
        <v/>
      </c>
      <c r="Q1182" s="21" t="inlineStr">
        <is>
          <t>АС-50 «Нижняя сетка 3.950÷14.750» (одна для всех этажей)</t>
        </is>
      </c>
      <c r="R1182" s="77" t="inlineStr">
        <is>
          <t>по проекту</t>
        </is>
      </c>
      <c r="S1182" s="21" t="inlineStr"/>
      <c r="T1182" s="21" t="inlineStr">
        <is>
          <t>Ригели, балки, плита, С-1</t>
        </is>
      </c>
      <c r="U1182" s="49" t="n">
        <v>0</v>
      </c>
      <c r="V1182" s="72" t="inlineStr">
        <is>
          <t>П-доп-низ</t>
        </is>
      </c>
      <c r="W1182" s="49" t="n">
        <v>3</v>
      </c>
    </row>
    <row r="1183">
      <c r="A1183" s="72" t="n">
        <v>1158</v>
      </c>
      <c r="B1183" s="21" t="inlineStr">
        <is>
          <t>3 этаж (отм. +7.550…+11.150)</t>
        </is>
      </c>
      <c r="C1183" s="21" t="inlineStr">
        <is>
          <t>Плита перекрытия</t>
        </is>
      </c>
      <c r="D1183" s="21" t="inlineStr">
        <is>
          <t>см. описание</t>
        </is>
      </c>
      <c r="E1183" s="21" t="inlineStr">
        <is>
          <t>ПМ-11.150</t>
        </is>
      </c>
      <c r="F1183" s="72" t="inlineStr">
        <is>
          <t>дн</t>
        </is>
      </c>
      <c r="G1183" s="21" t="inlineStr">
        <is>
          <t>Доп. нижние, зона оси 2–3 / Б–В, вдоль Y (8000…12500)</t>
        </is>
      </c>
      <c r="H1183" s="51" t="n">
        <v>10</v>
      </c>
      <c r="I1183" s="72" t="inlineStr">
        <is>
          <t>А500С</t>
        </is>
      </c>
      <c r="J1183" s="72" t="n">
        <v>200</v>
      </c>
      <c r="K1183" s="75" t="n">
        <v>1</v>
      </c>
      <c r="L1183" s="51" t="n">
        <v>25</v>
      </c>
      <c r="M1183" s="69" t="n">
        <v>4.5</v>
      </c>
      <c r="N1183" s="70">
        <f>K1183*L1183*M1183</f>
        <v/>
      </c>
      <c r="O1183" s="37">
        <f>IFERROR(INDEX(Исходные!$B$19:$B$31,MATCH(H1183,Исходные!$A$19:$A$31,0)),0)</f>
        <v/>
      </c>
      <c r="P1183" s="76">
        <f>N1183*O1183</f>
        <v/>
      </c>
      <c r="Q1183" s="21" t="inlineStr">
        <is>
          <t>АС-50 «Нижняя сетка 3.950÷14.750» (одна для всех этажей)</t>
        </is>
      </c>
      <c r="R1183" s="77" t="inlineStr">
        <is>
          <t>по проекту</t>
        </is>
      </c>
      <c r="S1183" s="21" t="inlineStr"/>
      <c r="T1183" s="21" t="inlineStr">
        <is>
          <t>Ригели, балки, плита, С-1</t>
        </is>
      </c>
      <c r="U1183" s="49" t="n">
        <v>0</v>
      </c>
      <c r="V1183" s="72" t="inlineStr">
        <is>
          <t>П-доп-низ</t>
        </is>
      </c>
      <c r="W1183" s="49" t="n">
        <v>3</v>
      </c>
    </row>
    <row r="1184">
      <c r="A1184" s="72" t="n">
        <v>1159</v>
      </c>
      <c r="B1184" s="21" t="inlineStr">
        <is>
          <t>3 этаж (отм. +7.550…+11.150)</t>
        </is>
      </c>
      <c r="C1184" s="21" t="inlineStr">
        <is>
          <t>Плита перекрытия</t>
        </is>
      </c>
      <c r="D1184" s="21" t="inlineStr">
        <is>
          <t>см. описание</t>
        </is>
      </c>
      <c r="E1184" s="21" t="inlineStr">
        <is>
          <t>ПМ-11.150</t>
        </is>
      </c>
      <c r="F1184" s="72" t="inlineStr">
        <is>
          <t>дн</t>
        </is>
      </c>
      <c r="G1184" s="21" t="inlineStr">
        <is>
          <t>Доп. нижние, зона оси 3–4 / Б–В, вдоль X (14800…18425)</t>
        </is>
      </c>
      <c r="H1184" s="51" t="n">
        <v>10</v>
      </c>
      <c r="I1184" s="72" t="inlineStr">
        <is>
          <t>А500С</t>
        </is>
      </c>
      <c r="J1184" s="72" t="n">
        <v>200</v>
      </c>
      <c r="K1184" s="75" t="n">
        <v>1</v>
      </c>
      <c r="L1184" s="51" t="n">
        <v>20</v>
      </c>
      <c r="M1184" s="69" t="n">
        <v>3.625</v>
      </c>
      <c r="N1184" s="70">
        <f>K1184*L1184*M1184</f>
        <v/>
      </c>
      <c r="O1184" s="37">
        <f>IFERROR(INDEX(Исходные!$B$19:$B$31,MATCH(H1184,Исходные!$A$19:$A$31,0)),0)</f>
        <v/>
      </c>
      <c r="P1184" s="76">
        <f>N1184*O1184</f>
        <v/>
      </c>
      <c r="Q1184" s="21" t="inlineStr">
        <is>
          <t>АС-50 «Нижняя сетка 3.950÷14.750» (одна для всех этажей)</t>
        </is>
      </c>
      <c r="R1184" s="77" t="inlineStr">
        <is>
          <t>по проекту</t>
        </is>
      </c>
      <c r="S1184" s="21" t="inlineStr"/>
      <c r="T1184" s="21" t="inlineStr">
        <is>
          <t>Ригели, балки, плита, С-1</t>
        </is>
      </c>
      <c r="U1184" s="49" t="n">
        <v>0</v>
      </c>
      <c r="V1184" s="72" t="inlineStr">
        <is>
          <t>П-доп-низ</t>
        </is>
      </c>
      <c r="W1184" s="49" t="n">
        <v>3</v>
      </c>
    </row>
    <row r="1185">
      <c r="A1185" s="72" t="n">
        <v>1160</v>
      </c>
      <c r="B1185" s="21" t="inlineStr">
        <is>
          <t>3 этаж (отм. +7.550…+11.150)</t>
        </is>
      </c>
      <c r="C1185" s="21" t="inlineStr">
        <is>
          <t>Плита перекрытия</t>
        </is>
      </c>
      <c r="D1185" s="21" t="inlineStr">
        <is>
          <t>см. описание</t>
        </is>
      </c>
      <c r="E1185" s="21" t="inlineStr">
        <is>
          <t>ПМ-11.150</t>
        </is>
      </c>
      <c r="F1185" s="72" t="inlineStr">
        <is>
          <t>дн</t>
        </is>
      </c>
      <c r="G1185" s="21" t="inlineStr">
        <is>
          <t>Доп. нижние, зона оси 3–4 / Б–В, вдоль Y (8000…12500)</t>
        </is>
      </c>
      <c r="H1185" s="51" t="n">
        <v>10</v>
      </c>
      <c r="I1185" s="72" t="inlineStr">
        <is>
          <t>А500С</t>
        </is>
      </c>
      <c r="J1185" s="72" t="n">
        <v>200</v>
      </c>
      <c r="K1185" s="75" t="n">
        <v>1</v>
      </c>
      <c r="L1185" s="51" t="n">
        <v>17</v>
      </c>
      <c r="M1185" s="69" t="n">
        <v>4.5</v>
      </c>
      <c r="N1185" s="70">
        <f>K1185*L1185*M1185</f>
        <v/>
      </c>
      <c r="O1185" s="37">
        <f>IFERROR(INDEX(Исходные!$B$19:$B$31,MATCH(H1185,Исходные!$A$19:$A$31,0)),0)</f>
        <v/>
      </c>
      <c r="P1185" s="76">
        <f>N1185*O1185</f>
        <v/>
      </c>
      <c r="Q1185" s="21" t="inlineStr">
        <is>
          <t>АС-50 «Нижняя сетка 3.950÷14.750» (одна для всех этажей)</t>
        </is>
      </c>
      <c r="R1185" s="77" t="inlineStr">
        <is>
          <t>по проекту</t>
        </is>
      </c>
      <c r="S1185" s="21" t="inlineStr"/>
      <c r="T1185" s="21" t="inlineStr">
        <is>
          <t>Ригели, балки, плита, С-1</t>
        </is>
      </c>
      <c r="U1185" s="49" t="n">
        <v>0</v>
      </c>
      <c r="V1185" s="72" t="inlineStr">
        <is>
          <t>П-доп-низ</t>
        </is>
      </c>
      <c r="W1185" s="49" t="n">
        <v>3</v>
      </c>
    </row>
    <row r="1186">
      <c r="A1186" s="72" t="n">
        <v>1161</v>
      </c>
      <c r="B1186" s="21" t="inlineStr">
        <is>
          <t>3 этаж (отм. +7.550…+11.150)</t>
        </is>
      </c>
      <c r="C1186" s="21" t="inlineStr">
        <is>
          <t>Плита перекрытия</t>
        </is>
      </c>
      <c r="D1186" s="21" t="inlineStr">
        <is>
          <t>см. описание</t>
        </is>
      </c>
      <c r="E1186" s="21" t="inlineStr">
        <is>
          <t>ПМ-11.150</t>
        </is>
      </c>
      <c r="F1186" s="72" t="inlineStr">
        <is>
          <t>дн</t>
        </is>
      </c>
      <c r="G1186" s="21" t="inlineStr">
        <is>
          <t>Доп. нижние, эркер у оси А (оси 1–2), вдоль Y (−1000…+200)</t>
        </is>
      </c>
      <c r="H1186" s="51" t="n">
        <v>10</v>
      </c>
      <c r="I1186" s="72" t="inlineStr">
        <is>
          <t>А500С</t>
        </is>
      </c>
      <c r="J1186" s="72" t="n">
        <v>200</v>
      </c>
      <c r="K1186" s="75" t="n">
        <v>1</v>
      </c>
      <c r="L1186" s="51" t="n">
        <v>17</v>
      </c>
      <c r="M1186" s="69" t="n">
        <v>1.2</v>
      </c>
      <c r="N1186" s="70">
        <f>K1186*L1186*M1186</f>
        <v/>
      </c>
      <c r="O1186" s="37">
        <f>IFERROR(INDEX(Исходные!$B$19:$B$31,MATCH(H1186,Исходные!$A$19:$A$31,0)),0)</f>
        <v/>
      </c>
      <c r="P1186" s="76">
        <f>N1186*O1186</f>
        <v/>
      </c>
      <c r="Q1186" s="21" t="inlineStr">
        <is>
          <t>АС-50 «Нижняя сетка 3.950÷14.750» (одна для всех этажей)</t>
        </is>
      </c>
      <c r="R1186" s="77" t="inlineStr">
        <is>
          <t>по проекту</t>
        </is>
      </c>
      <c r="S1186" s="21" t="inlineStr"/>
      <c r="T1186" s="21" t="inlineStr">
        <is>
          <t>Ригели, балки, плита, С-1</t>
        </is>
      </c>
      <c r="U1186" s="49" t="n">
        <v>0</v>
      </c>
      <c r="V1186" s="72" t="inlineStr">
        <is>
          <t>П-доп-низ</t>
        </is>
      </c>
      <c r="W1186" s="49" t="n">
        <v>3</v>
      </c>
    </row>
    <row r="1187">
      <c r="A1187" s="72" t="n">
        <v>1162</v>
      </c>
      <c r="B1187" s="21" t="inlineStr">
        <is>
          <t>3 этаж (отм. +7.550…+11.150)</t>
        </is>
      </c>
      <c r="C1187" s="21" t="inlineStr">
        <is>
          <t>Плита перекрытия</t>
        </is>
      </c>
      <c r="D1187" s="21" t="inlineStr">
        <is>
          <t>см. описание</t>
        </is>
      </c>
      <c r="E1187" s="21" t="inlineStr">
        <is>
          <t>ПМ-11.150</t>
        </is>
      </c>
      <c r="F1187" s="72" t="inlineStr">
        <is>
          <t>дв</t>
        </is>
      </c>
      <c r="G1187" s="21" t="inlineStr">
        <is>
          <t>Доп. верхние, эркер у оси 1 (Г–В), вдоль X, −1000…+200</t>
        </is>
      </c>
      <c r="H1187" s="51" t="n">
        <v>10</v>
      </c>
      <c r="I1187" s="72" t="inlineStr">
        <is>
          <t>А500С</t>
        </is>
      </c>
      <c r="J1187" s="72" t="n">
        <v>200</v>
      </c>
      <c r="K1187" s="75" t="n">
        <v>1</v>
      </c>
      <c r="L1187" s="51" t="n">
        <v>18</v>
      </c>
      <c r="M1187" s="69" t="n">
        <v>1.2</v>
      </c>
      <c r="N1187" s="70">
        <f>K1187*L1187*M1187</f>
        <v/>
      </c>
      <c r="O1187" s="37">
        <f>IFERROR(INDEX(Исходные!$B$19:$B$31,MATCH(H1187,Исходные!$A$19:$A$31,0)),0)</f>
        <v/>
      </c>
      <c r="P1187" s="76">
        <f>N1187*O1187</f>
        <v/>
      </c>
      <c r="Q1187" s="21" t="inlineStr">
        <is>
          <t>АС-51 «Верхняя сетка 3.950÷14.750» (одна для всех этажей)</t>
        </is>
      </c>
      <c r="R1187" s="77" t="inlineStr">
        <is>
          <t>по проекту</t>
        </is>
      </c>
      <c r="S1187" s="21" t="inlineStr"/>
      <c r="T1187" s="21" t="inlineStr">
        <is>
          <t>Ригели, балки, плита, С-1</t>
        </is>
      </c>
      <c r="U1187" s="49" t="n">
        <v>0</v>
      </c>
      <c r="V1187" s="72" t="inlineStr">
        <is>
          <t>П-доп-верх</t>
        </is>
      </c>
      <c r="W1187" s="49" t="n">
        <v>3</v>
      </c>
    </row>
    <row r="1188">
      <c r="A1188" s="72" t="n">
        <v>1163</v>
      </c>
      <c r="B1188" s="21" t="inlineStr">
        <is>
          <t>3 этаж (отм. +7.550…+11.150)</t>
        </is>
      </c>
      <c r="C1188" s="21" t="inlineStr">
        <is>
          <t>Плита перекрытия</t>
        </is>
      </c>
      <c r="D1188" s="21" t="inlineStr">
        <is>
          <t>см. описание</t>
        </is>
      </c>
      <c r="E1188" s="21" t="inlineStr">
        <is>
          <t>ПМ-11.150</t>
        </is>
      </c>
      <c r="F1188" s="72" t="inlineStr">
        <is>
          <t>дв</t>
        </is>
      </c>
      <c r="G1188" s="21" t="inlineStr">
        <is>
          <t>Доп. верхние, ригель оси 2 (Г–В), вдоль X, 6300…7500</t>
        </is>
      </c>
      <c r="H1188" s="51" t="n">
        <v>10</v>
      </c>
      <c r="I1188" s="72" t="inlineStr">
        <is>
          <t>А500С</t>
        </is>
      </c>
      <c r="J1188" s="72" t="n">
        <v>200</v>
      </c>
      <c r="K1188" s="75" t="n">
        <v>1</v>
      </c>
      <c r="L1188" s="51" t="n">
        <v>11</v>
      </c>
      <c r="M1188" s="69" t="n">
        <v>1.2</v>
      </c>
      <c r="N1188" s="70">
        <f>K1188*L1188*M1188</f>
        <v/>
      </c>
      <c r="O1188" s="37">
        <f>IFERROR(INDEX(Исходные!$B$19:$B$31,MATCH(H1188,Исходные!$A$19:$A$31,0)),0)</f>
        <v/>
      </c>
      <c r="P1188" s="76">
        <f>N1188*O1188</f>
        <v/>
      </c>
      <c r="Q1188" s="21" t="inlineStr">
        <is>
          <t>АС-51 «Верхняя сетка 3.950÷14.750» (одна для всех этажей)</t>
        </is>
      </c>
      <c r="R1188" s="77" t="inlineStr">
        <is>
          <t>по проекту</t>
        </is>
      </c>
      <c r="S1188" s="21" t="inlineStr"/>
      <c r="T1188" s="21" t="inlineStr">
        <is>
          <t>Ригели, балки, плита, С-1</t>
        </is>
      </c>
      <c r="U1188" s="49" t="n">
        <v>0</v>
      </c>
      <c r="V1188" s="72" t="inlineStr">
        <is>
          <t>П-доп-верх</t>
        </is>
      </c>
      <c r="W1188" s="49" t="n">
        <v>3</v>
      </c>
    </row>
    <row r="1189">
      <c r="A1189" s="72" t="n">
        <v>1164</v>
      </c>
      <c r="B1189" s="21" t="inlineStr">
        <is>
          <t>3 этаж (отм. +7.550…+11.150)</t>
        </is>
      </c>
      <c r="C1189" s="21" t="inlineStr">
        <is>
          <t>Плита перекрытия</t>
        </is>
      </c>
      <c r="D1189" s="21" t="inlineStr">
        <is>
          <t>см. описание</t>
        </is>
      </c>
      <c r="E1189" s="21" t="inlineStr">
        <is>
          <t>ПМ-11.150</t>
        </is>
      </c>
      <c r="F1189" s="72" t="inlineStr">
        <is>
          <t>дв</t>
        </is>
      </c>
      <c r="G1189" s="21" t="inlineStr">
        <is>
          <t>Доп. верхние, эркер у оси 1 (В–Б), вдоль X, −1000…+200</t>
        </is>
      </c>
      <c r="H1189" s="51" t="n">
        <v>10</v>
      </c>
      <c r="I1189" s="72" t="inlineStr">
        <is>
          <t>А500С</t>
        </is>
      </c>
      <c r="J1189" s="72" t="n">
        <v>200</v>
      </c>
      <c r="K1189" s="75" t="n">
        <v>1</v>
      </c>
      <c r="L1189" s="51" t="n">
        <v>18</v>
      </c>
      <c r="M1189" s="69" t="n">
        <v>1.2</v>
      </c>
      <c r="N1189" s="70">
        <f>K1189*L1189*M1189</f>
        <v/>
      </c>
      <c r="O1189" s="37">
        <f>IFERROR(INDEX(Исходные!$B$19:$B$31,MATCH(H1189,Исходные!$A$19:$A$31,0)),0)</f>
        <v/>
      </c>
      <c r="P1189" s="76">
        <f>N1189*O1189</f>
        <v/>
      </c>
      <c r="Q1189" s="21" t="inlineStr">
        <is>
          <t>АС-51 «Верхняя сетка 3.950÷14.750» (одна для всех этажей)</t>
        </is>
      </c>
      <c r="R1189" s="77" t="inlineStr">
        <is>
          <t>по проекту</t>
        </is>
      </c>
      <c r="S1189" s="21" t="inlineStr"/>
      <c r="T1189" s="21" t="inlineStr">
        <is>
          <t>Ригели, балки, плита, С-1</t>
        </is>
      </c>
      <c r="U1189" s="49" t="n">
        <v>0</v>
      </c>
      <c r="V1189" s="72" t="inlineStr">
        <is>
          <t>П-доп-верх</t>
        </is>
      </c>
      <c r="W1189" s="49" t="n">
        <v>3</v>
      </c>
    </row>
    <row r="1190">
      <c r="A1190" s="72" t="n">
        <v>1165</v>
      </c>
      <c r="B1190" s="21" t="inlineStr">
        <is>
          <t>3 этаж (отм. +7.550…+11.150)</t>
        </is>
      </c>
      <c r="C1190" s="21" t="inlineStr">
        <is>
          <t>Плита перекрытия</t>
        </is>
      </c>
      <c r="D1190" s="21" t="inlineStr">
        <is>
          <t>см. описание</t>
        </is>
      </c>
      <c r="E1190" s="21" t="inlineStr">
        <is>
          <t>ПМ-11.150</t>
        </is>
      </c>
      <c r="F1190" s="72" t="inlineStr">
        <is>
          <t>дв</t>
        </is>
      </c>
      <c r="G1190" s="21" t="inlineStr">
        <is>
          <t>Доп. верхние, ригель оси 2 (В–Б), вдоль X, 6300…7700 — Ø12 (выноска «Ø12 А500С ш.200», Y 10260…12620)</t>
        </is>
      </c>
      <c r="H1190" s="51" t="n">
        <v>12</v>
      </c>
      <c r="I1190" s="72" t="inlineStr">
        <is>
          <t>А500С</t>
        </is>
      </c>
      <c r="J1190" s="72" t="n">
        <v>200</v>
      </c>
      <c r="K1190" s="75" t="n">
        <v>1</v>
      </c>
      <c r="L1190" s="51" t="n">
        <v>12</v>
      </c>
      <c r="M1190" s="69" t="n">
        <v>1.4</v>
      </c>
      <c r="N1190" s="70">
        <f>K1190*L1190*M1190</f>
        <v/>
      </c>
      <c r="O1190" s="37">
        <f>IFERROR(INDEX(Исходные!$B$19:$B$31,MATCH(H1190,Исходные!$A$19:$A$31,0)),0)</f>
        <v/>
      </c>
      <c r="P1190" s="76">
        <f>N1190*O1190</f>
        <v/>
      </c>
      <c r="Q1190" s="21" t="inlineStr">
        <is>
          <t>АС-51 «Верхняя сетка 3.950÷14.750» (одна для всех этажей)</t>
        </is>
      </c>
      <c r="R1190" s="77" t="inlineStr">
        <is>
          <t>по проекту</t>
        </is>
      </c>
      <c r="S1190" s="21" t="inlineStr"/>
      <c r="T1190" s="21" t="inlineStr">
        <is>
          <t>Ригели, балки, плита, С-1</t>
        </is>
      </c>
      <c r="U1190" s="49" t="n">
        <v>0</v>
      </c>
      <c r="V1190" s="72" t="inlineStr">
        <is>
          <t>П-доп-верх</t>
        </is>
      </c>
      <c r="W1190" s="49" t="n">
        <v>3</v>
      </c>
    </row>
    <row r="1191">
      <c r="A1191" s="72" t="n">
        <v>1166</v>
      </c>
      <c r="B1191" s="21" t="inlineStr">
        <is>
          <t>3 этаж (отм. +7.550…+11.150)</t>
        </is>
      </c>
      <c r="C1191" s="21" t="inlineStr">
        <is>
          <t>Плита перекрытия</t>
        </is>
      </c>
      <c r="D1191" s="21" t="inlineStr">
        <is>
          <t>см. описание</t>
        </is>
      </c>
      <c r="E1191" s="21" t="inlineStr">
        <is>
          <t>ПМ-11.150</t>
        </is>
      </c>
      <c r="F1191" s="72" t="inlineStr">
        <is>
          <t>дв</t>
        </is>
      </c>
      <c r="G1191" s="21" t="inlineStr">
        <is>
          <t>Доп. верхние, ригель оси 2 (В–Б), вдоль X, 6300…7700 — остальные</t>
        </is>
      </c>
      <c r="H1191" s="51" t="n">
        <v>10</v>
      </c>
      <c r="I1191" s="72" t="inlineStr">
        <is>
          <t>А500С</t>
        </is>
      </c>
      <c r="J1191" s="72" t="n">
        <v>200</v>
      </c>
      <c r="K1191" s="75" t="n">
        <v>1</v>
      </c>
      <c r="L1191" s="51" t="n">
        <v>18</v>
      </c>
      <c r="M1191" s="69" t="n">
        <v>1.4</v>
      </c>
      <c r="N1191" s="70">
        <f>K1191*L1191*M1191</f>
        <v/>
      </c>
      <c r="O1191" s="37">
        <f>IFERROR(INDEX(Исходные!$B$19:$B$31,MATCH(H1191,Исходные!$A$19:$A$31,0)),0)</f>
        <v/>
      </c>
      <c r="P1191" s="76">
        <f>N1191*O1191</f>
        <v/>
      </c>
      <c r="Q1191" s="21" t="inlineStr">
        <is>
          <t>АС-51 «Верхняя сетка 3.950÷14.750» (одна для всех этажей)</t>
        </is>
      </c>
      <c r="R1191" s="77" t="inlineStr">
        <is>
          <t>по проекту</t>
        </is>
      </c>
      <c r="S1191" s="21" t="inlineStr"/>
      <c r="T1191" s="21" t="inlineStr">
        <is>
          <t>Ригели, балки, плита, С-1</t>
        </is>
      </c>
      <c r="U1191" s="49" t="n">
        <v>0</v>
      </c>
      <c r="V1191" s="72" t="inlineStr">
        <is>
          <t>П-доп-верх</t>
        </is>
      </c>
      <c r="W1191" s="49" t="n">
        <v>3</v>
      </c>
    </row>
    <row r="1192">
      <c r="A1192" s="72" t="n">
        <v>1167</v>
      </c>
      <c r="B1192" s="21" t="inlineStr">
        <is>
          <t>3 этаж (отм. +7.550…+11.150)</t>
        </is>
      </c>
      <c r="C1192" s="21" t="inlineStr">
        <is>
          <t>Плита перекрытия</t>
        </is>
      </c>
      <c r="D1192" s="21" t="inlineStr">
        <is>
          <t>см. описание</t>
        </is>
      </c>
      <c r="E1192" s="21" t="inlineStr">
        <is>
          <t>ПМ-11.150</t>
        </is>
      </c>
      <c r="F1192" s="72" t="inlineStr">
        <is>
          <t>дв</t>
        </is>
      </c>
      <c r="G1192" s="21" t="inlineStr">
        <is>
          <t>Доп. верхние, ригель оси 3 (В–Б), вдоль X, 12300…14500 — Ø12 (выноска «Ø12»)</t>
        </is>
      </c>
      <c r="H1192" s="51" t="n">
        <v>12</v>
      </c>
      <c r="I1192" s="72" t="inlineStr">
        <is>
          <t>А500С</t>
        </is>
      </c>
      <c r="J1192" s="72" t="n">
        <v>200</v>
      </c>
      <c r="K1192" s="75" t="n">
        <v>1</v>
      </c>
      <c r="L1192" s="51" t="n">
        <v>12</v>
      </c>
      <c r="M1192" s="69" t="n">
        <v>2.2</v>
      </c>
      <c r="N1192" s="70">
        <f>K1192*L1192*M1192</f>
        <v/>
      </c>
      <c r="O1192" s="37">
        <f>IFERROR(INDEX(Исходные!$B$19:$B$31,MATCH(H1192,Исходные!$A$19:$A$31,0)),0)</f>
        <v/>
      </c>
      <c r="P1192" s="76">
        <f>N1192*O1192</f>
        <v/>
      </c>
      <c r="Q1192" s="21" t="inlineStr">
        <is>
          <t>АС-51 «Верхняя сетка 3.950÷14.750» (одна для всех этажей)</t>
        </is>
      </c>
      <c r="R1192" s="77" t="inlineStr">
        <is>
          <t>по проекту</t>
        </is>
      </c>
      <c r="S1192" s="21" t="inlineStr"/>
      <c r="T1192" s="21" t="inlineStr">
        <is>
          <t>Ригели, балки, плита, С-1</t>
        </is>
      </c>
      <c r="U1192" s="49" t="n">
        <v>0</v>
      </c>
      <c r="V1192" s="72" t="inlineStr">
        <is>
          <t>П-доп-верх</t>
        </is>
      </c>
      <c r="W1192" s="49" t="n">
        <v>3</v>
      </c>
    </row>
    <row r="1193">
      <c r="A1193" s="72" t="n">
        <v>1168</v>
      </c>
      <c r="B1193" s="21" t="inlineStr">
        <is>
          <t>3 этаж (отм. +7.550…+11.150)</t>
        </is>
      </c>
      <c r="C1193" s="21" t="inlineStr">
        <is>
          <t>Плита перекрытия</t>
        </is>
      </c>
      <c r="D1193" s="21" t="inlineStr">
        <is>
          <t>см. описание</t>
        </is>
      </c>
      <c r="E1193" s="21" t="inlineStr">
        <is>
          <t>ПМ-11.150</t>
        </is>
      </c>
      <c r="F1193" s="72" t="inlineStr">
        <is>
          <t>дв</t>
        </is>
      </c>
      <c r="G1193" s="21" t="inlineStr">
        <is>
          <t>Доп. верхние, ригель оси 3 (В–Б), вдоль X, 12300…14500 — остальные</t>
        </is>
      </c>
      <c r="H1193" s="51" t="n">
        <v>10</v>
      </c>
      <c r="I1193" s="72" t="inlineStr">
        <is>
          <t>А500С</t>
        </is>
      </c>
      <c r="J1193" s="72" t="n">
        <v>200</v>
      </c>
      <c r="K1193" s="75" t="n">
        <v>1</v>
      </c>
      <c r="L1193" s="51" t="n">
        <v>18</v>
      </c>
      <c r="M1193" s="69" t="n">
        <v>2.2</v>
      </c>
      <c r="N1193" s="70">
        <f>K1193*L1193*M1193</f>
        <v/>
      </c>
      <c r="O1193" s="37">
        <f>IFERROR(INDEX(Исходные!$B$19:$B$31,MATCH(H1193,Исходные!$A$19:$A$31,0)),0)</f>
        <v/>
      </c>
      <c r="P1193" s="76">
        <f>N1193*O1193</f>
        <v/>
      </c>
      <c r="Q1193" s="21" t="inlineStr">
        <is>
          <t>АС-51 «Верхняя сетка 3.950÷14.750» (одна для всех этажей)</t>
        </is>
      </c>
      <c r="R1193" s="77" t="inlineStr">
        <is>
          <t>по проекту</t>
        </is>
      </c>
      <c r="S1193" s="21" t="inlineStr"/>
      <c r="T1193" s="21" t="inlineStr">
        <is>
          <t>Ригели, балки, плита, С-1</t>
        </is>
      </c>
      <c r="U1193" s="49" t="n">
        <v>0</v>
      </c>
      <c r="V1193" s="72" t="inlineStr">
        <is>
          <t>П-доп-верх</t>
        </is>
      </c>
      <c r="W1193" s="49" t="n">
        <v>3</v>
      </c>
    </row>
    <row r="1194">
      <c r="A1194" s="72" t="n">
        <v>1169</v>
      </c>
      <c r="B1194" s="21" t="inlineStr">
        <is>
          <t>3 этаж (отм. +7.550…+11.150)</t>
        </is>
      </c>
      <c r="C1194" s="21" t="inlineStr">
        <is>
          <t>Плита перекрытия</t>
        </is>
      </c>
      <c r="D1194" s="21" t="inlineStr">
        <is>
          <t>см. описание</t>
        </is>
      </c>
      <c r="E1194" s="21" t="inlineStr">
        <is>
          <t>ПМ-11.150</t>
        </is>
      </c>
      <c r="F1194" s="72" t="inlineStr">
        <is>
          <t>дв</t>
        </is>
      </c>
      <c r="G1194" s="21" t="inlineStr">
        <is>
          <t>Доп. верхние, ригель оси 4 (В–Б), вдоль X, 19000…20200</t>
        </is>
      </c>
      <c r="H1194" s="51" t="n">
        <v>10</v>
      </c>
      <c r="I1194" s="72" t="inlineStr">
        <is>
          <t>А500С</t>
        </is>
      </c>
      <c r="J1194" s="72" t="n">
        <v>200</v>
      </c>
      <c r="K1194" s="75" t="n">
        <v>1</v>
      </c>
      <c r="L1194" s="51" t="n">
        <v>24</v>
      </c>
      <c r="M1194" s="69" t="n">
        <v>1.2</v>
      </c>
      <c r="N1194" s="70">
        <f>K1194*L1194*M1194</f>
        <v/>
      </c>
      <c r="O1194" s="37">
        <f>IFERROR(INDEX(Исходные!$B$19:$B$31,MATCH(H1194,Исходные!$A$19:$A$31,0)),0)</f>
        <v/>
      </c>
      <c r="P1194" s="76">
        <f>N1194*O1194</f>
        <v/>
      </c>
      <c r="Q1194" s="21" t="inlineStr">
        <is>
          <t>АС-51 «Верхняя сетка 3.950÷14.750» (одна для всех этажей)</t>
        </is>
      </c>
      <c r="R1194" s="77" t="inlineStr">
        <is>
          <t>по проекту</t>
        </is>
      </c>
      <c r="S1194" s="21" t="inlineStr"/>
      <c r="T1194" s="21" t="inlineStr">
        <is>
          <t>Ригели, балки, плита, С-1</t>
        </is>
      </c>
      <c r="U1194" s="49" t="n">
        <v>0</v>
      </c>
      <c r="V1194" s="72" t="inlineStr">
        <is>
          <t>П-доп-верх</t>
        </is>
      </c>
      <c r="W1194" s="49" t="n">
        <v>3</v>
      </c>
    </row>
    <row r="1195">
      <c r="A1195" s="72" t="n">
        <v>1170</v>
      </c>
      <c r="B1195" s="21" t="inlineStr">
        <is>
          <t>3 этаж (отм. +7.550…+11.150)</t>
        </is>
      </c>
      <c r="C1195" s="21" t="inlineStr">
        <is>
          <t>Плита перекрытия</t>
        </is>
      </c>
      <c r="D1195" s="21" t="inlineStr">
        <is>
          <t>см. описание</t>
        </is>
      </c>
      <c r="E1195" s="21" t="inlineStr">
        <is>
          <t>ПМ-11.150</t>
        </is>
      </c>
      <c r="F1195" s="72" t="inlineStr">
        <is>
          <t>дв</t>
        </is>
      </c>
      <c r="G1195" s="21" t="inlineStr">
        <is>
          <t>Доп. верхние, ригель оси 2 (Б–А), вдоль X, 5500…7500</t>
        </is>
      </c>
      <c r="H1195" s="51" t="n">
        <v>10</v>
      </c>
      <c r="I1195" s="72" t="inlineStr">
        <is>
          <t>А500С</t>
        </is>
      </c>
      <c r="J1195" s="72" t="n">
        <v>200</v>
      </c>
      <c r="K1195" s="75" t="n">
        <v>1</v>
      </c>
      <c r="L1195" s="51" t="n">
        <v>25</v>
      </c>
      <c r="M1195" s="69" t="n">
        <v>2</v>
      </c>
      <c r="N1195" s="70">
        <f>K1195*L1195*M1195</f>
        <v/>
      </c>
      <c r="O1195" s="37">
        <f>IFERROR(INDEX(Исходные!$B$19:$B$31,MATCH(H1195,Исходные!$A$19:$A$31,0)),0)</f>
        <v/>
      </c>
      <c r="P1195" s="76">
        <f>N1195*O1195</f>
        <v/>
      </c>
      <c r="Q1195" s="21" t="inlineStr">
        <is>
          <t>АС-51 «Верхняя сетка 3.950÷14.750» (одна для всех этажей)</t>
        </is>
      </c>
      <c r="R1195" s="77" t="inlineStr">
        <is>
          <t>по проекту</t>
        </is>
      </c>
      <c r="S1195" s="21" t="inlineStr"/>
      <c r="T1195" s="21" t="inlineStr">
        <is>
          <t>Ригели, балки, плита, С-1</t>
        </is>
      </c>
      <c r="U1195" s="49" t="n">
        <v>0</v>
      </c>
      <c r="V1195" s="72" t="inlineStr">
        <is>
          <t>П-доп-верх</t>
        </is>
      </c>
      <c r="W1195" s="49" t="n">
        <v>3</v>
      </c>
    </row>
    <row r="1196">
      <c r="A1196" s="72" t="n">
        <v>1171</v>
      </c>
      <c r="B1196" s="21" t="inlineStr">
        <is>
          <t>3 этаж (отм. +7.550…+11.150)</t>
        </is>
      </c>
      <c r="C1196" s="21" t="inlineStr">
        <is>
          <t>Плита перекрытия</t>
        </is>
      </c>
      <c r="D1196" s="21" t="inlineStr">
        <is>
          <t>см. описание</t>
        </is>
      </c>
      <c r="E1196" s="21" t="inlineStr">
        <is>
          <t>ПМ-11.150</t>
        </is>
      </c>
      <c r="F1196" s="72" t="inlineStr">
        <is>
          <t>дв</t>
        </is>
      </c>
      <c r="G1196" s="21" t="inlineStr">
        <is>
          <t>Доп. верхние, ригель оси 4 (Б–А), вдоль X, 19000…20200</t>
        </is>
      </c>
      <c r="H1196" s="51" t="n">
        <v>10</v>
      </c>
      <c r="I1196" s="72" t="inlineStr">
        <is>
          <t>А500С</t>
        </is>
      </c>
      <c r="J1196" s="72" t="n">
        <v>200</v>
      </c>
      <c r="K1196" s="75" t="n">
        <v>1</v>
      </c>
      <c r="L1196" s="51" t="n">
        <v>25</v>
      </c>
      <c r="M1196" s="69" t="n">
        <v>1.2</v>
      </c>
      <c r="N1196" s="70">
        <f>K1196*L1196*M1196</f>
        <v/>
      </c>
      <c r="O1196" s="37">
        <f>IFERROR(INDEX(Исходные!$B$19:$B$31,MATCH(H1196,Исходные!$A$19:$A$31,0)),0)</f>
        <v/>
      </c>
      <c r="P1196" s="76">
        <f>N1196*O1196</f>
        <v/>
      </c>
      <c r="Q1196" s="21" t="inlineStr">
        <is>
          <t>АС-51 «Верхняя сетка 3.950÷14.750» (одна для всех этажей)</t>
        </is>
      </c>
      <c r="R1196" s="77" t="inlineStr">
        <is>
          <t>по проекту</t>
        </is>
      </c>
      <c r="S1196" s="21" t="inlineStr"/>
      <c r="T1196" s="21" t="inlineStr">
        <is>
          <t>Ригели, балки, плита, С-1</t>
        </is>
      </c>
      <c r="U1196" s="49" t="n">
        <v>0</v>
      </c>
      <c r="V1196" s="72" t="inlineStr">
        <is>
          <t>П-доп-верх</t>
        </is>
      </c>
      <c r="W1196" s="49" t="n">
        <v>3</v>
      </c>
    </row>
    <row r="1197">
      <c r="A1197" s="72" t="n">
        <v>1172</v>
      </c>
      <c r="B1197" s="21" t="inlineStr">
        <is>
          <t>3 этаж (отм. +7.550…+11.150)</t>
        </is>
      </c>
      <c r="C1197" s="21" t="inlineStr">
        <is>
          <t>Плита перекрытия</t>
        </is>
      </c>
      <c r="D1197" s="21" t="inlineStr">
        <is>
          <t>см. описание</t>
        </is>
      </c>
      <c r="E1197" s="21" t="inlineStr">
        <is>
          <t>ПМ-11.150</t>
        </is>
      </c>
      <c r="F1197" s="72" t="inlineStr">
        <is>
          <t>дв</t>
        </is>
      </c>
      <c r="G1197" s="21" t="inlineStr">
        <is>
          <t>Доп. верхние, эркер у оси А (1–2), вдоль Y, −1000…+200</t>
        </is>
      </c>
      <c r="H1197" s="51" t="n">
        <v>10</v>
      </c>
      <c r="I1197" s="72" t="inlineStr">
        <is>
          <t>А500С</t>
        </is>
      </c>
      <c r="J1197" s="72" t="n">
        <v>200</v>
      </c>
      <c r="K1197" s="75" t="n">
        <v>1</v>
      </c>
      <c r="L1197" s="51" t="n">
        <v>17</v>
      </c>
      <c r="M1197" s="69" t="n">
        <v>1.2</v>
      </c>
      <c r="N1197" s="70">
        <f>K1197*L1197*M1197</f>
        <v/>
      </c>
      <c r="O1197" s="37">
        <f>IFERROR(INDEX(Исходные!$B$19:$B$31,MATCH(H1197,Исходные!$A$19:$A$31,0)),0)</f>
        <v/>
      </c>
      <c r="P1197" s="76">
        <f>N1197*O1197</f>
        <v/>
      </c>
      <c r="Q1197" s="21" t="inlineStr">
        <is>
          <t>АС-51 «Верхняя сетка 3.950÷14.750» (одна для всех этажей)</t>
        </is>
      </c>
      <c r="R1197" s="77" t="inlineStr">
        <is>
          <t>по проекту</t>
        </is>
      </c>
      <c r="S1197" s="21" t="inlineStr"/>
      <c r="T1197" s="21" t="inlineStr">
        <is>
          <t>Ригели, балки, плита, С-1</t>
        </is>
      </c>
      <c r="U1197" s="49" t="n">
        <v>0</v>
      </c>
      <c r="V1197" s="72" t="inlineStr">
        <is>
          <t>П-доп-верх</t>
        </is>
      </c>
      <c r="W1197" s="49" t="n">
        <v>3</v>
      </c>
    </row>
    <row r="1198">
      <c r="A1198" s="72" t="n">
        <v>1173</v>
      </c>
      <c r="B1198" s="21" t="inlineStr">
        <is>
          <t>3 этаж (отм. +7.550…+11.150)</t>
        </is>
      </c>
      <c r="C1198" s="21" t="inlineStr">
        <is>
          <t>Плита перекрытия</t>
        </is>
      </c>
      <c r="D1198" s="21" t="inlineStr">
        <is>
          <t>см. описание</t>
        </is>
      </c>
      <c r="E1198" s="21" t="inlineStr">
        <is>
          <t>ПМ-11.150</t>
        </is>
      </c>
      <c r="F1198" s="72" t="inlineStr">
        <is>
          <t>дв</t>
        </is>
      </c>
      <c r="G1198" s="21" t="inlineStr">
        <is>
          <t>Доп. верхние, эркер у оси А (2–4), вдоль Y, −1000…+200</t>
        </is>
      </c>
      <c r="H1198" s="51" t="n">
        <v>10</v>
      </c>
      <c r="I1198" s="72" t="inlineStr">
        <is>
          <t>А500С</t>
        </is>
      </c>
      <c r="J1198" s="72" t="n">
        <v>200</v>
      </c>
      <c r="K1198" s="75" t="n">
        <v>1</v>
      </c>
      <c r="L1198" s="51" t="n">
        <v>36</v>
      </c>
      <c r="M1198" s="69" t="n">
        <v>1.2</v>
      </c>
      <c r="N1198" s="70">
        <f>K1198*L1198*M1198</f>
        <v/>
      </c>
      <c r="O1198" s="37">
        <f>IFERROR(INDEX(Исходные!$B$19:$B$31,MATCH(H1198,Исходные!$A$19:$A$31,0)),0)</f>
        <v/>
      </c>
      <c r="P1198" s="76">
        <f>N1198*O1198</f>
        <v/>
      </c>
      <c r="Q1198" s="21" t="inlineStr">
        <is>
          <t>АС-51 «Верхняя сетка 3.950÷14.750» (одна для всех этажей)</t>
        </is>
      </c>
      <c r="R1198" s="77" t="inlineStr">
        <is>
          <t>по проекту</t>
        </is>
      </c>
      <c r="S1198" s="21" t="inlineStr"/>
      <c r="T1198" s="21" t="inlineStr">
        <is>
          <t>Ригели, балки, плита, С-1</t>
        </is>
      </c>
      <c r="U1198" s="49" t="n">
        <v>0</v>
      </c>
      <c r="V1198" s="72" t="inlineStr">
        <is>
          <t>П-доп-верх</t>
        </is>
      </c>
      <c r="W1198" s="49" t="n">
        <v>3</v>
      </c>
    </row>
    <row r="1199">
      <c r="A1199" s="72" t="n">
        <v>1174</v>
      </c>
      <c r="B1199" s="21" t="inlineStr">
        <is>
          <t>3 этаж (отм. +7.550…+11.150)</t>
        </is>
      </c>
      <c r="C1199" s="21" t="inlineStr">
        <is>
          <t>Плита перекрытия</t>
        </is>
      </c>
      <c r="D1199" s="21" t="inlineStr">
        <is>
          <t>см. описание</t>
        </is>
      </c>
      <c r="E1199" s="21" t="inlineStr">
        <is>
          <t>ПМ-11.150</t>
        </is>
      </c>
      <c r="F1199" s="72" t="inlineStr">
        <is>
          <t>дв</t>
        </is>
      </c>
      <c r="G1199" s="21" t="inlineStr">
        <is>
          <t>Доп. верхние, ригель оси В, вдоль Y, 12300…13700 (оси 2–3 лев. часть)</t>
        </is>
      </c>
      <c r="H1199" s="51" t="n">
        <v>10</v>
      </c>
      <c r="I1199" s="72" t="inlineStr">
        <is>
          <t>А500С</t>
        </is>
      </c>
      <c r="J1199" s="72" t="n">
        <v>200</v>
      </c>
      <c r="K1199" s="75" t="n">
        <v>1</v>
      </c>
      <c r="L1199" s="51" t="n">
        <v>15</v>
      </c>
      <c r="M1199" s="69" t="n">
        <v>1.4</v>
      </c>
      <c r="N1199" s="70">
        <f>K1199*L1199*M1199</f>
        <v/>
      </c>
      <c r="O1199" s="37">
        <f>IFERROR(INDEX(Исходные!$B$19:$B$31,MATCH(H1199,Исходные!$A$19:$A$31,0)),0)</f>
        <v/>
      </c>
      <c r="P1199" s="76">
        <f>N1199*O1199</f>
        <v/>
      </c>
      <c r="Q1199" s="21" t="inlineStr">
        <is>
          <t>АС-51 «Верхняя сетка 3.950÷14.750» (одна для всех этажей)</t>
        </is>
      </c>
      <c r="R1199" s="77" t="inlineStr">
        <is>
          <t>по проекту</t>
        </is>
      </c>
      <c r="S1199" s="21" t="inlineStr"/>
      <c r="T1199" s="21" t="inlineStr">
        <is>
          <t>Ригели, балки, плита, С-1</t>
        </is>
      </c>
      <c r="U1199" s="49" t="n">
        <v>0</v>
      </c>
      <c r="V1199" s="72" t="inlineStr">
        <is>
          <t>П-доп-верх</t>
        </is>
      </c>
      <c r="W1199" s="49" t="n">
        <v>3</v>
      </c>
    </row>
    <row r="1200">
      <c r="A1200" s="72" t="n">
        <v>1175</v>
      </c>
      <c r="B1200" s="21" t="inlineStr">
        <is>
          <t>3 этаж (отм. +7.550…+11.150)</t>
        </is>
      </c>
      <c r="C1200" s="21" t="inlineStr">
        <is>
          <t>Плита перекрытия</t>
        </is>
      </c>
      <c r="D1200" s="21" t="inlineStr">
        <is>
          <t>см. описание</t>
        </is>
      </c>
      <c r="E1200" s="21" t="inlineStr">
        <is>
          <t>ПМ-11.150</t>
        </is>
      </c>
      <c r="F1200" s="72" t="inlineStr">
        <is>
          <t>дв</t>
        </is>
      </c>
      <c r="G1200" s="21" t="inlineStr">
        <is>
          <t>Доп. верхние, ригель оси В, вдоль Y, 12300…14500 (оси 2–3 прав. часть)</t>
        </is>
      </c>
      <c r="H1200" s="51" t="n">
        <v>10</v>
      </c>
      <c r="I1200" s="72" t="inlineStr">
        <is>
          <t>А500С</t>
        </is>
      </c>
      <c r="J1200" s="72" t="n">
        <v>200</v>
      </c>
      <c r="K1200" s="75" t="n">
        <v>1</v>
      </c>
      <c r="L1200" s="51" t="n">
        <v>17</v>
      </c>
      <c r="M1200" s="69" t="n">
        <v>2.2</v>
      </c>
      <c r="N1200" s="70">
        <f>K1200*L1200*M1200</f>
        <v/>
      </c>
      <c r="O1200" s="37">
        <f>IFERROR(INDEX(Исходные!$B$19:$B$31,MATCH(H1200,Исходные!$A$19:$A$31,0)),0)</f>
        <v/>
      </c>
      <c r="P1200" s="76">
        <f>N1200*O1200</f>
        <v/>
      </c>
      <c r="Q1200" s="21" t="inlineStr">
        <is>
          <t>АС-51 «Верхняя сетка 3.950÷14.750» (одна для всех этажей)</t>
        </is>
      </c>
      <c r="R1200" s="77" t="inlineStr">
        <is>
          <t>по проекту</t>
        </is>
      </c>
      <c r="S1200" s="21" t="inlineStr"/>
      <c r="T1200" s="21" t="inlineStr">
        <is>
          <t>Ригели, балки, плита, С-1</t>
        </is>
      </c>
      <c r="U1200" s="49" t="n">
        <v>0</v>
      </c>
      <c r="V1200" s="72" t="inlineStr">
        <is>
          <t>П-доп-верх</t>
        </is>
      </c>
      <c r="W1200" s="49" t="n">
        <v>3</v>
      </c>
    </row>
    <row r="1201">
      <c r="A1201" s="72" t="n">
        <v>1176</v>
      </c>
      <c r="B1201" s="21" t="inlineStr">
        <is>
          <t>3 этаж (отм. +7.550…+11.150)</t>
        </is>
      </c>
      <c r="C1201" s="21" t="inlineStr">
        <is>
          <t>Плита перекрытия</t>
        </is>
      </c>
      <c r="D1201" s="21" t="inlineStr">
        <is>
          <t>см. описание</t>
        </is>
      </c>
      <c r="E1201" s="21" t="inlineStr">
        <is>
          <t>ПМ-11.150</t>
        </is>
      </c>
      <c r="F1201" s="72" t="inlineStr">
        <is>
          <t>дв</t>
        </is>
      </c>
      <c r="G1201" s="21" t="inlineStr">
        <is>
          <t>Доп. верхние, ригель оси В, вдоль Y, 12300…13700 (оси 3–4)</t>
        </is>
      </c>
      <c r="H1201" s="51" t="n">
        <v>10</v>
      </c>
      <c r="I1201" s="72" t="inlineStr">
        <is>
          <t>А500С</t>
        </is>
      </c>
      <c r="J1201" s="72" t="n">
        <v>200</v>
      </c>
      <c r="K1201" s="75" t="n">
        <v>1</v>
      </c>
      <c r="L1201" s="51" t="n">
        <v>29</v>
      </c>
      <c r="M1201" s="69" t="n">
        <v>1.4</v>
      </c>
      <c r="N1201" s="70">
        <f>K1201*L1201*M1201</f>
        <v/>
      </c>
      <c r="O1201" s="37">
        <f>IFERROR(INDEX(Исходные!$B$19:$B$31,MATCH(H1201,Исходные!$A$19:$A$31,0)),0)</f>
        <v/>
      </c>
      <c r="P1201" s="76">
        <f>N1201*O1201</f>
        <v/>
      </c>
      <c r="Q1201" s="21" t="inlineStr">
        <is>
          <t>АС-51 «Верхняя сетка 3.950÷14.750» (одна для всех этажей)</t>
        </is>
      </c>
      <c r="R1201" s="77" t="inlineStr">
        <is>
          <t>по проекту</t>
        </is>
      </c>
      <c r="S1201" s="21" t="inlineStr"/>
      <c r="T1201" s="21" t="inlineStr">
        <is>
          <t>Ригели, балки, плита, С-1</t>
        </is>
      </c>
      <c r="U1201" s="49" t="n">
        <v>0</v>
      </c>
      <c r="V1201" s="72" t="inlineStr">
        <is>
          <t>П-доп-верх</t>
        </is>
      </c>
      <c r="W1201" s="49" t="n">
        <v>3</v>
      </c>
    </row>
    <row r="1202">
      <c r="A1202" s="72" t="n">
        <v>1177</v>
      </c>
      <c r="B1202" s="21" t="inlineStr">
        <is>
          <t>3 этаж (отм. +7.550…+11.150)</t>
        </is>
      </c>
      <c r="C1202" s="21" t="inlineStr">
        <is>
          <t>Плита перекрытия</t>
        </is>
      </c>
      <c r="D1202" s="21" t="inlineStr">
        <is>
          <t>см. описание</t>
        </is>
      </c>
      <c r="E1202" s="21" t="inlineStr">
        <is>
          <t>ПМ-11.150</t>
        </is>
      </c>
      <c r="F1202" s="72" t="inlineStr">
        <is>
          <t>дв</t>
        </is>
      </c>
      <c r="G1202" s="21" t="inlineStr">
        <is>
          <t>Доп. верхние, ригель оси Б, вдоль Y, 5500…7700 (оси 2–4)</t>
        </is>
      </c>
      <c r="H1202" s="51" t="n">
        <v>10</v>
      </c>
      <c r="I1202" s="72" t="inlineStr">
        <is>
          <t>А500С</t>
        </is>
      </c>
      <c r="J1202" s="72" t="n">
        <v>200</v>
      </c>
      <c r="K1202" s="75" t="n">
        <v>1</v>
      </c>
      <c r="L1202" s="51" t="n">
        <v>62</v>
      </c>
      <c r="M1202" s="69" t="n">
        <v>2.2</v>
      </c>
      <c r="N1202" s="70">
        <f>K1202*L1202*M1202</f>
        <v/>
      </c>
      <c r="O1202" s="37">
        <f>IFERROR(INDEX(Исходные!$B$19:$B$31,MATCH(H1202,Исходные!$A$19:$A$31,0)),0)</f>
        <v/>
      </c>
      <c r="P1202" s="76">
        <f>N1202*O1202</f>
        <v/>
      </c>
      <c r="Q1202" s="21" t="inlineStr">
        <is>
          <t>АС-51 «Верхняя сетка 3.950÷14.750» (одна для всех этажей)</t>
        </is>
      </c>
      <c r="R1202" s="77" t="inlineStr">
        <is>
          <t>по проекту</t>
        </is>
      </c>
      <c r="S1202" s="21" t="inlineStr"/>
      <c r="T1202" s="21" t="inlineStr">
        <is>
          <t>Ригели, балки, плита, С-1</t>
        </is>
      </c>
      <c r="U1202" s="49" t="n">
        <v>0</v>
      </c>
      <c r="V1202" s="72" t="inlineStr">
        <is>
          <t>П-доп-верх</t>
        </is>
      </c>
      <c r="W1202" s="49" t="n">
        <v>3</v>
      </c>
    </row>
    <row r="1203">
      <c r="A1203" s="72" t="n">
        <v>1178</v>
      </c>
      <c r="B1203" s="21" t="inlineStr">
        <is>
          <t>3 этаж (отм. +7.550…+11.150)</t>
        </is>
      </c>
      <c r="C1203" s="21" t="inlineStr">
        <is>
          <t>Плита перекрытия</t>
        </is>
      </c>
      <c r="D1203" s="21" t="inlineStr">
        <is>
          <t>В,Б × оси 2,3 (4 места)</t>
        </is>
      </c>
      <c r="E1203" s="21" t="inlineStr">
        <is>
          <t>ПМ-11.150</t>
        </is>
      </c>
      <c r="F1203" s="72" t="inlineStr">
        <is>
          <t>дв</t>
        </is>
      </c>
      <c r="G1203" s="21" t="inlineStr">
        <is>
          <t>Доп. стержни в верхней зоне над ригелем 2Ø20 L=3000 (4 места)</t>
        </is>
      </c>
      <c r="H1203" s="51" t="n">
        <v>20</v>
      </c>
      <c r="I1203" s="72" t="inlineStr">
        <is>
          <t>А500С</t>
        </is>
      </c>
      <c r="J1203" s="72" t="inlineStr">
        <is>
          <t>—</t>
        </is>
      </c>
      <c r="K1203" s="75" t="n">
        <v>4</v>
      </c>
      <c r="L1203" s="51" t="n">
        <v>2</v>
      </c>
      <c r="M1203" s="69" t="n">
        <v>3</v>
      </c>
      <c r="N1203" s="70">
        <f>K1203*L1203*M1203</f>
        <v/>
      </c>
      <c r="O1203" s="37">
        <f>IFERROR(INDEX(Исходные!$B$19:$B$31,MATCH(H1203,Исходные!$A$19:$A$31,0)),0)</f>
        <v/>
      </c>
      <c r="P1203" s="76">
        <f>N1203*O1203</f>
        <v/>
      </c>
      <c r="Q1203" s="21" t="inlineStr">
        <is>
          <t>АС-48 выноски «Доп. стер. в верх. зоне 2Ø20 L=3000» (как на +7.550)</t>
        </is>
      </c>
      <c r="R1203" s="77" t="inlineStr">
        <is>
          <t>по проекту</t>
        </is>
      </c>
      <c r="S1203" s="21" t="inlineStr"/>
      <c r="T1203" s="21" t="inlineStr">
        <is>
          <t>Ригели, балки, плита, С-1</t>
        </is>
      </c>
      <c r="U1203" s="49" t="n">
        <v>0</v>
      </c>
      <c r="V1203" s="72" t="inlineStr">
        <is>
          <t>П-доп-верх</t>
        </is>
      </c>
      <c r="W1203" s="49" t="n">
        <v>3</v>
      </c>
    </row>
    <row r="1204">
      <c r="A1204" s="72" t="n">
        <v>1179</v>
      </c>
      <c r="B1204" s="21" t="inlineStr">
        <is>
          <t>3 этаж (отм. +7.550…+11.150)</t>
        </is>
      </c>
      <c r="C1204" s="21" t="inlineStr">
        <is>
          <t>Плита перекрытия</t>
        </is>
      </c>
      <c r="D1204" s="21" t="inlineStr">
        <is>
          <t>Б–В / оси 3–4</t>
        </is>
      </c>
      <c r="E1204" s="21" t="inlineStr">
        <is>
          <t>ПМ-11.150</t>
        </is>
      </c>
      <c r="F1204" s="72" t="inlineStr">
        <is>
          <t>дв</t>
        </is>
      </c>
      <c r="G1204" s="21" t="inlineStr">
        <is>
          <t>Доп. стержень в верхней зоне 1Ø18 L=3000</t>
        </is>
      </c>
      <c r="H1204" s="51" t="n">
        <v>18</v>
      </c>
      <c r="I1204" s="72" t="inlineStr">
        <is>
          <t>А500С</t>
        </is>
      </c>
      <c r="J1204" s="72" t="inlineStr">
        <is>
          <t>—</t>
        </is>
      </c>
      <c r="K1204" s="75" t="n">
        <v>1</v>
      </c>
      <c r="L1204" s="51" t="n">
        <v>1</v>
      </c>
      <c r="M1204" s="69" t="n">
        <v>3</v>
      </c>
      <c r="N1204" s="70">
        <f>K1204*L1204*M1204</f>
        <v/>
      </c>
      <c r="O1204" s="37">
        <f>IFERROR(INDEX(Исходные!$B$19:$B$31,MATCH(H1204,Исходные!$A$19:$A$31,0)),0)</f>
        <v/>
      </c>
      <c r="P1204" s="76">
        <f>N1204*O1204</f>
        <v/>
      </c>
      <c r="Q1204" s="21" t="inlineStr">
        <is>
          <t>АС-48 выноска «1Ø18 L=3000»</t>
        </is>
      </c>
      <c r="R1204" s="77" t="inlineStr">
        <is>
          <t>по проекту</t>
        </is>
      </c>
      <c r="S1204" s="21" t="inlineStr"/>
      <c r="T1204" s="21" t="inlineStr">
        <is>
          <t>Ригели, балки, плита, С-1</t>
        </is>
      </c>
      <c r="U1204" s="49" t="n">
        <v>0</v>
      </c>
      <c r="V1204" s="72" t="inlineStr">
        <is>
          <t>П-доп-верх</t>
        </is>
      </c>
      <c r="W1204" s="49" t="n">
        <v>3</v>
      </c>
    </row>
    <row r="1205">
      <c r="A1205" s="72" t="n">
        <v>1180</v>
      </c>
      <c r="B1205" s="21" t="inlineStr">
        <is>
          <t>3 этаж (отм. +7.550…+11.150)</t>
        </is>
      </c>
      <c r="C1205" s="21" t="inlineStr">
        <is>
          <t>Плита перекрытия</t>
        </is>
      </c>
      <c r="D1205" s="21" t="inlineStr">
        <is>
          <t>у лифтовой шахты</t>
        </is>
      </c>
      <c r="E1205" s="21" t="inlineStr">
        <is>
          <t>ПМ-11.150</t>
        </is>
      </c>
      <c r="F1205" s="72" t="inlineStr">
        <is>
          <t>дв</t>
        </is>
      </c>
      <c r="G1205" s="21" t="inlineStr">
        <is>
          <t>Доп. стержень в верхней зоне 1Ø18 L=1700</t>
        </is>
      </c>
      <c r="H1205" s="51" t="n">
        <v>18</v>
      </c>
      <c r="I1205" s="72" t="inlineStr">
        <is>
          <t>А500С</t>
        </is>
      </c>
      <c r="J1205" s="72" t="inlineStr">
        <is>
          <t>—</t>
        </is>
      </c>
      <c r="K1205" s="75" t="n">
        <v>1</v>
      </c>
      <c r="L1205" s="51" t="n">
        <v>1</v>
      </c>
      <c r="M1205" s="69" t="n">
        <v>1.7</v>
      </c>
      <c r="N1205" s="70">
        <f>K1205*L1205*M1205</f>
        <v/>
      </c>
      <c r="O1205" s="37">
        <f>IFERROR(INDEX(Исходные!$B$19:$B$31,MATCH(H1205,Исходные!$A$19:$A$31,0)),0)</f>
        <v/>
      </c>
      <c r="P1205" s="76">
        <f>N1205*O1205</f>
        <v/>
      </c>
      <c r="Q1205" s="21" t="inlineStr">
        <is>
          <t>АС-48 выноска «1Ø18 L=1700»</t>
        </is>
      </c>
      <c r="R1205" s="77" t="inlineStr">
        <is>
          <t>по проекту</t>
        </is>
      </c>
      <c r="S1205" s="21" t="inlineStr"/>
      <c r="T1205" s="21" t="inlineStr">
        <is>
          <t>Ригели, балки, плита, С-1</t>
        </is>
      </c>
      <c r="U1205" s="49" t="n">
        <v>0</v>
      </c>
      <c r="V1205" s="72" t="inlineStr">
        <is>
          <t>П-доп-верх</t>
        </is>
      </c>
      <c r="W1205" s="49" t="n">
        <v>3</v>
      </c>
    </row>
    <row r="1206">
      <c r="A1206" s="72" t="n">
        <v>1181</v>
      </c>
      <c r="B1206" s="21" t="inlineStr">
        <is>
          <t>3 этаж (отм. +7.550…+11.150)</t>
        </is>
      </c>
      <c r="C1206" s="21" t="inlineStr">
        <is>
          <t>Плита перекрытия</t>
        </is>
      </c>
      <c r="D1206" s="21" t="inlineStr">
        <is>
          <t>край по оси Г и оси 5</t>
        </is>
      </c>
      <c r="E1206" s="21" t="inlineStr">
        <is>
          <t>ПМ-11.150</t>
        </is>
      </c>
      <c r="F1206" s="72" t="inlineStr">
        <is>
          <t>8</t>
        </is>
      </c>
      <c r="G1206" s="21" t="inlineStr">
        <is>
          <t>Торцевой стержень края плиты (сеч.6-6) 2Ø14, по оси Г</t>
        </is>
      </c>
      <c r="H1206" s="51" t="n">
        <v>14</v>
      </c>
      <c r="I1206" s="72" t="inlineStr">
        <is>
          <t>А500С</t>
        </is>
      </c>
      <c r="J1206" s="72" t="inlineStr">
        <is>
          <t>—</t>
        </is>
      </c>
      <c r="K1206" s="75" t="n">
        <v>1</v>
      </c>
      <c r="L1206" s="51" t="n">
        <v>2</v>
      </c>
      <c r="M1206" s="69" t="n">
        <v>25.795</v>
      </c>
      <c r="N1206" s="70">
        <f>K1206*L1206*M1206</f>
        <v/>
      </c>
      <c r="O1206" s="37">
        <f>IFERROR(INDEX(Исходные!$B$19:$B$31,MATCH(H1206,Исходные!$A$19:$A$31,0)),0)</f>
        <v/>
      </c>
      <c r="P1206" s="76">
        <f>N1206*O1206</f>
        <v/>
      </c>
      <c r="Q1206" s="21" t="inlineStr">
        <is>
          <t>АС-55 сеч.6-6 поз.8; край 420 по АС-48</t>
        </is>
      </c>
      <c r="R1206" s="77" t="inlineStr">
        <is>
          <t>по геометрии чертежа</t>
        </is>
      </c>
      <c r="S1206" s="21" t="inlineStr"/>
      <c r="T1206" s="21" t="inlineStr">
        <is>
          <t>Ригели, балки, плита, С-1</t>
        </is>
      </c>
      <c r="U1206" s="49" t="n">
        <v>0</v>
      </c>
      <c r="V1206" s="72" t="inlineStr">
        <is>
          <t>П-край</t>
        </is>
      </c>
      <c r="W1206" s="49" t="n">
        <v>3</v>
      </c>
    </row>
    <row r="1207">
      <c r="A1207" s="72" t="n">
        <v>1182</v>
      </c>
      <c r="B1207" s="21" t="inlineStr">
        <is>
          <t>3 этаж (отм. +7.550…+11.150)</t>
        </is>
      </c>
      <c r="C1207" s="21" t="inlineStr">
        <is>
          <t>Плита перекрытия</t>
        </is>
      </c>
      <c r="D1207" s="21" t="inlineStr">
        <is>
          <t>край по оси Г и оси 5</t>
        </is>
      </c>
      <c r="E1207" s="21" t="inlineStr">
        <is>
          <t>ПМ-11.150</t>
        </is>
      </c>
      <c r="F1207" s="72" t="inlineStr">
        <is>
          <t>8-нахл</t>
        </is>
      </c>
      <c r="G1207" s="21" t="inlineStr">
        <is>
          <t>Нахлёсты стыков к поз. «Торцевой стержень края плиты (сеч.6-6) 2Ø14, по оси Г» (L=25.795 м &gt; 11,7 м): 3 куска, 2 стык(а) на стержень × 2 стерж.</t>
        </is>
      </c>
      <c r="H1207" s="51" t="n">
        <v>14</v>
      </c>
      <c r="I1207" s="72" t="inlineStr">
        <is>
          <t>А500С</t>
        </is>
      </c>
      <c r="J1207" s="72" t="inlineStr">
        <is>
          <t>—</t>
        </is>
      </c>
      <c r="K1207" s="75" t="n">
        <v>2</v>
      </c>
      <c r="L1207" s="51" t="n">
        <v>2</v>
      </c>
      <c r="M1207" s="69" t="n">
        <v>0.5600000000000001</v>
      </c>
      <c r="N1207" s="70">
        <f>K1207*L1207*M1207</f>
        <v/>
      </c>
      <c r="O1207" s="37">
        <f>IFERROR(INDEX(Исходные!$B$19:$B$31,MATCH(H1207,Исходные!$A$19:$A$31,0)),0)</f>
        <v/>
      </c>
      <c r="P1207" s="76">
        <f>N1207*O1207</f>
        <v/>
      </c>
      <c r="Q1207" s="21" t="inlineStr">
        <is>
          <t>АС-58 «Деталь стыка арматуры армирования плиты»: нахлёст 560 мм для Ø14</t>
        </is>
      </c>
      <c r="R1207" s="77" t="inlineStr">
        <is>
          <t>по проекту (стыковка прутков 11,7 м)</t>
        </is>
      </c>
      <c r="S1207" s="21" t="inlineStr">
        <is>
          <t>Чистая длина 25.795 м; кусков 3; стыков 2; Lнахл=2×0.560=1.12 м на стержень</t>
        </is>
      </c>
      <c r="T1207" s="21" t="inlineStr">
        <is>
          <t>Ригели, балки, плита, С-1</t>
        </is>
      </c>
      <c r="U1207" s="49" t="n">
        <v>0</v>
      </c>
      <c r="V1207" s="72" t="inlineStr">
        <is>
          <t>П-край</t>
        </is>
      </c>
      <c r="W1207" s="49" t="n">
        <v>3</v>
      </c>
    </row>
    <row r="1208">
      <c r="A1208" s="72" t="n">
        <v>1183</v>
      </c>
      <c r="B1208" s="21" t="inlineStr">
        <is>
          <t>3 этаж (отм. +7.550…+11.150)</t>
        </is>
      </c>
      <c r="C1208" s="21" t="inlineStr">
        <is>
          <t>Плита перекрытия</t>
        </is>
      </c>
      <c r="D1208" s="21" t="inlineStr">
        <is>
          <t>край по оси Г и оси 5</t>
        </is>
      </c>
      <c r="E1208" s="21" t="inlineStr">
        <is>
          <t>ПМ-11.150</t>
        </is>
      </c>
      <c r="F1208" s="72" t="inlineStr">
        <is>
          <t>8</t>
        </is>
      </c>
      <c r="G1208" s="21" t="inlineStr">
        <is>
          <t>Торцевой стержень края плиты (сеч.6-6) 2Ø14, по оси 5</t>
        </is>
      </c>
      <c r="H1208" s="51" t="n">
        <v>14</v>
      </c>
      <c r="I1208" s="72" t="inlineStr">
        <is>
          <t>А500С</t>
        </is>
      </c>
      <c r="J1208" s="72" t="inlineStr">
        <is>
          <t>—</t>
        </is>
      </c>
      <c r="K1208" s="75" t="n">
        <v>1</v>
      </c>
      <c r="L1208" s="51" t="n">
        <v>2</v>
      </c>
      <c r="M1208" s="69" t="n">
        <v>20.495</v>
      </c>
      <c r="N1208" s="70">
        <f>K1208*L1208*M1208</f>
        <v/>
      </c>
      <c r="O1208" s="37">
        <f>IFERROR(INDEX(Исходные!$B$19:$B$31,MATCH(H1208,Исходные!$A$19:$A$31,0)),0)</f>
        <v/>
      </c>
      <c r="P1208" s="76">
        <f>N1208*O1208</f>
        <v/>
      </c>
      <c r="Q1208" s="21" t="inlineStr">
        <is>
          <t>АС-55 сеч.6-6 поз.8</t>
        </is>
      </c>
      <c r="R1208" s="77" t="inlineStr">
        <is>
          <t>по геометрии чертежа</t>
        </is>
      </c>
      <c r="S1208" s="21" t="inlineStr"/>
      <c r="T1208" s="21" t="inlineStr">
        <is>
          <t>Ригели, балки, плита, С-1</t>
        </is>
      </c>
      <c r="U1208" s="49" t="n">
        <v>0</v>
      </c>
      <c r="V1208" s="72" t="inlineStr">
        <is>
          <t>П-край</t>
        </is>
      </c>
      <c r="W1208" s="49" t="n">
        <v>3</v>
      </c>
    </row>
    <row r="1209">
      <c r="A1209" s="72" t="n">
        <v>1184</v>
      </c>
      <c r="B1209" s="21" t="inlineStr">
        <is>
          <t>3 этаж (отм. +7.550…+11.150)</t>
        </is>
      </c>
      <c r="C1209" s="21" t="inlineStr">
        <is>
          <t>Плита перекрытия</t>
        </is>
      </c>
      <c r="D1209" s="21" t="inlineStr">
        <is>
          <t>край по оси Г и оси 5</t>
        </is>
      </c>
      <c r="E1209" s="21" t="inlineStr">
        <is>
          <t>ПМ-11.150</t>
        </is>
      </c>
      <c r="F1209" s="72" t="inlineStr">
        <is>
          <t>8-нахл</t>
        </is>
      </c>
      <c r="G1209" s="21" t="inlineStr">
        <is>
          <t>Нахлёсты стыков к поз. «Торцевой стержень края плиты (сеч.6-6) 2Ø14, по оси 5» (L=20.495 м &gt; 11,7 м): 2 куска, 1 стык(а) на стержень × 2 стерж.</t>
        </is>
      </c>
      <c r="H1209" s="51" t="n">
        <v>14</v>
      </c>
      <c r="I1209" s="72" t="inlineStr">
        <is>
          <t>А500С</t>
        </is>
      </c>
      <c r="J1209" s="72" t="inlineStr">
        <is>
          <t>—</t>
        </is>
      </c>
      <c r="K1209" s="75" t="n">
        <v>2</v>
      </c>
      <c r="L1209" s="51" t="n">
        <v>1</v>
      </c>
      <c r="M1209" s="69" t="n">
        <v>0.5600000000000001</v>
      </c>
      <c r="N1209" s="70">
        <f>K1209*L1209*M1209</f>
        <v/>
      </c>
      <c r="O1209" s="37">
        <f>IFERROR(INDEX(Исходные!$B$19:$B$31,MATCH(H1209,Исходные!$A$19:$A$31,0)),0)</f>
        <v/>
      </c>
      <c r="P1209" s="76">
        <f>N1209*O1209</f>
        <v/>
      </c>
      <c r="Q1209" s="21" t="inlineStr">
        <is>
          <t>АС-58 «Деталь стыка арматуры армирования плиты»: нахлёст 560 мм для Ø14</t>
        </is>
      </c>
      <c r="R1209" s="77" t="inlineStr">
        <is>
          <t>по проекту (стыковка прутков 11,7 м)</t>
        </is>
      </c>
      <c r="S1209" s="21" t="inlineStr">
        <is>
          <t>Чистая длина 20.495 м; кусков 2; стыков 1; Lнахл=1×0.560=0.56 м на стержень</t>
        </is>
      </c>
      <c r="T1209" s="21" t="inlineStr">
        <is>
          <t>Ригели, балки, плита, С-1</t>
        </is>
      </c>
      <c r="U1209" s="49" t="n">
        <v>0</v>
      </c>
      <c r="V1209" s="72" t="inlineStr">
        <is>
          <t>П-край</t>
        </is>
      </c>
      <c r="W1209" s="49" t="n">
        <v>3</v>
      </c>
    </row>
    <row r="1210">
      <c r="A1210" s="72" t="n">
        <v>1185</v>
      </c>
      <c r="B1210" s="21" t="inlineStr">
        <is>
          <t>3 этаж (отм. +7.550…+11.150)</t>
        </is>
      </c>
      <c r="C1210" s="21" t="inlineStr">
        <is>
          <t>Плита перекрытия</t>
        </is>
      </c>
      <c r="D1210" s="21" t="inlineStr">
        <is>
          <t>край по оси Г и оси 5</t>
        </is>
      </c>
      <c r="E1210" s="21" t="inlineStr">
        <is>
          <t>ПМ-11.150</t>
        </is>
      </c>
      <c r="F1210" s="72" t="inlineStr">
        <is>
          <t>14</t>
        </is>
      </c>
      <c r="G1210" s="21" t="inlineStr">
        <is>
          <t>Пешка (П-образная) края плиты ш.400: 119 шт</t>
        </is>
      </c>
      <c r="H1210" s="51" t="n">
        <v>10</v>
      </c>
      <c r="I1210" s="72" t="inlineStr">
        <is>
          <t>А240</t>
        </is>
      </c>
      <c r="J1210" s="72" t="n">
        <v>400</v>
      </c>
      <c r="K1210" s="75" t="n">
        <v>1</v>
      </c>
      <c r="L1210" s="51" t="n">
        <v>119</v>
      </c>
      <c r="M1210" s="69" t="n">
        <v>0.7</v>
      </c>
      <c r="N1210" s="70">
        <f>K1210*L1210*M1210</f>
        <v/>
      </c>
      <c r="O1210" s="37">
        <f>IFERROR(INDEX(Исходные!$B$19:$B$31,MATCH(H1210,Исходные!$A$19:$A$31,0)),0)</f>
        <v/>
      </c>
      <c r="P1210" s="76">
        <f>N1210*O1210</f>
        <v/>
      </c>
      <c r="Q1210" s="21" t="inlineStr">
        <is>
          <t>АС-55 сеч.6-6 поз.14; АС-58 поз.14 L=700</t>
        </is>
      </c>
      <c r="R1210" s="77" t="inlineStr">
        <is>
          <t>по проекту</t>
        </is>
      </c>
      <c r="S1210" s="21" t="inlineStr"/>
      <c r="T1210" s="21" t="inlineStr">
        <is>
          <t>Ригели, балки, плита, С-1</t>
        </is>
      </c>
      <c r="U1210" s="49" t="n">
        <v>0</v>
      </c>
      <c r="V1210" s="72" t="inlineStr">
        <is>
          <t>П-край</t>
        </is>
      </c>
      <c r="W1210" s="49" t="n">
        <v>3</v>
      </c>
    </row>
    <row r="1211">
      <c r="A1211" s="72" t="n">
        <v>1186</v>
      </c>
      <c r="B1211" s="21" t="inlineStr">
        <is>
          <t>3 этаж (отм. +7.550…+11.150)</t>
        </is>
      </c>
      <c r="C1211" s="21" t="inlineStr">
        <is>
          <t>Плита перекрытия</t>
        </is>
      </c>
      <c r="D1211" s="21" t="inlineStr">
        <is>
          <t>вся плита</t>
        </is>
      </c>
      <c r="E1211" s="21" t="inlineStr">
        <is>
          <t>Ф-1</t>
        </is>
      </c>
      <c r="F1211" s="72" t="inlineStr">
        <is>
          <t>Ф-1</t>
        </is>
      </c>
      <c r="G1211" s="21" t="inlineStr">
        <is>
          <t>Фиксатор верхней сетки Ø10 ш.800×800 шахм.: 541.5 м² / 0,64 = 847 шт</t>
        </is>
      </c>
      <c r="H1211" s="51" t="n">
        <v>10</v>
      </c>
      <c r="I1211" s="72" t="inlineStr">
        <is>
          <t>А240</t>
        </is>
      </c>
      <c r="J1211" s="72" t="inlineStr">
        <is>
          <t>800×800</t>
        </is>
      </c>
      <c r="K1211" s="75" t="n">
        <v>1</v>
      </c>
      <c r="L1211" s="51" t="n">
        <v>847</v>
      </c>
      <c r="M1211" s="69" t="n">
        <v>0.42</v>
      </c>
      <c r="N1211" s="70">
        <f>K1211*L1211*M1211</f>
        <v/>
      </c>
      <c r="O1211" s="37">
        <f>IFERROR(INDEX(Исходные!$B$19:$B$31,MATCH(H1211,Исходные!$A$19:$A$31,0)),0)</f>
        <v/>
      </c>
      <c r="P1211" s="76">
        <f>N1211*O1211</f>
        <v/>
      </c>
      <c r="Q1211" s="21" t="inlineStr">
        <is>
          <t>АС-55 «Фиксатор»</t>
        </is>
      </c>
      <c r="R1211" s="79" t="inlineStr">
        <is>
          <t>ДЛИНА ПРИНЯТА (уточнить)</t>
        </is>
      </c>
      <c r="S1211" s="21" t="inlineStr"/>
      <c r="T1211" s="21" t="inlineStr">
        <is>
          <t>Ригели, балки, плита, С-1</t>
        </is>
      </c>
      <c r="U1211" s="49" t="n">
        <v>1</v>
      </c>
      <c r="V1211" s="72" t="inlineStr">
        <is>
          <t>П-фикс</t>
        </is>
      </c>
      <c r="W1211" s="49" t="n">
        <v>3</v>
      </c>
    </row>
    <row r="1212">
      <c r="A1212" s="72" t="n">
        <v>1187</v>
      </c>
      <c r="B1212" s="21" t="inlineStr">
        <is>
          <t>3 этаж (отм. +7.550…+11.150)</t>
        </is>
      </c>
      <c r="C1212" s="21" t="inlineStr">
        <is>
          <t>Плита перекрытия</t>
        </is>
      </c>
      <c r="D1212" s="21" t="inlineStr">
        <is>
          <t>вся плита</t>
        </is>
      </c>
      <c r="E1212" s="21" t="inlineStr">
        <is>
          <t>шп</t>
        </is>
      </c>
      <c r="F1212" s="72" t="inlineStr">
        <is>
          <t>шп</t>
        </is>
      </c>
      <c r="G1212" s="21" t="inlineStr">
        <is>
          <t>Шпилька Ø8 ш.800 шахм. между сетками: 847 шт</t>
        </is>
      </c>
      <c r="H1212" s="51" t="n">
        <v>8</v>
      </c>
      <c r="I1212" s="72" t="inlineStr">
        <is>
          <t>А240</t>
        </is>
      </c>
      <c r="J1212" s="72" t="inlineStr">
        <is>
          <t>800</t>
        </is>
      </c>
      <c r="K1212" s="75" t="n">
        <v>1</v>
      </c>
      <c r="L1212" s="51" t="n">
        <v>847</v>
      </c>
      <c r="M1212" s="69" t="n">
        <v>0.22</v>
      </c>
      <c r="N1212" s="70">
        <f>K1212*L1212*M1212</f>
        <v/>
      </c>
      <c r="O1212" s="37">
        <f>IFERROR(INDEX(Исходные!$B$19:$B$31,MATCH(H1212,Исходные!$A$19:$A$31,0)),0)</f>
        <v/>
      </c>
      <c r="P1212" s="76">
        <f>N1212*O1212</f>
        <v/>
      </c>
      <c r="Q1212" s="21" t="inlineStr">
        <is>
          <t>АС-55 «Фрагмент армирования перекрытия»</t>
        </is>
      </c>
      <c r="R1212" s="79" t="inlineStr">
        <is>
          <t>ДЛИНА ПРИНЯТА (уточнить)</t>
        </is>
      </c>
      <c r="S1212" s="21" t="inlineStr"/>
      <c r="T1212" s="21" t="inlineStr">
        <is>
          <t>Ригели, балки, плита, С-1</t>
        </is>
      </c>
      <c r="U1212" s="49" t="n">
        <v>1</v>
      </c>
      <c r="V1212" s="72" t="inlineStr">
        <is>
          <t>П-фикс</t>
        </is>
      </c>
      <c r="W1212" s="49" t="n">
        <v>3</v>
      </c>
    </row>
    <row r="1213">
      <c r="A1213" s="74" t="inlineStr">
        <is>
          <t>3.5. БАЛКИ МОНОЛИТНОЙ ПЛИТЫ (сеч. 1-1…5-5) — отм. +11.150</t>
        </is>
      </c>
      <c r="B1213" s="33" t="n"/>
      <c r="C1213" s="33" t="n"/>
      <c r="D1213" s="33" t="n"/>
      <c r="E1213" s="33" t="n"/>
      <c r="F1213" s="33" t="n"/>
      <c r="G1213" s="33" t="n"/>
      <c r="H1213" s="33" t="n"/>
      <c r="I1213" s="33" t="n"/>
      <c r="J1213" s="33" t="n"/>
      <c r="K1213" s="33" t="n"/>
      <c r="L1213" s="33" t="n"/>
      <c r="M1213" s="33" t="n"/>
      <c r="N1213" s="33" t="n"/>
      <c r="O1213" s="33" t="n"/>
      <c r="P1213" s="33" t="n"/>
      <c r="Q1213" s="33" t="n"/>
      <c r="R1213" s="33" t="n"/>
      <c r="S1213" s="33" t="n"/>
      <c r="T1213" s="33" t="n"/>
      <c r="U1213" s="33" t="n"/>
      <c r="V1213" s="33" t="n"/>
      <c r="W1213" s="34" t="n"/>
    </row>
    <row r="1214">
      <c r="A1214" s="72" t="n">
        <v>1188</v>
      </c>
      <c r="B1214" s="21" t="inlineStr">
        <is>
          <t>3 этаж (отм. +7.550…+11.150)</t>
        </is>
      </c>
      <c r="C1214" s="21" t="inlineStr">
        <is>
          <t>Плита перекрытия — балки</t>
        </is>
      </c>
      <c r="D1214" s="21" t="inlineStr">
        <is>
          <t>ось ~3250, А–Г</t>
        </is>
      </c>
      <c r="E1214" s="21" t="inlineStr">
        <is>
          <t>Б-1 (1-1)</t>
        </is>
      </c>
      <c r="F1214" s="72" t="inlineStr">
        <is>
          <t>3</t>
        </is>
      </c>
      <c r="G1214" s="21" t="inlineStr">
        <is>
          <t>Балка VB1: продольные 2Ø25 верх + 2Ø25 низ</t>
        </is>
      </c>
      <c r="H1214" s="51" t="n">
        <v>25</v>
      </c>
      <c r="I1214" s="72" t="inlineStr">
        <is>
          <t>А500С</t>
        </is>
      </c>
      <c r="J1214" s="72" t="inlineStr">
        <is>
          <t>—</t>
        </is>
      </c>
      <c r="K1214" s="75" t="n">
        <v>1</v>
      </c>
      <c r="L1214" s="51" t="n">
        <v>4</v>
      </c>
      <c r="M1214" s="69" t="n">
        <v>20.4</v>
      </c>
      <c r="N1214" s="70">
        <f>K1214*L1214*M1214</f>
        <v/>
      </c>
      <c r="O1214" s="37">
        <f>IFERROR(INDEX(Исходные!$B$19:$B$31,MATCH(H1214,Исходные!$A$19:$A$31,0)),0)</f>
        <v/>
      </c>
      <c r="P1214" s="76">
        <f>N1214*O1214</f>
        <v/>
      </c>
      <c r="Q1214" s="21" t="inlineStr">
        <is>
          <t>АС-55 сеч.1-1; АС-48 план 7.550÷14.750; АС-57 узлы «1»,«2»</t>
        </is>
      </c>
      <c r="R1214" s="77" t="inlineStr">
        <is>
          <t>по геометрии чертежа</t>
        </is>
      </c>
      <c r="S1214" s="21" t="inlineStr">
        <is>
          <t>Стыки ванной сваркой без нахлёста: 1 на стержень (всего 4).</t>
        </is>
      </c>
      <c r="T1214" s="21" t="inlineStr">
        <is>
          <t>Ригели, балки, плита, С-1</t>
        </is>
      </c>
      <c r="U1214" s="49" t="n">
        <v>0</v>
      </c>
      <c r="V1214" s="72" t="inlineStr">
        <is>
          <t>Б-основная</t>
        </is>
      </c>
      <c r="W1214" s="49" t="n">
        <v>3</v>
      </c>
    </row>
    <row r="1215">
      <c r="A1215" s="72" t="n">
        <v>1189</v>
      </c>
      <c r="B1215" s="21" t="inlineStr">
        <is>
          <t>3 этаж (отм. +7.550…+11.150)</t>
        </is>
      </c>
      <c r="C1215" s="21" t="inlineStr">
        <is>
          <t>Плита перекрытия — балки</t>
        </is>
      </c>
      <c r="D1215" s="21" t="inlineStr">
        <is>
          <t>ось ~9800, А–Г</t>
        </is>
      </c>
      <c r="E1215" s="21" t="inlineStr">
        <is>
          <t>Б-1 (1-1)</t>
        </is>
      </c>
      <c r="F1215" s="72" t="inlineStr">
        <is>
          <t>3</t>
        </is>
      </c>
      <c r="G1215" s="21" t="inlineStr">
        <is>
          <t>Балка VB2: продольные 2Ø25 верх + 2Ø25 низ</t>
        </is>
      </c>
      <c r="H1215" s="51" t="n">
        <v>25</v>
      </c>
      <c r="I1215" s="72" t="inlineStr">
        <is>
          <t>А500С</t>
        </is>
      </c>
      <c r="J1215" s="72" t="inlineStr">
        <is>
          <t>—</t>
        </is>
      </c>
      <c r="K1215" s="75" t="n">
        <v>1</v>
      </c>
      <c r="L1215" s="51" t="n">
        <v>4</v>
      </c>
      <c r="M1215" s="69" t="n">
        <v>20.4</v>
      </c>
      <c r="N1215" s="70">
        <f>K1215*L1215*M1215</f>
        <v/>
      </c>
      <c r="O1215" s="37">
        <f>IFERROR(INDEX(Исходные!$B$19:$B$31,MATCH(H1215,Исходные!$A$19:$A$31,0)),0)</f>
        <v/>
      </c>
      <c r="P1215" s="76">
        <f>N1215*O1215</f>
        <v/>
      </c>
      <c r="Q1215" s="21" t="inlineStr">
        <is>
          <t>АС-55 сеч.1-1; АС-48 план 7.550÷14.750; АС-57 узлы «1»,«2»</t>
        </is>
      </c>
      <c r="R1215" s="77" t="inlineStr">
        <is>
          <t>по геометрии чертежа</t>
        </is>
      </c>
      <c r="S1215" s="21" t="inlineStr">
        <is>
          <t>Стыки ванной сваркой без нахлёста: 1 на стержень (всего 4).</t>
        </is>
      </c>
      <c r="T1215" s="21" t="inlineStr">
        <is>
          <t>Ригели, балки, плита, С-1</t>
        </is>
      </c>
      <c r="U1215" s="49" t="n">
        <v>0</v>
      </c>
      <c r="V1215" s="72" t="inlineStr">
        <is>
          <t>Б-основная</t>
        </is>
      </c>
      <c r="W1215" s="49" t="n">
        <v>3</v>
      </c>
    </row>
    <row r="1216">
      <c r="A1216" s="72" t="n">
        <v>1190</v>
      </c>
      <c r="B1216" s="21" t="inlineStr">
        <is>
          <t>3 этаж (отм. +7.550…+11.150)</t>
        </is>
      </c>
      <c r="C1216" s="21" t="inlineStr">
        <is>
          <t>Плита перекрытия — балки</t>
        </is>
      </c>
      <c r="D1216" s="21" t="inlineStr">
        <is>
          <t>ось ~17275, А–В</t>
        </is>
      </c>
      <c r="E1216" s="21" t="inlineStr">
        <is>
          <t>Б-1 (1-1)</t>
        </is>
      </c>
      <c r="F1216" s="72" t="inlineStr">
        <is>
          <t>3</t>
        </is>
      </c>
      <c r="G1216" s="21" t="inlineStr">
        <is>
          <t>Балка VB3: продольные 2Ø25 верх + 2Ø25 низ</t>
        </is>
      </c>
      <c r="H1216" s="51" t="n">
        <v>25</v>
      </c>
      <c r="I1216" s="72" t="inlineStr">
        <is>
          <t>А500С</t>
        </is>
      </c>
      <c r="J1216" s="72" t="inlineStr">
        <is>
          <t>—</t>
        </is>
      </c>
      <c r="K1216" s="75" t="n">
        <v>1</v>
      </c>
      <c r="L1216" s="51" t="n">
        <v>4</v>
      </c>
      <c r="M1216" s="69" t="n">
        <v>13.9</v>
      </c>
      <c r="N1216" s="70">
        <f>K1216*L1216*M1216</f>
        <v/>
      </c>
      <c r="O1216" s="37">
        <f>IFERROR(INDEX(Исходные!$B$19:$B$31,MATCH(H1216,Исходные!$A$19:$A$31,0)),0)</f>
        <v/>
      </c>
      <c r="P1216" s="76">
        <f>N1216*O1216</f>
        <v/>
      </c>
      <c r="Q1216" s="21" t="inlineStr">
        <is>
          <t>АС-55 сеч.1-1; АС-48 план 7.550÷14.750; АС-57 узлы «1»,«2»</t>
        </is>
      </c>
      <c r="R1216" s="77" t="inlineStr">
        <is>
          <t>по геометрии чертежа</t>
        </is>
      </c>
      <c r="S1216" s="21" t="inlineStr">
        <is>
          <t>Стыки ванной сваркой без нахлёста: 1 на стержень (всего 4).</t>
        </is>
      </c>
      <c r="T1216" s="21" t="inlineStr">
        <is>
          <t>Ригели, балки, плита, С-1</t>
        </is>
      </c>
      <c r="U1216" s="49" t="n">
        <v>0</v>
      </c>
      <c r="V1216" s="72" t="inlineStr">
        <is>
          <t>Б-основная</t>
        </is>
      </c>
      <c r="W1216" s="49" t="n">
        <v>3</v>
      </c>
    </row>
    <row r="1217">
      <c r="A1217" s="72" t="n">
        <v>1191</v>
      </c>
      <c r="B1217" s="21" t="inlineStr">
        <is>
          <t>3 этаж (отм. +7.550…+11.150)</t>
        </is>
      </c>
      <c r="C1217" s="21" t="inlineStr">
        <is>
          <t>Плита перекрытия — балки</t>
        </is>
      </c>
      <c r="D1217" s="21" t="inlineStr">
        <is>
          <t>ось ~22000, А–Г</t>
        </is>
      </c>
      <c r="E1217" s="21" t="inlineStr">
        <is>
          <t>Б-1 (1-1)</t>
        </is>
      </c>
      <c r="F1217" s="72" t="inlineStr">
        <is>
          <t>3</t>
        </is>
      </c>
      <c r="G1217" s="21" t="inlineStr">
        <is>
          <t>Балка VB4: продольные 2Ø25 верх + 2Ø25 низ</t>
        </is>
      </c>
      <c r="H1217" s="51" t="n">
        <v>25</v>
      </c>
      <c r="I1217" s="72" t="inlineStr">
        <is>
          <t>А500С</t>
        </is>
      </c>
      <c r="J1217" s="72" t="inlineStr">
        <is>
          <t>—</t>
        </is>
      </c>
      <c r="K1217" s="75" t="n">
        <v>1</v>
      </c>
      <c r="L1217" s="51" t="n">
        <v>4</v>
      </c>
      <c r="M1217" s="69" t="n">
        <v>20.4</v>
      </c>
      <c r="N1217" s="70">
        <f>K1217*L1217*M1217</f>
        <v/>
      </c>
      <c r="O1217" s="37">
        <f>IFERROR(INDEX(Исходные!$B$19:$B$31,MATCH(H1217,Исходные!$A$19:$A$31,0)),0)</f>
        <v/>
      </c>
      <c r="P1217" s="76">
        <f>N1217*O1217</f>
        <v/>
      </c>
      <c r="Q1217" s="21" t="inlineStr">
        <is>
          <t>АС-55 сеч.1-1; АС-48 план 7.550÷14.750; АС-57 узлы «1»,«2»</t>
        </is>
      </c>
      <c r="R1217" s="77" t="inlineStr">
        <is>
          <t>по геометрии чертежа</t>
        </is>
      </c>
      <c r="S1217" s="21" t="inlineStr">
        <is>
          <t>Стыки ванной сваркой без нахлёста: 1 на стержень (всего 4).</t>
        </is>
      </c>
      <c r="T1217" s="21" t="inlineStr">
        <is>
          <t>Ригели, балки, плита, С-1</t>
        </is>
      </c>
      <c r="U1217" s="49" t="n">
        <v>0</v>
      </c>
      <c r="V1217" s="72" t="inlineStr">
        <is>
          <t>Б-основная</t>
        </is>
      </c>
      <c r="W1217" s="49" t="n">
        <v>3</v>
      </c>
    </row>
    <row r="1218">
      <c r="A1218" s="72" t="n">
        <v>1192</v>
      </c>
      <c r="B1218" s="21" t="inlineStr">
        <is>
          <t>3 этаж (отм. +7.550…+11.150)</t>
        </is>
      </c>
      <c r="C1218" s="21" t="inlineStr">
        <is>
          <t>Плита перекрытия — балки</t>
        </is>
      </c>
      <c r="D1218" s="21" t="inlineStr">
        <is>
          <t>Y≈3250, оси 1–5</t>
        </is>
      </c>
      <c r="E1218" s="21" t="inlineStr">
        <is>
          <t>Б-1 (1-1)</t>
        </is>
      </c>
      <c r="F1218" s="72" t="inlineStr">
        <is>
          <t>3</t>
        </is>
      </c>
      <c r="G1218" s="21" t="inlineStr">
        <is>
          <t>Балка HB1: продольные 2Ø25 верх + 2Ø25 низ</t>
        </is>
      </c>
      <c r="H1218" s="51" t="n">
        <v>25</v>
      </c>
      <c r="I1218" s="72" t="inlineStr">
        <is>
          <t>А500С</t>
        </is>
      </c>
      <c r="J1218" s="72" t="inlineStr">
        <is>
          <t>—</t>
        </is>
      </c>
      <c r="K1218" s="75" t="n">
        <v>1</v>
      </c>
      <c r="L1218" s="51" t="n">
        <v>4</v>
      </c>
      <c r="M1218" s="69" t="n">
        <v>25.4</v>
      </c>
      <c r="N1218" s="70">
        <f>K1218*L1218*M1218</f>
        <v/>
      </c>
      <c r="O1218" s="37">
        <f>IFERROR(INDEX(Исходные!$B$19:$B$31,MATCH(H1218,Исходные!$A$19:$A$31,0)),0)</f>
        <v/>
      </c>
      <c r="P1218" s="76">
        <f>N1218*O1218</f>
        <v/>
      </c>
      <c r="Q1218" s="21" t="inlineStr">
        <is>
          <t>АС-55 сеч.1-1; АС-48 план 7.550÷14.750; АС-57 узлы «1»,«2»</t>
        </is>
      </c>
      <c r="R1218" s="77" t="inlineStr">
        <is>
          <t>по геометрии чертежа</t>
        </is>
      </c>
      <c r="S1218" s="21" t="inlineStr">
        <is>
          <t>Стыки ванной сваркой без нахлёста: 2 на стержень (всего 8).</t>
        </is>
      </c>
      <c r="T1218" s="21" t="inlineStr">
        <is>
          <t>Ригели, балки, плита, С-1</t>
        </is>
      </c>
      <c r="U1218" s="49" t="n">
        <v>0</v>
      </c>
      <c r="V1218" s="72" t="inlineStr">
        <is>
          <t>Б-основная</t>
        </is>
      </c>
      <c r="W1218" s="49" t="n">
        <v>3</v>
      </c>
    </row>
    <row r="1219">
      <c r="A1219" s="72" t="n">
        <v>1193</v>
      </c>
      <c r="B1219" s="21" t="inlineStr">
        <is>
          <t>3 этаж (отм. +7.550…+11.150)</t>
        </is>
      </c>
      <c r="C1219" s="21" t="inlineStr">
        <is>
          <t>Плита перекрытия — балки</t>
        </is>
      </c>
      <c r="D1219" s="21" t="inlineStr">
        <is>
          <t>Y≈10000, оси 1–5</t>
        </is>
      </c>
      <c r="E1219" s="21" t="inlineStr">
        <is>
          <t>Б-1 (1-1)</t>
        </is>
      </c>
      <c r="F1219" s="72" t="inlineStr">
        <is>
          <t>3</t>
        </is>
      </c>
      <c r="G1219" s="21" t="inlineStr">
        <is>
          <t>Балка HB2: продольные 2Ø25 верх + 2Ø25 низ</t>
        </is>
      </c>
      <c r="H1219" s="51" t="n">
        <v>25</v>
      </c>
      <c r="I1219" s="72" t="inlineStr">
        <is>
          <t>А500С</t>
        </is>
      </c>
      <c r="J1219" s="72" t="inlineStr">
        <is>
          <t>—</t>
        </is>
      </c>
      <c r="K1219" s="75" t="n">
        <v>1</v>
      </c>
      <c r="L1219" s="51" t="n">
        <v>4</v>
      </c>
      <c r="M1219" s="69" t="n">
        <v>25.4</v>
      </c>
      <c r="N1219" s="70">
        <f>K1219*L1219*M1219</f>
        <v/>
      </c>
      <c r="O1219" s="37">
        <f>IFERROR(INDEX(Исходные!$B$19:$B$31,MATCH(H1219,Исходные!$A$19:$A$31,0)),0)</f>
        <v/>
      </c>
      <c r="P1219" s="76">
        <f>N1219*O1219</f>
        <v/>
      </c>
      <c r="Q1219" s="21" t="inlineStr">
        <is>
          <t>АС-55 сеч.1-1; АС-48 план 7.550÷14.750; АС-57 узлы «1»,«2»</t>
        </is>
      </c>
      <c r="R1219" s="77" t="inlineStr">
        <is>
          <t>по геометрии чертежа</t>
        </is>
      </c>
      <c r="S1219" s="21" t="inlineStr">
        <is>
          <t>Стыки ванной сваркой без нахлёста: 2 на стержень (всего 8).</t>
        </is>
      </c>
      <c r="T1219" s="21" t="inlineStr">
        <is>
          <t>Ригели, балки, плита, С-1</t>
        </is>
      </c>
      <c r="U1219" s="49" t="n">
        <v>0</v>
      </c>
      <c r="V1219" s="72" t="inlineStr">
        <is>
          <t>Б-основная</t>
        </is>
      </c>
      <c r="W1219" s="49" t="n">
        <v>3</v>
      </c>
    </row>
    <row r="1220">
      <c r="A1220" s="72" t="n">
        <v>1194</v>
      </c>
      <c r="B1220" s="21" t="inlineStr">
        <is>
          <t>3 этаж (отм. +7.550…+11.150)</t>
        </is>
      </c>
      <c r="C1220" s="21" t="inlineStr">
        <is>
          <t>Плита перекрытия — балки</t>
        </is>
      </c>
      <c r="D1220" s="21" t="inlineStr">
        <is>
          <t>Y≈16750, оси 1–3</t>
        </is>
      </c>
      <c r="E1220" s="21" t="inlineStr">
        <is>
          <t>Б-1 (1-1)</t>
        </is>
      </c>
      <c r="F1220" s="72" t="inlineStr">
        <is>
          <t>3</t>
        </is>
      </c>
      <c r="G1220" s="21" t="inlineStr">
        <is>
          <t>Балка HB3a: продольные 2Ø25 верх + 2Ø25 низ</t>
        </is>
      </c>
      <c r="H1220" s="51" t="n">
        <v>25</v>
      </c>
      <c r="I1220" s="72" t="inlineStr">
        <is>
          <t>А500С</t>
        </is>
      </c>
      <c r="J1220" s="72" t="inlineStr">
        <is>
          <t>—</t>
        </is>
      </c>
      <c r="K1220" s="75" t="n">
        <v>1</v>
      </c>
      <c r="L1220" s="51" t="n">
        <v>4</v>
      </c>
      <c r="M1220" s="69" t="n">
        <v>13.9</v>
      </c>
      <c r="N1220" s="70">
        <f>K1220*L1220*M1220</f>
        <v/>
      </c>
      <c r="O1220" s="37">
        <f>IFERROR(INDEX(Исходные!$B$19:$B$31,MATCH(H1220,Исходные!$A$19:$A$31,0)),0)</f>
        <v/>
      </c>
      <c r="P1220" s="76">
        <f>N1220*O1220</f>
        <v/>
      </c>
      <c r="Q1220" s="21" t="inlineStr">
        <is>
          <t>АС-55 сеч.1-1; АС-48 план 7.550÷14.750; АС-57 узлы «1»,«2»</t>
        </is>
      </c>
      <c r="R1220" s="77" t="inlineStr">
        <is>
          <t>по геометрии чертежа</t>
        </is>
      </c>
      <c r="S1220" s="21" t="inlineStr">
        <is>
          <t>Стыки ванной сваркой без нахлёста: 1 на стержень (всего 4).</t>
        </is>
      </c>
      <c r="T1220" s="21" t="inlineStr">
        <is>
          <t>Ригели, балки, плита, С-1</t>
        </is>
      </c>
      <c r="U1220" s="49" t="n">
        <v>0</v>
      </c>
      <c r="V1220" s="72" t="inlineStr">
        <is>
          <t>Б-основная</t>
        </is>
      </c>
      <c r="W1220" s="49" t="n">
        <v>3</v>
      </c>
    </row>
    <row r="1221">
      <c r="A1221" s="72" t="n">
        <v>1195</v>
      </c>
      <c r="B1221" s="21" t="inlineStr">
        <is>
          <t>3 этаж (отм. +7.550…+11.150)</t>
        </is>
      </c>
      <c r="C1221" s="21" t="inlineStr">
        <is>
          <t>Плита перекрытия — балки</t>
        </is>
      </c>
      <c r="D1221" s="21" t="inlineStr">
        <is>
          <t>Y≈16960, оси 3–5</t>
        </is>
      </c>
      <c r="E1221" s="21" t="inlineStr">
        <is>
          <t>Б-5 (5-5)+Б-1</t>
        </is>
      </c>
      <c r="F1221" s="72" t="inlineStr">
        <is>
          <t>3</t>
        </is>
      </c>
      <c r="G1221" s="21" t="inlineStr">
        <is>
          <t>Балка HB3b: продольные 2Ø25 верх + 2Ø25 низ</t>
        </is>
      </c>
      <c r="H1221" s="51" t="n">
        <v>25</v>
      </c>
      <c r="I1221" s="72" t="inlineStr">
        <is>
          <t>А500С</t>
        </is>
      </c>
      <c r="J1221" s="72" t="inlineStr">
        <is>
          <t>—</t>
        </is>
      </c>
      <c r="K1221" s="75" t="n">
        <v>1</v>
      </c>
      <c r="L1221" s="51" t="n">
        <v>4</v>
      </c>
      <c r="M1221" s="69" t="n">
        <v>11.9</v>
      </c>
      <c r="N1221" s="70">
        <f>K1221*L1221*M1221</f>
        <v/>
      </c>
      <c r="O1221" s="37">
        <f>IFERROR(INDEX(Исходные!$B$19:$B$31,MATCH(H1221,Исходные!$A$19:$A$31,0)),0)</f>
        <v/>
      </c>
      <c r="P1221" s="76">
        <f>N1221*O1221</f>
        <v/>
      </c>
      <c r="Q1221" s="21" t="inlineStr">
        <is>
          <t>АС-55 сеч.5-5; АС-48 план 7.550÷14.750; АС-57 узлы «1»,«2»</t>
        </is>
      </c>
      <c r="R1221" s="77" t="inlineStr">
        <is>
          <t>по геометрии чертежа</t>
        </is>
      </c>
      <c r="S1221" s="21" t="inlineStr">
        <is>
          <t>Стыки ванной сваркой без нахлёста: 1 на стержень (всего 4).</t>
        </is>
      </c>
      <c r="T1221" s="21" t="inlineStr">
        <is>
          <t>Ригели, балки, плита, С-1</t>
        </is>
      </c>
      <c r="U1221" s="49" t="n">
        <v>0</v>
      </c>
      <c r="V1221" s="72" t="inlineStr">
        <is>
          <t>Б-основная</t>
        </is>
      </c>
      <c r="W1221" s="49" t="n">
        <v>3</v>
      </c>
    </row>
    <row r="1222">
      <c r="A1222" s="72" t="n">
        <v>1196</v>
      </c>
      <c r="B1222" s="21" t="inlineStr">
        <is>
          <t>3 этаж (отм. +7.550…+11.150)</t>
        </is>
      </c>
      <c r="C1222" s="21" t="inlineStr">
        <is>
          <t>Плита перекрытия — балки</t>
        </is>
      </c>
      <c r="D1222" s="21" t="inlineStr">
        <is>
          <t>X≈17550, В–балка 5-5</t>
        </is>
      </c>
      <c r="E1222" s="21" t="inlineStr">
        <is>
          <t>Б-2 (2-2)</t>
        </is>
      </c>
      <c r="F1222" s="72" t="inlineStr">
        <is>
          <t>3</t>
        </is>
      </c>
      <c r="G1222" s="21" t="inlineStr">
        <is>
          <t>Балка B2a: продольные 2Ø25 верх + 2Ø25 низ</t>
        </is>
      </c>
      <c r="H1222" s="51" t="n">
        <v>25</v>
      </c>
      <c r="I1222" s="72" t="inlineStr">
        <is>
          <t>А500С</t>
        </is>
      </c>
      <c r="J1222" s="72" t="inlineStr">
        <is>
          <t>—</t>
        </is>
      </c>
      <c r="K1222" s="75" t="n">
        <v>1</v>
      </c>
      <c r="L1222" s="51" t="n">
        <v>4</v>
      </c>
      <c r="M1222" s="69" t="n">
        <v>3.785</v>
      </c>
      <c r="N1222" s="70">
        <f>K1222*L1222*M1222</f>
        <v/>
      </c>
      <c r="O1222" s="37">
        <f>IFERROR(INDEX(Исходные!$B$19:$B$31,MATCH(H1222,Исходные!$A$19:$A$31,0)),0)</f>
        <v/>
      </c>
      <c r="P1222" s="76">
        <f>N1222*O1222</f>
        <v/>
      </c>
      <c r="Q1222" s="21" t="inlineStr">
        <is>
          <t>АС-55 сеч.2-2; АС-48 план 7.550÷14.750; АС-57 узлы «1»,«2»</t>
        </is>
      </c>
      <c r="R1222" s="77" t="inlineStr">
        <is>
          <t>по геометрии чертежа</t>
        </is>
      </c>
      <c r="S1222" s="21" t="inlineStr"/>
      <c r="T1222" s="21" t="inlineStr">
        <is>
          <t>Ригели, балки, плита, С-1</t>
        </is>
      </c>
      <c r="U1222" s="49" t="n">
        <v>0</v>
      </c>
      <c r="V1222" s="72" t="inlineStr">
        <is>
          <t>Б-основная</t>
        </is>
      </c>
      <c r="W1222" s="49" t="n">
        <v>3</v>
      </c>
    </row>
    <row r="1223">
      <c r="A1223" s="72" t="n">
        <v>1197</v>
      </c>
      <c r="B1223" s="21" t="inlineStr">
        <is>
          <t>3 этаж (отм. +7.550…+11.150)</t>
        </is>
      </c>
      <c r="C1223" s="21" t="inlineStr">
        <is>
          <t>Плита перекрытия — балки</t>
        </is>
      </c>
      <c r="D1223" s="21" t="inlineStr">
        <is>
          <t>X≈18650, балка 5-5–Г</t>
        </is>
      </c>
      <c r="E1223" s="21" t="inlineStr">
        <is>
          <t>Б-2 (2-2)</t>
        </is>
      </c>
      <c r="F1223" s="72" t="inlineStr">
        <is>
          <t>3</t>
        </is>
      </c>
      <c r="G1223" s="21" t="inlineStr">
        <is>
          <t>Балка B2b: продольные 2Ø25 верх + 2Ø25 низ</t>
        </is>
      </c>
      <c r="H1223" s="51" t="n">
        <v>25</v>
      </c>
      <c r="I1223" s="72" t="inlineStr">
        <is>
          <t>А500С</t>
        </is>
      </c>
      <c r="J1223" s="72" t="inlineStr">
        <is>
          <t>—</t>
        </is>
      </c>
      <c r="K1223" s="75" t="n">
        <v>1</v>
      </c>
      <c r="L1223" s="51" t="n">
        <v>4</v>
      </c>
      <c r="M1223" s="69" t="n">
        <v>3.365</v>
      </c>
      <c r="N1223" s="70">
        <f>K1223*L1223*M1223</f>
        <v/>
      </c>
      <c r="O1223" s="37">
        <f>IFERROR(INDEX(Исходные!$B$19:$B$31,MATCH(H1223,Исходные!$A$19:$A$31,0)),0)</f>
        <v/>
      </c>
      <c r="P1223" s="76">
        <f>N1223*O1223</f>
        <v/>
      </c>
      <c r="Q1223" s="21" t="inlineStr">
        <is>
          <t>АС-55 сеч.2-2; АС-48 план 7.550÷14.750; АС-57 узлы «1»,«2»</t>
        </is>
      </c>
      <c r="R1223" s="77" t="inlineStr">
        <is>
          <t>по геометрии чертежа</t>
        </is>
      </c>
      <c r="S1223" s="21" t="inlineStr"/>
      <c r="T1223" s="21" t="inlineStr">
        <is>
          <t>Ригели, балки, плита, С-1</t>
        </is>
      </c>
      <c r="U1223" s="49" t="n">
        <v>0</v>
      </c>
      <c r="V1223" s="72" t="inlineStr">
        <is>
          <t>Б-основная</t>
        </is>
      </c>
      <c r="W1223" s="49" t="n">
        <v>3</v>
      </c>
    </row>
    <row r="1224">
      <c r="A1224" s="72" t="n">
        <v>1198</v>
      </c>
      <c r="B1224" s="21" t="inlineStr">
        <is>
          <t>3 этаж (отм. +7.550…+11.150)</t>
        </is>
      </c>
      <c r="C1224" s="21" t="inlineStr">
        <is>
          <t>Плита перекрытия — балки</t>
        </is>
      </c>
      <c r="D1224" s="21" t="inlineStr">
        <is>
          <t>Y≈14310, 14800…17400</t>
        </is>
      </c>
      <c r="E1224" s="21" t="inlineStr">
        <is>
          <t>Б-4 (4-4)</t>
        </is>
      </c>
      <c r="F1224" s="72" t="inlineStr">
        <is>
          <t>5</t>
        </is>
      </c>
      <c r="G1224" s="21" t="inlineStr">
        <is>
          <t>Балка B4a: продольные 2Ø20 верх + 2Ø20 низ</t>
        </is>
      </c>
      <c r="H1224" s="51" t="n">
        <v>20</v>
      </c>
      <c r="I1224" s="72" t="inlineStr">
        <is>
          <t>А500С</t>
        </is>
      </c>
      <c r="J1224" s="72" t="inlineStr">
        <is>
          <t>—</t>
        </is>
      </c>
      <c r="K1224" s="75" t="n">
        <v>1</v>
      </c>
      <c r="L1224" s="51" t="n">
        <v>4</v>
      </c>
      <c r="M1224" s="69" t="n">
        <v>3.05</v>
      </c>
      <c r="N1224" s="70">
        <f>K1224*L1224*M1224</f>
        <v/>
      </c>
      <c r="O1224" s="37">
        <f>IFERROR(INDEX(Исходные!$B$19:$B$31,MATCH(H1224,Исходные!$A$19:$A$31,0)),0)</f>
        <v/>
      </c>
      <c r="P1224" s="76">
        <f>N1224*O1224</f>
        <v/>
      </c>
      <c r="Q1224" s="21" t="inlineStr">
        <is>
          <t>АС-55 сеч.4-4; АС-48 план 7.550÷14.750; АС-57 узлы «1»,«2»</t>
        </is>
      </c>
      <c r="R1224" s="77" t="inlineStr">
        <is>
          <t>по геометрии чертежа</t>
        </is>
      </c>
      <c r="S1224" s="21" t="inlineStr"/>
      <c r="T1224" s="21" t="inlineStr">
        <is>
          <t>Ригели, балки, плита, С-1</t>
        </is>
      </c>
      <c r="U1224" s="49" t="n">
        <v>0</v>
      </c>
      <c r="V1224" s="72" t="inlineStr">
        <is>
          <t>Б-основная</t>
        </is>
      </c>
      <c r="W1224" s="49" t="n">
        <v>3</v>
      </c>
    </row>
    <row r="1225">
      <c r="A1225" s="72" t="n">
        <v>1199</v>
      </c>
      <c r="B1225" s="21" t="inlineStr">
        <is>
          <t>3 этаж (отм. +7.550…+11.150)</t>
        </is>
      </c>
      <c r="C1225" s="21" t="inlineStr">
        <is>
          <t>Плита перекрытия — балки</t>
        </is>
      </c>
      <c r="D1225" s="21" t="inlineStr">
        <is>
          <t>X≈14700, В–балка 5-5</t>
        </is>
      </c>
      <c r="E1225" s="21" t="inlineStr">
        <is>
          <t>Б-4 (4-4)</t>
        </is>
      </c>
      <c r="F1225" s="72" t="inlineStr">
        <is>
          <t>5</t>
        </is>
      </c>
      <c r="G1225" s="21" t="inlineStr">
        <is>
          <t>Балка B4b: продольные 2Ø20 верх + 2Ø20 низ</t>
        </is>
      </c>
      <c r="H1225" s="51" t="n">
        <v>20</v>
      </c>
      <c r="I1225" s="72" t="inlineStr">
        <is>
          <t>А500С</t>
        </is>
      </c>
      <c r="J1225" s="72" t="inlineStr">
        <is>
          <t>—</t>
        </is>
      </c>
      <c r="K1225" s="75" t="n">
        <v>1</v>
      </c>
      <c r="L1225" s="51" t="n">
        <v>4</v>
      </c>
      <c r="M1225" s="69" t="n">
        <v>3.785</v>
      </c>
      <c r="N1225" s="70">
        <f>K1225*L1225*M1225</f>
        <v/>
      </c>
      <c r="O1225" s="37">
        <f>IFERROR(INDEX(Исходные!$B$19:$B$31,MATCH(H1225,Исходные!$A$19:$A$31,0)),0)</f>
        <v/>
      </c>
      <c r="P1225" s="76">
        <f>N1225*O1225</f>
        <v/>
      </c>
      <c r="Q1225" s="21" t="inlineStr">
        <is>
          <t>АС-55 сеч.4-4; АС-48 план 7.550÷14.750; АС-57 узлы «1»,«2»</t>
        </is>
      </c>
      <c r="R1225" s="77" t="inlineStr">
        <is>
          <t>по геометрии чертежа</t>
        </is>
      </c>
      <c r="S1225" s="21" t="inlineStr"/>
      <c r="T1225" s="21" t="inlineStr">
        <is>
          <t>Ригели, балки, плита, С-1</t>
        </is>
      </c>
      <c r="U1225" s="49" t="n">
        <v>0</v>
      </c>
      <c r="V1225" s="72" t="inlineStr">
        <is>
          <t>Б-основная</t>
        </is>
      </c>
      <c r="W1225" s="49" t="n">
        <v>3</v>
      </c>
    </row>
    <row r="1226">
      <c r="A1226" s="72" t="n">
        <v>1200</v>
      </c>
      <c r="B1226" s="21" t="inlineStr">
        <is>
          <t>3 этаж (отм. +7.550…+11.150)</t>
        </is>
      </c>
      <c r="C1226" s="21" t="inlineStr">
        <is>
          <t>Плита перекрытия — балки</t>
        </is>
      </c>
      <c r="D1226" s="21" t="inlineStr">
        <is>
          <t>Y≈12965, 13725…17125</t>
        </is>
      </c>
      <c r="E1226" s="21" t="inlineStr">
        <is>
          <t>Б-4 (4-4)</t>
        </is>
      </c>
      <c r="F1226" s="72" t="inlineStr">
        <is>
          <t>5</t>
        </is>
      </c>
      <c r="G1226" s="21" t="inlineStr">
        <is>
          <t>Балка B4c: продольные 2Ø20 верх + 2Ø20 низ</t>
        </is>
      </c>
      <c r="H1226" s="51" t="n">
        <v>20</v>
      </c>
      <c r="I1226" s="72" t="inlineStr">
        <is>
          <t>А500С</t>
        </is>
      </c>
      <c r="J1226" s="72" t="inlineStr">
        <is>
          <t>—</t>
        </is>
      </c>
      <c r="K1226" s="75" t="n">
        <v>1</v>
      </c>
      <c r="L1226" s="51" t="n">
        <v>4</v>
      </c>
      <c r="M1226" s="69" t="n">
        <v>4.1</v>
      </c>
      <c r="N1226" s="70">
        <f>K1226*L1226*M1226</f>
        <v/>
      </c>
      <c r="O1226" s="37">
        <f>IFERROR(INDEX(Исходные!$B$19:$B$31,MATCH(H1226,Исходные!$A$19:$A$31,0)),0)</f>
        <v/>
      </c>
      <c r="P1226" s="76">
        <f>N1226*O1226</f>
        <v/>
      </c>
      <c r="Q1226" s="21" t="inlineStr">
        <is>
          <t>АС-55 сеч.4-4; АС-48 план 7.550÷14.750; АС-57 узлы «1»,«2»</t>
        </is>
      </c>
      <c r="R1226" s="77" t="inlineStr">
        <is>
          <t>по геометрии чертежа</t>
        </is>
      </c>
      <c r="S1226" s="21" t="inlineStr"/>
      <c r="T1226" s="21" t="inlineStr">
        <is>
          <t>Ригели, балки, плита, С-1</t>
        </is>
      </c>
      <c r="U1226" s="49" t="n">
        <v>0</v>
      </c>
      <c r="V1226" s="72" t="inlineStr">
        <is>
          <t>Б-основная</t>
        </is>
      </c>
      <c r="W1226" s="49" t="n">
        <v>3</v>
      </c>
    </row>
    <row r="1227">
      <c r="A1227" s="72" t="n">
        <v>1201</v>
      </c>
      <c r="B1227" s="21" t="inlineStr">
        <is>
          <t>3 этаж (отм. +7.550…+11.150)</t>
        </is>
      </c>
      <c r="C1227" s="21" t="inlineStr">
        <is>
          <t>Плита перекрытия — балки</t>
        </is>
      </c>
      <c r="D1227" s="21" t="inlineStr">
        <is>
          <t>Y≈8940, 22150…24775</t>
        </is>
      </c>
      <c r="E1227" s="21" t="inlineStr">
        <is>
          <t>Б-4 (4-4)</t>
        </is>
      </c>
      <c r="F1227" s="72" t="inlineStr">
        <is>
          <t>5</t>
        </is>
      </c>
      <c r="G1227" s="21" t="inlineStr">
        <is>
          <t>Балка B4d: продольные 2Ø20 верх + 2Ø20 низ</t>
        </is>
      </c>
      <c r="H1227" s="51" t="n">
        <v>20</v>
      </c>
      <c r="I1227" s="72" t="inlineStr">
        <is>
          <t>А500С</t>
        </is>
      </c>
      <c r="J1227" s="72" t="inlineStr">
        <is>
          <t>—</t>
        </is>
      </c>
      <c r="K1227" s="75" t="n">
        <v>1</v>
      </c>
      <c r="L1227" s="51" t="n">
        <v>4</v>
      </c>
      <c r="M1227" s="69" t="n">
        <v>3.325</v>
      </c>
      <c r="N1227" s="70">
        <f>K1227*L1227*M1227</f>
        <v/>
      </c>
      <c r="O1227" s="37">
        <f>IFERROR(INDEX(Исходные!$B$19:$B$31,MATCH(H1227,Исходные!$A$19:$A$31,0)),0)</f>
        <v/>
      </c>
      <c r="P1227" s="76">
        <f>N1227*O1227</f>
        <v/>
      </c>
      <c r="Q1227" s="21" t="inlineStr">
        <is>
          <t>АС-55 сеч.4-4; АС-48 план 7.550÷14.750; АС-57 узлы «1»,«2»</t>
        </is>
      </c>
      <c r="R1227" s="77" t="inlineStr">
        <is>
          <t>по геометрии чертежа</t>
        </is>
      </c>
      <c r="S1227" s="21" t="inlineStr"/>
      <c r="T1227" s="21" t="inlineStr">
        <is>
          <t>Ригели, балки, плита, С-1</t>
        </is>
      </c>
      <c r="U1227" s="49" t="n">
        <v>0</v>
      </c>
      <c r="V1227" s="72" t="inlineStr">
        <is>
          <t>Б-основная</t>
        </is>
      </c>
      <c r="W1227" s="49" t="n">
        <v>3</v>
      </c>
    </row>
    <row r="1228">
      <c r="A1228" s="72" t="n">
        <v>1202</v>
      </c>
      <c r="B1228" s="21" t="inlineStr">
        <is>
          <t>3 этаж (отм. +7.550…+11.150)</t>
        </is>
      </c>
      <c r="C1228" s="21" t="inlineStr">
        <is>
          <t>Плита перекрытия — балки</t>
        </is>
      </c>
      <c r="D1228" s="21" t="inlineStr">
        <is>
          <t>X≈5900, В–балка Y≈10000 (АС-48, план 7.550÷14.750)</t>
        </is>
      </c>
      <c r="E1228" s="21" t="inlineStr">
        <is>
          <t>Б-4 (4-4)</t>
        </is>
      </c>
      <c r="F1228" s="72" t="inlineStr">
        <is>
          <t>5</t>
        </is>
      </c>
      <c r="G1228" s="21" t="inlineStr">
        <is>
          <t>Балка B4e: продольные 2Ø20 верх + 2Ø20 низ</t>
        </is>
      </c>
      <c r="H1228" s="51" t="n">
        <v>20</v>
      </c>
      <c r="I1228" s="72" t="inlineStr">
        <is>
          <t>А500С</t>
        </is>
      </c>
      <c r="J1228" s="72" t="inlineStr">
        <is>
          <t>—</t>
        </is>
      </c>
      <c r="K1228" s="75" t="n">
        <v>1</v>
      </c>
      <c r="L1228" s="51" t="n">
        <v>4</v>
      </c>
      <c r="M1228" s="69" t="n">
        <v>3.78</v>
      </c>
      <c r="N1228" s="70">
        <f>K1228*L1228*M1228</f>
        <v/>
      </c>
      <c r="O1228" s="37">
        <f>IFERROR(INDEX(Исходные!$B$19:$B$31,MATCH(H1228,Исходные!$A$19:$A$31,0)),0)</f>
        <v/>
      </c>
      <c r="P1228" s="76">
        <f>N1228*O1228</f>
        <v/>
      </c>
      <c r="Q1228" s="21" t="inlineStr">
        <is>
          <t>АС-55 сеч.4-4; АС-48 план 7.550÷14.750; АС-57 узлы «1»,«2»</t>
        </is>
      </c>
      <c r="R1228" s="77" t="inlineStr">
        <is>
          <t>по геометрии чертежа</t>
        </is>
      </c>
      <c r="S1228" s="21" t="inlineStr"/>
      <c r="T1228" s="21" t="inlineStr">
        <is>
          <t>Ригели, балки, плита, С-1</t>
        </is>
      </c>
      <c r="U1228" s="49" t="n">
        <v>0</v>
      </c>
      <c r="V1228" s="72" t="inlineStr">
        <is>
          <t>Б-основная</t>
        </is>
      </c>
      <c r="W1228" s="49" t="n">
        <v>3</v>
      </c>
    </row>
    <row r="1229">
      <c r="A1229" s="72" t="n">
        <v>1203</v>
      </c>
      <c r="B1229" s="21" t="inlineStr">
        <is>
          <t>3 этаж (отм. +7.550…+11.150)</t>
        </is>
      </c>
      <c r="C1229" s="21" t="inlineStr">
        <is>
          <t>Плита перекрытия — балки</t>
        </is>
      </c>
      <c r="D1229" s="21" t="inlineStr">
        <is>
          <t>Э1 (эркер у оси 1, Г–В)</t>
        </is>
      </c>
      <c r="E1229" s="21" t="inlineStr">
        <is>
          <t>Б-3 (3-3)</t>
        </is>
      </c>
      <c r="F1229" s="72" t="inlineStr">
        <is>
          <t>4</t>
        </is>
      </c>
      <c r="G1229" s="21" t="inlineStr">
        <is>
          <t>Краевая балка эркера, участок 1: 4Ø22 (2 верх + 2 низ)</t>
        </is>
      </c>
      <c r="H1229" s="51" t="n">
        <v>22</v>
      </c>
      <c r="I1229" s="72" t="inlineStr">
        <is>
          <t>А500С</t>
        </is>
      </c>
      <c r="J1229" s="72" t="inlineStr">
        <is>
          <t>—</t>
        </is>
      </c>
      <c r="K1229" s="75" t="n">
        <v>1</v>
      </c>
      <c r="L1229" s="51" t="n">
        <v>4</v>
      </c>
      <c r="M1229" s="69" t="n">
        <v>2.175</v>
      </c>
      <c r="N1229" s="70">
        <f>K1229*L1229*M1229</f>
        <v/>
      </c>
      <c r="O1229" s="37">
        <f>IFERROR(INDEX(Исходные!$B$19:$B$31,MATCH(H1229,Исходные!$A$19:$A$31,0)),0)</f>
        <v/>
      </c>
      <c r="P1229" s="76">
        <f>N1229*O1229</f>
        <v/>
      </c>
      <c r="Q1229" s="21" t="inlineStr">
        <is>
          <t>АС-55 сеч.3-3 поз.4; контур АС-48</t>
        </is>
      </c>
      <c r="R1229" s="77" t="inlineStr">
        <is>
          <t>по геометрии чертежа</t>
        </is>
      </c>
      <c r="S1229" s="21" t="inlineStr"/>
      <c r="T1229" s="21" t="inlineStr">
        <is>
          <t>Ригели, балки, плита, С-1</t>
        </is>
      </c>
      <c r="U1229" s="49" t="n">
        <v>0</v>
      </c>
      <c r="V1229" s="72" t="inlineStr">
        <is>
          <t>Б-основная</t>
        </is>
      </c>
      <c r="W1229" s="49" t="n">
        <v>3</v>
      </c>
    </row>
    <row r="1230">
      <c r="A1230" s="72" t="n">
        <v>1204</v>
      </c>
      <c r="B1230" s="21" t="inlineStr">
        <is>
          <t>3 этаж (отм. +7.550…+11.150)</t>
        </is>
      </c>
      <c r="C1230" s="21" t="inlineStr">
        <is>
          <t>Плита перекрытия — балки</t>
        </is>
      </c>
      <c r="D1230" s="21" t="inlineStr">
        <is>
          <t>Э1 (эркер у оси 1, Г–В)</t>
        </is>
      </c>
      <c r="E1230" s="21" t="inlineStr">
        <is>
          <t>Б-3 (3-3)</t>
        </is>
      </c>
      <c r="F1230" s="72" t="inlineStr">
        <is>
          <t>4</t>
        </is>
      </c>
      <c r="G1230" s="21" t="inlineStr">
        <is>
          <t>Краевая балка эркера, участок 2: 4Ø22 (2 верх + 2 низ)</t>
        </is>
      </c>
      <c r="H1230" s="51" t="n">
        <v>22</v>
      </c>
      <c r="I1230" s="72" t="inlineStr">
        <is>
          <t>А500С</t>
        </is>
      </c>
      <c r="J1230" s="72" t="inlineStr">
        <is>
          <t>—</t>
        </is>
      </c>
      <c r="K1230" s="75" t="n">
        <v>1</v>
      </c>
      <c r="L1230" s="51" t="n">
        <v>4</v>
      </c>
      <c r="M1230" s="69" t="n">
        <v>4.15</v>
      </c>
      <c r="N1230" s="70">
        <f>K1230*L1230*M1230</f>
        <v/>
      </c>
      <c r="O1230" s="37">
        <f>IFERROR(INDEX(Исходные!$B$19:$B$31,MATCH(H1230,Исходные!$A$19:$A$31,0)),0)</f>
        <v/>
      </c>
      <c r="P1230" s="76">
        <f>N1230*O1230</f>
        <v/>
      </c>
      <c r="Q1230" s="21" t="inlineStr">
        <is>
          <t>АС-55 сеч.3-3 поз.4; контур АС-48</t>
        </is>
      </c>
      <c r="R1230" s="77" t="inlineStr">
        <is>
          <t>по геометрии чертежа</t>
        </is>
      </c>
      <c r="S1230" s="21" t="inlineStr"/>
      <c r="T1230" s="21" t="inlineStr">
        <is>
          <t>Ригели, балки, плита, С-1</t>
        </is>
      </c>
      <c r="U1230" s="49" t="n">
        <v>0</v>
      </c>
      <c r="V1230" s="72" t="inlineStr">
        <is>
          <t>Б-основная</t>
        </is>
      </c>
      <c r="W1230" s="49" t="n">
        <v>3</v>
      </c>
    </row>
    <row r="1231">
      <c r="A1231" s="72" t="n">
        <v>1205</v>
      </c>
      <c r="B1231" s="21" t="inlineStr">
        <is>
          <t>3 этаж (отм. +7.550…+11.150)</t>
        </is>
      </c>
      <c r="C1231" s="21" t="inlineStr">
        <is>
          <t>Плита перекрытия — балки</t>
        </is>
      </c>
      <c r="D1231" s="21" t="inlineStr">
        <is>
          <t>Э1 (эркер у оси 1, Г–В)</t>
        </is>
      </c>
      <c r="E1231" s="21" t="inlineStr">
        <is>
          <t>Б-3 (3-3)</t>
        </is>
      </c>
      <c r="F1231" s="72" t="inlineStr">
        <is>
          <t>4</t>
        </is>
      </c>
      <c r="G1231" s="21" t="inlineStr">
        <is>
          <t>Краевая балка эркера, участок 3: 4Ø22 (2 верх + 2 низ)</t>
        </is>
      </c>
      <c r="H1231" s="51" t="n">
        <v>22</v>
      </c>
      <c r="I1231" s="72" t="inlineStr">
        <is>
          <t>А500С</t>
        </is>
      </c>
      <c r="J1231" s="72" t="inlineStr">
        <is>
          <t>—</t>
        </is>
      </c>
      <c r="K1231" s="75" t="n">
        <v>1</v>
      </c>
      <c r="L1231" s="51" t="n">
        <v>4</v>
      </c>
      <c r="M1231" s="69" t="n">
        <v>2.175</v>
      </c>
      <c r="N1231" s="70">
        <f>K1231*L1231*M1231</f>
        <v/>
      </c>
      <c r="O1231" s="37">
        <f>IFERROR(INDEX(Исходные!$B$19:$B$31,MATCH(H1231,Исходные!$A$19:$A$31,0)),0)</f>
        <v/>
      </c>
      <c r="P1231" s="76">
        <f>N1231*O1231</f>
        <v/>
      </c>
      <c r="Q1231" s="21" t="inlineStr">
        <is>
          <t>АС-55 сеч.3-3 поз.4; контур АС-48</t>
        </is>
      </c>
      <c r="R1231" s="77" t="inlineStr">
        <is>
          <t>по геометрии чертежа</t>
        </is>
      </c>
      <c r="S1231" s="21" t="inlineStr"/>
      <c r="T1231" s="21" t="inlineStr">
        <is>
          <t>Ригели, балки, плита, С-1</t>
        </is>
      </c>
      <c r="U1231" s="49" t="n">
        <v>0</v>
      </c>
      <c r="V1231" s="72" t="inlineStr">
        <is>
          <t>Б-основная</t>
        </is>
      </c>
      <c r="W1231" s="49" t="n">
        <v>3</v>
      </c>
    </row>
    <row r="1232">
      <c r="A1232" s="72" t="n">
        <v>1206</v>
      </c>
      <c r="B1232" s="21" t="inlineStr">
        <is>
          <t>3 этаж (отм. +7.550…+11.150)</t>
        </is>
      </c>
      <c r="C1232" s="21" t="inlineStr">
        <is>
          <t>Плита перекрытия — балки</t>
        </is>
      </c>
      <c r="D1232" s="21" t="inlineStr">
        <is>
          <t>Э2 (эркер у оси 1, В–Б)</t>
        </is>
      </c>
      <c r="E1232" s="21" t="inlineStr">
        <is>
          <t>Б-3 (3-3)</t>
        </is>
      </c>
      <c r="F1232" s="72" t="inlineStr">
        <is>
          <t>4</t>
        </is>
      </c>
      <c r="G1232" s="21" t="inlineStr">
        <is>
          <t>Краевая балка эркера, участок 1: 4Ø22 (2 верх + 2 низ)</t>
        </is>
      </c>
      <c r="H1232" s="51" t="n">
        <v>22</v>
      </c>
      <c r="I1232" s="72" t="inlineStr">
        <is>
          <t>А500С</t>
        </is>
      </c>
      <c r="J1232" s="72" t="inlineStr">
        <is>
          <t>—</t>
        </is>
      </c>
      <c r="K1232" s="75" t="n">
        <v>1</v>
      </c>
      <c r="L1232" s="51" t="n">
        <v>4</v>
      </c>
      <c r="M1232" s="69" t="n">
        <v>2.175</v>
      </c>
      <c r="N1232" s="70">
        <f>K1232*L1232*M1232</f>
        <v/>
      </c>
      <c r="O1232" s="37">
        <f>IFERROR(INDEX(Исходные!$B$19:$B$31,MATCH(H1232,Исходные!$A$19:$A$31,0)),0)</f>
        <v/>
      </c>
      <c r="P1232" s="76">
        <f>N1232*O1232</f>
        <v/>
      </c>
      <c r="Q1232" s="21" t="inlineStr">
        <is>
          <t>АС-55 сеч.3-3 поз.4; контур АС-48</t>
        </is>
      </c>
      <c r="R1232" s="77" t="inlineStr">
        <is>
          <t>по геометрии чертежа</t>
        </is>
      </c>
      <c r="S1232" s="21" t="inlineStr"/>
      <c r="T1232" s="21" t="inlineStr">
        <is>
          <t>Ригели, балки, плита, С-1</t>
        </is>
      </c>
      <c r="U1232" s="49" t="n">
        <v>0</v>
      </c>
      <c r="V1232" s="72" t="inlineStr">
        <is>
          <t>Б-основная</t>
        </is>
      </c>
      <c r="W1232" s="49" t="n">
        <v>3</v>
      </c>
    </row>
    <row r="1233">
      <c r="A1233" s="72" t="n">
        <v>1207</v>
      </c>
      <c r="B1233" s="21" t="inlineStr">
        <is>
          <t>3 этаж (отм. +7.550…+11.150)</t>
        </is>
      </c>
      <c r="C1233" s="21" t="inlineStr">
        <is>
          <t>Плита перекрытия — балки</t>
        </is>
      </c>
      <c r="D1233" s="21" t="inlineStr">
        <is>
          <t>Э2 (эркер у оси 1, В–Б)</t>
        </is>
      </c>
      <c r="E1233" s="21" t="inlineStr">
        <is>
          <t>Б-3 (3-3)</t>
        </is>
      </c>
      <c r="F1233" s="72" t="inlineStr">
        <is>
          <t>4</t>
        </is>
      </c>
      <c r="G1233" s="21" t="inlineStr">
        <is>
          <t>Краевая балка эркера, участок 2: 4Ø22 (2 верх + 2 низ)</t>
        </is>
      </c>
      <c r="H1233" s="51" t="n">
        <v>22</v>
      </c>
      <c r="I1233" s="72" t="inlineStr">
        <is>
          <t>А500С</t>
        </is>
      </c>
      <c r="J1233" s="72" t="inlineStr">
        <is>
          <t>—</t>
        </is>
      </c>
      <c r="K1233" s="75" t="n">
        <v>1</v>
      </c>
      <c r="L1233" s="51" t="n">
        <v>4</v>
      </c>
      <c r="M1233" s="69" t="n">
        <v>4.15</v>
      </c>
      <c r="N1233" s="70">
        <f>K1233*L1233*M1233</f>
        <v/>
      </c>
      <c r="O1233" s="37">
        <f>IFERROR(INDEX(Исходные!$B$19:$B$31,MATCH(H1233,Исходные!$A$19:$A$31,0)),0)</f>
        <v/>
      </c>
      <c r="P1233" s="76">
        <f>N1233*O1233</f>
        <v/>
      </c>
      <c r="Q1233" s="21" t="inlineStr">
        <is>
          <t>АС-55 сеч.3-3 поз.4; контур АС-48</t>
        </is>
      </c>
      <c r="R1233" s="77" t="inlineStr">
        <is>
          <t>по геометрии чертежа</t>
        </is>
      </c>
      <c r="S1233" s="21" t="inlineStr"/>
      <c r="T1233" s="21" t="inlineStr">
        <is>
          <t>Ригели, балки, плита, С-1</t>
        </is>
      </c>
      <c r="U1233" s="49" t="n">
        <v>0</v>
      </c>
      <c r="V1233" s="72" t="inlineStr">
        <is>
          <t>Б-основная</t>
        </is>
      </c>
      <c r="W1233" s="49" t="n">
        <v>3</v>
      </c>
    </row>
    <row r="1234">
      <c r="A1234" s="72" t="n">
        <v>1208</v>
      </c>
      <c r="B1234" s="21" t="inlineStr">
        <is>
          <t>3 этаж (отм. +7.550…+11.150)</t>
        </is>
      </c>
      <c r="C1234" s="21" t="inlineStr">
        <is>
          <t>Плита перекрытия — балки</t>
        </is>
      </c>
      <c r="D1234" s="21" t="inlineStr">
        <is>
          <t>Э2 (эркер у оси 1, В–Б)</t>
        </is>
      </c>
      <c r="E1234" s="21" t="inlineStr">
        <is>
          <t>Б-3 (3-3)</t>
        </is>
      </c>
      <c r="F1234" s="72" t="inlineStr">
        <is>
          <t>4</t>
        </is>
      </c>
      <c r="G1234" s="21" t="inlineStr">
        <is>
          <t>Краевая балка эркера, участок 3: 4Ø22 (2 верх + 2 низ)</t>
        </is>
      </c>
      <c r="H1234" s="51" t="n">
        <v>22</v>
      </c>
      <c r="I1234" s="72" t="inlineStr">
        <is>
          <t>А500С</t>
        </is>
      </c>
      <c r="J1234" s="72" t="inlineStr">
        <is>
          <t>—</t>
        </is>
      </c>
      <c r="K1234" s="75" t="n">
        <v>1</v>
      </c>
      <c r="L1234" s="51" t="n">
        <v>4</v>
      </c>
      <c r="M1234" s="69" t="n">
        <v>2.175</v>
      </c>
      <c r="N1234" s="70">
        <f>K1234*L1234*M1234</f>
        <v/>
      </c>
      <c r="O1234" s="37">
        <f>IFERROR(INDEX(Исходные!$B$19:$B$31,MATCH(H1234,Исходные!$A$19:$A$31,0)),0)</f>
        <v/>
      </c>
      <c r="P1234" s="76">
        <f>N1234*O1234</f>
        <v/>
      </c>
      <c r="Q1234" s="21" t="inlineStr">
        <is>
          <t>АС-55 сеч.3-3 поз.4; контур АС-48</t>
        </is>
      </c>
      <c r="R1234" s="77" t="inlineStr">
        <is>
          <t>по геометрии чертежа</t>
        </is>
      </c>
      <c r="S1234" s="21" t="inlineStr"/>
      <c r="T1234" s="21" t="inlineStr">
        <is>
          <t>Ригели, балки, плита, С-1</t>
        </is>
      </c>
      <c r="U1234" s="49" t="n">
        <v>0</v>
      </c>
      <c r="V1234" s="72" t="inlineStr">
        <is>
          <t>Б-основная</t>
        </is>
      </c>
      <c r="W1234" s="49" t="n">
        <v>3</v>
      </c>
    </row>
    <row r="1235">
      <c r="A1235" s="72" t="n">
        <v>1209</v>
      </c>
      <c r="B1235" s="21" t="inlineStr">
        <is>
          <t>3 этаж (отм. +7.550…+11.150)</t>
        </is>
      </c>
      <c r="C1235" s="21" t="inlineStr">
        <is>
          <t>Плита перекрытия — балки</t>
        </is>
      </c>
      <c r="D1235" s="21" t="inlineStr">
        <is>
          <t>Э3 (эркер у оси А, 1–2)</t>
        </is>
      </c>
      <c r="E1235" s="21" t="inlineStr">
        <is>
          <t>Б-3 (3-3)</t>
        </is>
      </c>
      <c r="F1235" s="72" t="inlineStr">
        <is>
          <t>4</t>
        </is>
      </c>
      <c r="G1235" s="21" t="inlineStr">
        <is>
          <t>Краевая балка эркера, участок 1: 4Ø22 (2 верх + 2 низ)</t>
        </is>
      </c>
      <c r="H1235" s="51" t="n">
        <v>22</v>
      </c>
      <c r="I1235" s="72" t="inlineStr">
        <is>
          <t>А500С</t>
        </is>
      </c>
      <c r="J1235" s="72" t="inlineStr">
        <is>
          <t>—</t>
        </is>
      </c>
      <c r="K1235" s="75" t="n">
        <v>1</v>
      </c>
      <c r="L1235" s="51" t="n">
        <v>4</v>
      </c>
      <c r="M1235" s="69" t="n">
        <v>2.15</v>
      </c>
      <c r="N1235" s="70">
        <f>K1235*L1235*M1235</f>
        <v/>
      </c>
      <c r="O1235" s="37">
        <f>IFERROR(INDEX(Исходные!$B$19:$B$31,MATCH(H1235,Исходные!$A$19:$A$31,0)),0)</f>
        <v/>
      </c>
      <c r="P1235" s="76">
        <f>N1235*O1235</f>
        <v/>
      </c>
      <c r="Q1235" s="21" t="inlineStr">
        <is>
          <t>АС-55 сеч.3-3 поз.4; контур АС-48</t>
        </is>
      </c>
      <c r="R1235" s="77" t="inlineStr">
        <is>
          <t>по геометрии чертежа</t>
        </is>
      </c>
      <c r="S1235" s="21" t="inlineStr"/>
      <c r="T1235" s="21" t="inlineStr">
        <is>
          <t>Ригели, балки, плита, С-1</t>
        </is>
      </c>
      <c r="U1235" s="49" t="n">
        <v>0</v>
      </c>
      <c r="V1235" s="72" t="inlineStr">
        <is>
          <t>Б-основная</t>
        </is>
      </c>
      <c r="W1235" s="49" t="n">
        <v>3</v>
      </c>
    </row>
    <row r="1236">
      <c r="A1236" s="72" t="n">
        <v>1210</v>
      </c>
      <c r="B1236" s="21" t="inlineStr">
        <is>
          <t>3 этаж (отм. +7.550…+11.150)</t>
        </is>
      </c>
      <c r="C1236" s="21" t="inlineStr">
        <is>
          <t>Плита перекрытия — балки</t>
        </is>
      </c>
      <c r="D1236" s="21" t="inlineStr">
        <is>
          <t>Э3 (эркер у оси А, 1–2)</t>
        </is>
      </c>
      <c r="E1236" s="21" t="inlineStr">
        <is>
          <t>Б-3 (3-3)</t>
        </is>
      </c>
      <c r="F1236" s="72" t="inlineStr">
        <is>
          <t>4</t>
        </is>
      </c>
      <c r="G1236" s="21" t="inlineStr">
        <is>
          <t>Краевая балка эркера, участок 2: 4Ø22 (2 верх + 2 низ)</t>
        </is>
      </c>
      <c r="H1236" s="51" t="n">
        <v>22</v>
      </c>
      <c r="I1236" s="72" t="inlineStr">
        <is>
          <t>А500С</t>
        </is>
      </c>
      <c r="J1236" s="72" t="inlineStr">
        <is>
          <t>—</t>
        </is>
      </c>
      <c r="K1236" s="75" t="n">
        <v>1</v>
      </c>
      <c r="L1236" s="51" t="n">
        <v>4</v>
      </c>
      <c r="M1236" s="69" t="n">
        <v>3.775</v>
      </c>
      <c r="N1236" s="70">
        <f>K1236*L1236*M1236</f>
        <v/>
      </c>
      <c r="O1236" s="37">
        <f>IFERROR(INDEX(Исходные!$B$19:$B$31,MATCH(H1236,Исходные!$A$19:$A$31,0)),0)</f>
        <v/>
      </c>
      <c r="P1236" s="76">
        <f>N1236*O1236</f>
        <v/>
      </c>
      <c r="Q1236" s="21" t="inlineStr">
        <is>
          <t>АС-55 сеч.3-3 поз.4; контур АС-48</t>
        </is>
      </c>
      <c r="R1236" s="77" t="inlineStr">
        <is>
          <t>по геометрии чертежа</t>
        </is>
      </c>
      <c r="S1236" s="21" t="inlineStr"/>
      <c r="T1236" s="21" t="inlineStr">
        <is>
          <t>Ригели, балки, плита, С-1</t>
        </is>
      </c>
      <c r="U1236" s="49" t="n">
        <v>0</v>
      </c>
      <c r="V1236" s="72" t="inlineStr">
        <is>
          <t>Б-основная</t>
        </is>
      </c>
      <c r="W1236" s="49" t="n">
        <v>3</v>
      </c>
    </row>
    <row r="1237">
      <c r="A1237" s="72" t="n">
        <v>1211</v>
      </c>
      <c r="B1237" s="21" t="inlineStr">
        <is>
          <t>3 этаж (отм. +7.550…+11.150)</t>
        </is>
      </c>
      <c r="C1237" s="21" t="inlineStr">
        <is>
          <t>Плита перекрытия — балки</t>
        </is>
      </c>
      <c r="D1237" s="21" t="inlineStr">
        <is>
          <t>Э3 (эркер у оси А, 1–2)</t>
        </is>
      </c>
      <c r="E1237" s="21" t="inlineStr">
        <is>
          <t>Б-3 (3-3)</t>
        </is>
      </c>
      <c r="F1237" s="72" t="inlineStr">
        <is>
          <t>4</t>
        </is>
      </c>
      <c r="G1237" s="21" t="inlineStr">
        <is>
          <t>Краевая балка эркера, участок 3: 4Ø22 (2 верх + 2 низ)</t>
        </is>
      </c>
      <c r="H1237" s="51" t="n">
        <v>22</v>
      </c>
      <c r="I1237" s="72" t="inlineStr">
        <is>
          <t>А500С</t>
        </is>
      </c>
      <c r="J1237" s="72" t="inlineStr">
        <is>
          <t>—</t>
        </is>
      </c>
      <c r="K1237" s="75" t="n">
        <v>1</v>
      </c>
      <c r="L1237" s="51" t="n">
        <v>4</v>
      </c>
      <c r="M1237" s="69" t="n">
        <v>2.15</v>
      </c>
      <c r="N1237" s="70">
        <f>K1237*L1237*M1237</f>
        <v/>
      </c>
      <c r="O1237" s="37">
        <f>IFERROR(INDEX(Исходные!$B$19:$B$31,MATCH(H1237,Исходные!$A$19:$A$31,0)),0)</f>
        <v/>
      </c>
      <c r="P1237" s="76">
        <f>N1237*O1237</f>
        <v/>
      </c>
      <c r="Q1237" s="21" t="inlineStr">
        <is>
          <t>АС-55 сеч.3-3 поз.4; контур АС-48</t>
        </is>
      </c>
      <c r="R1237" s="77" t="inlineStr">
        <is>
          <t>по геометрии чертежа</t>
        </is>
      </c>
      <c r="S1237" s="21" t="inlineStr"/>
      <c r="T1237" s="21" t="inlineStr">
        <is>
          <t>Ригели, балки, плита, С-1</t>
        </is>
      </c>
      <c r="U1237" s="49" t="n">
        <v>0</v>
      </c>
      <c r="V1237" s="72" t="inlineStr">
        <is>
          <t>Б-основная</t>
        </is>
      </c>
      <c r="W1237" s="49" t="n">
        <v>3</v>
      </c>
    </row>
    <row r="1238">
      <c r="A1238" s="72" t="n">
        <v>1212</v>
      </c>
      <c r="B1238" s="21" t="inlineStr">
        <is>
          <t>3 этаж (отм. +7.550…+11.150)</t>
        </is>
      </c>
      <c r="C1238" s="21" t="inlineStr">
        <is>
          <t>Плита перекрытия — балки</t>
        </is>
      </c>
      <c r="D1238" s="21" t="inlineStr">
        <is>
          <t>Э4 (эркер у оси А, 2–4)</t>
        </is>
      </c>
      <c r="E1238" s="21" t="inlineStr">
        <is>
          <t>Б-3 (3-3)</t>
        </is>
      </c>
      <c r="F1238" s="72" t="inlineStr">
        <is>
          <t>4</t>
        </is>
      </c>
      <c r="G1238" s="21" t="inlineStr">
        <is>
          <t>Краевая балка эркера, участок 1: 4Ø22 (2 верх + 2 низ)</t>
        </is>
      </c>
      <c r="H1238" s="51" t="n">
        <v>22</v>
      </c>
      <c r="I1238" s="72" t="inlineStr">
        <is>
          <t>А500С</t>
        </is>
      </c>
      <c r="J1238" s="72" t="inlineStr">
        <is>
          <t>—</t>
        </is>
      </c>
      <c r="K1238" s="75" t="n">
        <v>1</v>
      </c>
      <c r="L1238" s="51" t="n">
        <v>4</v>
      </c>
      <c r="M1238" s="69" t="n">
        <v>2.15</v>
      </c>
      <c r="N1238" s="70">
        <f>K1238*L1238*M1238</f>
        <v/>
      </c>
      <c r="O1238" s="37">
        <f>IFERROR(INDEX(Исходные!$B$19:$B$31,MATCH(H1238,Исходные!$A$19:$A$31,0)),0)</f>
        <v/>
      </c>
      <c r="P1238" s="76">
        <f>N1238*O1238</f>
        <v/>
      </c>
      <c r="Q1238" s="21" t="inlineStr">
        <is>
          <t>АС-55 сеч.3-3 поз.4; контур АС-48</t>
        </is>
      </c>
      <c r="R1238" s="77" t="inlineStr">
        <is>
          <t>по геометрии чертежа</t>
        </is>
      </c>
      <c r="S1238" s="21" t="inlineStr"/>
      <c r="T1238" s="21" t="inlineStr">
        <is>
          <t>Ригели, балки, плита, С-1</t>
        </is>
      </c>
      <c r="U1238" s="49" t="n">
        <v>0</v>
      </c>
      <c r="V1238" s="72" t="inlineStr">
        <is>
          <t>Б-основная</t>
        </is>
      </c>
      <c r="W1238" s="49" t="n">
        <v>3</v>
      </c>
    </row>
    <row r="1239">
      <c r="A1239" s="72" t="n">
        <v>1213</v>
      </c>
      <c r="B1239" s="21" t="inlineStr">
        <is>
          <t>3 этаж (отм. +7.550…+11.150)</t>
        </is>
      </c>
      <c r="C1239" s="21" t="inlineStr">
        <is>
          <t>Плита перекрытия — балки</t>
        </is>
      </c>
      <c r="D1239" s="21" t="inlineStr">
        <is>
          <t>Э4 (эркер у оси А, 2–4)</t>
        </is>
      </c>
      <c r="E1239" s="21" t="inlineStr">
        <is>
          <t>Б-3 (3-3)</t>
        </is>
      </c>
      <c r="F1239" s="72" t="inlineStr">
        <is>
          <t>4</t>
        </is>
      </c>
      <c r="G1239" s="21" t="inlineStr">
        <is>
          <t>Краевая балка эркера, участок 2: 4Ø22 (2 верх + 2 низ)</t>
        </is>
      </c>
      <c r="H1239" s="51" t="n">
        <v>22</v>
      </c>
      <c r="I1239" s="72" t="inlineStr">
        <is>
          <t>А500С</t>
        </is>
      </c>
      <c r="J1239" s="72" t="inlineStr">
        <is>
          <t>—</t>
        </is>
      </c>
      <c r="K1239" s="75" t="n">
        <v>1</v>
      </c>
      <c r="L1239" s="51" t="n">
        <v>4</v>
      </c>
      <c r="M1239" s="69" t="n">
        <v>7.95</v>
      </c>
      <c r="N1239" s="70">
        <f>K1239*L1239*M1239</f>
        <v/>
      </c>
      <c r="O1239" s="37">
        <f>IFERROR(INDEX(Исходные!$B$19:$B$31,MATCH(H1239,Исходные!$A$19:$A$31,0)),0)</f>
        <v/>
      </c>
      <c r="P1239" s="76">
        <f>N1239*O1239</f>
        <v/>
      </c>
      <c r="Q1239" s="21" t="inlineStr">
        <is>
          <t>АС-55 сеч.3-3 поз.4; контур АС-48</t>
        </is>
      </c>
      <c r="R1239" s="77" t="inlineStr">
        <is>
          <t>по геометрии чертежа</t>
        </is>
      </c>
      <c r="S1239" s="21" t="inlineStr"/>
      <c r="T1239" s="21" t="inlineStr">
        <is>
          <t>Ригели, балки, плита, С-1</t>
        </is>
      </c>
      <c r="U1239" s="49" t="n">
        <v>0</v>
      </c>
      <c r="V1239" s="72" t="inlineStr">
        <is>
          <t>Б-основная</t>
        </is>
      </c>
      <c r="W1239" s="49" t="n">
        <v>3</v>
      </c>
    </row>
    <row r="1240">
      <c r="A1240" s="72" t="n">
        <v>1214</v>
      </c>
      <c r="B1240" s="21" t="inlineStr">
        <is>
          <t>3 этаж (отм. +7.550…+11.150)</t>
        </is>
      </c>
      <c r="C1240" s="21" t="inlineStr">
        <is>
          <t>Плита перекрытия — балки</t>
        </is>
      </c>
      <c r="D1240" s="21" t="inlineStr">
        <is>
          <t>Э4 (эркер у оси А, 2–4)</t>
        </is>
      </c>
      <c r="E1240" s="21" t="inlineStr">
        <is>
          <t>Б-3 (3-3)</t>
        </is>
      </c>
      <c r="F1240" s="72" t="inlineStr">
        <is>
          <t>4</t>
        </is>
      </c>
      <c r="G1240" s="21" t="inlineStr">
        <is>
          <t>Краевая балка эркера, участок 3: 4Ø22 (2 верх + 2 низ)</t>
        </is>
      </c>
      <c r="H1240" s="51" t="n">
        <v>22</v>
      </c>
      <c r="I1240" s="72" t="inlineStr">
        <is>
          <t>А500С</t>
        </is>
      </c>
      <c r="J1240" s="72" t="inlineStr">
        <is>
          <t>—</t>
        </is>
      </c>
      <c r="K1240" s="75" t="n">
        <v>1</v>
      </c>
      <c r="L1240" s="51" t="n">
        <v>4</v>
      </c>
      <c r="M1240" s="69" t="n">
        <v>2.15</v>
      </c>
      <c r="N1240" s="70">
        <f>K1240*L1240*M1240</f>
        <v/>
      </c>
      <c r="O1240" s="37">
        <f>IFERROR(INDEX(Исходные!$B$19:$B$31,MATCH(H1240,Исходные!$A$19:$A$31,0)),0)</f>
        <v/>
      </c>
      <c r="P1240" s="76">
        <f>N1240*O1240</f>
        <v/>
      </c>
      <c r="Q1240" s="21" t="inlineStr">
        <is>
          <t>АС-55 сеч.3-3 поз.4; контур АС-48</t>
        </is>
      </c>
      <c r="R1240" s="77" t="inlineStr">
        <is>
          <t>по геометрии чертежа</t>
        </is>
      </c>
      <c r="S1240" s="21" t="inlineStr"/>
      <c r="T1240" s="21" t="inlineStr">
        <is>
          <t>Ригели, балки, плита, С-1</t>
        </is>
      </c>
      <c r="U1240" s="49" t="n">
        <v>0</v>
      </c>
      <c r="V1240" s="72" t="inlineStr">
        <is>
          <t>Б-основная</t>
        </is>
      </c>
      <c r="W1240" s="49" t="n">
        <v>3</v>
      </c>
    </row>
    <row r="1241">
      <c r="A1241" s="72" t="n">
        <v>1215</v>
      </c>
      <c r="B1241" s="21" t="inlineStr">
        <is>
          <t>3 этаж (отм. +7.550…+11.150)</t>
        </is>
      </c>
      <c r="C1241" s="21" t="inlineStr">
        <is>
          <t>Плита перекрытия — балки</t>
        </is>
      </c>
      <c r="D1241" s="21" t="inlineStr">
        <is>
          <t>Э4 (эркер у оси А, 2–4)</t>
        </is>
      </c>
      <c r="E1241" s="21" t="inlineStr">
        <is>
          <t>Б-3 (3-3)</t>
        </is>
      </c>
      <c r="F1241" s="72" t="inlineStr">
        <is>
          <t>4</t>
        </is>
      </c>
      <c r="G1241" s="21" t="inlineStr">
        <is>
          <t>Краевая балка эркера, участок 4: 4Ø22 (2 верх + 2 низ)</t>
        </is>
      </c>
      <c r="H1241" s="51" t="n">
        <v>22</v>
      </c>
      <c r="I1241" s="72" t="inlineStr">
        <is>
          <t>А500С</t>
        </is>
      </c>
      <c r="J1241" s="72" t="inlineStr">
        <is>
          <t>—</t>
        </is>
      </c>
      <c r="K1241" s="75" t="n">
        <v>1</v>
      </c>
      <c r="L1241" s="51" t="n">
        <v>4</v>
      </c>
      <c r="M1241" s="69" t="n">
        <v>2.375</v>
      </c>
      <c r="N1241" s="70">
        <f>K1241*L1241*M1241</f>
        <v/>
      </c>
      <c r="O1241" s="37">
        <f>IFERROR(INDEX(Исходные!$B$19:$B$31,MATCH(H1241,Исходные!$A$19:$A$31,0)),0)</f>
        <v/>
      </c>
      <c r="P1241" s="76">
        <f>N1241*O1241</f>
        <v/>
      </c>
      <c r="Q1241" s="21" t="inlineStr">
        <is>
          <t>АС-55 сеч.3-3 поз.4; контур АС-48</t>
        </is>
      </c>
      <c r="R1241" s="77" t="inlineStr">
        <is>
          <t>по геометрии чертежа</t>
        </is>
      </c>
      <c r="S1241" s="21" t="inlineStr"/>
      <c r="T1241" s="21" t="inlineStr">
        <is>
          <t>Ригели, балки, плита, С-1</t>
        </is>
      </c>
      <c r="U1241" s="49" t="n">
        <v>0</v>
      </c>
      <c r="V1241" s="72" t="inlineStr">
        <is>
          <t>Б-основная</t>
        </is>
      </c>
      <c r="W1241" s="49" t="n">
        <v>3</v>
      </c>
    </row>
    <row r="1242">
      <c r="A1242" s="72" t="n">
        <v>1216</v>
      </c>
      <c r="B1242" s="21" t="inlineStr">
        <is>
          <t>3 этаж (отм. +7.550…+11.150)</t>
        </is>
      </c>
      <c r="C1242" s="21" t="inlineStr">
        <is>
          <t>Плита перекрытия — балки</t>
        </is>
      </c>
      <c r="D1242" s="21" t="inlineStr">
        <is>
          <t>углы эркеров, концы балок</t>
        </is>
      </c>
      <c r="E1242" s="21" t="inlineStr">
        <is>
          <t>узлы «Б»,«В»,«Г»</t>
        </is>
      </c>
      <c r="F1242" s="72" t="inlineStr">
        <is>
          <t>—</t>
        </is>
      </c>
      <c r="G1242" s="21" t="inlineStr">
        <is>
          <t>Угловой Г-образный стержень Ø18 L=1200 (как на +3.950 и +7.550)</t>
        </is>
      </c>
      <c r="H1242" s="51" t="n">
        <v>18</v>
      </c>
      <c r="I1242" s="72" t="inlineStr">
        <is>
          <t>А500С</t>
        </is>
      </c>
      <c r="J1242" s="72" t="inlineStr">
        <is>
          <t>—</t>
        </is>
      </c>
      <c r="K1242" s="75" t="n">
        <v>1</v>
      </c>
      <c r="L1242" s="51" t="n">
        <v>42</v>
      </c>
      <c r="M1242" s="69" t="n">
        <v>1.2</v>
      </c>
      <c r="N1242" s="70">
        <f>K1242*L1242*M1242</f>
        <v/>
      </c>
      <c r="O1242" s="37">
        <f>IFERROR(INDEX(Исходные!$B$19:$B$31,MATCH(H1242,Исходные!$A$19:$A$31,0)),0)</f>
        <v/>
      </c>
      <c r="P1242" s="76">
        <f>N1242*O1242</f>
        <v/>
      </c>
      <c r="Q1242" s="21" t="inlineStr">
        <is>
          <t>АС-56 узлы «Б»,«В»; АС-57 узел «Г»; АС-48</t>
        </is>
      </c>
      <c r="R1242" s="78" t="inlineStr">
        <is>
          <t>принято (уточнить)</t>
        </is>
      </c>
      <c r="S1242" s="21" t="inlineStr"/>
      <c r="T1242" s="21" t="inlineStr">
        <is>
          <t>Ригели, балки, плита, С-1</t>
        </is>
      </c>
      <c r="U1242" s="49" t="n">
        <v>1</v>
      </c>
      <c r="V1242" s="72" t="inlineStr">
        <is>
          <t>Б-допник</t>
        </is>
      </c>
      <c r="W1242" s="49" t="n">
        <v>3</v>
      </c>
    </row>
    <row r="1243">
      <c r="A1243" s="72" t="n">
        <v>1217</v>
      </c>
      <c r="B1243" s="21" t="inlineStr">
        <is>
          <t>3 этаж (отм. +7.550…+11.150)</t>
        </is>
      </c>
      <c r="C1243" s="21" t="inlineStr">
        <is>
          <t>Плита перекрытия — балки</t>
        </is>
      </c>
      <c r="D1243" s="21" t="inlineStr">
        <is>
          <t>все балки сечения 1-1</t>
        </is>
      </c>
      <c r="E1243" s="21" t="inlineStr">
        <is>
          <t>Б (1-1)</t>
        </is>
      </c>
      <c r="F1243" s="72" t="inlineStr">
        <is>
          <t>10</t>
        </is>
      </c>
      <c r="G1243" s="21" t="inlineStr">
        <is>
          <t>Хомуты балок сеч.1-1: хом.Ø8 L=1240 (поз.10); шаг 100 у опор и у пересечений, 200 в пролёте</t>
        </is>
      </c>
      <c r="H1243" s="51" t="n">
        <v>8</v>
      </c>
      <c r="I1243" s="72" t="inlineStr">
        <is>
          <t>А240</t>
        </is>
      </c>
      <c r="J1243" s="72" t="inlineStr">
        <is>
          <t>100/200</t>
        </is>
      </c>
      <c r="K1243" s="75" t="n">
        <v>1</v>
      </c>
      <c r="L1243" s="51" t="n">
        <v>925</v>
      </c>
      <c r="M1243" s="69" t="n">
        <v>1.24</v>
      </c>
      <c r="N1243" s="70">
        <f>K1243*L1243*M1243</f>
        <v/>
      </c>
      <c r="O1243" s="37">
        <f>IFERROR(INDEX(Исходные!$B$19:$B$31,MATCH(H1243,Исходные!$A$19:$A$31,0)),0)</f>
        <v/>
      </c>
      <c r="P1243" s="76">
        <f>N1243*O1243</f>
        <v/>
      </c>
      <c r="Q1243" s="21" t="inlineStr">
        <is>
          <t>АС-55 сеч.1-1; АС-57 «Шаг хомутов»; АС-58 ведомость</t>
        </is>
      </c>
      <c r="R1243" s="77" t="inlineStr">
        <is>
          <t>по проекту</t>
        </is>
      </c>
      <c r="S1243" s="21" t="inlineStr"/>
      <c r="T1243" s="21" t="inlineStr">
        <is>
          <t>Ригели, балки, плита, С-1</t>
        </is>
      </c>
      <c r="U1243" s="49" t="n">
        <v>0</v>
      </c>
      <c r="V1243" s="72" t="inlineStr">
        <is>
          <t>Б-хомуты</t>
        </is>
      </c>
      <c r="W1243" s="49" t="n">
        <v>3</v>
      </c>
    </row>
    <row r="1244">
      <c r="A1244" s="72" t="n">
        <v>1218</v>
      </c>
      <c r="B1244" s="21" t="inlineStr">
        <is>
          <t>3 этаж (отм. +7.550…+11.150)</t>
        </is>
      </c>
      <c r="C1244" s="21" t="inlineStr">
        <is>
          <t>Плита перекрытия — балки</t>
        </is>
      </c>
      <c r="D1244" s="21" t="inlineStr">
        <is>
          <t>все балки сечения 2-2</t>
        </is>
      </c>
      <c r="E1244" s="21" t="inlineStr">
        <is>
          <t>Б (2-2)</t>
        </is>
      </c>
      <c r="F1244" s="72" t="inlineStr">
        <is>
          <t>10</t>
        </is>
      </c>
      <c r="G1244" s="21" t="inlineStr">
        <is>
          <t>Хомуты балок сеч.2-2: хом.Ø8 L=1240 (поз.10); шаг 100 у опор и у пересечений, 200 в пролёте</t>
        </is>
      </c>
      <c r="H1244" s="51" t="n">
        <v>8</v>
      </c>
      <c r="I1244" s="72" t="inlineStr">
        <is>
          <t>А240</t>
        </is>
      </c>
      <c r="J1244" s="72" t="inlineStr">
        <is>
          <t>100/200</t>
        </is>
      </c>
      <c r="K1244" s="75" t="n">
        <v>1</v>
      </c>
      <c r="L1244" s="51" t="n">
        <v>44</v>
      </c>
      <c r="M1244" s="69" t="n">
        <v>1.24</v>
      </c>
      <c r="N1244" s="70">
        <f>K1244*L1244*M1244</f>
        <v/>
      </c>
      <c r="O1244" s="37">
        <f>IFERROR(INDEX(Исходные!$B$19:$B$31,MATCH(H1244,Исходные!$A$19:$A$31,0)),0)</f>
        <v/>
      </c>
      <c r="P1244" s="76">
        <f>N1244*O1244</f>
        <v/>
      </c>
      <c r="Q1244" s="21" t="inlineStr">
        <is>
          <t>АС-55 сеч.2-2; АС-57 «Шаг хомутов»; АС-58 ведомость</t>
        </is>
      </c>
      <c r="R1244" s="77" t="inlineStr">
        <is>
          <t>по проекту</t>
        </is>
      </c>
      <c r="S1244" s="21" t="inlineStr"/>
      <c r="T1244" s="21" t="inlineStr">
        <is>
          <t>Ригели, балки, плита, С-1</t>
        </is>
      </c>
      <c r="U1244" s="49" t="n">
        <v>0</v>
      </c>
      <c r="V1244" s="72" t="inlineStr">
        <is>
          <t>Б-хомуты</t>
        </is>
      </c>
      <c r="W1244" s="49" t="n">
        <v>3</v>
      </c>
    </row>
    <row r="1245">
      <c r="A1245" s="72" t="n">
        <v>1219</v>
      </c>
      <c r="B1245" s="21" t="inlineStr">
        <is>
          <t>3 этаж (отм. +7.550…+11.150)</t>
        </is>
      </c>
      <c r="C1245" s="21" t="inlineStr">
        <is>
          <t>Плита перекрытия — балки</t>
        </is>
      </c>
      <c r="D1245" s="21" t="inlineStr">
        <is>
          <t>все балки сечения 5-5</t>
        </is>
      </c>
      <c r="E1245" s="21" t="inlineStr">
        <is>
          <t>Б (5-5)</t>
        </is>
      </c>
      <c r="F1245" s="72" t="inlineStr">
        <is>
          <t>12</t>
        </is>
      </c>
      <c r="G1245" s="21" t="inlineStr">
        <is>
          <t>Хомуты балок сеч.5-5: хом.Ø8 L=1440 (поз.12); шаг 100 у опор и у пересечений, 200 в пролёте</t>
        </is>
      </c>
      <c r="H1245" s="51" t="n">
        <v>8</v>
      </c>
      <c r="I1245" s="72" t="inlineStr">
        <is>
          <t>А240</t>
        </is>
      </c>
      <c r="J1245" s="72" t="inlineStr">
        <is>
          <t>100/200</t>
        </is>
      </c>
      <c r="K1245" s="75" t="n">
        <v>1</v>
      </c>
      <c r="L1245" s="51" t="n">
        <v>44</v>
      </c>
      <c r="M1245" s="69" t="n">
        <v>1.44</v>
      </c>
      <c r="N1245" s="70">
        <f>K1245*L1245*M1245</f>
        <v/>
      </c>
      <c r="O1245" s="37">
        <f>IFERROR(INDEX(Исходные!$B$19:$B$31,MATCH(H1245,Исходные!$A$19:$A$31,0)),0)</f>
        <v/>
      </c>
      <c r="P1245" s="76">
        <f>N1245*O1245</f>
        <v/>
      </c>
      <c r="Q1245" s="21" t="inlineStr">
        <is>
          <t>АС-55 сеч.5-5; АС-57 «Шаг хомутов»; АС-58 ведомость</t>
        </is>
      </c>
      <c r="R1245" s="77" t="inlineStr">
        <is>
          <t>по проекту</t>
        </is>
      </c>
      <c r="S1245" s="21" t="inlineStr"/>
      <c r="T1245" s="21" t="inlineStr">
        <is>
          <t>Ригели, балки, плита, С-1</t>
        </is>
      </c>
      <c r="U1245" s="49" t="n">
        <v>0</v>
      </c>
      <c r="V1245" s="72" t="inlineStr">
        <is>
          <t>Б-хомуты</t>
        </is>
      </c>
      <c r="W1245" s="49" t="n">
        <v>3</v>
      </c>
    </row>
    <row r="1246">
      <c r="A1246" s="72" t="n">
        <v>1220</v>
      </c>
      <c r="B1246" s="21" t="inlineStr">
        <is>
          <t>3 этаж (отм. +7.550…+11.150)</t>
        </is>
      </c>
      <c r="C1246" s="21" t="inlineStr">
        <is>
          <t>Плита перекрытия — балки</t>
        </is>
      </c>
      <c r="D1246" s="21" t="inlineStr">
        <is>
          <t>все балки сечения 4-4</t>
        </is>
      </c>
      <c r="E1246" s="21" t="inlineStr">
        <is>
          <t>Б (4-4)</t>
        </is>
      </c>
      <c r="F1246" s="72" t="inlineStr">
        <is>
          <t>13</t>
        </is>
      </c>
      <c r="G1246" s="21" t="inlineStr">
        <is>
          <t>Хомуты балок сеч.4-4: хом.Ø8 L=1040 (поз.13); шаг 100 у опор и у пересечений, 200 в пролёте</t>
        </is>
      </c>
      <c r="H1246" s="51" t="n">
        <v>8</v>
      </c>
      <c r="I1246" s="72" t="inlineStr">
        <is>
          <t>А240</t>
        </is>
      </c>
      <c r="J1246" s="72" t="inlineStr">
        <is>
          <t>100/200</t>
        </is>
      </c>
      <c r="K1246" s="75" t="n">
        <v>1</v>
      </c>
      <c r="L1246" s="51" t="n">
        <v>111</v>
      </c>
      <c r="M1246" s="69" t="n">
        <v>1.04</v>
      </c>
      <c r="N1246" s="70">
        <f>K1246*L1246*M1246</f>
        <v/>
      </c>
      <c r="O1246" s="37">
        <f>IFERROR(INDEX(Исходные!$B$19:$B$31,MATCH(H1246,Исходные!$A$19:$A$31,0)),0)</f>
        <v/>
      </c>
      <c r="P1246" s="76">
        <f>N1246*O1246</f>
        <v/>
      </c>
      <c r="Q1246" s="21" t="inlineStr">
        <is>
          <t>АС-55 сеч.4-4; АС-57 «Шаг хомутов»; АС-58 ведомость</t>
        </is>
      </c>
      <c r="R1246" s="77" t="inlineStr">
        <is>
          <t>по проекту</t>
        </is>
      </c>
      <c r="S1246" s="21" t="inlineStr"/>
      <c r="T1246" s="21" t="inlineStr">
        <is>
          <t>Ригели, балки, плита, С-1</t>
        </is>
      </c>
      <c r="U1246" s="49" t="n">
        <v>0</v>
      </c>
      <c r="V1246" s="72" t="inlineStr">
        <is>
          <t>Б-хомуты</t>
        </is>
      </c>
      <c r="W1246" s="49" t="n">
        <v>3</v>
      </c>
    </row>
    <row r="1247">
      <c r="A1247" s="72" t="n">
        <v>1221</v>
      </c>
      <c r="B1247" s="21" t="inlineStr">
        <is>
          <t>3 этаж (отм. +7.550…+11.150)</t>
        </is>
      </c>
      <c r="C1247" s="21" t="inlineStr">
        <is>
          <t>Плита перекрытия — балки</t>
        </is>
      </c>
      <c r="D1247" s="21" t="inlineStr">
        <is>
          <t>все балки сечения 3-3</t>
        </is>
      </c>
      <c r="E1247" s="21" t="inlineStr">
        <is>
          <t>Б (3-3)</t>
        </is>
      </c>
      <c r="F1247" s="72" t="inlineStr">
        <is>
          <t>11</t>
        </is>
      </c>
      <c r="G1247" s="21" t="inlineStr">
        <is>
          <t>Хомуты балок сеч.3-3: хом.Ø8 L=1140 (поз.11); шаг 100 у опор и у пересечений, 200 в пролёте</t>
        </is>
      </c>
      <c r="H1247" s="51" t="n">
        <v>8</v>
      </c>
      <c r="I1247" s="72" t="inlineStr">
        <is>
          <t>А240</t>
        </is>
      </c>
      <c r="J1247" s="72" t="inlineStr">
        <is>
          <t>100/200</t>
        </is>
      </c>
      <c r="K1247" s="75" t="n">
        <v>1</v>
      </c>
      <c r="L1247" s="51" t="n">
        <v>272</v>
      </c>
      <c r="M1247" s="69" t="n">
        <v>1.14</v>
      </c>
      <c r="N1247" s="70">
        <f>K1247*L1247*M1247</f>
        <v/>
      </c>
      <c r="O1247" s="37">
        <f>IFERROR(INDEX(Исходные!$B$19:$B$31,MATCH(H1247,Исходные!$A$19:$A$31,0)),0)</f>
        <v/>
      </c>
      <c r="P1247" s="76">
        <f>N1247*O1247</f>
        <v/>
      </c>
      <c r="Q1247" s="21" t="inlineStr">
        <is>
          <t>АС-55 сеч.3-3; АС-57 «Шаг хомутов»; АС-58 ведомость</t>
        </is>
      </c>
      <c r="R1247" s="77" t="inlineStr">
        <is>
          <t>по проекту</t>
        </is>
      </c>
      <c r="S1247" s="21" t="inlineStr"/>
      <c r="T1247" s="21" t="inlineStr">
        <is>
          <t>Ригели, балки, плита, С-1</t>
        </is>
      </c>
      <c r="U1247" s="49" t="n">
        <v>0</v>
      </c>
      <c r="V1247" s="72" t="inlineStr">
        <is>
          <t>Б-хомуты</t>
        </is>
      </c>
      <c r="W1247" s="49" t="n">
        <v>3</v>
      </c>
    </row>
    <row r="1248">
      <c r="A1248" s="74" t="inlineStr">
        <is>
          <t>3.6. СЕТКИ-ГРЕБЁНКИ С-1 в узлах колонна–ригель — отм. +11.150</t>
        </is>
      </c>
      <c r="B1248" s="33" t="n"/>
      <c r="C1248" s="33" t="n"/>
      <c r="D1248" s="33" t="n"/>
      <c r="E1248" s="33" t="n"/>
      <c r="F1248" s="33" t="n"/>
      <c r="G1248" s="33" t="n"/>
      <c r="H1248" s="33" t="n"/>
      <c r="I1248" s="33" t="n"/>
      <c r="J1248" s="33" t="n"/>
      <c r="K1248" s="33" t="n"/>
      <c r="L1248" s="33" t="n"/>
      <c r="M1248" s="33" t="n"/>
      <c r="N1248" s="33" t="n"/>
      <c r="O1248" s="33" t="n"/>
      <c r="P1248" s="33" t="n"/>
      <c r="Q1248" s="33" t="n"/>
      <c r="R1248" s="33" t="n"/>
      <c r="S1248" s="33" t="n"/>
      <c r="T1248" s="33" t="n"/>
      <c r="U1248" s="33" t="n"/>
      <c r="V1248" s="33" t="n"/>
      <c r="W1248" s="34" t="n"/>
    </row>
    <row r="1249">
      <c r="A1249" s="72" t="n">
        <v>1222</v>
      </c>
      <c r="B1249" s="21" t="inlineStr">
        <is>
          <t>3 этаж (отм. +7.550…+11.150)</t>
        </is>
      </c>
      <c r="C1249" s="21" t="inlineStr">
        <is>
          <t>Сетки-гребёнки С-1</t>
        </is>
      </c>
      <c r="D1249" s="21" t="inlineStr">
        <is>
          <t>узлы колонна–ригель, отм. +11.150 (20 узлов)</t>
        </is>
      </c>
      <c r="E1249" s="21" t="inlineStr">
        <is>
          <t>С-1</t>
        </is>
      </c>
      <c r="F1249" s="72" t="inlineStr">
        <is>
          <t>1</t>
        </is>
      </c>
      <c r="G1249" s="21" t="inlineStr">
        <is>
          <t>С-1: 7Ø10 (1 гребень + 6 зубьев по 570 мм); 20 узлов × 5 рядов по высоте узла × 2 (попарно) = 200 сеток на одно перекрытие</t>
        </is>
      </c>
      <c r="H1249" s="51" t="n">
        <v>10</v>
      </c>
      <c r="I1249" s="72" t="inlineStr">
        <is>
          <t>А500С</t>
        </is>
      </c>
      <c r="J1249" s="72" t="n">
        <v>90</v>
      </c>
      <c r="K1249" s="75" t="n">
        <v>200</v>
      </c>
      <c r="L1249" s="51" t="n">
        <v>7</v>
      </c>
      <c r="M1249" s="69" t="n">
        <v>0.57</v>
      </c>
      <c r="N1249" s="70">
        <f>K1249*L1249*M1249</f>
        <v/>
      </c>
      <c r="O1249" s="37">
        <f>IFERROR(INDEX(Исходные!$B$19:$B$31,MATCH(H1249,Исходные!$A$19:$A$31,0)),0)</f>
        <v/>
      </c>
      <c r="P1249" s="76">
        <f>N1249*O1249</f>
        <v/>
      </c>
      <c r="Q1249" s="21" t="inlineStr">
        <is>
          <t>АС-30 «Сетка гребенка С-1»; АС-29 узел «2» — 5 рядов × 2 на узел (узлы одинаковы на всех этажах)</t>
        </is>
      </c>
      <c r="R1249" s="78" t="inlineStr">
        <is>
          <t>принято (уточнить)</t>
        </is>
      </c>
      <c r="S1249" s="21" t="inlineStr"/>
      <c r="T1249" s="21" t="inlineStr">
        <is>
          <t>Ригели, балки, плита, С-1</t>
        </is>
      </c>
      <c r="U1249" s="49" t="n">
        <v>1</v>
      </c>
      <c r="V1249" s="72" t="inlineStr">
        <is>
          <t>С-1</t>
        </is>
      </c>
      <c r="W1249" s="49" t="n">
        <v>3</v>
      </c>
    </row>
    <row r="1250">
      <c r="A1250" s="74" t="inlineStr">
        <is>
          <t>3.7. ЛЕСТНИЦА ЛВ-1 и рама Лрм — марш 5 7.600→9.400, марш 6 9.400→11.200, площадка 9.400, Лрм-2</t>
        </is>
      </c>
      <c r="B1250" s="33" t="n"/>
      <c r="C1250" s="33" t="n"/>
      <c r="D1250" s="33" t="n"/>
      <c r="E1250" s="33" t="n"/>
      <c r="F1250" s="33" t="n"/>
      <c r="G1250" s="33" t="n"/>
      <c r="H1250" s="33" t="n"/>
      <c r="I1250" s="33" t="n"/>
      <c r="J1250" s="33" t="n"/>
      <c r="K1250" s="33" t="n"/>
      <c r="L1250" s="33" t="n"/>
      <c r="M1250" s="33" t="n"/>
      <c r="N1250" s="33" t="n"/>
      <c r="O1250" s="33" t="n"/>
      <c r="P1250" s="33" t="n"/>
      <c r="Q1250" s="33" t="n"/>
      <c r="R1250" s="33" t="n"/>
      <c r="S1250" s="33" t="n"/>
      <c r="T1250" s="33" t="n"/>
      <c r="U1250" s="33" t="n"/>
      <c r="V1250" s="33" t="n"/>
      <c r="W1250" s="34" t="n"/>
    </row>
    <row r="1251">
      <c r="A1251" s="72" t="n">
        <v>1223</v>
      </c>
      <c r="B1251" s="21" t="inlineStr">
        <is>
          <t>3 этаж (отм. +7.550…+11.150)</t>
        </is>
      </c>
      <c r="C1251" s="21" t="inlineStr">
        <is>
          <t>Лестница ЛВ-1</t>
        </is>
      </c>
      <c r="D1251" s="21" t="inlineStr">
        <is>
          <t>оси 3–4 / Г (А-А АС-67)</t>
        </is>
      </c>
      <c r="E1251" s="21" t="inlineStr">
        <is>
          <t>ЛВ-1 марш 5</t>
        </is>
      </c>
      <c r="F1251" s="72" t="inlineStr">
        <is>
          <t>1</t>
        </is>
      </c>
      <c r="G1251" s="21" t="inlineStr">
        <is>
          <t>Рабочие продольные 18Ø18 ш.150 (9 верх + 9 низ), марш 5 (7.600→9.400), 12×150 / 11×300; через площадку 9.400 до Лрм-2</t>
        </is>
      </c>
      <c r="H1251" s="51" t="n">
        <v>18</v>
      </c>
      <c r="I1251" s="72" t="inlineStr">
        <is>
          <t>А500С</t>
        </is>
      </c>
      <c r="J1251" s="72" t="n">
        <v>150</v>
      </c>
      <c r="K1251" s="75" t="n">
        <v>1</v>
      </c>
      <c r="L1251" s="51" t="n">
        <v>18</v>
      </c>
      <c r="M1251" s="69" t="n">
        <v>6.109</v>
      </c>
      <c r="N1251" s="70">
        <f>K1251*L1251*M1251</f>
        <v/>
      </c>
      <c r="O1251" s="37">
        <f>IFERROR(INDEX(Исходные!$B$19:$B$31,MATCH(H1251,Исходные!$A$19:$A$31,0)),0)</f>
        <v/>
      </c>
      <c r="P1251" s="76">
        <f>N1251*O1251</f>
        <v/>
      </c>
      <c r="Q1251" s="21" t="inlineStr">
        <is>
          <t>АС-68 сеч.а-а «18Ø18 А500С ш.150»; АС-67 разрез (3 этаж: 150×12, 300×11)</t>
        </is>
      </c>
      <c r="R1251" s="78" t="inlineStr">
        <is>
          <t>по геометрии (уточнить)</t>
        </is>
      </c>
      <c r="S1251" s="21" t="inlineStr">
        <is>
          <t>L = 1.00 (заход в плиту, узлы «3»,«4») + 3.759 (наклон √(3.3²+1.8²)) + 1.35 (площадка до Лрм-2)</t>
        </is>
      </c>
      <c r="T1251" s="21" t="inlineStr">
        <is>
          <t>Лестницы</t>
        </is>
      </c>
      <c r="U1251" s="49" t="n">
        <v>1</v>
      </c>
      <c r="V1251" s="72" t="inlineStr">
        <is>
          <t>Л1</t>
        </is>
      </c>
      <c r="W1251" s="49" t="n">
        <v>3</v>
      </c>
    </row>
    <row r="1252">
      <c r="A1252" s="72" t="n">
        <v>1224</v>
      </c>
      <c r="B1252" s="21" t="inlineStr">
        <is>
          <t>3 этаж (отм. +7.550…+11.150)</t>
        </is>
      </c>
      <c r="C1252" s="21" t="inlineStr">
        <is>
          <t>Лестница ЛВ-1</t>
        </is>
      </c>
      <c r="D1252" s="21" t="inlineStr">
        <is>
          <t>оси 3–4 / Г</t>
        </is>
      </c>
      <c r="E1252" s="21" t="inlineStr">
        <is>
          <t>ЛВ-1 марш 5</t>
        </is>
      </c>
      <c r="F1252" s="72" t="inlineStr">
        <is>
          <t>2</t>
        </is>
      </c>
      <c r="G1252" s="21" t="inlineStr">
        <is>
          <t>Поперечные Ø10 А500С ш.50/100/200 (2 ряда), L=1190</t>
        </is>
      </c>
      <c r="H1252" s="51" t="n">
        <v>10</v>
      </c>
      <c r="I1252" s="72" t="inlineStr">
        <is>
          <t>А500С</t>
        </is>
      </c>
      <c r="J1252" s="72" t="inlineStr">
        <is>
          <t>50/100/200</t>
        </is>
      </c>
      <c r="K1252" s="75" t="n">
        <v>1</v>
      </c>
      <c r="L1252" s="51" t="n">
        <v>60</v>
      </c>
      <c r="M1252" s="69" t="n">
        <v>1.19</v>
      </c>
      <c r="N1252" s="70">
        <f>K1252*L1252*M1252</f>
        <v/>
      </c>
      <c r="O1252" s="37">
        <f>IFERROR(INDEX(Исходные!$B$19:$B$31,MATCH(H1252,Исходные!$A$19:$A$31,0)),0)</f>
        <v/>
      </c>
      <c r="P1252" s="76">
        <f>N1252*O1252</f>
        <v/>
      </c>
      <c r="Q1252" s="21" t="inlineStr">
        <is>
          <t>АС-68 сеч.а-а поз.2</t>
        </is>
      </c>
      <c r="R1252" s="77" t="inlineStr">
        <is>
          <t>по проекту</t>
        </is>
      </c>
      <c r="S1252" s="21" t="inlineStr">
        <is>
          <t>30 шт в ряду × 2 ряда; марш по наклону 3.759 м</t>
        </is>
      </c>
      <c r="T1252" s="21" t="inlineStr">
        <is>
          <t>Лестницы</t>
        </is>
      </c>
      <c r="U1252" s="49" t="n">
        <v>0</v>
      </c>
      <c r="V1252" s="72" t="inlineStr">
        <is>
          <t>Л1</t>
        </is>
      </c>
      <c r="W1252" s="49" t="n">
        <v>3</v>
      </c>
    </row>
    <row r="1253">
      <c r="A1253" s="72" t="n">
        <v>1225</v>
      </c>
      <c r="B1253" s="21" t="inlineStr">
        <is>
          <t>3 этаж (отм. +7.550…+11.150)</t>
        </is>
      </c>
      <c r="C1253" s="21" t="inlineStr">
        <is>
          <t>Лестница ЛВ-1</t>
        </is>
      </c>
      <c r="D1253" s="21" t="inlineStr">
        <is>
          <t>оси 3–4 / Г</t>
        </is>
      </c>
      <c r="E1253" s="21" t="inlineStr">
        <is>
          <t>ЛВ-1 марш 5</t>
        </is>
      </c>
      <c r="F1253" s="72" t="inlineStr">
        <is>
          <t>4</t>
        </is>
      </c>
      <c r="G1253" s="21" t="inlineStr">
        <is>
          <t>П-образный Ø10 А240 L=520 по краям марша</t>
        </is>
      </c>
      <c r="H1253" s="51" t="n">
        <v>10</v>
      </c>
      <c r="I1253" s="72" t="inlineStr">
        <is>
          <t>А240</t>
        </is>
      </c>
      <c r="J1253" s="72" t="inlineStr">
        <is>
          <t>50/100/200</t>
        </is>
      </c>
      <c r="K1253" s="75" t="n">
        <v>1</v>
      </c>
      <c r="L1253" s="51" t="n">
        <v>60</v>
      </c>
      <c r="M1253" s="69" t="n">
        <v>0.52</v>
      </c>
      <c r="N1253" s="70">
        <f>K1253*L1253*M1253</f>
        <v/>
      </c>
      <c r="O1253" s="37">
        <f>IFERROR(INDEX(Исходные!$B$19:$B$31,MATCH(H1253,Исходные!$A$19:$A$31,0)),0)</f>
        <v/>
      </c>
      <c r="P1253" s="76">
        <f>N1253*O1253</f>
        <v/>
      </c>
      <c r="Q1253" s="21" t="inlineStr">
        <is>
          <t>АС-68 сеч.а-а поз.4</t>
        </is>
      </c>
      <c r="R1253" s="77" t="inlineStr">
        <is>
          <t>по проекту</t>
        </is>
      </c>
      <c r="S1253" s="21" t="inlineStr"/>
      <c r="T1253" s="21" t="inlineStr">
        <is>
          <t>Лестницы</t>
        </is>
      </c>
      <c r="U1253" s="49" t="n">
        <v>0</v>
      </c>
      <c r="V1253" s="72" t="inlineStr">
        <is>
          <t>Л1</t>
        </is>
      </c>
      <c r="W1253" s="49" t="n">
        <v>3</v>
      </c>
    </row>
    <row r="1254">
      <c r="A1254" s="72" t="n">
        <v>1226</v>
      </c>
      <c r="B1254" s="21" t="inlineStr">
        <is>
          <t>3 этаж (отм. +7.550…+11.150)</t>
        </is>
      </c>
      <c r="C1254" s="21" t="inlineStr">
        <is>
          <t>Лестница ЛВ-1</t>
        </is>
      </c>
      <c r="D1254" s="21" t="inlineStr">
        <is>
          <t>оси 3–4 / Г</t>
        </is>
      </c>
      <c r="E1254" s="21" t="inlineStr">
        <is>
          <t>ЛВ-1 марш 5</t>
        </is>
      </c>
      <c r="F1254" s="72" t="inlineStr">
        <is>
          <t>3</t>
        </is>
      </c>
      <c r="G1254" s="21" t="inlineStr">
        <is>
          <t>Шпилька Ø6 А240 L=280 ш.300 в шахм. порядке</t>
        </is>
      </c>
      <c r="H1254" s="51" t="n">
        <v>6</v>
      </c>
      <c r="I1254" s="72" t="inlineStr">
        <is>
          <t>А240</t>
        </is>
      </c>
      <c r="J1254" s="72" t="inlineStr">
        <is>
          <t>300 шахм.</t>
        </is>
      </c>
      <c r="K1254" s="75" t="n">
        <v>1</v>
      </c>
      <c r="L1254" s="51" t="n">
        <v>38</v>
      </c>
      <c r="M1254" s="69" t="n">
        <v>0.28</v>
      </c>
      <c r="N1254" s="70">
        <f>K1254*L1254*M1254</f>
        <v/>
      </c>
      <c r="O1254" s="37">
        <f>IFERROR(INDEX(Исходные!$B$19:$B$31,MATCH(H1254,Исходные!$A$19:$A$31,0)),0)</f>
        <v/>
      </c>
      <c r="P1254" s="76">
        <f>N1254*O1254</f>
        <v/>
      </c>
      <c r="Q1254" s="21" t="inlineStr">
        <is>
          <t>АС-68 сеч.а-а поз.3</t>
        </is>
      </c>
      <c r="R1254" s="78" t="inlineStr">
        <is>
          <t>принято (уточнить)</t>
        </is>
      </c>
      <c r="S1254" s="21" t="inlineStr">
        <is>
          <t>3.759 × 0,90 / 0,09 = 38 шт</t>
        </is>
      </c>
      <c r="T1254" s="21" t="inlineStr">
        <is>
          <t>Лестницы</t>
        </is>
      </c>
      <c r="U1254" s="49" t="n">
        <v>1</v>
      </c>
      <c r="V1254" s="72" t="inlineStr">
        <is>
          <t>Л1</t>
        </is>
      </c>
      <c r="W1254" s="49" t="n">
        <v>3</v>
      </c>
    </row>
    <row r="1255">
      <c r="A1255" s="72" t="n">
        <v>1227</v>
      </c>
      <c r="B1255" s="21" t="inlineStr">
        <is>
          <t>3 этаж (отм. +7.550…+11.150)</t>
        </is>
      </c>
      <c r="C1255" s="21" t="inlineStr">
        <is>
          <t>Лестница ЛВ-1</t>
        </is>
      </c>
      <c r="D1255" s="21" t="inlineStr">
        <is>
          <t>оси 3–4 / Г</t>
        </is>
      </c>
      <c r="E1255" s="21" t="inlineStr">
        <is>
          <t>ЛВ-1 марш 5</t>
        </is>
      </c>
      <c r="F1255" s="72" t="inlineStr">
        <is>
          <t>С-1</t>
        </is>
      </c>
      <c r="G1255" s="21" t="inlineStr">
        <is>
          <t>Сетка С-1 5/5/100/100 (Ø5 Вр-I) по ступеням: проволока 20 м на 1 м²</t>
        </is>
      </c>
      <c r="H1255" s="51" t="n">
        <v>5</v>
      </c>
      <c r="I1255" s="72" t="inlineStr">
        <is>
          <t>Вр-I</t>
        </is>
      </c>
      <c r="J1255" s="72" t="inlineStr">
        <is>
          <t>100×100</t>
        </is>
      </c>
      <c r="K1255" s="75" t="n">
        <v>6.38</v>
      </c>
      <c r="L1255" s="51" t="n">
        <v>20</v>
      </c>
      <c r="M1255" s="69" t="n">
        <v>1</v>
      </c>
      <c r="N1255" s="70">
        <f>K1255*L1255*M1255</f>
        <v/>
      </c>
      <c r="O1255" s="37">
        <f>IFERROR(INDEX(Исходные!$B$19:$B$31,MATCH(H1255,Исходные!$A$19:$A$31,0)),0)</f>
        <v/>
      </c>
      <c r="P1255" s="76">
        <f>N1255*O1255</f>
        <v/>
      </c>
      <c r="Q1255" s="21" t="inlineStr">
        <is>
          <t>АС-68 «Сетка С-1 5/5/100/100»</t>
        </is>
      </c>
      <c r="R1255" s="78" t="inlineStr">
        <is>
          <t>по геометрии (уточнить)</t>
        </is>
      </c>
      <c r="S1255" s="21" t="inlineStr">
        <is>
          <t>(12×0,15 + 11×0,30 = 5.10 м) × 1,25 = 6.38 м²</t>
        </is>
      </c>
      <c r="T1255" s="21" t="inlineStr">
        <is>
          <t>Лестницы</t>
        </is>
      </c>
      <c r="U1255" s="49" t="n">
        <v>1</v>
      </c>
      <c r="V1255" s="72" t="inlineStr">
        <is>
          <t>Л1</t>
        </is>
      </c>
      <c r="W1255" s="49" t="n">
        <v>3</v>
      </c>
    </row>
    <row r="1256">
      <c r="A1256" s="72" t="n">
        <v>1228</v>
      </c>
      <c r="B1256" s="21" t="inlineStr">
        <is>
          <t>3 этаж (отм. +7.550…+11.150)</t>
        </is>
      </c>
      <c r="C1256" s="21" t="inlineStr">
        <is>
          <t>Лестница ЛВ-1</t>
        </is>
      </c>
      <c r="D1256" s="21" t="inlineStr">
        <is>
          <t>оси 3–4 / Г (А-А АС-67)</t>
        </is>
      </c>
      <c r="E1256" s="21" t="inlineStr">
        <is>
          <t>ЛВ-1 марш 6</t>
        </is>
      </c>
      <c r="F1256" s="72" t="inlineStr">
        <is>
          <t>1</t>
        </is>
      </c>
      <c r="G1256" s="21" t="inlineStr">
        <is>
          <t>Рабочие продольные 18Ø18 ш.150 (9 верх + 9 низ), марш 6 (9.400→11.200), 12×150 / 11×300; через площадку 9.400 до Лрм-2</t>
        </is>
      </c>
      <c r="H1256" s="51" t="n">
        <v>18</v>
      </c>
      <c r="I1256" s="72" t="inlineStr">
        <is>
          <t>А500С</t>
        </is>
      </c>
      <c r="J1256" s="72" t="n">
        <v>150</v>
      </c>
      <c r="K1256" s="75" t="n">
        <v>1</v>
      </c>
      <c r="L1256" s="51" t="n">
        <v>18</v>
      </c>
      <c r="M1256" s="69" t="n">
        <v>6.109</v>
      </c>
      <c r="N1256" s="70">
        <f>K1256*L1256*M1256</f>
        <v/>
      </c>
      <c r="O1256" s="37">
        <f>IFERROR(INDEX(Исходные!$B$19:$B$31,MATCH(H1256,Исходные!$A$19:$A$31,0)),0)</f>
        <v/>
      </c>
      <c r="P1256" s="76">
        <f>N1256*O1256</f>
        <v/>
      </c>
      <c r="Q1256" s="21" t="inlineStr">
        <is>
          <t>АС-68 сеч.а-а «18Ø18 А500С ш.150»; АС-67 разрез (3 этаж: 150×12, 300×11)</t>
        </is>
      </c>
      <c r="R1256" s="78" t="inlineStr">
        <is>
          <t>по геометрии (уточнить)</t>
        </is>
      </c>
      <c r="S1256" s="21" t="inlineStr">
        <is>
          <t>L = 1.00 (заход в плиту, узлы «3»,«4») + 3.759 (наклон √(3.3²+1.8²)) + 1.35 (площадка до Лрм-2)</t>
        </is>
      </c>
      <c r="T1256" s="21" t="inlineStr">
        <is>
          <t>Лестницы</t>
        </is>
      </c>
      <c r="U1256" s="49" t="n">
        <v>1</v>
      </c>
      <c r="V1256" s="72" t="inlineStr">
        <is>
          <t>Л2</t>
        </is>
      </c>
      <c r="W1256" s="49" t="n">
        <v>3</v>
      </c>
    </row>
    <row r="1257">
      <c r="A1257" s="72" t="n">
        <v>1229</v>
      </c>
      <c r="B1257" s="21" t="inlineStr">
        <is>
          <t>3 этаж (отм. +7.550…+11.150)</t>
        </is>
      </c>
      <c r="C1257" s="21" t="inlineStr">
        <is>
          <t>Лестница ЛВ-1</t>
        </is>
      </c>
      <c r="D1257" s="21" t="inlineStr">
        <is>
          <t>оси 3–4 / Г</t>
        </is>
      </c>
      <c r="E1257" s="21" t="inlineStr">
        <is>
          <t>ЛВ-1 марш 6</t>
        </is>
      </c>
      <c r="F1257" s="72" t="inlineStr">
        <is>
          <t>2</t>
        </is>
      </c>
      <c r="G1257" s="21" t="inlineStr">
        <is>
          <t>Поперечные Ø10 А500С ш.50/100/200 (2 ряда), L=1190</t>
        </is>
      </c>
      <c r="H1257" s="51" t="n">
        <v>10</v>
      </c>
      <c r="I1257" s="72" t="inlineStr">
        <is>
          <t>А500С</t>
        </is>
      </c>
      <c r="J1257" s="72" t="inlineStr">
        <is>
          <t>50/100/200</t>
        </is>
      </c>
      <c r="K1257" s="75" t="n">
        <v>1</v>
      </c>
      <c r="L1257" s="51" t="n">
        <v>60</v>
      </c>
      <c r="M1257" s="69" t="n">
        <v>1.19</v>
      </c>
      <c r="N1257" s="70">
        <f>K1257*L1257*M1257</f>
        <v/>
      </c>
      <c r="O1257" s="37">
        <f>IFERROR(INDEX(Исходные!$B$19:$B$31,MATCH(H1257,Исходные!$A$19:$A$31,0)),0)</f>
        <v/>
      </c>
      <c r="P1257" s="76">
        <f>N1257*O1257</f>
        <v/>
      </c>
      <c r="Q1257" s="21" t="inlineStr">
        <is>
          <t>АС-68 сеч.а-а поз.2</t>
        </is>
      </c>
      <c r="R1257" s="77" t="inlineStr">
        <is>
          <t>по проекту</t>
        </is>
      </c>
      <c r="S1257" s="21" t="inlineStr">
        <is>
          <t>30 шт в ряду × 2 ряда; марш по наклону 3.759 м</t>
        </is>
      </c>
      <c r="T1257" s="21" t="inlineStr">
        <is>
          <t>Лестницы</t>
        </is>
      </c>
      <c r="U1257" s="49" t="n">
        <v>0</v>
      </c>
      <c r="V1257" s="72" t="inlineStr">
        <is>
          <t>Л2</t>
        </is>
      </c>
      <c r="W1257" s="49" t="n">
        <v>3</v>
      </c>
    </row>
    <row r="1258">
      <c r="A1258" s="72" t="n">
        <v>1230</v>
      </c>
      <c r="B1258" s="21" t="inlineStr">
        <is>
          <t>3 этаж (отм. +7.550…+11.150)</t>
        </is>
      </c>
      <c r="C1258" s="21" t="inlineStr">
        <is>
          <t>Лестница ЛВ-1</t>
        </is>
      </c>
      <c r="D1258" s="21" t="inlineStr">
        <is>
          <t>оси 3–4 / Г</t>
        </is>
      </c>
      <c r="E1258" s="21" t="inlineStr">
        <is>
          <t>ЛВ-1 марш 6</t>
        </is>
      </c>
      <c r="F1258" s="72" t="inlineStr">
        <is>
          <t>4</t>
        </is>
      </c>
      <c r="G1258" s="21" t="inlineStr">
        <is>
          <t>П-образный Ø10 А240 L=520 по краям марша</t>
        </is>
      </c>
      <c r="H1258" s="51" t="n">
        <v>10</v>
      </c>
      <c r="I1258" s="72" t="inlineStr">
        <is>
          <t>А240</t>
        </is>
      </c>
      <c r="J1258" s="72" t="inlineStr">
        <is>
          <t>50/100/200</t>
        </is>
      </c>
      <c r="K1258" s="75" t="n">
        <v>1</v>
      </c>
      <c r="L1258" s="51" t="n">
        <v>60</v>
      </c>
      <c r="M1258" s="69" t="n">
        <v>0.52</v>
      </c>
      <c r="N1258" s="70">
        <f>K1258*L1258*M1258</f>
        <v/>
      </c>
      <c r="O1258" s="37">
        <f>IFERROR(INDEX(Исходные!$B$19:$B$31,MATCH(H1258,Исходные!$A$19:$A$31,0)),0)</f>
        <v/>
      </c>
      <c r="P1258" s="76">
        <f>N1258*O1258</f>
        <v/>
      </c>
      <c r="Q1258" s="21" t="inlineStr">
        <is>
          <t>АС-68 сеч.а-а поз.4</t>
        </is>
      </c>
      <c r="R1258" s="77" t="inlineStr">
        <is>
          <t>по проекту</t>
        </is>
      </c>
      <c r="S1258" s="21" t="inlineStr"/>
      <c r="T1258" s="21" t="inlineStr">
        <is>
          <t>Лестницы</t>
        </is>
      </c>
      <c r="U1258" s="49" t="n">
        <v>0</v>
      </c>
      <c r="V1258" s="72" t="inlineStr">
        <is>
          <t>Л2</t>
        </is>
      </c>
      <c r="W1258" s="49" t="n">
        <v>3</v>
      </c>
    </row>
    <row r="1259">
      <c r="A1259" s="72" t="n">
        <v>1231</v>
      </c>
      <c r="B1259" s="21" t="inlineStr">
        <is>
          <t>3 этаж (отм. +7.550…+11.150)</t>
        </is>
      </c>
      <c r="C1259" s="21" t="inlineStr">
        <is>
          <t>Лестница ЛВ-1</t>
        </is>
      </c>
      <c r="D1259" s="21" t="inlineStr">
        <is>
          <t>оси 3–4 / Г</t>
        </is>
      </c>
      <c r="E1259" s="21" t="inlineStr">
        <is>
          <t>ЛВ-1 марш 6</t>
        </is>
      </c>
      <c r="F1259" s="72" t="inlineStr">
        <is>
          <t>3</t>
        </is>
      </c>
      <c r="G1259" s="21" t="inlineStr">
        <is>
          <t>Шпилька Ø6 А240 L=280 ш.300 в шахм. порядке</t>
        </is>
      </c>
      <c r="H1259" s="51" t="n">
        <v>6</v>
      </c>
      <c r="I1259" s="72" t="inlineStr">
        <is>
          <t>А240</t>
        </is>
      </c>
      <c r="J1259" s="72" t="inlineStr">
        <is>
          <t>300 шахм.</t>
        </is>
      </c>
      <c r="K1259" s="75" t="n">
        <v>1</v>
      </c>
      <c r="L1259" s="51" t="n">
        <v>38</v>
      </c>
      <c r="M1259" s="69" t="n">
        <v>0.28</v>
      </c>
      <c r="N1259" s="70">
        <f>K1259*L1259*M1259</f>
        <v/>
      </c>
      <c r="O1259" s="37">
        <f>IFERROR(INDEX(Исходные!$B$19:$B$31,MATCH(H1259,Исходные!$A$19:$A$31,0)),0)</f>
        <v/>
      </c>
      <c r="P1259" s="76">
        <f>N1259*O1259</f>
        <v/>
      </c>
      <c r="Q1259" s="21" t="inlineStr">
        <is>
          <t>АС-68 сеч.а-а поз.3</t>
        </is>
      </c>
      <c r="R1259" s="78" t="inlineStr">
        <is>
          <t>принято (уточнить)</t>
        </is>
      </c>
      <c r="S1259" s="21" t="inlineStr">
        <is>
          <t>3.759 × 0,90 / 0,09 = 38 шт</t>
        </is>
      </c>
      <c r="T1259" s="21" t="inlineStr">
        <is>
          <t>Лестницы</t>
        </is>
      </c>
      <c r="U1259" s="49" t="n">
        <v>1</v>
      </c>
      <c r="V1259" s="72" t="inlineStr">
        <is>
          <t>Л2</t>
        </is>
      </c>
      <c r="W1259" s="49" t="n">
        <v>3</v>
      </c>
    </row>
    <row r="1260">
      <c r="A1260" s="72" t="n">
        <v>1232</v>
      </c>
      <c r="B1260" s="21" t="inlineStr">
        <is>
          <t>3 этаж (отм. +7.550…+11.150)</t>
        </is>
      </c>
      <c r="C1260" s="21" t="inlineStr">
        <is>
          <t>Лестница ЛВ-1</t>
        </is>
      </c>
      <c r="D1260" s="21" t="inlineStr">
        <is>
          <t>оси 3–4 / Г</t>
        </is>
      </c>
      <c r="E1260" s="21" t="inlineStr">
        <is>
          <t>ЛВ-1 марш 6</t>
        </is>
      </c>
      <c r="F1260" s="72" t="inlineStr">
        <is>
          <t>С-1</t>
        </is>
      </c>
      <c r="G1260" s="21" t="inlineStr">
        <is>
          <t>Сетка С-1 5/5/100/100 (Ø5 Вр-I) по ступеням: проволока 20 м на 1 м²</t>
        </is>
      </c>
      <c r="H1260" s="51" t="n">
        <v>5</v>
      </c>
      <c r="I1260" s="72" t="inlineStr">
        <is>
          <t>Вр-I</t>
        </is>
      </c>
      <c r="J1260" s="72" t="inlineStr">
        <is>
          <t>100×100</t>
        </is>
      </c>
      <c r="K1260" s="75" t="n">
        <v>6.38</v>
      </c>
      <c r="L1260" s="51" t="n">
        <v>20</v>
      </c>
      <c r="M1260" s="69" t="n">
        <v>1</v>
      </c>
      <c r="N1260" s="70">
        <f>K1260*L1260*M1260</f>
        <v/>
      </c>
      <c r="O1260" s="37">
        <f>IFERROR(INDEX(Исходные!$B$19:$B$31,MATCH(H1260,Исходные!$A$19:$A$31,0)),0)</f>
        <v/>
      </c>
      <c r="P1260" s="76">
        <f>N1260*O1260</f>
        <v/>
      </c>
      <c r="Q1260" s="21" t="inlineStr">
        <is>
          <t>АС-68 «Сетка С-1 5/5/100/100»</t>
        </is>
      </c>
      <c r="R1260" s="78" t="inlineStr">
        <is>
          <t>по геометрии (уточнить)</t>
        </is>
      </c>
      <c r="S1260" s="21" t="inlineStr">
        <is>
          <t>(12×0,15 + 11×0,30 = 5.10 м) × 1,25 = 6.38 м²</t>
        </is>
      </c>
      <c r="T1260" s="21" t="inlineStr">
        <is>
          <t>Лестницы</t>
        </is>
      </c>
      <c r="U1260" s="49" t="n">
        <v>1</v>
      </c>
      <c r="V1260" s="72" t="inlineStr">
        <is>
          <t>Л2</t>
        </is>
      </c>
      <c r="W1260" s="49" t="n">
        <v>3</v>
      </c>
    </row>
    <row r="1261">
      <c r="A1261" s="72" t="n">
        <v>1233</v>
      </c>
      <c r="B1261" s="21" t="inlineStr">
        <is>
          <t>3 этаж (отм. +7.550…+11.150)</t>
        </is>
      </c>
      <c r="C1261" s="21" t="inlineStr">
        <is>
          <t>Лестница ЛВ-1</t>
        </is>
      </c>
      <c r="D1261" s="21" t="inlineStr">
        <is>
          <t>ось 3 / Г, отм. 9.400</t>
        </is>
      </c>
      <c r="E1261" s="21" t="inlineStr">
        <is>
          <t>ЛВ-1 площадка 9.400</t>
        </is>
      </c>
      <c r="F1261" s="72" t="inlineStr">
        <is>
          <t>2</t>
        </is>
      </c>
      <c r="G1261" s="21" t="inlineStr">
        <is>
          <t>Поперечные Ø10 А500С ш.100 (2 полосы × 2 ряда), L=1190</t>
        </is>
      </c>
      <c r="H1261" s="51" t="n">
        <v>10</v>
      </c>
      <c r="I1261" s="72" t="inlineStr">
        <is>
          <t>А500С</t>
        </is>
      </c>
      <c r="J1261" s="72" t="n">
        <v>100</v>
      </c>
      <c r="K1261" s="75" t="n">
        <v>2</v>
      </c>
      <c r="L1261" s="51" t="n">
        <v>28</v>
      </c>
      <c r="M1261" s="69" t="n">
        <v>1.19</v>
      </c>
      <c r="N1261" s="70">
        <f>K1261*L1261*M1261</f>
        <v/>
      </c>
      <c r="O1261" s="37">
        <f>IFERROR(INDEX(Исходные!$B$19:$B$31,MATCH(H1261,Исходные!$A$19:$A$31,0)),0)</f>
        <v/>
      </c>
      <c r="P1261" s="76">
        <f>N1261*O1261</f>
        <v/>
      </c>
      <c r="Q1261" s="21" t="inlineStr">
        <is>
          <t>АС-68 сеч.б-б поз.2</t>
        </is>
      </c>
      <c r="R1261" s="77" t="inlineStr">
        <is>
          <t>по проекту</t>
        </is>
      </c>
      <c r="S1261" s="21" t="inlineStr"/>
      <c r="T1261" s="21" t="inlineStr">
        <is>
          <t>Лестницы</t>
        </is>
      </c>
      <c r="U1261" s="49" t="n">
        <v>0</v>
      </c>
      <c r="V1261" s="72" t="inlineStr">
        <is>
          <t>Л-пл</t>
        </is>
      </c>
      <c r="W1261" s="49" t="n">
        <v>3</v>
      </c>
    </row>
    <row r="1262">
      <c r="A1262" s="72" t="n">
        <v>1234</v>
      </c>
      <c r="B1262" s="21" t="inlineStr">
        <is>
          <t>3 этаж (отм. +7.550…+11.150)</t>
        </is>
      </c>
      <c r="C1262" s="21" t="inlineStr">
        <is>
          <t>Лестница ЛВ-1</t>
        </is>
      </c>
      <c r="D1262" s="21" t="inlineStr">
        <is>
          <t>ось 3 / Г, отм. 9.400</t>
        </is>
      </c>
      <c r="E1262" s="21" t="inlineStr">
        <is>
          <t>ЛВ-1 площадка 9.400</t>
        </is>
      </c>
      <c r="F1262" s="72" t="inlineStr">
        <is>
          <t>4</t>
        </is>
      </c>
      <c r="G1262" s="21" t="inlineStr">
        <is>
          <t>П-образный Ø10 А240 L=520 по краям полос</t>
        </is>
      </c>
      <c r="H1262" s="51" t="n">
        <v>10</v>
      </c>
      <c r="I1262" s="72" t="inlineStr">
        <is>
          <t>А240</t>
        </is>
      </c>
      <c r="J1262" s="72" t="n">
        <v>100</v>
      </c>
      <c r="K1262" s="75" t="n">
        <v>2</v>
      </c>
      <c r="L1262" s="51" t="n">
        <v>28</v>
      </c>
      <c r="M1262" s="69" t="n">
        <v>0.52</v>
      </c>
      <c r="N1262" s="70">
        <f>K1262*L1262*M1262</f>
        <v/>
      </c>
      <c r="O1262" s="37">
        <f>IFERROR(INDEX(Исходные!$B$19:$B$31,MATCH(H1262,Исходные!$A$19:$A$31,0)),0)</f>
        <v/>
      </c>
      <c r="P1262" s="76">
        <f>N1262*O1262</f>
        <v/>
      </c>
      <c r="Q1262" s="21" t="inlineStr">
        <is>
          <t>АС-68 сеч.б-б поз.4</t>
        </is>
      </c>
      <c r="R1262" s="77" t="inlineStr">
        <is>
          <t>по проекту</t>
        </is>
      </c>
      <c r="S1262" s="21" t="inlineStr"/>
      <c r="T1262" s="21" t="inlineStr">
        <is>
          <t>Лестницы</t>
        </is>
      </c>
      <c r="U1262" s="49" t="n">
        <v>0</v>
      </c>
      <c r="V1262" s="72" t="inlineStr">
        <is>
          <t>Л-пл</t>
        </is>
      </c>
      <c r="W1262" s="49" t="n">
        <v>3</v>
      </c>
    </row>
    <row r="1263">
      <c r="A1263" s="72" t="n">
        <v>1235</v>
      </c>
      <c r="B1263" s="21" t="inlineStr">
        <is>
          <t>3 этаж (отм. +7.550…+11.150)</t>
        </is>
      </c>
      <c r="C1263" s="21" t="inlineStr">
        <is>
          <t>Лестница ЛВ-1</t>
        </is>
      </c>
      <c r="D1263" s="21" t="inlineStr">
        <is>
          <t>ось 3 / Г, отм. 9.400</t>
        </is>
      </c>
      <c r="E1263" s="21" t="inlineStr">
        <is>
          <t>ЛВ-1 площадка 9.400</t>
        </is>
      </c>
      <c r="F1263" s="72" t="inlineStr">
        <is>
          <t>5</t>
        </is>
      </c>
      <c r="G1263" s="21" t="inlineStr">
        <is>
          <t>Связь полос Ø10 А500С ш.100 L=600</t>
        </is>
      </c>
      <c r="H1263" s="51" t="n">
        <v>10</v>
      </c>
      <c r="I1263" s="72" t="inlineStr">
        <is>
          <t>А500С</t>
        </is>
      </c>
      <c r="J1263" s="72" t="n">
        <v>100</v>
      </c>
      <c r="K1263" s="75" t="n">
        <v>1</v>
      </c>
      <c r="L1263" s="51" t="n">
        <v>28</v>
      </c>
      <c r="M1263" s="69" t="n">
        <v>0.6</v>
      </c>
      <c r="N1263" s="70">
        <f>K1263*L1263*M1263</f>
        <v/>
      </c>
      <c r="O1263" s="37">
        <f>IFERROR(INDEX(Исходные!$B$19:$B$31,MATCH(H1263,Исходные!$A$19:$A$31,0)),0)</f>
        <v/>
      </c>
      <c r="P1263" s="76">
        <f>N1263*O1263</f>
        <v/>
      </c>
      <c r="Q1263" s="21" t="inlineStr">
        <is>
          <t>АС-68 сеч.б-б поз.5</t>
        </is>
      </c>
      <c r="R1263" s="77" t="inlineStr">
        <is>
          <t>по проекту</t>
        </is>
      </c>
      <c r="S1263" s="21" t="inlineStr"/>
      <c r="T1263" s="21" t="inlineStr">
        <is>
          <t>Лестницы</t>
        </is>
      </c>
      <c r="U1263" s="49" t="n">
        <v>0</v>
      </c>
      <c r="V1263" s="72" t="inlineStr">
        <is>
          <t>Л-пл</t>
        </is>
      </c>
      <c r="W1263" s="49" t="n">
        <v>3</v>
      </c>
    </row>
    <row r="1264">
      <c r="A1264" s="72" t="n">
        <v>1236</v>
      </c>
      <c r="B1264" s="21" t="inlineStr">
        <is>
          <t>3 этаж (отм. +7.550…+11.150)</t>
        </is>
      </c>
      <c r="C1264" s="21" t="inlineStr">
        <is>
          <t>Лестница ЛВ-1</t>
        </is>
      </c>
      <c r="D1264" s="21" t="inlineStr">
        <is>
          <t>ось 3 / Г, отм. 9.400</t>
        </is>
      </c>
      <c r="E1264" s="21" t="inlineStr">
        <is>
          <t>ЛВ-1 площадка 9.400</t>
        </is>
      </c>
      <c r="F1264" s="72" t="inlineStr">
        <is>
          <t>3</t>
        </is>
      </c>
      <c r="G1264" s="21" t="inlineStr">
        <is>
          <t>Шпилька Ø6 А240 L=280 ш.300 шахм.</t>
        </is>
      </c>
      <c r="H1264" s="51" t="n">
        <v>6</v>
      </c>
      <c r="I1264" s="72" t="inlineStr">
        <is>
          <t>А240</t>
        </is>
      </c>
      <c r="J1264" s="72" t="inlineStr">
        <is>
          <t>300 шахм.</t>
        </is>
      </c>
      <c r="K1264" s="75" t="n">
        <v>1</v>
      </c>
      <c r="L1264" s="51" t="n">
        <v>28</v>
      </c>
      <c r="M1264" s="69" t="n">
        <v>0.28</v>
      </c>
      <c r="N1264" s="70">
        <f>K1264*L1264*M1264</f>
        <v/>
      </c>
      <c r="O1264" s="37">
        <f>IFERROR(INDEX(Исходные!$B$19:$B$31,MATCH(H1264,Исходные!$A$19:$A$31,0)),0)</f>
        <v/>
      </c>
      <c r="P1264" s="76">
        <f>N1264*O1264</f>
        <v/>
      </c>
      <c r="Q1264" s="21" t="inlineStr">
        <is>
          <t>АС-68 сеч.б-б поз.3</t>
        </is>
      </c>
      <c r="R1264" s="78" t="inlineStr">
        <is>
          <t>принято (уточнить)</t>
        </is>
      </c>
      <c r="S1264" s="21" t="inlineStr"/>
      <c r="T1264" s="21" t="inlineStr">
        <is>
          <t>Лестницы</t>
        </is>
      </c>
      <c r="U1264" s="49" t="n">
        <v>1</v>
      </c>
      <c r="V1264" s="72" t="inlineStr">
        <is>
          <t>Л-пл</t>
        </is>
      </c>
      <c r="W1264" s="49" t="n">
        <v>3</v>
      </c>
    </row>
    <row r="1265">
      <c r="A1265" s="72" t="n">
        <v>1237</v>
      </c>
      <c r="B1265" s="21" t="inlineStr">
        <is>
          <t>3 этаж (отм. +7.550…+11.150)</t>
        </is>
      </c>
      <c r="C1265" s="21" t="inlineStr">
        <is>
          <t>Лестница ЛВ-1</t>
        </is>
      </c>
      <c r="D1265" s="21" t="inlineStr">
        <is>
          <t>ось 3 / Г, отм. 9.400</t>
        </is>
      </c>
      <c r="E1265" s="21" t="inlineStr">
        <is>
          <t>ЛВ-1 площадка 9.400</t>
        </is>
      </c>
      <c r="F1265" s="72" t="inlineStr">
        <is>
          <t>Зд-1</t>
        </is>
      </c>
      <c r="G1265" s="21" t="inlineStr">
        <is>
          <t>Анкеры закладной Зд-1: 4Ø10 L=480 на 1 Зд-1, 2 шт</t>
        </is>
      </c>
      <c r="H1265" s="51" t="n">
        <v>10</v>
      </c>
      <c r="I1265" s="72" t="inlineStr">
        <is>
          <t>А500С</t>
        </is>
      </c>
      <c r="J1265" s="72" t="inlineStr">
        <is>
          <t>—</t>
        </is>
      </c>
      <c r="K1265" s="75" t="n">
        <v>2</v>
      </c>
      <c r="L1265" s="51" t="n">
        <v>4</v>
      </c>
      <c r="M1265" s="69" t="n">
        <v>0.48</v>
      </c>
      <c r="N1265" s="70">
        <f>K1265*L1265*M1265</f>
        <v/>
      </c>
      <c r="O1265" s="37">
        <f>IFERROR(INDEX(Исходные!$B$19:$B$31,MATCH(H1265,Исходные!$A$19:$A$31,0)),0)</f>
        <v/>
      </c>
      <c r="P1265" s="76">
        <f>N1265*O1265</f>
        <v/>
      </c>
      <c r="Q1265" s="21" t="inlineStr">
        <is>
          <t>АС-67 узел «1», «Зд-1»</t>
        </is>
      </c>
      <c r="R1265" s="78" t="inlineStr">
        <is>
          <t>принято (уточнить)</t>
        </is>
      </c>
      <c r="S1265" s="21" t="inlineStr"/>
      <c r="T1265" s="21" t="inlineStr">
        <is>
          <t>Лестницы</t>
        </is>
      </c>
      <c r="U1265" s="49" t="n">
        <v>1</v>
      </c>
      <c r="V1265" s="72" t="inlineStr">
        <is>
          <t>Л-пл</t>
        </is>
      </c>
      <c r="W1265" s="49" t="n">
        <v>3</v>
      </c>
    </row>
    <row r="1266">
      <c r="A1266" s="72" t="n">
        <v>1238</v>
      </c>
      <c r="B1266" s="21" t="inlineStr">
        <is>
          <t>3 этаж (отм. +7.550…+11.150)</t>
        </is>
      </c>
      <c r="C1266" s="21" t="inlineStr">
        <is>
          <t>Лестница ЛВ-1</t>
        </is>
      </c>
      <c r="D1266" s="21" t="inlineStr">
        <is>
          <t>ось 3, от оси Г 2855</t>
        </is>
      </c>
      <c r="E1266" s="21" t="inlineStr">
        <is>
          <t>Лрм-2</t>
        </is>
      </c>
      <c r="F1266" s="72" t="inlineStr">
        <is>
          <t>1</t>
        </is>
      </c>
      <c r="G1266" s="21" t="inlineStr">
        <is>
          <t>Ригель рамы 300×300: 4Ø25 (концы с Аш-6)</t>
        </is>
      </c>
      <c r="H1266" s="51" t="n">
        <v>25</v>
      </c>
      <c r="I1266" s="72" t="inlineStr">
        <is>
          <t>А500С</t>
        </is>
      </c>
      <c r="J1266" s="72" t="inlineStr">
        <is>
          <t>—</t>
        </is>
      </c>
      <c r="K1266" s="75" t="n">
        <v>1</v>
      </c>
      <c r="L1266" s="51" t="n">
        <v>4</v>
      </c>
      <c r="M1266" s="69" t="n">
        <v>3.065</v>
      </c>
      <c r="N1266" s="70">
        <f>K1266*L1266*M1266</f>
        <v/>
      </c>
      <c r="O1266" s="37">
        <f>IFERROR(INDEX(Исходные!$B$19:$B$31,MATCH(H1266,Исходные!$A$19:$A$31,0)),0)</f>
        <v/>
      </c>
      <c r="P1266" s="76">
        <f>N1266*O1266</f>
        <v/>
      </c>
      <c r="Q1266" s="21" t="inlineStr">
        <is>
          <t>АС-69 «Рама Лрм-1 (Лрм-2)» сеч.2-2</t>
        </is>
      </c>
      <c r="R1266" s="78" t="inlineStr">
        <is>
          <t>по геометрии (уточнить)</t>
        </is>
      </c>
      <c r="S1266" s="21" t="inlineStr"/>
      <c r="T1266" s="21" t="inlineStr">
        <is>
          <t>Лестницы</t>
        </is>
      </c>
      <c r="U1266" s="49" t="n">
        <v>1</v>
      </c>
      <c r="V1266" s="72" t="inlineStr">
        <is>
          <t>Л-рама</t>
        </is>
      </c>
      <c r="W1266" s="49" t="n">
        <v>3</v>
      </c>
    </row>
    <row r="1267">
      <c r="A1267" s="72" t="n">
        <v>1239</v>
      </c>
      <c r="B1267" s="21" t="inlineStr">
        <is>
          <t>3 этаж (отм. +7.550…+11.150)</t>
        </is>
      </c>
      <c r="C1267" s="21" t="inlineStr">
        <is>
          <t>Лестница ЛВ-1</t>
        </is>
      </c>
      <c r="D1267" s="21" t="inlineStr">
        <is>
          <t>ось 3, от оси Г 2855</t>
        </is>
      </c>
      <c r="E1267" s="21" t="inlineStr">
        <is>
          <t>Лрм-2</t>
        </is>
      </c>
      <c r="F1267" s="72" t="inlineStr">
        <is>
          <t>1</t>
        </is>
      </c>
      <c r="G1267" s="21" t="inlineStr">
        <is>
          <t>Стойка рамы 300×300: 4Ø25 (550 ниже +7.550 с Аш-6; высота 1700)</t>
        </is>
      </c>
      <c r="H1267" s="51" t="n">
        <v>25</v>
      </c>
      <c r="I1267" s="72" t="inlineStr">
        <is>
          <t>А500С</t>
        </is>
      </c>
      <c r="J1267" s="72" t="inlineStr">
        <is>
          <t>—</t>
        </is>
      </c>
      <c r="K1267" s="75" t="n">
        <v>1</v>
      </c>
      <c r="L1267" s="51" t="n">
        <v>4</v>
      </c>
      <c r="M1267" s="69" t="n">
        <v>2.21</v>
      </c>
      <c r="N1267" s="70">
        <f>K1267*L1267*M1267</f>
        <v/>
      </c>
      <c r="O1267" s="37">
        <f>IFERROR(INDEX(Исходные!$B$19:$B$31,MATCH(H1267,Исходные!$A$19:$A$31,0)),0)</f>
        <v/>
      </c>
      <c r="P1267" s="76">
        <f>N1267*O1267</f>
        <v/>
      </c>
      <c r="Q1267" s="21" t="inlineStr">
        <is>
          <t>АС-69 «Рама Лрм-1 (Лрм-2)» сеч.1-1 «550» ниже опоры (Лрм-2 3 этажа: 7.550÷9.250, высота 1700)</t>
        </is>
      </c>
      <c r="R1267" s="78" t="inlineStr">
        <is>
          <t>по геометрии (уточнить)</t>
        </is>
      </c>
      <c r="S1267" s="21" t="inlineStr">
        <is>
          <t>L = 550 + 1700 − 40</t>
        </is>
      </c>
      <c r="T1267" s="21" t="inlineStr">
        <is>
          <t>Лестницы</t>
        </is>
      </c>
      <c r="U1267" s="49" t="n">
        <v>1</v>
      </c>
      <c r="V1267" s="72" t="inlineStr">
        <is>
          <t>Л-рама</t>
        </is>
      </c>
      <c r="W1267" s="49" t="n">
        <v>3</v>
      </c>
    </row>
    <row r="1268">
      <c r="A1268" s="72" t="n">
        <v>1240</v>
      </c>
      <c r="B1268" s="21" t="inlineStr">
        <is>
          <t>3 этаж (отм. +7.550…+11.150)</t>
        </is>
      </c>
      <c r="C1268" s="21" t="inlineStr">
        <is>
          <t>Лестница ЛВ-1</t>
        </is>
      </c>
      <c r="D1268" s="21" t="inlineStr">
        <is>
          <t>ось 3</t>
        </is>
      </c>
      <c r="E1268" s="21" t="inlineStr">
        <is>
          <t>Лрм-2</t>
        </is>
      </c>
      <c r="F1268" s="72" t="inlineStr">
        <is>
          <t>1 (хом.)</t>
        </is>
      </c>
      <c r="G1268" s="21" t="inlineStr">
        <is>
          <t>Хомут стойки Ø8 L=1280 ш.100 (на высоту 1400)</t>
        </is>
      </c>
      <c r="H1268" s="51" t="n">
        <v>8</v>
      </c>
      <c r="I1268" s="72" t="inlineStr">
        <is>
          <t>А240</t>
        </is>
      </c>
      <c r="J1268" s="72" t="n">
        <v>100</v>
      </c>
      <c r="K1268" s="75" t="n">
        <v>1</v>
      </c>
      <c r="L1268" s="51" t="n">
        <v>14</v>
      </c>
      <c r="M1268" s="69" t="n">
        <v>1.28</v>
      </c>
      <c r="N1268" s="70">
        <f>K1268*L1268*M1268</f>
        <v/>
      </c>
      <c r="O1268" s="37">
        <f>IFERROR(INDEX(Исходные!$B$19:$B$31,MATCH(H1268,Исходные!$A$19:$A$31,0)),0)</f>
        <v/>
      </c>
      <c r="P1268" s="76">
        <f>N1268*O1268</f>
        <v/>
      </c>
      <c r="Q1268" s="21" t="inlineStr">
        <is>
          <t>АС-69 «Позиция 1 L=1280»</t>
        </is>
      </c>
      <c r="R1268" s="77" t="inlineStr">
        <is>
          <t>по проекту</t>
        </is>
      </c>
      <c r="S1268" s="21" t="inlineStr"/>
      <c r="T1268" s="21" t="inlineStr">
        <is>
          <t>Лестницы</t>
        </is>
      </c>
      <c r="U1268" s="49" t="n">
        <v>0</v>
      </c>
      <c r="V1268" s="72" t="inlineStr">
        <is>
          <t>Л-рама</t>
        </is>
      </c>
      <c r="W1268" s="49" t="n">
        <v>3</v>
      </c>
    </row>
    <row r="1269">
      <c r="A1269" s="72" t="n">
        <v>1241</v>
      </c>
      <c r="B1269" s="21" t="inlineStr">
        <is>
          <t>3 этаж (отм. +7.550…+11.150)</t>
        </is>
      </c>
      <c r="C1269" s="21" t="inlineStr">
        <is>
          <t>Лестница ЛВ-1</t>
        </is>
      </c>
      <c r="D1269" s="21" t="inlineStr">
        <is>
          <t>ось 3</t>
        </is>
      </c>
      <c r="E1269" s="21" t="inlineStr">
        <is>
          <t>Лрм-2</t>
        </is>
      </c>
      <c r="F1269" s="72" t="inlineStr">
        <is>
          <t>2 (хом.)</t>
        </is>
      </c>
      <c r="G1269" s="21" t="inlineStr">
        <is>
          <t>Хомут ригеля Ø8 L=1160 ш.100</t>
        </is>
      </c>
      <c r="H1269" s="51" t="n">
        <v>8</v>
      </c>
      <c r="I1269" s="72" t="inlineStr">
        <is>
          <t>А240</t>
        </is>
      </c>
      <c r="J1269" s="72" t="n">
        <v>100</v>
      </c>
      <c r="K1269" s="75" t="n">
        <v>1</v>
      </c>
      <c r="L1269" s="51" t="n">
        <v>22</v>
      </c>
      <c r="M1269" s="69" t="n">
        <v>1.16</v>
      </c>
      <c r="N1269" s="70">
        <f>K1269*L1269*M1269</f>
        <v/>
      </c>
      <c r="O1269" s="37">
        <f>IFERROR(INDEX(Исходные!$B$19:$B$31,MATCH(H1269,Исходные!$A$19:$A$31,0)),0)</f>
        <v/>
      </c>
      <c r="P1269" s="76">
        <f>N1269*O1269</f>
        <v/>
      </c>
      <c r="Q1269" s="21" t="inlineStr">
        <is>
          <t>АС-69 «Позиция 2 L=1160»</t>
        </is>
      </c>
      <c r="R1269" s="77" t="inlineStr">
        <is>
          <t>по проекту</t>
        </is>
      </c>
      <c r="S1269" s="21" t="inlineStr"/>
      <c r="T1269" s="21" t="inlineStr">
        <is>
          <t>Лестницы</t>
        </is>
      </c>
      <c r="U1269" s="49" t="n">
        <v>0</v>
      </c>
      <c r="V1269" s="72" t="inlineStr">
        <is>
          <t>Л-рама</t>
        </is>
      </c>
      <c r="W1269" s="49" t="n">
        <v>3</v>
      </c>
    </row>
    <row r="1270">
      <c r="A1270" s="72" t="n">
        <v>1242</v>
      </c>
      <c r="B1270" s="21" t="inlineStr">
        <is>
          <t>3 этаж (отм. +7.550…+11.150)</t>
        </is>
      </c>
      <c r="C1270" s="21" t="inlineStr">
        <is>
          <t>Лестница ЛВ-1</t>
        </is>
      </c>
      <c r="D1270" s="21" t="inlineStr">
        <is>
          <t>ось 3</t>
        </is>
      </c>
      <c r="E1270" s="21" t="inlineStr">
        <is>
          <t>Лрм-2</t>
        </is>
      </c>
      <c r="F1270" s="72" t="inlineStr">
        <is>
          <t>А-1</t>
        </is>
      </c>
      <c r="G1270" s="21" t="inlineStr">
        <is>
          <t>Анкер А-1 Ø16 А240 L=420</t>
        </is>
      </c>
      <c r="H1270" s="51" t="n">
        <v>16</v>
      </c>
      <c r="I1270" s="72" t="inlineStr">
        <is>
          <t>А240</t>
        </is>
      </c>
      <c r="J1270" s="72" t="inlineStr">
        <is>
          <t>—</t>
        </is>
      </c>
      <c r="K1270" s="75" t="n">
        <v>1</v>
      </c>
      <c r="L1270" s="51" t="n">
        <v>2</v>
      </c>
      <c r="M1270" s="69" t="n">
        <v>0.42</v>
      </c>
      <c r="N1270" s="70">
        <f>K1270*L1270*M1270</f>
        <v/>
      </c>
      <c r="O1270" s="37">
        <f>IFERROR(INDEX(Исходные!$B$19:$B$31,MATCH(H1270,Исходные!$A$19:$A$31,0)),0)</f>
        <v/>
      </c>
      <c r="P1270" s="76">
        <f>N1270*O1270</f>
        <v/>
      </c>
      <c r="Q1270" s="21" t="inlineStr">
        <is>
          <t>АС-67 узел «1»</t>
        </is>
      </c>
      <c r="R1270" s="78" t="inlineStr">
        <is>
          <t>принято (уточнить)</t>
        </is>
      </c>
      <c r="S1270" s="21" t="inlineStr"/>
      <c r="T1270" s="21" t="inlineStr">
        <is>
          <t>Лестницы</t>
        </is>
      </c>
      <c r="U1270" s="49" t="n">
        <v>1</v>
      </c>
      <c r="V1270" s="72" t="inlineStr">
        <is>
          <t>Л-рама</t>
        </is>
      </c>
      <c r="W1270" s="49" t="n">
        <v>3</v>
      </c>
    </row>
    <row r="1271">
      <c r="G1271" s="4" t="inlineStr">
        <is>
          <t>ИТОГО 1 этаж</t>
        </is>
      </c>
      <c r="N1271" s="80">
        <f>SUMIFS(N5:N1270,W5:W1270,1)</f>
        <v/>
      </c>
      <c r="P1271" s="80">
        <f>SUMIFS(P5:P1270,W5:W1270,1)</f>
        <v/>
      </c>
    </row>
    <row r="1272">
      <c r="G1272" s="4" t="inlineStr">
        <is>
          <t>ИТОГО 2 этаж</t>
        </is>
      </c>
      <c r="N1272" s="80">
        <f>SUMIFS(N5:N1270,W5:W1270,2)</f>
        <v/>
      </c>
      <c r="P1272" s="80">
        <f>SUMIFS(P5:P1270,W5:W1270,2)</f>
        <v/>
      </c>
    </row>
    <row r="1273">
      <c r="G1273" s="4" t="inlineStr">
        <is>
          <t>ИТОГО 3 этаж</t>
        </is>
      </c>
      <c r="N1273" s="80">
        <f>SUMIFS(N5:N1270,W5:W1270,3)</f>
        <v/>
      </c>
      <c r="P1273" s="80">
        <f>SUMIFS(P5:P1270,W5:W1270,3)</f>
        <v/>
      </c>
    </row>
    <row r="1274">
      <c r="G1274" s="4" t="inlineStr">
        <is>
          <t>ИТОГО 1–3 этаж</t>
        </is>
      </c>
      <c r="N1274" s="80">
        <f>SUM(N5:N1270)</f>
        <v/>
      </c>
      <c r="P1274" s="80">
        <f>SUM(P5:P1270)</f>
        <v/>
      </c>
    </row>
  </sheetData>
  <autoFilter ref="A4:W1270"/>
  <mergeCells count="24">
    <mergeCell ref="A848:W848"/>
    <mergeCell ref="A521:W521"/>
    <mergeCell ref="A1213:W1213"/>
    <mergeCell ref="A6:W6"/>
    <mergeCell ref="A88:W88"/>
    <mergeCell ref="A699:W699"/>
    <mergeCell ref="A397:W397"/>
    <mergeCell ref="A419:W419"/>
    <mergeCell ref="A273:W273"/>
    <mergeCell ref="A418:W418"/>
    <mergeCell ref="A826:W826"/>
    <mergeCell ref="A105:W105"/>
    <mergeCell ref="A934:W934"/>
    <mergeCell ref="A847:W847"/>
    <mergeCell ref="A1248:W1248"/>
    <mergeCell ref="A361:W361"/>
    <mergeCell ref="A5:W5"/>
    <mergeCell ref="A1123:W1123"/>
    <mergeCell ref="A1250:W1250"/>
    <mergeCell ref="A395:W395"/>
    <mergeCell ref="A824:W824"/>
    <mergeCell ref="A504:W504"/>
    <mergeCell ref="A951:W951"/>
    <mergeCell ref="A789:W789"/>
  </mergeCells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R688"/>
  <sheetViews>
    <sheetView zoomScale="9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6" customWidth="1" min="2" max="2"/>
    <col width="8" customWidth="1" min="3" max="3"/>
    <col width="8" customWidth="1" min="4" max="4"/>
    <col width="11" customWidth="1" min="5" max="5"/>
    <col width="6" customWidth="1" min="6" max="6"/>
    <col width="11" customWidth="1" min="7" max="7"/>
    <col width="6" customWidth="1" min="8" max="8"/>
    <col width="11" customWidth="1" min="9" max="9"/>
    <col width="6" customWidth="1" min="10" max="10"/>
    <col width="11" customWidth="1" min="11" max="11"/>
    <col width="6" customWidth="1" min="12" max="12"/>
    <col width="13" customWidth="1" min="13" max="13"/>
    <col width="10" customWidth="1" min="14" max="14"/>
    <col width="12" customWidth="1" min="15" max="15"/>
    <col width="11" customWidth="1" min="16" max="16"/>
    <col width="13" customWidth="1" min="17" max="17"/>
    <col width="11" customWidth="1" min="18" max="18"/>
  </cols>
  <sheetData>
    <row r="1">
      <c r="A1" s="54" t="inlineStr">
        <is>
          <t>Раскрой арматуры под стандартные прутки 11,7 м — поэтажно (алгоритм «лучший подходящий по убыванию», отдельно по этажу, Ø и классу)</t>
        </is>
      </c>
    </row>
    <row r="2">
      <c r="A2" s="29" t="inlineStr">
        <is>
          <t>Детали: стержни ≤11,7 м — целиком; длиннее 11,7 м — прутки 11,7 + «хвост» (Ø10–14, Ø16–18 ригелей — с нахлёстами; Ø≥20 — встык ванной сваркой). Раскрой не смешивается с проектной массой.</t>
        </is>
      </c>
    </row>
    <row r="4" ht="42" customHeight="1">
      <c r="A4" s="5" t="inlineStr">
        <is>
          <t>Этаж</t>
        </is>
      </c>
      <c r="B4" s="5" t="inlineStr">
        <is>
          <t>Ø</t>
        </is>
      </c>
      <c r="C4" s="5" t="inlineStr">
        <is>
          <t>Класс</t>
        </is>
      </c>
      <c r="D4" s="5" t="inlineStr">
        <is>
          <t>Схема №</t>
        </is>
      </c>
      <c r="E4" s="5" t="inlineStr">
        <is>
          <t>Деталь 1, м</t>
        </is>
      </c>
      <c r="F4" s="5" t="inlineStr">
        <is>
          <t>шт</t>
        </is>
      </c>
      <c r="G4" s="5" t="inlineStr">
        <is>
          <t>Деталь 2, м</t>
        </is>
      </c>
      <c r="H4" s="5" t="inlineStr">
        <is>
          <t>шт</t>
        </is>
      </c>
      <c r="I4" s="5" t="inlineStr">
        <is>
          <t>Деталь 3, м</t>
        </is>
      </c>
      <c r="J4" s="5" t="inlineStr">
        <is>
          <t>шт</t>
        </is>
      </c>
      <c r="K4" s="5" t="inlineStr">
        <is>
          <t>Деталь 4, м</t>
        </is>
      </c>
      <c r="L4" s="5" t="inlineStr">
        <is>
          <t>шт</t>
        </is>
      </c>
      <c r="M4" s="5" t="inlineStr">
        <is>
          <t>Использовано из прутка, м</t>
        </is>
      </c>
      <c r="N4" s="5" t="inlineStr">
        <is>
          <t>Остаток, м</t>
        </is>
      </c>
      <c r="O4" s="5" t="inlineStr">
        <is>
          <t>Кол-во прутков, шт</t>
        </is>
      </c>
      <c r="P4" s="5" t="inlineStr">
        <is>
          <t>Деталей всего, шт</t>
        </is>
      </c>
      <c r="Q4" s="5" t="inlineStr">
        <is>
          <t>Длина деталей всего, м</t>
        </is>
      </c>
      <c r="R4" s="5" t="inlineStr">
        <is>
          <t>Отход всего, м</t>
        </is>
      </c>
    </row>
    <row r="5">
      <c r="A5" s="49" t="n">
        <v>1</v>
      </c>
      <c r="B5" s="49" t="n">
        <v>32</v>
      </c>
      <c r="C5" s="72" t="inlineStr">
        <is>
          <t>А500С</t>
        </is>
      </c>
      <c r="D5" s="49" t="n">
        <v>1</v>
      </c>
      <c r="E5" s="69" t="n">
        <v>4</v>
      </c>
      <c r="F5" s="51" t="n">
        <v>2</v>
      </c>
      <c r="G5" s="69" t="n">
        <v>3.7</v>
      </c>
      <c r="H5" s="51" t="n">
        <v>1</v>
      </c>
      <c r="I5" s="21" t="n"/>
      <c r="J5" s="21" t="n"/>
      <c r="K5" s="21" t="n"/>
      <c r="L5" s="21" t="n"/>
      <c r="M5" s="37">
        <f>E5*F5+G5*H5+I5*J5+K5*L5</f>
        <v/>
      </c>
      <c r="N5" s="37">
        <f>Исходные!$B$13-M5</f>
        <v/>
      </c>
      <c r="O5" s="51" t="n">
        <v>6</v>
      </c>
      <c r="P5" s="49">
        <f>(F5+H5+J5+L5)*O5</f>
        <v/>
      </c>
      <c r="Q5" s="70">
        <f>M5*O5</f>
        <v/>
      </c>
      <c r="R5" s="70">
        <f>N5*O5</f>
        <v/>
      </c>
    </row>
    <row r="6">
      <c r="A6" s="49" t="n">
        <v>1</v>
      </c>
      <c r="B6" s="49" t="n">
        <v>32</v>
      </c>
      <c r="C6" s="72" t="inlineStr">
        <is>
          <t>А500С</t>
        </is>
      </c>
      <c r="D6" s="49" t="n">
        <v>2</v>
      </c>
      <c r="E6" s="69" t="n">
        <v>4</v>
      </c>
      <c r="F6" s="51" t="n">
        <v>2</v>
      </c>
      <c r="G6" s="69" t="n">
        <v>3.6</v>
      </c>
      <c r="H6" s="51" t="n">
        <v>1</v>
      </c>
      <c r="I6" s="21" t="n"/>
      <c r="J6" s="21" t="n"/>
      <c r="K6" s="21" t="n"/>
      <c r="L6" s="21" t="n"/>
      <c r="M6" s="37">
        <f>E6*F6+G6*H6+I6*J6+K6*L6</f>
        <v/>
      </c>
      <c r="N6" s="37">
        <f>Исходные!$B$13-M6</f>
        <v/>
      </c>
      <c r="O6" s="51" t="n">
        <v>2</v>
      </c>
      <c r="P6" s="49">
        <f>(F6+H6+J6+L6)*O6</f>
        <v/>
      </c>
      <c r="Q6" s="70">
        <f>M6*O6</f>
        <v/>
      </c>
      <c r="R6" s="70">
        <f>N6*O6</f>
        <v/>
      </c>
    </row>
    <row r="7">
      <c r="A7" s="49" t="n">
        <v>1</v>
      </c>
      <c r="B7" s="49" t="n">
        <v>32</v>
      </c>
      <c r="C7" s="72" t="inlineStr">
        <is>
          <t>А500С</t>
        </is>
      </c>
      <c r="D7" s="49" t="n">
        <v>3</v>
      </c>
      <c r="E7" s="69" t="n">
        <v>7.5</v>
      </c>
      <c r="F7" s="51" t="n">
        <v>1</v>
      </c>
      <c r="G7" s="69" t="n">
        <v>4</v>
      </c>
      <c r="H7" s="51" t="n">
        <v>1</v>
      </c>
      <c r="I7" s="21" t="n"/>
      <c r="J7" s="21" t="n"/>
      <c r="K7" s="21" t="n"/>
      <c r="L7" s="21" t="n"/>
      <c r="M7" s="37">
        <f>E7*F7+G7*H7+I7*J7+K7*L7</f>
        <v/>
      </c>
      <c r="N7" s="37">
        <f>Исходные!$B$13-M7</f>
        <v/>
      </c>
      <c r="O7" s="51" t="n">
        <v>2</v>
      </c>
      <c r="P7" s="49">
        <f>(F7+H7+J7+L7)*O7</f>
        <v/>
      </c>
      <c r="Q7" s="70">
        <f>M7*O7</f>
        <v/>
      </c>
      <c r="R7" s="70">
        <f>N7*O7</f>
        <v/>
      </c>
    </row>
    <row r="8">
      <c r="A8" s="49" t="n">
        <v>1</v>
      </c>
      <c r="B8" s="49" t="n">
        <v>32</v>
      </c>
      <c r="C8" s="72" t="inlineStr">
        <is>
          <t>А500С</t>
        </is>
      </c>
      <c r="D8" s="49" t="n">
        <v>4</v>
      </c>
      <c r="E8" s="69" t="n">
        <v>4.3</v>
      </c>
      <c r="F8" s="51" t="n">
        <v>2</v>
      </c>
      <c r="G8" s="69" t="n">
        <v>2.85</v>
      </c>
      <c r="H8" s="51" t="n">
        <v>1</v>
      </c>
      <c r="I8" s="21" t="n"/>
      <c r="J8" s="21" t="n"/>
      <c r="K8" s="21" t="n"/>
      <c r="L8" s="21" t="n"/>
      <c r="M8" s="37">
        <f>E8*F8+G8*H8+I8*J8+K8*L8</f>
        <v/>
      </c>
      <c r="N8" s="37">
        <f>Исходные!$B$13-M8</f>
        <v/>
      </c>
      <c r="O8" s="51" t="n">
        <v>1</v>
      </c>
      <c r="P8" s="49">
        <f>(F8+H8+J8+L8)*O8</f>
        <v/>
      </c>
      <c r="Q8" s="70">
        <f>M8*O8</f>
        <v/>
      </c>
      <c r="R8" s="70">
        <f>N8*O8</f>
        <v/>
      </c>
    </row>
    <row r="9">
      <c r="A9" s="49" t="n">
        <v>1</v>
      </c>
      <c r="B9" s="49" t="n">
        <v>32</v>
      </c>
      <c r="C9" s="72" t="inlineStr">
        <is>
          <t>А500С</t>
        </is>
      </c>
      <c r="D9" s="49" t="n">
        <v>5</v>
      </c>
      <c r="E9" s="69" t="n">
        <v>4</v>
      </c>
      <c r="F9" s="51" t="n">
        <v>2</v>
      </c>
      <c r="G9" s="69" t="n">
        <v>3.4</v>
      </c>
      <c r="H9" s="51" t="n">
        <v>1</v>
      </c>
      <c r="I9" s="21" t="n"/>
      <c r="J9" s="21" t="n"/>
      <c r="K9" s="21" t="n"/>
      <c r="L9" s="21" t="n"/>
      <c r="M9" s="37">
        <f>E9*F9+G9*H9+I9*J9+K9*L9</f>
        <v/>
      </c>
      <c r="N9" s="37">
        <f>Исходные!$B$13-M9</f>
        <v/>
      </c>
      <c r="O9" s="51" t="n">
        <v>2</v>
      </c>
      <c r="P9" s="49">
        <f>(F9+H9+J9+L9)*O9</f>
        <v/>
      </c>
      <c r="Q9" s="70">
        <f>M9*O9</f>
        <v/>
      </c>
      <c r="R9" s="70">
        <f>N9*O9</f>
        <v/>
      </c>
    </row>
    <row r="10">
      <c r="A10" s="49" t="n">
        <v>1</v>
      </c>
      <c r="B10" s="49" t="n">
        <v>32</v>
      </c>
      <c r="C10" s="72" t="inlineStr">
        <is>
          <t>А500С</t>
        </is>
      </c>
      <c r="D10" s="49" t="n">
        <v>6</v>
      </c>
      <c r="E10" s="69" t="n">
        <v>3.8</v>
      </c>
      <c r="F10" s="51" t="n">
        <v>3</v>
      </c>
      <c r="G10" s="21" t="n"/>
      <c r="H10" s="21" t="n"/>
      <c r="I10" s="21" t="n"/>
      <c r="J10" s="21" t="n"/>
      <c r="K10" s="21" t="n"/>
      <c r="L10" s="21" t="n"/>
      <c r="M10" s="37">
        <f>E10*F10+G10*H10+I10*J10+K10*L10</f>
        <v/>
      </c>
      <c r="N10" s="37">
        <f>Исходные!$B$13-M10</f>
        <v/>
      </c>
      <c r="O10" s="51" t="n">
        <v>1</v>
      </c>
      <c r="P10" s="49">
        <f>(F10+H10+J10+L10)*O10</f>
        <v/>
      </c>
      <c r="Q10" s="70">
        <f>M10*O10</f>
        <v/>
      </c>
      <c r="R10" s="70">
        <f>N10*O10</f>
        <v/>
      </c>
    </row>
    <row r="11">
      <c r="A11" s="49" t="n">
        <v>1</v>
      </c>
      <c r="B11" s="49" t="n">
        <v>32</v>
      </c>
      <c r="C11" s="72" t="inlineStr">
        <is>
          <t>А500С</t>
        </is>
      </c>
      <c r="D11" s="49" t="n">
        <v>7</v>
      </c>
      <c r="E11" s="69" t="n">
        <v>4</v>
      </c>
      <c r="F11" s="51" t="n">
        <v>2</v>
      </c>
      <c r="G11" s="69" t="n">
        <v>3.3</v>
      </c>
      <c r="H11" s="51" t="n">
        <v>1</v>
      </c>
      <c r="I11" s="21" t="n"/>
      <c r="J11" s="21" t="n"/>
      <c r="K11" s="21" t="n"/>
      <c r="L11" s="21" t="n"/>
      <c r="M11" s="37">
        <f>E11*F11+G11*H11+I11*J11+K11*L11</f>
        <v/>
      </c>
      <c r="N11" s="37">
        <f>Исходные!$B$13-M11</f>
        <v/>
      </c>
      <c r="O11" s="51" t="n">
        <v>2</v>
      </c>
      <c r="P11" s="49">
        <f>(F11+H11+J11+L11)*O11</f>
        <v/>
      </c>
      <c r="Q11" s="70">
        <f>M11*O11</f>
        <v/>
      </c>
      <c r="R11" s="70">
        <f>N11*O11</f>
        <v/>
      </c>
    </row>
    <row r="12">
      <c r="A12" s="49" t="n">
        <v>1</v>
      </c>
      <c r="B12" s="49" t="n">
        <v>32</v>
      </c>
      <c r="C12" s="72" t="inlineStr">
        <is>
          <t>А500С</t>
        </is>
      </c>
      <c r="D12" s="49" t="n">
        <v>8</v>
      </c>
      <c r="E12" s="69" t="n">
        <v>4</v>
      </c>
      <c r="F12" s="51" t="n">
        <v>2</v>
      </c>
      <c r="G12" s="69" t="n">
        <v>2.85</v>
      </c>
      <c r="H12" s="51" t="n">
        <v>1</v>
      </c>
      <c r="I12" s="21" t="n"/>
      <c r="J12" s="21" t="n"/>
      <c r="K12" s="21" t="n"/>
      <c r="L12" s="21" t="n"/>
      <c r="M12" s="37">
        <f>E12*F12+G12*H12+I12*J12+K12*L12</f>
        <v/>
      </c>
      <c r="N12" s="37">
        <f>Исходные!$B$13-M12</f>
        <v/>
      </c>
      <c r="O12" s="51" t="n">
        <v>3</v>
      </c>
      <c r="P12" s="49">
        <f>(F12+H12+J12+L12)*O12</f>
        <v/>
      </c>
      <c r="Q12" s="70">
        <f>M12*O12</f>
        <v/>
      </c>
      <c r="R12" s="70">
        <f>N12*O12</f>
        <v/>
      </c>
    </row>
    <row r="13">
      <c r="A13" s="49" t="n">
        <v>1</v>
      </c>
      <c r="B13" s="49" t="n">
        <v>32</v>
      </c>
      <c r="C13" s="72" t="inlineStr">
        <is>
          <t>А500С</t>
        </is>
      </c>
      <c r="D13" s="49" t="n">
        <v>9</v>
      </c>
      <c r="E13" s="69" t="n">
        <v>4</v>
      </c>
      <c r="F13" s="51" t="n">
        <v>2</v>
      </c>
      <c r="G13" s="69" t="n">
        <v>2.4</v>
      </c>
      <c r="H13" s="51" t="n">
        <v>1</v>
      </c>
      <c r="I13" s="21" t="n"/>
      <c r="J13" s="21" t="n"/>
      <c r="K13" s="21" t="n"/>
      <c r="L13" s="21" t="n"/>
      <c r="M13" s="37">
        <f>E13*F13+G13*H13+I13*J13+K13*L13</f>
        <v/>
      </c>
      <c r="N13" s="37">
        <f>Исходные!$B$13-M13</f>
        <v/>
      </c>
      <c r="O13" s="51" t="n">
        <v>2</v>
      </c>
      <c r="P13" s="49">
        <f>(F13+H13+J13+L13)*O13</f>
        <v/>
      </c>
      <c r="Q13" s="70">
        <f>M13*O13</f>
        <v/>
      </c>
      <c r="R13" s="70">
        <f>N13*O13</f>
        <v/>
      </c>
    </row>
    <row r="14">
      <c r="A14" s="49" t="n">
        <v>1</v>
      </c>
      <c r="B14" s="49" t="n">
        <v>32</v>
      </c>
      <c r="C14" s="72" t="inlineStr">
        <is>
          <t>А500С</t>
        </is>
      </c>
      <c r="D14" s="49" t="n">
        <v>10</v>
      </c>
      <c r="E14" s="69" t="n">
        <v>4</v>
      </c>
      <c r="F14" s="51" t="n">
        <v>2</v>
      </c>
      <c r="G14" s="69" t="n">
        <v>2.05</v>
      </c>
      <c r="H14" s="51" t="n">
        <v>1</v>
      </c>
      <c r="I14" s="21" t="n"/>
      <c r="J14" s="21" t="n"/>
      <c r="K14" s="21" t="n"/>
      <c r="L14" s="21" t="n"/>
      <c r="M14" s="37">
        <f>E14*F14+G14*H14+I14*J14+K14*L14</f>
        <v/>
      </c>
      <c r="N14" s="37">
        <f>Исходные!$B$13-M14</f>
        <v/>
      </c>
      <c r="O14" s="51" t="n">
        <v>2</v>
      </c>
      <c r="P14" s="49">
        <f>(F14+H14+J14+L14)*O14</f>
        <v/>
      </c>
      <c r="Q14" s="70">
        <f>M14*O14</f>
        <v/>
      </c>
      <c r="R14" s="70">
        <f>N14*O14</f>
        <v/>
      </c>
    </row>
    <row r="15">
      <c r="A15" s="49" t="n">
        <v>1</v>
      </c>
      <c r="B15" s="49" t="n">
        <v>32</v>
      </c>
      <c r="C15" s="72" t="inlineStr">
        <is>
          <t>А500С</t>
        </is>
      </c>
      <c r="D15" s="49" t="n">
        <v>11</v>
      </c>
      <c r="E15" s="69" t="n">
        <v>4</v>
      </c>
      <c r="F15" s="51" t="n">
        <v>2</v>
      </c>
      <c r="G15" s="21" t="n"/>
      <c r="H15" s="21" t="n"/>
      <c r="I15" s="21" t="n"/>
      <c r="J15" s="21" t="n"/>
      <c r="K15" s="21" t="n"/>
      <c r="L15" s="21" t="n"/>
      <c r="M15" s="37">
        <f>E15*F15+G15*H15+I15*J15+K15*L15</f>
        <v/>
      </c>
      <c r="N15" s="37">
        <f>Исходные!$B$13-M15</f>
        <v/>
      </c>
      <c r="O15" s="51" t="n">
        <v>20</v>
      </c>
      <c r="P15" s="49">
        <f>(F15+H15+J15+L15)*O15</f>
        <v/>
      </c>
      <c r="Q15" s="70">
        <f>M15*O15</f>
        <v/>
      </c>
      <c r="R15" s="70">
        <f>N15*O15</f>
        <v/>
      </c>
    </row>
    <row r="16">
      <c r="A16" s="49" t="n">
        <v>1</v>
      </c>
      <c r="B16" s="49" t="n">
        <v>32</v>
      </c>
      <c r="C16" s="72" t="inlineStr">
        <is>
          <t>А500С</t>
        </is>
      </c>
      <c r="D16" s="49" t="n">
        <v>12</v>
      </c>
      <c r="E16" s="69" t="n">
        <v>3.8</v>
      </c>
      <c r="F16" s="51" t="n">
        <v>1</v>
      </c>
      <c r="G16" s="21" t="n"/>
      <c r="H16" s="21" t="n"/>
      <c r="I16" s="21" t="n"/>
      <c r="J16" s="21" t="n"/>
      <c r="K16" s="21" t="n"/>
      <c r="L16" s="21" t="n"/>
      <c r="M16" s="37">
        <f>E16*F16+G16*H16+I16*J16+K16*L16</f>
        <v/>
      </c>
      <c r="N16" s="37">
        <f>Исходные!$B$13-M16</f>
        <v/>
      </c>
      <c r="O16" s="51" t="n">
        <v>1</v>
      </c>
      <c r="P16" s="49">
        <f>(F16+H16+J16+L16)*O16</f>
        <v/>
      </c>
      <c r="Q16" s="70">
        <f>M16*O16</f>
        <v/>
      </c>
      <c r="R16" s="70">
        <f>N16*O16</f>
        <v/>
      </c>
    </row>
    <row r="17">
      <c r="A17" s="49" t="n">
        <v>1</v>
      </c>
      <c r="B17" s="49" t="n">
        <v>28</v>
      </c>
      <c r="C17" s="72" t="inlineStr">
        <is>
          <t>А500С</t>
        </is>
      </c>
      <c r="D17" s="49" t="n">
        <v>1</v>
      </c>
      <c r="E17" s="69" t="n">
        <v>11.7</v>
      </c>
      <c r="F17" s="51" t="n">
        <v>1</v>
      </c>
      <c r="G17" s="21" t="n"/>
      <c r="H17" s="21" t="n"/>
      <c r="I17" s="21" t="n"/>
      <c r="J17" s="21" t="n"/>
      <c r="K17" s="21" t="n"/>
      <c r="L17" s="21" t="n"/>
      <c r="M17" s="37">
        <f>E17*F17+G17*H17+I17*J17+K17*L17</f>
        <v/>
      </c>
      <c r="N17" s="37">
        <f>Исходные!$B$13-M17</f>
        <v/>
      </c>
      <c r="O17" s="51" t="n">
        <v>52</v>
      </c>
      <c r="P17" s="49">
        <f>(F17+H17+J17+L17)*O17</f>
        <v/>
      </c>
      <c r="Q17" s="70">
        <f>M17*O17</f>
        <v/>
      </c>
      <c r="R17" s="70">
        <f>N17*O17</f>
        <v/>
      </c>
    </row>
    <row r="18">
      <c r="A18" s="49" t="n">
        <v>1</v>
      </c>
      <c r="B18" s="49" t="n">
        <v>28</v>
      </c>
      <c r="C18" s="72" t="inlineStr">
        <is>
          <t>А500С</t>
        </is>
      </c>
      <c r="D18" s="49" t="n">
        <v>2</v>
      </c>
      <c r="E18" s="69" t="n">
        <v>4</v>
      </c>
      <c r="F18" s="51" t="n">
        <v>2</v>
      </c>
      <c r="G18" s="69" t="n">
        <v>3.7</v>
      </c>
      <c r="H18" s="51" t="n">
        <v>1</v>
      </c>
      <c r="I18" s="21" t="n"/>
      <c r="J18" s="21" t="n"/>
      <c r="K18" s="21" t="n"/>
      <c r="L18" s="21" t="n"/>
      <c r="M18" s="37">
        <f>E18*F18+G18*H18+I18*J18+K18*L18</f>
        <v/>
      </c>
      <c r="N18" s="37">
        <f>Исходные!$B$13-M18</f>
        <v/>
      </c>
      <c r="O18" s="51" t="n">
        <v>2</v>
      </c>
      <c r="P18" s="49">
        <f>(F18+H18+J18+L18)*O18</f>
        <v/>
      </c>
      <c r="Q18" s="70">
        <f>M18*O18</f>
        <v/>
      </c>
      <c r="R18" s="70">
        <f>N18*O18</f>
        <v/>
      </c>
    </row>
    <row r="19">
      <c r="A19" s="49" t="n">
        <v>1</v>
      </c>
      <c r="B19" s="49" t="n">
        <v>28</v>
      </c>
      <c r="C19" s="72" t="inlineStr">
        <is>
          <t>А500С</t>
        </is>
      </c>
      <c r="D19" s="49" t="n">
        <v>3</v>
      </c>
      <c r="E19" s="69" t="n">
        <v>4</v>
      </c>
      <c r="F19" s="51" t="n">
        <v>2</v>
      </c>
      <c r="G19" s="69" t="n">
        <v>1.85</v>
      </c>
      <c r="H19" s="51" t="n">
        <v>2</v>
      </c>
      <c r="I19" s="21" t="n"/>
      <c r="J19" s="21" t="n"/>
      <c r="K19" s="21" t="n"/>
      <c r="L19" s="21" t="n"/>
      <c r="M19" s="37">
        <f>E19*F19+G19*H19+I19*J19+K19*L19</f>
        <v/>
      </c>
      <c r="N19" s="37">
        <f>Исходные!$B$13-M19</f>
        <v/>
      </c>
      <c r="O19" s="51" t="n">
        <v>1</v>
      </c>
      <c r="P19" s="49">
        <f>(F19+H19+J19+L19)*O19</f>
        <v/>
      </c>
      <c r="Q19" s="70">
        <f>M19*O19</f>
        <v/>
      </c>
      <c r="R19" s="70">
        <f>N19*O19</f>
        <v/>
      </c>
    </row>
    <row r="20">
      <c r="A20" s="49" t="n">
        <v>1</v>
      </c>
      <c r="B20" s="49" t="n">
        <v>28</v>
      </c>
      <c r="C20" s="72" t="inlineStr">
        <is>
          <t>А500С</t>
        </is>
      </c>
      <c r="D20" s="49" t="n">
        <v>4</v>
      </c>
      <c r="E20" s="69" t="n">
        <v>7.85</v>
      </c>
      <c r="F20" s="51" t="n">
        <v>1</v>
      </c>
      <c r="G20" s="69" t="n">
        <v>3.8</v>
      </c>
      <c r="H20" s="51" t="n">
        <v>1</v>
      </c>
      <c r="I20" s="21" t="n"/>
      <c r="J20" s="21" t="n"/>
      <c r="K20" s="21" t="n"/>
      <c r="L20" s="21" t="n"/>
      <c r="M20" s="37">
        <f>E20*F20+G20*H20+I20*J20+K20*L20</f>
        <v/>
      </c>
      <c r="N20" s="37">
        <f>Исходные!$B$13-M20</f>
        <v/>
      </c>
      <c r="O20" s="51" t="n">
        <v>2</v>
      </c>
      <c r="P20" s="49">
        <f>(F20+H20+J20+L20)*O20</f>
        <v/>
      </c>
      <c r="Q20" s="70">
        <f>M20*O20</f>
        <v/>
      </c>
      <c r="R20" s="70">
        <f>N20*O20</f>
        <v/>
      </c>
    </row>
    <row r="21">
      <c r="A21" s="49" t="n">
        <v>1</v>
      </c>
      <c r="B21" s="49" t="n">
        <v>28</v>
      </c>
      <c r="C21" s="72" t="inlineStr">
        <is>
          <t>А500С</t>
        </is>
      </c>
      <c r="D21" s="49" t="n">
        <v>5</v>
      </c>
      <c r="E21" s="69" t="n">
        <v>4.3</v>
      </c>
      <c r="F21" s="51" t="n">
        <v>2</v>
      </c>
      <c r="G21" s="69" t="n">
        <v>3</v>
      </c>
      <c r="H21" s="51" t="n">
        <v>1</v>
      </c>
      <c r="I21" s="21" t="n"/>
      <c r="J21" s="21" t="n"/>
      <c r="K21" s="21" t="n"/>
      <c r="L21" s="21" t="n"/>
      <c r="M21" s="37">
        <f>E21*F21+G21*H21+I21*J21+K21*L21</f>
        <v/>
      </c>
      <c r="N21" s="37">
        <f>Исходные!$B$13-M21</f>
        <v/>
      </c>
      <c r="O21" s="51" t="n">
        <v>1</v>
      </c>
      <c r="P21" s="49">
        <f>(F21+H21+J21+L21)*O21</f>
        <v/>
      </c>
      <c r="Q21" s="70">
        <f>M21*O21</f>
        <v/>
      </c>
      <c r="R21" s="70">
        <f>N21*O21</f>
        <v/>
      </c>
    </row>
    <row r="22">
      <c r="A22" s="49" t="n">
        <v>1</v>
      </c>
      <c r="B22" s="49" t="n">
        <v>28</v>
      </c>
      <c r="C22" s="72" t="inlineStr">
        <is>
          <t>А500С</t>
        </is>
      </c>
      <c r="D22" s="49" t="n">
        <v>6</v>
      </c>
      <c r="E22" s="69" t="n">
        <v>4</v>
      </c>
      <c r="F22" s="51" t="n">
        <v>2</v>
      </c>
      <c r="G22" s="69" t="n">
        <v>3.6</v>
      </c>
      <c r="H22" s="51" t="n">
        <v>1</v>
      </c>
      <c r="I22" s="21" t="n"/>
      <c r="J22" s="21" t="n"/>
      <c r="K22" s="21" t="n"/>
      <c r="L22" s="21" t="n"/>
      <c r="M22" s="37">
        <f>E22*F22+G22*H22+I22*J22+K22*L22</f>
        <v/>
      </c>
      <c r="N22" s="37">
        <f>Исходные!$B$13-M22</f>
        <v/>
      </c>
      <c r="O22" s="51" t="n">
        <v>6</v>
      </c>
      <c r="P22" s="49">
        <f>(F22+H22+J22+L22)*O22</f>
        <v/>
      </c>
      <c r="Q22" s="70">
        <f>M22*O22</f>
        <v/>
      </c>
      <c r="R22" s="70">
        <f>N22*O22</f>
        <v/>
      </c>
    </row>
    <row r="23">
      <c r="A23" s="49" t="n">
        <v>1</v>
      </c>
      <c r="B23" s="49" t="n">
        <v>28</v>
      </c>
      <c r="C23" s="72" t="inlineStr">
        <is>
          <t>А500С</t>
        </is>
      </c>
      <c r="D23" s="49" t="n">
        <v>7</v>
      </c>
      <c r="E23" s="69" t="n">
        <v>4.7</v>
      </c>
      <c r="F23" s="51" t="n">
        <v>2</v>
      </c>
      <c r="G23" s="69" t="n">
        <v>2.1</v>
      </c>
      <c r="H23" s="51" t="n">
        <v>1</v>
      </c>
      <c r="I23" s="21" t="n"/>
      <c r="J23" s="21" t="n"/>
      <c r="K23" s="21" t="n"/>
      <c r="L23" s="21" t="n"/>
      <c r="M23" s="37">
        <f>E23*F23+G23*H23+I23*J23+K23*L23</f>
        <v/>
      </c>
      <c r="N23" s="37">
        <f>Исходные!$B$13-M23</f>
        <v/>
      </c>
      <c r="O23" s="51" t="n">
        <v>2</v>
      </c>
      <c r="P23" s="49">
        <f>(F23+H23+J23+L23)*O23</f>
        <v/>
      </c>
      <c r="Q23" s="70">
        <f>M23*O23</f>
        <v/>
      </c>
      <c r="R23" s="70">
        <f>N23*O23</f>
        <v/>
      </c>
    </row>
    <row r="24">
      <c r="A24" s="49" t="n">
        <v>1</v>
      </c>
      <c r="B24" s="49" t="n">
        <v>28</v>
      </c>
      <c r="C24" s="72" t="inlineStr">
        <is>
          <t>А500С</t>
        </is>
      </c>
      <c r="D24" s="49" t="n">
        <v>8</v>
      </c>
      <c r="E24" s="69" t="n">
        <v>3.8</v>
      </c>
      <c r="F24" s="51" t="n">
        <v>3</v>
      </c>
      <c r="G24" s="21" t="n"/>
      <c r="H24" s="21" t="n"/>
      <c r="I24" s="21" t="n"/>
      <c r="J24" s="21" t="n"/>
      <c r="K24" s="21" t="n"/>
      <c r="L24" s="21" t="n"/>
      <c r="M24" s="37">
        <f>E24*F24+G24*H24+I24*J24+K24*L24</f>
        <v/>
      </c>
      <c r="N24" s="37">
        <f>Исходные!$B$13-M24</f>
        <v/>
      </c>
      <c r="O24" s="51" t="n">
        <v>1</v>
      </c>
      <c r="P24" s="49">
        <f>(F24+H24+J24+L24)*O24</f>
        <v/>
      </c>
      <c r="Q24" s="70">
        <f>M24*O24</f>
        <v/>
      </c>
      <c r="R24" s="70">
        <f>N24*O24</f>
        <v/>
      </c>
    </row>
    <row r="25">
      <c r="A25" s="49" t="n">
        <v>1</v>
      </c>
      <c r="B25" s="49" t="n">
        <v>28</v>
      </c>
      <c r="C25" s="72" t="inlineStr">
        <is>
          <t>А500С</t>
        </is>
      </c>
      <c r="D25" s="49" t="n">
        <v>9</v>
      </c>
      <c r="E25" s="69" t="n">
        <v>5.5</v>
      </c>
      <c r="F25" s="51" t="n">
        <v>2</v>
      </c>
      <c r="G25" s="21" t="n"/>
      <c r="H25" s="21" t="n"/>
      <c r="I25" s="21" t="n"/>
      <c r="J25" s="21" t="n"/>
      <c r="K25" s="21" t="n"/>
      <c r="L25" s="21" t="n"/>
      <c r="M25" s="37">
        <f>E25*F25+G25*H25+I25*J25+K25*L25</f>
        <v/>
      </c>
      <c r="N25" s="37">
        <f>Исходные!$B$13-M25</f>
        <v/>
      </c>
      <c r="O25" s="51" t="n">
        <v>1</v>
      </c>
      <c r="P25" s="49">
        <f>(F25+H25+J25+L25)*O25</f>
        <v/>
      </c>
      <c r="Q25" s="70">
        <f>M25*O25</f>
        <v/>
      </c>
      <c r="R25" s="70">
        <f>N25*O25</f>
        <v/>
      </c>
    </row>
    <row r="26">
      <c r="A26" s="49" t="n">
        <v>1</v>
      </c>
      <c r="B26" s="49" t="n">
        <v>28</v>
      </c>
      <c r="C26" s="72" t="inlineStr">
        <is>
          <t>А500С</t>
        </is>
      </c>
      <c r="D26" s="49" t="n">
        <v>10</v>
      </c>
      <c r="E26" s="69" t="n">
        <v>4</v>
      </c>
      <c r="F26" s="51" t="n">
        <v>2</v>
      </c>
      <c r="G26" s="69" t="n">
        <v>3</v>
      </c>
      <c r="H26" s="51" t="n">
        <v>1</v>
      </c>
      <c r="I26" s="21" t="n"/>
      <c r="J26" s="21" t="n"/>
      <c r="K26" s="21" t="n"/>
      <c r="L26" s="21" t="n"/>
      <c r="M26" s="37">
        <f>E26*F26+G26*H26+I26*J26+K26*L26</f>
        <v/>
      </c>
      <c r="N26" s="37">
        <f>Исходные!$B$13-M26</f>
        <v/>
      </c>
      <c r="O26" s="51" t="n">
        <v>1</v>
      </c>
      <c r="P26" s="49">
        <f>(F26+H26+J26+L26)*O26</f>
        <v/>
      </c>
      <c r="Q26" s="70">
        <f>M26*O26</f>
        <v/>
      </c>
      <c r="R26" s="70">
        <f>N26*O26</f>
        <v/>
      </c>
    </row>
    <row r="27">
      <c r="A27" s="49" t="n">
        <v>1</v>
      </c>
      <c r="B27" s="49" t="n">
        <v>28</v>
      </c>
      <c r="C27" s="72" t="inlineStr">
        <is>
          <t>А500С</t>
        </is>
      </c>
      <c r="D27" s="49" t="n">
        <v>11</v>
      </c>
      <c r="E27" s="69" t="n">
        <v>8.800000000000001</v>
      </c>
      <c r="F27" s="51" t="n">
        <v>1</v>
      </c>
      <c r="G27" s="69" t="n">
        <v>2.1</v>
      </c>
      <c r="H27" s="51" t="n">
        <v>1</v>
      </c>
      <c r="I27" s="21" t="n"/>
      <c r="J27" s="21" t="n"/>
      <c r="K27" s="21" t="n"/>
      <c r="L27" s="21" t="n"/>
      <c r="M27" s="37">
        <f>E27*F27+G27*H27+I27*J27+K27*L27</f>
        <v/>
      </c>
      <c r="N27" s="37">
        <f>Исходные!$B$13-M27</f>
        <v/>
      </c>
      <c r="O27" s="51" t="n">
        <v>14</v>
      </c>
      <c r="P27" s="49">
        <f>(F27+H27+J27+L27)*O27</f>
        <v/>
      </c>
      <c r="Q27" s="70">
        <f>M27*O27</f>
        <v/>
      </c>
      <c r="R27" s="70">
        <f>N27*O27</f>
        <v/>
      </c>
    </row>
    <row r="28">
      <c r="A28" s="49" t="n">
        <v>1</v>
      </c>
      <c r="B28" s="49" t="n">
        <v>28</v>
      </c>
      <c r="C28" s="72" t="inlineStr">
        <is>
          <t>А500С</t>
        </is>
      </c>
      <c r="D28" s="49" t="n">
        <v>12</v>
      </c>
      <c r="E28" s="69" t="n">
        <v>8.800000000000001</v>
      </c>
      <c r="F28" s="51" t="n">
        <v>1</v>
      </c>
      <c r="G28" s="69" t="n">
        <v>2.05</v>
      </c>
      <c r="H28" s="51" t="n">
        <v>1</v>
      </c>
      <c r="I28" s="21" t="n"/>
      <c r="J28" s="21" t="n"/>
      <c r="K28" s="21" t="n"/>
      <c r="L28" s="21" t="n"/>
      <c r="M28" s="37">
        <f>E28*F28+G28*H28+I28*J28+K28*L28</f>
        <v/>
      </c>
      <c r="N28" s="37">
        <f>Исходные!$B$13-M28</f>
        <v/>
      </c>
      <c r="O28" s="51" t="n">
        <v>6</v>
      </c>
      <c r="P28" s="49">
        <f>(F28+H28+J28+L28)*O28</f>
        <v/>
      </c>
      <c r="Q28" s="70">
        <f>M28*O28</f>
        <v/>
      </c>
      <c r="R28" s="70">
        <f>N28*O28</f>
        <v/>
      </c>
    </row>
    <row r="29">
      <c r="A29" s="49" t="n">
        <v>1</v>
      </c>
      <c r="B29" s="49" t="n">
        <v>28</v>
      </c>
      <c r="C29" s="72" t="inlineStr">
        <is>
          <t>А500С</t>
        </is>
      </c>
      <c r="D29" s="49" t="n">
        <v>13</v>
      </c>
      <c r="E29" s="69" t="n">
        <v>4</v>
      </c>
      <c r="F29" s="51" t="n">
        <v>2</v>
      </c>
      <c r="G29" s="69" t="n">
        <v>2.05</v>
      </c>
      <c r="H29" s="51" t="n">
        <v>1</v>
      </c>
      <c r="I29" s="21" t="n"/>
      <c r="J29" s="21" t="n"/>
      <c r="K29" s="21" t="n"/>
      <c r="L29" s="21" t="n"/>
      <c r="M29" s="37">
        <f>E29*F29+G29*H29+I29*J29+K29*L29</f>
        <v/>
      </c>
      <c r="N29" s="37">
        <f>Исходные!$B$13-M29</f>
        <v/>
      </c>
      <c r="O29" s="51" t="n">
        <v>4</v>
      </c>
      <c r="P29" s="49">
        <f>(F29+H29+J29+L29)*O29</f>
        <v/>
      </c>
      <c r="Q29" s="70">
        <f>M29*O29</f>
        <v/>
      </c>
      <c r="R29" s="70">
        <f>N29*O29</f>
        <v/>
      </c>
    </row>
    <row r="30">
      <c r="A30" s="49" t="n">
        <v>1</v>
      </c>
      <c r="B30" s="49" t="n">
        <v>28</v>
      </c>
      <c r="C30" s="72" t="inlineStr">
        <is>
          <t>А500С</t>
        </is>
      </c>
      <c r="D30" s="49" t="n">
        <v>14</v>
      </c>
      <c r="E30" s="69" t="n">
        <v>4</v>
      </c>
      <c r="F30" s="51" t="n">
        <v>2</v>
      </c>
      <c r="G30" s="21" t="n"/>
      <c r="H30" s="21" t="n"/>
      <c r="I30" s="21" t="n"/>
      <c r="J30" s="21" t="n"/>
      <c r="K30" s="21" t="n"/>
      <c r="L30" s="21" t="n"/>
      <c r="M30" s="37">
        <f>E30*F30+G30*H30+I30*J30+K30*L30</f>
        <v/>
      </c>
      <c r="N30" s="37">
        <f>Исходные!$B$13-M30</f>
        <v/>
      </c>
      <c r="O30" s="51" t="n">
        <v>38</v>
      </c>
      <c r="P30" s="49">
        <f>(F30+H30+J30+L30)*O30</f>
        <v/>
      </c>
      <c r="Q30" s="70">
        <f>M30*O30</f>
        <v/>
      </c>
      <c r="R30" s="70">
        <f>N30*O30</f>
        <v/>
      </c>
    </row>
    <row r="31">
      <c r="A31" s="49" t="n">
        <v>1</v>
      </c>
      <c r="B31" s="49" t="n">
        <v>28</v>
      </c>
      <c r="C31" s="72" t="inlineStr">
        <is>
          <t>А500С</t>
        </is>
      </c>
      <c r="D31" s="49" t="n">
        <v>15</v>
      </c>
      <c r="E31" s="69" t="n">
        <v>3.8</v>
      </c>
      <c r="F31" s="51" t="n">
        <v>1</v>
      </c>
      <c r="G31" s="21" t="n"/>
      <c r="H31" s="21" t="n"/>
      <c r="I31" s="21" t="n"/>
      <c r="J31" s="21" t="n"/>
      <c r="K31" s="21" t="n"/>
      <c r="L31" s="21" t="n"/>
      <c r="M31" s="37">
        <f>E31*F31+G31*H31+I31*J31+K31*L31</f>
        <v/>
      </c>
      <c r="N31" s="37">
        <f>Исходные!$B$13-M31</f>
        <v/>
      </c>
      <c r="O31" s="51" t="n">
        <v>1</v>
      </c>
      <c r="P31" s="49">
        <f>(F31+H31+J31+L31)*O31</f>
        <v/>
      </c>
      <c r="Q31" s="70">
        <f>M31*O31</f>
        <v/>
      </c>
      <c r="R31" s="70">
        <f>N31*O31</f>
        <v/>
      </c>
    </row>
    <row r="32">
      <c r="A32" s="49" t="n">
        <v>1</v>
      </c>
      <c r="B32" s="49" t="n">
        <v>25</v>
      </c>
      <c r="C32" s="72" t="inlineStr">
        <is>
          <t>А500С</t>
        </is>
      </c>
      <c r="D32" s="49" t="n">
        <v>1</v>
      </c>
      <c r="E32" s="69" t="n">
        <v>11.7</v>
      </c>
      <c r="F32" s="51" t="n">
        <v>1</v>
      </c>
      <c r="G32" s="21" t="n"/>
      <c r="H32" s="21" t="n"/>
      <c r="I32" s="21" t="n"/>
      <c r="J32" s="21" t="n"/>
      <c r="K32" s="21" t="n"/>
      <c r="L32" s="21" t="n"/>
      <c r="M32" s="37">
        <f>E32*F32+G32*H32+I32*J32+K32*L32</f>
        <v/>
      </c>
      <c r="N32" s="37">
        <f>Исходные!$B$13-M32</f>
        <v/>
      </c>
      <c r="O32" s="51" t="n">
        <v>40</v>
      </c>
      <c r="P32" s="49">
        <f>(F32+H32+J32+L32)*O32</f>
        <v/>
      </c>
      <c r="Q32" s="70">
        <f>M32*O32</f>
        <v/>
      </c>
      <c r="R32" s="70">
        <f>N32*O32</f>
        <v/>
      </c>
    </row>
    <row r="33">
      <c r="A33" s="49" t="n">
        <v>1</v>
      </c>
      <c r="B33" s="49" t="n">
        <v>25</v>
      </c>
      <c r="C33" s="72" t="inlineStr">
        <is>
          <t>А500С</t>
        </is>
      </c>
      <c r="D33" s="49" t="n">
        <v>2</v>
      </c>
      <c r="E33" s="69" t="n">
        <v>7.85</v>
      </c>
      <c r="F33" s="51" t="n">
        <v>1</v>
      </c>
      <c r="G33" s="69" t="n">
        <v>3.8</v>
      </c>
      <c r="H33" s="51" t="n">
        <v>1</v>
      </c>
      <c r="I33" s="21" t="n"/>
      <c r="J33" s="21" t="n"/>
      <c r="K33" s="21" t="n"/>
      <c r="L33" s="21" t="n"/>
      <c r="M33" s="37">
        <f>E33*F33+G33*H33+I33*J33+K33*L33</f>
        <v/>
      </c>
      <c r="N33" s="37">
        <f>Исходные!$B$13-M33</f>
        <v/>
      </c>
      <c r="O33" s="51" t="n">
        <v>4</v>
      </c>
      <c r="P33" s="49">
        <f>(F33+H33+J33+L33)*O33</f>
        <v/>
      </c>
      <c r="Q33" s="70">
        <f>M33*O33</f>
        <v/>
      </c>
      <c r="R33" s="70">
        <f>N33*O33</f>
        <v/>
      </c>
    </row>
    <row r="34">
      <c r="A34" s="49" t="n">
        <v>1</v>
      </c>
      <c r="B34" s="49" t="n">
        <v>25</v>
      </c>
      <c r="C34" s="72" t="inlineStr">
        <is>
          <t>А500С</t>
        </is>
      </c>
      <c r="D34" s="49" t="n">
        <v>3</v>
      </c>
      <c r="E34" s="69" t="n">
        <v>3.8</v>
      </c>
      <c r="F34" s="51" t="n">
        <v>2</v>
      </c>
      <c r="G34" s="69" t="n">
        <v>3.785</v>
      </c>
      <c r="H34" s="51" t="n">
        <v>1</v>
      </c>
      <c r="I34" s="69" t="n">
        <v>0.2</v>
      </c>
      <c r="J34" s="51" t="n">
        <v>1</v>
      </c>
      <c r="K34" s="21" t="n"/>
      <c r="L34" s="21" t="n"/>
      <c r="M34" s="37">
        <f>E34*F34+G34*H34+I34*J34+K34*L34</f>
        <v/>
      </c>
      <c r="N34" s="37">
        <f>Исходные!$B$13-M34</f>
        <v/>
      </c>
      <c r="O34" s="51" t="n">
        <v>1</v>
      </c>
      <c r="P34" s="49">
        <f>(F34+H34+J34+L34)*O34</f>
        <v/>
      </c>
      <c r="Q34" s="70">
        <f>M34*O34</f>
        <v/>
      </c>
      <c r="R34" s="70">
        <f>N34*O34</f>
        <v/>
      </c>
    </row>
    <row r="35">
      <c r="A35" s="49" t="n">
        <v>1</v>
      </c>
      <c r="B35" s="49" t="n">
        <v>25</v>
      </c>
      <c r="C35" s="72" t="inlineStr">
        <is>
          <t>А500С</t>
        </is>
      </c>
      <c r="D35" s="49" t="n">
        <v>4</v>
      </c>
      <c r="E35" s="69" t="n">
        <v>4</v>
      </c>
      <c r="F35" s="51" t="n">
        <v>2</v>
      </c>
      <c r="G35" s="69" t="n">
        <v>3.365</v>
      </c>
      <c r="H35" s="51" t="n">
        <v>1</v>
      </c>
      <c r="I35" s="69" t="n">
        <v>0.2</v>
      </c>
      <c r="J35" s="51" t="n">
        <v>1</v>
      </c>
      <c r="K35" s="21" t="n"/>
      <c r="L35" s="21" t="n"/>
      <c r="M35" s="37">
        <f>E35*F35+G35*H35+I35*J35+K35*L35</f>
        <v/>
      </c>
      <c r="N35" s="37">
        <f>Исходные!$B$13-M35</f>
        <v/>
      </c>
      <c r="O35" s="51" t="n">
        <v>3</v>
      </c>
      <c r="P35" s="49">
        <f>(F35+H35+J35+L35)*O35</f>
        <v/>
      </c>
      <c r="Q35" s="70">
        <f>M35*O35</f>
        <v/>
      </c>
      <c r="R35" s="70">
        <f>N35*O35</f>
        <v/>
      </c>
    </row>
    <row r="36">
      <c r="A36" s="49" t="n">
        <v>1</v>
      </c>
      <c r="B36" s="49" t="n">
        <v>25</v>
      </c>
      <c r="C36" s="72" t="inlineStr">
        <is>
          <t>А500С</t>
        </is>
      </c>
      <c r="D36" s="49" t="n">
        <v>5</v>
      </c>
      <c r="E36" s="69" t="n">
        <v>4</v>
      </c>
      <c r="F36" s="51" t="n">
        <v>2</v>
      </c>
      <c r="G36" s="69" t="n">
        <v>3.365</v>
      </c>
      <c r="H36" s="51" t="n">
        <v>1</v>
      </c>
      <c r="I36" s="21" t="n"/>
      <c r="J36" s="21" t="n"/>
      <c r="K36" s="21" t="n"/>
      <c r="L36" s="21" t="n"/>
      <c r="M36" s="37">
        <f>E36*F36+G36*H36+I36*J36+K36*L36</f>
        <v/>
      </c>
      <c r="N36" s="37">
        <f>Исходные!$B$13-M36</f>
        <v/>
      </c>
      <c r="O36" s="51" t="n">
        <v>1</v>
      </c>
      <c r="P36" s="49">
        <f>(F36+H36+J36+L36)*O36</f>
        <v/>
      </c>
      <c r="Q36" s="70">
        <f>M36*O36</f>
        <v/>
      </c>
      <c r="R36" s="70">
        <f>N36*O36</f>
        <v/>
      </c>
    </row>
    <row r="37">
      <c r="A37" s="49" t="n">
        <v>1</v>
      </c>
      <c r="B37" s="49" t="n">
        <v>25</v>
      </c>
      <c r="C37" s="72" t="inlineStr">
        <is>
          <t>А500С</t>
        </is>
      </c>
      <c r="D37" s="49" t="n">
        <v>6</v>
      </c>
      <c r="E37" s="69" t="n">
        <v>3.785</v>
      </c>
      <c r="F37" s="51" t="n">
        <v>3</v>
      </c>
      <c r="G37" s="21" t="n"/>
      <c r="H37" s="21" t="n"/>
      <c r="I37" s="21" t="n"/>
      <c r="J37" s="21" t="n"/>
      <c r="K37" s="21" t="n"/>
      <c r="L37" s="21" t="n"/>
      <c r="M37" s="37">
        <f>E37*F37+G37*H37+I37*J37+K37*L37</f>
        <v/>
      </c>
      <c r="N37" s="37">
        <f>Исходные!$B$13-M37</f>
        <v/>
      </c>
      <c r="O37" s="51" t="n">
        <v>1</v>
      </c>
      <c r="P37" s="49">
        <f>(F37+H37+J37+L37)*O37</f>
        <v/>
      </c>
      <c r="Q37" s="70">
        <f>M37*O37</f>
        <v/>
      </c>
      <c r="R37" s="70">
        <f>N37*O37</f>
        <v/>
      </c>
    </row>
    <row r="38">
      <c r="A38" s="49" t="n">
        <v>1</v>
      </c>
      <c r="B38" s="49" t="n">
        <v>25</v>
      </c>
      <c r="C38" s="72" t="inlineStr">
        <is>
          <t>А500С</t>
        </is>
      </c>
      <c r="D38" s="49" t="n">
        <v>7</v>
      </c>
      <c r="E38" s="69" t="n">
        <v>4</v>
      </c>
      <c r="F38" s="51" t="n">
        <v>2</v>
      </c>
      <c r="G38" s="69" t="n">
        <v>3.065</v>
      </c>
      <c r="H38" s="51" t="n">
        <v>1</v>
      </c>
      <c r="I38" s="21" t="n"/>
      <c r="J38" s="21" t="n"/>
      <c r="K38" s="21" t="n"/>
      <c r="L38" s="21" t="n"/>
      <c r="M38" s="37">
        <f>E38*F38+G38*H38+I38*J38+K38*L38</f>
        <v/>
      </c>
      <c r="N38" s="37">
        <f>Исходные!$B$13-M38</f>
        <v/>
      </c>
      <c r="O38" s="51" t="n">
        <v>4</v>
      </c>
      <c r="P38" s="49">
        <f>(F38+H38+J38+L38)*O38</f>
        <v/>
      </c>
      <c r="Q38" s="70">
        <f>M38*O38</f>
        <v/>
      </c>
      <c r="R38" s="70">
        <f>N38*O38</f>
        <v/>
      </c>
    </row>
    <row r="39">
      <c r="A39" s="49" t="n">
        <v>1</v>
      </c>
      <c r="B39" s="49" t="n">
        <v>25</v>
      </c>
      <c r="C39" s="72" t="inlineStr">
        <is>
          <t>А500С</t>
        </is>
      </c>
      <c r="D39" s="49" t="n">
        <v>8</v>
      </c>
      <c r="E39" s="69" t="n">
        <v>8.699999999999999</v>
      </c>
      <c r="F39" s="51" t="n">
        <v>1</v>
      </c>
      <c r="G39" s="69" t="n">
        <v>2.28</v>
      </c>
      <c r="H39" s="51" t="n">
        <v>1</v>
      </c>
      <c r="I39" s="21" t="n"/>
      <c r="J39" s="21" t="n"/>
      <c r="K39" s="21" t="n"/>
      <c r="L39" s="21" t="n"/>
      <c r="M39" s="37">
        <f>E39*F39+G39*H39+I39*J39+K39*L39</f>
        <v/>
      </c>
      <c r="N39" s="37">
        <f>Исходные!$B$13-M39</f>
        <v/>
      </c>
      <c r="O39" s="51" t="n">
        <v>4</v>
      </c>
      <c r="P39" s="49">
        <f>(F39+H39+J39+L39)*O39</f>
        <v/>
      </c>
      <c r="Q39" s="70">
        <f>M39*O39</f>
        <v/>
      </c>
      <c r="R39" s="70">
        <f>N39*O39</f>
        <v/>
      </c>
    </row>
    <row r="40">
      <c r="A40" s="49" t="n">
        <v>1</v>
      </c>
      <c r="B40" s="49" t="n">
        <v>25</v>
      </c>
      <c r="C40" s="72" t="inlineStr">
        <is>
          <t>А500С</t>
        </is>
      </c>
      <c r="D40" s="49" t="n">
        <v>9</v>
      </c>
      <c r="E40" s="69" t="n">
        <v>8.699999999999999</v>
      </c>
      <c r="F40" s="51" t="n">
        <v>1</v>
      </c>
      <c r="G40" s="69" t="n">
        <v>2.2</v>
      </c>
      <c r="H40" s="51" t="n">
        <v>1</v>
      </c>
      <c r="I40" s="21" t="n"/>
      <c r="J40" s="21" t="n"/>
      <c r="K40" s="21" t="n"/>
      <c r="L40" s="21" t="n"/>
      <c r="M40" s="37">
        <f>E40*F40+G40*H40+I40*J40+K40*L40</f>
        <v/>
      </c>
      <c r="N40" s="37">
        <f>Исходные!$B$13-M40</f>
        <v/>
      </c>
      <c r="O40" s="51" t="n">
        <v>8</v>
      </c>
      <c r="P40" s="49">
        <f>(F40+H40+J40+L40)*O40</f>
        <v/>
      </c>
      <c r="Q40" s="70">
        <f>M40*O40</f>
        <v/>
      </c>
      <c r="R40" s="70">
        <f>N40*O40</f>
        <v/>
      </c>
    </row>
    <row r="41">
      <c r="A41" s="49" t="n">
        <v>1</v>
      </c>
      <c r="B41" s="49" t="n">
        <v>25</v>
      </c>
      <c r="C41" s="72" t="inlineStr">
        <is>
          <t>А500С</t>
        </is>
      </c>
      <c r="D41" s="49" t="n">
        <v>10</v>
      </c>
      <c r="E41" s="69" t="n">
        <v>6.2</v>
      </c>
      <c r="F41" s="51" t="n">
        <v>1</v>
      </c>
      <c r="G41" s="69" t="n">
        <v>4.5</v>
      </c>
      <c r="H41" s="51" t="n">
        <v>1</v>
      </c>
      <c r="I41" s="21" t="n"/>
      <c r="J41" s="21" t="n"/>
      <c r="K41" s="21" t="n"/>
      <c r="L41" s="21" t="n"/>
      <c r="M41" s="37">
        <f>E41*F41+G41*H41+I41*J41+K41*L41</f>
        <v/>
      </c>
      <c r="N41" s="37">
        <f>Исходные!$B$13-M41</f>
        <v/>
      </c>
      <c r="O41" s="51" t="n">
        <v>2</v>
      </c>
      <c r="P41" s="49">
        <f>(F41+H41+J41+L41)*O41</f>
        <v/>
      </c>
      <c r="Q41" s="70">
        <f>M41*O41</f>
        <v/>
      </c>
      <c r="R41" s="70">
        <f>N41*O41</f>
        <v/>
      </c>
    </row>
    <row r="42">
      <c r="A42" s="49" t="n">
        <v>1</v>
      </c>
      <c r="B42" s="49" t="n">
        <v>25</v>
      </c>
      <c r="C42" s="72" t="inlineStr">
        <is>
          <t>А500С</t>
        </is>
      </c>
      <c r="D42" s="49" t="n">
        <v>11</v>
      </c>
      <c r="E42" s="69" t="n">
        <v>10.5</v>
      </c>
      <c r="F42" s="51" t="n">
        <v>1</v>
      </c>
      <c r="G42" s="21" t="n"/>
      <c r="H42" s="21" t="n"/>
      <c r="I42" s="21" t="n"/>
      <c r="J42" s="21" t="n"/>
      <c r="K42" s="21" t="n"/>
      <c r="L42" s="21" t="n"/>
      <c r="M42" s="37">
        <f>E42*F42+G42*H42+I42*J42+K42*L42</f>
        <v/>
      </c>
      <c r="N42" s="37">
        <f>Исходные!$B$13-M42</f>
        <v/>
      </c>
      <c r="O42" s="51" t="n">
        <v>2</v>
      </c>
      <c r="P42" s="49">
        <f>(F42+H42+J42+L42)*O42</f>
        <v/>
      </c>
      <c r="Q42" s="70">
        <f>M42*O42</f>
        <v/>
      </c>
      <c r="R42" s="70">
        <f>N42*O42</f>
        <v/>
      </c>
    </row>
    <row r="43">
      <c r="A43" s="49" t="n">
        <v>1</v>
      </c>
      <c r="B43" s="49" t="n">
        <v>25</v>
      </c>
      <c r="C43" s="72" t="inlineStr">
        <is>
          <t>А500С</t>
        </is>
      </c>
      <c r="D43" s="49" t="n">
        <v>12</v>
      </c>
      <c r="E43" s="69" t="n">
        <v>2.05</v>
      </c>
      <c r="F43" s="51" t="n">
        <v>2</v>
      </c>
      <c r="G43" s="69" t="n">
        <v>2</v>
      </c>
      <c r="H43" s="51" t="n">
        <v>3</v>
      </c>
      <c r="I43" s="21" t="n"/>
      <c r="J43" s="21" t="n"/>
      <c r="K43" s="21" t="n"/>
      <c r="L43" s="21" t="n"/>
      <c r="M43" s="37">
        <f>E43*F43+G43*H43+I43*J43+K43*L43</f>
        <v/>
      </c>
      <c r="N43" s="37">
        <f>Исходные!$B$13-M43</f>
        <v/>
      </c>
      <c r="O43" s="51" t="n">
        <v>1</v>
      </c>
      <c r="P43" s="49">
        <f>(F43+H43+J43+L43)*O43</f>
        <v/>
      </c>
      <c r="Q43" s="70">
        <f>M43*O43</f>
        <v/>
      </c>
      <c r="R43" s="70">
        <f>N43*O43</f>
        <v/>
      </c>
    </row>
    <row r="44">
      <c r="A44" s="49" t="n">
        <v>1</v>
      </c>
      <c r="B44" s="49" t="n">
        <v>25</v>
      </c>
      <c r="C44" s="72" t="inlineStr">
        <is>
          <t>А500С</t>
        </is>
      </c>
      <c r="D44" s="49" t="n">
        <v>13</v>
      </c>
      <c r="E44" s="69" t="n">
        <v>4</v>
      </c>
      <c r="F44" s="51" t="n">
        <v>2</v>
      </c>
      <c r="G44" s="69" t="n">
        <v>2.05</v>
      </c>
      <c r="H44" s="51" t="n">
        <v>1</v>
      </c>
      <c r="I44" s="21" t="n"/>
      <c r="J44" s="21" t="n"/>
      <c r="K44" s="21" t="n"/>
      <c r="L44" s="21" t="n"/>
      <c r="M44" s="37">
        <f>E44*F44+G44*H44+I44*J44+K44*L44</f>
        <v/>
      </c>
      <c r="N44" s="37">
        <f>Исходные!$B$13-M44</f>
        <v/>
      </c>
      <c r="O44" s="51" t="n">
        <v>10</v>
      </c>
      <c r="P44" s="49">
        <f>(F44+H44+J44+L44)*O44</f>
        <v/>
      </c>
      <c r="Q44" s="70">
        <f>M44*O44</f>
        <v/>
      </c>
      <c r="R44" s="70">
        <f>N44*O44</f>
        <v/>
      </c>
    </row>
    <row r="45">
      <c r="A45" s="49" t="n">
        <v>1</v>
      </c>
      <c r="B45" s="49" t="n">
        <v>25</v>
      </c>
      <c r="C45" s="72" t="inlineStr">
        <is>
          <t>А500С</t>
        </is>
      </c>
      <c r="D45" s="49" t="n">
        <v>14</v>
      </c>
      <c r="E45" s="69" t="n">
        <v>2</v>
      </c>
      <c r="F45" s="51" t="n">
        <v>5</v>
      </c>
      <c r="G45" s="21" t="n"/>
      <c r="H45" s="21" t="n"/>
      <c r="I45" s="21" t="n"/>
      <c r="J45" s="21" t="n"/>
      <c r="K45" s="21" t="n"/>
      <c r="L45" s="21" t="n"/>
      <c r="M45" s="37">
        <f>E45*F45+G45*H45+I45*J45+K45*L45</f>
        <v/>
      </c>
      <c r="N45" s="37">
        <f>Исходные!$B$13-M45</f>
        <v/>
      </c>
      <c r="O45" s="51" t="n">
        <v>1</v>
      </c>
      <c r="P45" s="49">
        <f>(F45+H45+J45+L45)*O45</f>
        <v/>
      </c>
      <c r="Q45" s="70">
        <f>M45*O45</f>
        <v/>
      </c>
      <c r="R45" s="70">
        <f>N45*O45</f>
        <v/>
      </c>
    </row>
    <row r="46">
      <c r="A46" s="49" t="n">
        <v>1</v>
      </c>
      <c r="B46" s="49" t="n">
        <v>22</v>
      </c>
      <c r="C46" s="72" t="inlineStr">
        <is>
          <t>А500С</t>
        </is>
      </c>
      <c r="D46" s="49" t="n">
        <v>1</v>
      </c>
      <c r="E46" s="69" t="n">
        <v>4</v>
      </c>
      <c r="F46" s="51" t="n">
        <v>2</v>
      </c>
      <c r="G46" s="69" t="n">
        <v>2.375</v>
      </c>
      <c r="H46" s="51" t="n">
        <v>1</v>
      </c>
      <c r="I46" s="69" t="n">
        <v>1.3</v>
      </c>
      <c r="J46" s="51" t="n">
        <v>1</v>
      </c>
      <c r="K46" s="21" t="n"/>
      <c r="L46" s="21" t="n"/>
      <c r="M46" s="37">
        <f>E46*F46+G46*H46+I46*J46+K46*L46</f>
        <v/>
      </c>
      <c r="N46" s="37">
        <f>Исходные!$B$13-M46</f>
        <v/>
      </c>
      <c r="O46" s="51" t="n">
        <v>3</v>
      </c>
      <c r="P46" s="49">
        <f>(F46+H46+J46+L46)*O46</f>
        <v/>
      </c>
      <c r="Q46" s="70">
        <f>M46*O46</f>
        <v/>
      </c>
      <c r="R46" s="70">
        <f>N46*O46</f>
        <v/>
      </c>
    </row>
    <row r="47">
      <c r="A47" s="49" t="n">
        <v>1</v>
      </c>
      <c r="B47" s="49" t="n">
        <v>22</v>
      </c>
      <c r="C47" s="72" t="inlineStr">
        <is>
          <t>А500С</t>
        </is>
      </c>
      <c r="D47" s="49" t="n">
        <v>2</v>
      </c>
      <c r="E47" s="69" t="n">
        <v>4.7</v>
      </c>
      <c r="F47" s="51" t="n">
        <v>2</v>
      </c>
      <c r="G47" s="69" t="n">
        <v>2.175</v>
      </c>
      <c r="H47" s="51" t="n">
        <v>1</v>
      </c>
      <c r="I47" s="21" t="n"/>
      <c r="J47" s="21" t="n"/>
      <c r="K47" s="21" t="n"/>
      <c r="L47" s="21" t="n"/>
      <c r="M47" s="37">
        <f>E47*F47+G47*H47+I47*J47+K47*L47</f>
        <v/>
      </c>
      <c r="N47" s="37">
        <f>Исходные!$B$13-M47</f>
        <v/>
      </c>
      <c r="O47" s="51" t="n">
        <v>1</v>
      </c>
      <c r="P47" s="49">
        <f>(F47+H47+J47+L47)*O47</f>
        <v/>
      </c>
      <c r="Q47" s="70">
        <f>M47*O47</f>
        <v/>
      </c>
      <c r="R47" s="70">
        <f>N47*O47</f>
        <v/>
      </c>
    </row>
    <row r="48">
      <c r="A48" s="49" t="n">
        <v>1</v>
      </c>
      <c r="B48" s="49" t="n">
        <v>22</v>
      </c>
      <c r="C48" s="72" t="inlineStr">
        <is>
          <t>А500С</t>
        </is>
      </c>
      <c r="D48" s="49" t="n">
        <v>3</v>
      </c>
      <c r="E48" s="69" t="n">
        <v>3.775</v>
      </c>
      <c r="F48" s="51" t="n">
        <v>1</v>
      </c>
      <c r="G48" s="69" t="n">
        <v>2.15</v>
      </c>
      <c r="H48" s="51" t="n">
        <v>3</v>
      </c>
      <c r="I48" s="69" t="n">
        <v>1.3</v>
      </c>
      <c r="J48" s="51" t="n">
        <v>1</v>
      </c>
      <c r="K48" s="21" t="n"/>
      <c r="L48" s="21" t="n"/>
      <c r="M48" s="37">
        <f>E48*F48+G48*H48+I48*J48+K48*L48</f>
        <v/>
      </c>
      <c r="N48" s="37">
        <f>Исходные!$B$13-M48</f>
        <v/>
      </c>
      <c r="O48" s="51" t="n">
        <v>1</v>
      </c>
      <c r="P48" s="49">
        <f>(F48+H48+J48+L48)*O48</f>
        <v/>
      </c>
      <c r="Q48" s="70">
        <f>M48*O48</f>
        <v/>
      </c>
      <c r="R48" s="70">
        <f>N48*O48</f>
        <v/>
      </c>
    </row>
    <row r="49">
      <c r="A49" s="49" t="n">
        <v>1</v>
      </c>
      <c r="B49" s="49" t="n">
        <v>22</v>
      </c>
      <c r="C49" s="72" t="inlineStr">
        <is>
          <t>А500С</t>
        </is>
      </c>
      <c r="D49" s="49" t="n">
        <v>4</v>
      </c>
      <c r="E49" s="69" t="n">
        <v>4.15</v>
      </c>
      <c r="F49" s="51" t="n">
        <v>2</v>
      </c>
      <c r="G49" s="69" t="n">
        <v>3.2</v>
      </c>
      <c r="H49" s="51" t="n">
        <v>1</v>
      </c>
      <c r="I49" s="21" t="n"/>
      <c r="J49" s="21" t="n"/>
      <c r="K49" s="21" t="n"/>
      <c r="L49" s="21" t="n"/>
      <c r="M49" s="37">
        <f>E49*F49+G49*H49+I49*J49+K49*L49</f>
        <v/>
      </c>
      <c r="N49" s="37">
        <f>Исходные!$B$13-M49</f>
        <v/>
      </c>
      <c r="O49" s="51" t="n">
        <v>4</v>
      </c>
      <c r="P49" s="49">
        <f>(F49+H49+J49+L49)*O49</f>
        <v/>
      </c>
      <c r="Q49" s="70">
        <f>M49*O49</f>
        <v/>
      </c>
      <c r="R49" s="70">
        <f>N49*O49</f>
        <v/>
      </c>
    </row>
    <row r="50">
      <c r="A50" s="49" t="n">
        <v>1</v>
      </c>
      <c r="B50" s="49" t="n">
        <v>22</v>
      </c>
      <c r="C50" s="72" t="inlineStr">
        <is>
          <t>А500С</t>
        </is>
      </c>
      <c r="D50" s="49" t="n">
        <v>5</v>
      </c>
      <c r="E50" s="69" t="n">
        <v>4</v>
      </c>
      <c r="F50" s="51" t="n">
        <v>2</v>
      </c>
      <c r="G50" s="69" t="n">
        <v>2.175</v>
      </c>
      <c r="H50" s="51" t="n">
        <v>1</v>
      </c>
      <c r="I50" s="69" t="n">
        <v>1.3</v>
      </c>
      <c r="J50" s="51" t="n">
        <v>1</v>
      </c>
      <c r="K50" s="21" t="n"/>
      <c r="L50" s="21" t="n"/>
      <c r="M50" s="37">
        <f>E50*F50+G50*H50+I50*J50+K50*L50</f>
        <v/>
      </c>
      <c r="N50" s="37">
        <f>Исходные!$B$13-M50</f>
        <v/>
      </c>
      <c r="O50" s="51" t="n">
        <v>6</v>
      </c>
      <c r="P50" s="49">
        <f>(F50+H50+J50+L50)*O50</f>
        <v/>
      </c>
      <c r="Q50" s="70">
        <f>M50*O50</f>
        <v/>
      </c>
      <c r="R50" s="70">
        <f>N50*O50</f>
        <v/>
      </c>
    </row>
    <row r="51">
      <c r="A51" s="49" t="n">
        <v>1</v>
      </c>
      <c r="B51" s="49" t="n">
        <v>22</v>
      </c>
      <c r="C51" s="72" t="inlineStr">
        <is>
          <t>А500С</t>
        </is>
      </c>
      <c r="D51" s="49" t="n">
        <v>6</v>
      </c>
      <c r="E51" s="69" t="n">
        <v>4.5</v>
      </c>
      <c r="F51" s="51" t="n">
        <v>2</v>
      </c>
      <c r="G51" s="69" t="n">
        <v>2.375</v>
      </c>
      <c r="H51" s="51" t="n">
        <v>1</v>
      </c>
      <c r="I51" s="21" t="n"/>
      <c r="J51" s="21" t="n"/>
      <c r="K51" s="21" t="n"/>
      <c r="L51" s="21" t="n"/>
      <c r="M51" s="37">
        <f>E51*F51+G51*H51+I51*J51+K51*L51</f>
        <v/>
      </c>
      <c r="N51" s="37">
        <f>Исходные!$B$13-M51</f>
        <v/>
      </c>
      <c r="O51" s="51" t="n">
        <v>1</v>
      </c>
      <c r="P51" s="49">
        <f>(F51+H51+J51+L51)*O51</f>
        <v/>
      </c>
      <c r="Q51" s="70">
        <f>M51*O51</f>
        <v/>
      </c>
      <c r="R51" s="70">
        <f>N51*O51</f>
        <v/>
      </c>
    </row>
    <row r="52">
      <c r="A52" s="49" t="n">
        <v>1</v>
      </c>
      <c r="B52" s="49" t="n">
        <v>22</v>
      </c>
      <c r="C52" s="72" t="inlineStr">
        <is>
          <t>А500С</t>
        </is>
      </c>
      <c r="D52" s="49" t="n">
        <v>7</v>
      </c>
      <c r="E52" s="69" t="n">
        <v>3.775</v>
      </c>
      <c r="F52" s="51" t="n">
        <v>3</v>
      </c>
      <c r="G52" s="21" t="n"/>
      <c r="H52" s="21" t="n"/>
      <c r="I52" s="21" t="n"/>
      <c r="J52" s="21" t="n"/>
      <c r="K52" s="21" t="n"/>
      <c r="L52" s="21" t="n"/>
      <c r="M52" s="37">
        <f>E52*F52+G52*H52+I52*J52+K52*L52</f>
        <v/>
      </c>
      <c r="N52" s="37">
        <f>Исходные!$B$13-M52</f>
        <v/>
      </c>
      <c r="O52" s="51" t="n">
        <v>1</v>
      </c>
      <c r="P52" s="49">
        <f>(F52+H52+J52+L52)*O52</f>
        <v/>
      </c>
      <c r="Q52" s="70">
        <f>M52*O52</f>
        <v/>
      </c>
      <c r="R52" s="70">
        <f>N52*O52</f>
        <v/>
      </c>
    </row>
    <row r="53">
      <c r="A53" s="49" t="n">
        <v>1</v>
      </c>
      <c r="B53" s="49" t="n">
        <v>22</v>
      </c>
      <c r="C53" s="72" t="inlineStr">
        <is>
          <t>А500С</t>
        </is>
      </c>
      <c r="D53" s="49" t="n">
        <v>8</v>
      </c>
      <c r="E53" s="69" t="n">
        <v>5.5</v>
      </c>
      <c r="F53" s="51" t="n">
        <v>2</v>
      </c>
      <c r="G53" s="21" t="n"/>
      <c r="H53" s="21" t="n"/>
      <c r="I53" s="21" t="n"/>
      <c r="J53" s="21" t="n"/>
      <c r="K53" s="21" t="n"/>
      <c r="L53" s="21" t="n"/>
      <c r="M53" s="37">
        <f>E53*F53+G53*H53+I53*J53+K53*L53</f>
        <v/>
      </c>
      <c r="N53" s="37">
        <f>Исходные!$B$13-M53</f>
        <v/>
      </c>
      <c r="O53" s="51" t="n">
        <v>2</v>
      </c>
      <c r="P53" s="49">
        <f>(F53+H53+J53+L53)*O53</f>
        <v/>
      </c>
      <c r="Q53" s="70">
        <f>M53*O53</f>
        <v/>
      </c>
      <c r="R53" s="70">
        <f>N53*O53</f>
        <v/>
      </c>
    </row>
    <row r="54">
      <c r="A54" s="49" t="n">
        <v>1</v>
      </c>
      <c r="B54" s="49" t="n">
        <v>22</v>
      </c>
      <c r="C54" s="72" t="inlineStr">
        <is>
          <t>А500С</t>
        </is>
      </c>
      <c r="D54" s="49" t="n">
        <v>9</v>
      </c>
      <c r="E54" s="69" t="n">
        <v>2.15</v>
      </c>
      <c r="F54" s="51" t="n">
        <v>5</v>
      </c>
      <c r="G54" s="21" t="n"/>
      <c r="H54" s="21" t="n"/>
      <c r="I54" s="21" t="n"/>
      <c r="J54" s="21" t="n"/>
      <c r="K54" s="21" t="n"/>
      <c r="L54" s="21" t="n"/>
      <c r="M54" s="37">
        <f>E54*F54+G54*H54+I54*J54+K54*L54</f>
        <v/>
      </c>
      <c r="N54" s="37">
        <f>Исходные!$B$13-M54</f>
        <v/>
      </c>
      <c r="O54" s="51" t="n">
        <v>1</v>
      </c>
      <c r="P54" s="49">
        <f>(F54+H54+J54+L54)*O54</f>
        <v/>
      </c>
      <c r="Q54" s="70">
        <f>M54*O54</f>
        <v/>
      </c>
      <c r="R54" s="70">
        <f>N54*O54</f>
        <v/>
      </c>
    </row>
    <row r="55">
      <c r="A55" s="49" t="n">
        <v>1</v>
      </c>
      <c r="B55" s="49" t="n">
        <v>22</v>
      </c>
      <c r="C55" s="72" t="inlineStr">
        <is>
          <t>А500С</t>
        </is>
      </c>
      <c r="D55" s="49" t="n">
        <v>10</v>
      </c>
      <c r="E55" s="69" t="n">
        <v>2.15</v>
      </c>
      <c r="F55" s="51" t="n">
        <v>4</v>
      </c>
      <c r="G55" s="69" t="n">
        <v>2.05</v>
      </c>
      <c r="H55" s="51" t="n">
        <v>1</v>
      </c>
      <c r="I55" s="21" t="n"/>
      <c r="J55" s="21" t="n"/>
      <c r="K55" s="21" t="n"/>
      <c r="L55" s="21" t="n"/>
      <c r="M55" s="37">
        <f>E55*F55+G55*H55+I55*J55+K55*L55</f>
        <v/>
      </c>
      <c r="N55" s="37">
        <f>Исходные!$B$13-M55</f>
        <v/>
      </c>
      <c r="O55" s="51" t="n">
        <v>1</v>
      </c>
      <c r="P55" s="49">
        <f>(F55+H55+J55+L55)*O55</f>
        <v/>
      </c>
      <c r="Q55" s="70">
        <f>M55*O55</f>
        <v/>
      </c>
      <c r="R55" s="70">
        <f>N55*O55</f>
        <v/>
      </c>
    </row>
    <row r="56">
      <c r="A56" s="49" t="n">
        <v>1</v>
      </c>
      <c r="B56" s="49" t="n">
        <v>22</v>
      </c>
      <c r="C56" s="72" t="inlineStr">
        <is>
          <t>А500С</t>
        </is>
      </c>
      <c r="D56" s="49" t="n">
        <v>11</v>
      </c>
      <c r="E56" s="69" t="n">
        <v>4</v>
      </c>
      <c r="F56" s="51" t="n">
        <v>2</v>
      </c>
      <c r="G56" s="69" t="n">
        <v>2.175</v>
      </c>
      <c r="H56" s="51" t="n">
        <v>1</v>
      </c>
      <c r="I56" s="21" t="n"/>
      <c r="J56" s="21" t="n"/>
      <c r="K56" s="21" t="n"/>
      <c r="L56" s="21" t="n"/>
      <c r="M56" s="37">
        <f>E56*F56+G56*H56+I56*J56+K56*L56</f>
        <v/>
      </c>
      <c r="N56" s="37">
        <f>Исходные!$B$13-M56</f>
        <v/>
      </c>
      <c r="O56" s="51" t="n">
        <v>9</v>
      </c>
      <c r="P56" s="49">
        <f>(F56+H56+J56+L56)*O56</f>
        <v/>
      </c>
      <c r="Q56" s="70">
        <f>M56*O56</f>
        <v/>
      </c>
      <c r="R56" s="70">
        <f>N56*O56</f>
        <v/>
      </c>
    </row>
    <row r="57">
      <c r="A57" s="49" t="n">
        <v>1</v>
      </c>
      <c r="B57" s="49" t="n">
        <v>22</v>
      </c>
      <c r="C57" s="72" t="inlineStr">
        <is>
          <t>А500С</t>
        </is>
      </c>
      <c r="D57" s="49" t="n">
        <v>12</v>
      </c>
      <c r="E57" s="69" t="n">
        <v>7.95</v>
      </c>
      <c r="F57" s="51" t="n">
        <v>1</v>
      </c>
      <c r="G57" s="69" t="n">
        <v>2.15</v>
      </c>
      <c r="H57" s="51" t="n">
        <v>1</v>
      </c>
      <c r="I57" s="21" t="n"/>
      <c r="J57" s="21" t="n"/>
      <c r="K57" s="21" t="n"/>
      <c r="L57" s="21" t="n"/>
      <c r="M57" s="37">
        <f>E57*F57+G57*H57+I57*J57+K57*L57</f>
        <v/>
      </c>
      <c r="N57" s="37">
        <f>Исходные!$B$13-M57</f>
        <v/>
      </c>
      <c r="O57" s="51" t="n">
        <v>4</v>
      </c>
      <c r="P57" s="49">
        <f>(F57+H57+J57+L57)*O57</f>
        <v/>
      </c>
      <c r="Q57" s="70">
        <f>M57*O57</f>
        <v/>
      </c>
      <c r="R57" s="70">
        <f>N57*O57</f>
        <v/>
      </c>
    </row>
    <row r="58">
      <c r="A58" s="49" t="n">
        <v>1</v>
      </c>
      <c r="B58" s="49" t="n">
        <v>22</v>
      </c>
      <c r="C58" s="72" t="inlineStr">
        <is>
          <t>А500С</t>
        </is>
      </c>
      <c r="D58" s="49" t="n">
        <v>13</v>
      </c>
      <c r="E58" s="69" t="n">
        <v>2.05</v>
      </c>
      <c r="F58" s="51" t="n">
        <v>1</v>
      </c>
      <c r="G58" s="21" t="n"/>
      <c r="H58" s="21" t="n"/>
      <c r="I58" s="21" t="n"/>
      <c r="J58" s="21" t="n"/>
      <c r="K58" s="21" t="n"/>
      <c r="L58" s="21" t="n"/>
      <c r="M58" s="37">
        <f>E58*F58+G58*H58+I58*J58+K58*L58</f>
        <v/>
      </c>
      <c r="N58" s="37">
        <f>Исходные!$B$13-M58</f>
        <v/>
      </c>
      <c r="O58" s="51" t="n">
        <v>1</v>
      </c>
      <c r="P58" s="49">
        <f>(F58+H58+J58+L58)*O58</f>
        <v/>
      </c>
      <c r="Q58" s="70">
        <f>M58*O58</f>
        <v/>
      </c>
      <c r="R58" s="70">
        <f>N58*O58</f>
        <v/>
      </c>
    </row>
    <row r="59">
      <c r="A59" s="49" t="n">
        <v>1</v>
      </c>
      <c r="B59" s="49" t="n">
        <v>20</v>
      </c>
      <c r="C59" s="72" t="inlineStr">
        <is>
          <t>А500С</t>
        </is>
      </c>
      <c r="D59" s="49" t="n">
        <v>1</v>
      </c>
      <c r="E59" s="69" t="n">
        <v>4</v>
      </c>
      <c r="F59" s="51" t="n">
        <v>2</v>
      </c>
      <c r="G59" s="69" t="n">
        <v>2.4</v>
      </c>
      <c r="H59" s="51" t="n">
        <v>1</v>
      </c>
      <c r="I59" s="69" t="n">
        <v>1.2</v>
      </c>
      <c r="J59" s="51" t="n">
        <v>1</v>
      </c>
      <c r="K59" s="21" t="n"/>
      <c r="L59" s="21" t="n"/>
      <c r="M59" s="37">
        <f>E59*F59+G59*H59+I59*J59+K59*L59</f>
        <v/>
      </c>
      <c r="N59" s="37">
        <f>Исходные!$B$13-M59</f>
        <v/>
      </c>
      <c r="O59" s="51" t="n">
        <v>1</v>
      </c>
      <c r="P59" s="49">
        <f>(F59+H59+J59+L59)*O59</f>
        <v/>
      </c>
      <c r="Q59" s="70">
        <f>M59*O59</f>
        <v/>
      </c>
      <c r="R59" s="70">
        <f>N59*O59</f>
        <v/>
      </c>
    </row>
    <row r="60">
      <c r="A60" s="49" t="n">
        <v>1</v>
      </c>
      <c r="B60" s="49" t="n">
        <v>20</v>
      </c>
      <c r="C60" s="72" t="inlineStr">
        <is>
          <t>А500С</t>
        </is>
      </c>
      <c r="D60" s="49" t="n">
        <v>2</v>
      </c>
      <c r="E60" s="69" t="n">
        <v>4</v>
      </c>
      <c r="F60" s="51" t="n">
        <v>2</v>
      </c>
      <c r="G60" s="69" t="n">
        <v>1.2</v>
      </c>
      <c r="H60" s="51" t="n">
        <v>3</v>
      </c>
      <c r="I60" s="21" t="n"/>
      <c r="J60" s="21" t="n"/>
      <c r="K60" s="21" t="n"/>
      <c r="L60" s="21" t="n"/>
      <c r="M60" s="37">
        <f>E60*F60+G60*H60+I60*J60+K60*L60</f>
        <v/>
      </c>
      <c r="N60" s="37">
        <f>Исходные!$B$13-M60</f>
        <v/>
      </c>
      <c r="O60" s="51" t="n">
        <v>1</v>
      </c>
      <c r="P60" s="49">
        <f>(F60+H60+J60+L60)*O60</f>
        <v/>
      </c>
      <c r="Q60" s="70">
        <f>M60*O60</f>
        <v/>
      </c>
      <c r="R60" s="70">
        <f>N60*O60</f>
        <v/>
      </c>
    </row>
    <row r="61">
      <c r="A61" s="49" t="n">
        <v>1</v>
      </c>
      <c r="B61" s="49" t="n">
        <v>20</v>
      </c>
      <c r="C61" s="72" t="inlineStr">
        <is>
          <t>А500С</t>
        </is>
      </c>
      <c r="D61" s="49" t="n">
        <v>3</v>
      </c>
      <c r="E61" s="69" t="n">
        <v>4.1</v>
      </c>
      <c r="F61" s="51" t="n">
        <v>2</v>
      </c>
      <c r="G61" s="69" t="n">
        <v>3.325</v>
      </c>
      <c r="H61" s="51" t="n">
        <v>1</v>
      </c>
      <c r="I61" s="21" t="n"/>
      <c r="J61" s="21" t="n"/>
      <c r="K61" s="21" t="n"/>
      <c r="L61" s="21" t="n"/>
      <c r="M61" s="37">
        <f>E61*F61+G61*H61+I61*J61+K61*L61</f>
        <v/>
      </c>
      <c r="N61" s="37">
        <f>Исходные!$B$13-M61</f>
        <v/>
      </c>
      <c r="O61" s="51" t="n">
        <v>2</v>
      </c>
      <c r="P61" s="49">
        <f>(F61+H61+J61+L61)*O61</f>
        <v/>
      </c>
      <c r="Q61" s="70">
        <f>M61*O61</f>
        <v/>
      </c>
      <c r="R61" s="70">
        <f>N61*O61</f>
        <v/>
      </c>
    </row>
    <row r="62">
      <c r="A62" s="49" t="n">
        <v>1</v>
      </c>
      <c r="B62" s="49" t="n">
        <v>20</v>
      </c>
      <c r="C62" s="72" t="inlineStr">
        <is>
          <t>А500С</t>
        </is>
      </c>
      <c r="D62" s="49" t="n">
        <v>4</v>
      </c>
      <c r="E62" s="69" t="n">
        <v>3.785</v>
      </c>
      <c r="F62" s="51" t="n">
        <v>3</v>
      </c>
      <c r="G62" s="21" t="n"/>
      <c r="H62" s="21" t="n"/>
      <c r="I62" s="21" t="n"/>
      <c r="J62" s="21" t="n"/>
      <c r="K62" s="21" t="n"/>
      <c r="L62" s="21" t="n"/>
      <c r="M62" s="37">
        <f>E62*F62+G62*H62+I62*J62+K62*L62</f>
        <v/>
      </c>
      <c r="N62" s="37">
        <f>Исходные!$B$13-M62</f>
        <v/>
      </c>
      <c r="O62" s="51" t="n">
        <v>1</v>
      </c>
      <c r="P62" s="49">
        <f>(F62+H62+J62+L62)*O62</f>
        <v/>
      </c>
      <c r="Q62" s="70">
        <f>M62*O62</f>
        <v/>
      </c>
      <c r="R62" s="70">
        <f>N62*O62</f>
        <v/>
      </c>
    </row>
    <row r="63">
      <c r="A63" s="49" t="n">
        <v>1</v>
      </c>
      <c r="B63" s="49" t="n">
        <v>20</v>
      </c>
      <c r="C63" s="72" t="inlineStr">
        <is>
          <t>А500С</t>
        </is>
      </c>
      <c r="D63" s="49" t="n">
        <v>5</v>
      </c>
      <c r="E63" s="69" t="n">
        <v>4</v>
      </c>
      <c r="F63" s="51" t="n">
        <v>2</v>
      </c>
      <c r="G63" s="69" t="n">
        <v>3.325</v>
      </c>
      <c r="H63" s="51" t="n">
        <v>1</v>
      </c>
      <c r="I63" s="21" t="n"/>
      <c r="J63" s="21" t="n"/>
      <c r="K63" s="21" t="n"/>
      <c r="L63" s="21" t="n"/>
      <c r="M63" s="37">
        <f>E63*F63+G63*H63+I63*J63+K63*L63</f>
        <v/>
      </c>
      <c r="N63" s="37">
        <f>Исходные!$B$13-M63</f>
        <v/>
      </c>
      <c r="O63" s="51" t="n">
        <v>2</v>
      </c>
      <c r="P63" s="49">
        <f>(F63+H63+J63+L63)*O63</f>
        <v/>
      </c>
      <c r="Q63" s="70">
        <f>M63*O63</f>
        <v/>
      </c>
      <c r="R63" s="70">
        <f>N63*O63</f>
        <v/>
      </c>
    </row>
    <row r="64">
      <c r="A64" s="49" t="n">
        <v>1</v>
      </c>
      <c r="B64" s="49" t="n">
        <v>20</v>
      </c>
      <c r="C64" s="72" t="inlineStr">
        <is>
          <t>А500С</t>
        </is>
      </c>
      <c r="D64" s="49" t="n">
        <v>6</v>
      </c>
      <c r="E64" s="69" t="n">
        <v>4</v>
      </c>
      <c r="F64" s="51" t="n">
        <v>2</v>
      </c>
      <c r="G64" s="69" t="n">
        <v>1.95</v>
      </c>
      <c r="H64" s="51" t="n">
        <v>1</v>
      </c>
      <c r="I64" s="69" t="n">
        <v>1.2</v>
      </c>
      <c r="J64" s="51" t="n">
        <v>1</v>
      </c>
      <c r="K64" s="21" t="n"/>
      <c r="L64" s="21" t="n"/>
      <c r="M64" s="37">
        <f>E64*F64+G64*H64+I64*J64+K64*L64</f>
        <v/>
      </c>
      <c r="N64" s="37">
        <f>Исходные!$B$13-M64</f>
        <v/>
      </c>
      <c r="O64" s="51" t="n">
        <v>10</v>
      </c>
      <c r="P64" s="49">
        <f>(F64+H64+J64+L64)*O64</f>
        <v/>
      </c>
      <c r="Q64" s="70">
        <f>M64*O64</f>
        <v/>
      </c>
      <c r="R64" s="70">
        <f>N64*O64</f>
        <v/>
      </c>
    </row>
    <row r="65">
      <c r="A65" s="49" t="n">
        <v>1</v>
      </c>
      <c r="B65" s="49" t="n">
        <v>20</v>
      </c>
      <c r="C65" s="72" t="inlineStr">
        <is>
          <t>А500С</t>
        </is>
      </c>
      <c r="D65" s="49" t="n">
        <v>7</v>
      </c>
      <c r="E65" s="69" t="n">
        <v>4</v>
      </c>
      <c r="F65" s="51" t="n">
        <v>2</v>
      </c>
      <c r="G65" s="69" t="n">
        <v>3.05</v>
      </c>
      <c r="H65" s="51" t="n">
        <v>1</v>
      </c>
      <c r="I65" s="21" t="n"/>
      <c r="J65" s="21" t="n"/>
      <c r="K65" s="21" t="n"/>
      <c r="L65" s="21" t="n"/>
      <c r="M65" s="37">
        <f>E65*F65+G65*H65+I65*J65+K65*L65</f>
        <v/>
      </c>
      <c r="N65" s="37">
        <f>Исходные!$B$13-M65</f>
        <v/>
      </c>
      <c r="O65" s="51" t="n">
        <v>4</v>
      </c>
      <c r="P65" s="49">
        <f>(F65+H65+J65+L65)*O65</f>
        <v/>
      </c>
      <c r="Q65" s="70">
        <f>M65*O65</f>
        <v/>
      </c>
      <c r="R65" s="70">
        <f>N65*O65</f>
        <v/>
      </c>
    </row>
    <row r="66">
      <c r="A66" s="49" t="n">
        <v>1</v>
      </c>
      <c r="B66" s="49" t="n">
        <v>20</v>
      </c>
      <c r="C66" s="72" t="inlineStr">
        <is>
          <t>А500С</t>
        </is>
      </c>
      <c r="D66" s="49" t="n">
        <v>8</v>
      </c>
      <c r="E66" s="69" t="n">
        <v>4</v>
      </c>
      <c r="F66" s="51" t="n">
        <v>2</v>
      </c>
      <c r="G66" s="69" t="n">
        <v>3</v>
      </c>
      <c r="H66" s="51" t="n">
        <v>1</v>
      </c>
      <c r="I66" s="21" t="n"/>
      <c r="J66" s="21" t="n"/>
      <c r="K66" s="21" t="n"/>
      <c r="L66" s="21" t="n"/>
      <c r="M66" s="37">
        <f>E66*F66+G66*H66+I66*J66+K66*L66</f>
        <v/>
      </c>
      <c r="N66" s="37">
        <f>Исходные!$B$13-M66</f>
        <v/>
      </c>
      <c r="O66" s="51" t="n">
        <v>6</v>
      </c>
      <c r="P66" s="49">
        <f>(F66+H66+J66+L66)*O66</f>
        <v/>
      </c>
      <c r="Q66" s="70">
        <f>M66*O66</f>
        <v/>
      </c>
      <c r="R66" s="70">
        <f>N66*O66</f>
        <v/>
      </c>
    </row>
    <row r="67">
      <c r="A67" s="49" t="n">
        <v>1</v>
      </c>
      <c r="B67" s="49" t="n">
        <v>20</v>
      </c>
      <c r="C67" s="72" t="inlineStr">
        <is>
          <t>А500С</t>
        </is>
      </c>
      <c r="D67" s="49" t="n">
        <v>9</v>
      </c>
      <c r="E67" s="69" t="n">
        <v>4</v>
      </c>
      <c r="F67" s="51" t="n">
        <v>2</v>
      </c>
      <c r="G67" s="69" t="n">
        <v>2.85</v>
      </c>
      <c r="H67" s="51" t="n">
        <v>1</v>
      </c>
      <c r="I67" s="21" t="n"/>
      <c r="J67" s="21" t="n"/>
      <c r="K67" s="21" t="n"/>
      <c r="L67" s="21" t="n"/>
      <c r="M67" s="37">
        <f>E67*F67+G67*H67+I67*J67+K67*L67</f>
        <v/>
      </c>
      <c r="N67" s="37">
        <f>Исходные!$B$13-M67</f>
        <v/>
      </c>
      <c r="O67" s="51" t="n">
        <v>2</v>
      </c>
      <c r="P67" s="49">
        <f>(F67+H67+J67+L67)*O67</f>
        <v/>
      </c>
      <c r="Q67" s="70">
        <f>M67*O67</f>
        <v/>
      </c>
      <c r="R67" s="70">
        <f>N67*O67</f>
        <v/>
      </c>
    </row>
    <row r="68">
      <c r="A68" s="49" t="n">
        <v>1</v>
      </c>
      <c r="B68" s="49" t="n">
        <v>20</v>
      </c>
      <c r="C68" s="72" t="inlineStr">
        <is>
          <t>А500С</t>
        </is>
      </c>
      <c r="D68" s="49" t="n">
        <v>10</v>
      </c>
      <c r="E68" s="69" t="n">
        <v>4</v>
      </c>
      <c r="F68" s="51" t="n">
        <v>2</v>
      </c>
      <c r="G68" s="69" t="n">
        <v>1.2</v>
      </c>
      <c r="H68" s="51" t="n">
        <v>2</v>
      </c>
      <c r="I68" s="21" t="n"/>
      <c r="J68" s="21" t="n"/>
      <c r="K68" s="21" t="n"/>
      <c r="L68" s="21" t="n"/>
      <c r="M68" s="37">
        <f>E68*F68+G68*H68+I68*J68+K68*L68</f>
        <v/>
      </c>
      <c r="N68" s="37">
        <f>Исходные!$B$13-M68</f>
        <v/>
      </c>
      <c r="O68" s="51" t="n">
        <v>1</v>
      </c>
      <c r="P68" s="49">
        <f>(F68+H68+J68+L68)*O68</f>
        <v/>
      </c>
      <c r="Q68" s="70">
        <f>M68*O68</f>
        <v/>
      </c>
      <c r="R68" s="70">
        <f>N68*O68</f>
        <v/>
      </c>
    </row>
    <row r="69">
      <c r="A69" s="49" t="n">
        <v>1</v>
      </c>
      <c r="B69" s="49" t="n">
        <v>20</v>
      </c>
      <c r="C69" s="72" t="inlineStr">
        <is>
          <t>А500С</t>
        </is>
      </c>
      <c r="D69" s="49" t="n">
        <v>11</v>
      </c>
      <c r="E69" s="69" t="n">
        <v>4</v>
      </c>
      <c r="F69" s="51" t="n">
        <v>2</v>
      </c>
      <c r="G69" s="21" t="n"/>
      <c r="H69" s="21" t="n"/>
      <c r="I69" s="21" t="n"/>
      <c r="J69" s="21" t="n"/>
      <c r="K69" s="21" t="n"/>
      <c r="L69" s="21" t="n"/>
      <c r="M69" s="37">
        <f>E69*F69+G69*H69+I69*J69+K69*L69</f>
        <v/>
      </c>
      <c r="N69" s="37">
        <f>Исходные!$B$13-M69</f>
        <v/>
      </c>
      <c r="O69" s="51" t="n">
        <v>56</v>
      </c>
      <c r="P69" s="49">
        <f>(F69+H69+J69+L69)*O69</f>
        <v/>
      </c>
      <c r="Q69" s="70">
        <f>M69*O69</f>
        <v/>
      </c>
      <c r="R69" s="70">
        <f>N69*O69</f>
        <v/>
      </c>
    </row>
    <row r="70">
      <c r="A70" s="49" t="n">
        <v>1</v>
      </c>
      <c r="B70" s="49" t="n">
        <v>20</v>
      </c>
      <c r="C70" s="72" t="inlineStr">
        <is>
          <t>А500С</t>
        </is>
      </c>
      <c r="D70" s="49" t="n">
        <v>12</v>
      </c>
      <c r="E70" s="69" t="n">
        <v>3.785</v>
      </c>
      <c r="F70" s="51" t="n">
        <v>1</v>
      </c>
      <c r="G70" s="21" t="n"/>
      <c r="H70" s="21" t="n"/>
      <c r="I70" s="21" t="n"/>
      <c r="J70" s="21" t="n"/>
      <c r="K70" s="21" t="n"/>
      <c r="L70" s="21" t="n"/>
      <c r="M70" s="37">
        <f>E70*F70+G70*H70+I70*J70+K70*L70</f>
        <v/>
      </c>
      <c r="N70" s="37">
        <f>Исходные!$B$13-M70</f>
        <v/>
      </c>
      <c r="O70" s="51" t="n">
        <v>1</v>
      </c>
      <c r="P70" s="49">
        <f>(F70+H70+J70+L70)*O70</f>
        <v/>
      </c>
      <c r="Q70" s="70">
        <f>M70*O70</f>
        <v/>
      </c>
      <c r="R70" s="70">
        <f>N70*O70</f>
        <v/>
      </c>
    </row>
    <row r="71">
      <c r="A71" s="49" t="n">
        <v>1</v>
      </c>
      <c r="B71" s="49" t="n">
        <v>18</v>
      </c>
      <c r="C71" s="72" t="inlineStr">
        <is>
          <t>А500С</t>
        </is>
      </c>
      <c r="D71" s="49" t="n">
        <v>1</v>
      </c>
      <c r="E71" s="69" t="n">
        <v>11.7</v>
      </c>
      <c r="F71" s="51" t="n">
        <v>1</v>
      </c>
      <c r="G71" s="21" t="n"/>
      <c r="H71" s="21" t="n"/>
      <c r="I71" s="21" t="n"/>
      <c r="J71" s="21" t="n"/>
      <c r="K71" s="21" t="n"/>
      <c r="L71" s="21" t="n"/>
      <c r="M71" s="37">
        <f>E71*F71+G71*H71+I71*J71+K71*L71</f>
        <v/>
      </c>
      <c r="N71" s="37">
        <f>Исходные!$B$13-M71</f>
        <v/>
      </c>
      <c r="O71" s="51" t="n">
        <v>26</v>
      </c>
      <c r="P71" s="49">
        <f>(F71+H71+J71+L71)*O71</f>
        <v/>
      </c>
      <c r="Q71" s="70">
        <f>M71*O71</f>
        <v/>
      </c>
      <c r="R71" s="70">
        <f>N71*O71</f>
        <v/>
      </c>
    </row>
    <row r="72">
      <c r="A72" s="49" t="n">
        <v>1</v>
      </c>
      <c r="B72" s="49" t="n">
        <v>18</v>
      </c>
      <c r="C72" s="72" t="inlineStr">
        <is>
          <t>А500С</t>
        </is>
      </c>
      <c r="D72" s="49" t="n">
        <v>2</v>
      </c>
      <c r="E72" s="69" t="n">
        <v>6.508</v>
      </c>
      <c r="F72" s="51" t="n">
        <v>1</v>
      </c>
      <c r="G72" s="69" t="n">
        <v>1.95</v>
      </c>
      <c r="H72" s="51" t="n">
        <v>2</v>
      </c>
      <c r="I72" s="69" t="n">
        <v>1.2</v>
      </c>
      <c r="J72" s="51" t="n">
        <v>1</v>
      </c>
      <c r="K72" s="21" t="n"/>
      <c r="L72" s="21" t="n"/>
      <c r="M72" s="37">
        <f>E72*F72+G72*H72+I72*J72+K72*L72</f>
        <v/>
      </c>
      <c r="N72" s="37">
        <f>Исходные!$B$13-M72</f>
        <v/>
      </c>
      <c r="O72" s="51" t="n">
        <v>8</v>
      </c>
      <c r="P72" s="49">
        <f>(F72+H72+J72+L72)*O72</f>
        <v/>
      </c>
      <c r="Q72" s="70">
        <f>M72*O72</f>
        <v/>
      </c>
      <c r="R72" s="70">
        <f>N72*O72</f>
        <v/>
      </c>
    </row>
    <row r="73">
      <c r="A73" s="49" t="n">
        <v>1</v>
      </c>
      <c r="B73" s="49" t="n">
        <v>18</v>
      </c>
      <c r="C73" s="72" t="inlineStr">
        <is>
          <t>А500С</t>
        </is>
      </c>
      <c r="D73" s="49" t="n">
        <v>3</v>
      </c>
      <c r="E73" s="69" t="n">
        <v>5.93</v>
      </c>
      <c r="F73" s="51" t="n">
        <v>1</v>
      </c>
      <c r="G73" s="69" t="n">
        <v>1.45</v>
      </c>
      <c r="H73" s="51" t="n">
        <v>3</v>
      </c>
      <c r="I73" s="69" t="n">
        <v>1.2</v>
      </c>
      <c r="J73" s="51" t="n">
        <v>1</v>
      </c>
      <c r="K73" s="21" t="n"/>
      <c r="L73" s="21" t="n"/>
      <c r="M73" s="37">
        <f>E73*F73+G73*H73+I73*J73+K73*L73</f>
        <v/>
      </c>
      <c r="N73" s="37">
        <f>Исходные!$B$13-M73</f>
        <v/>
      </c>
      <c r="O73" s="51" t="n">
        <v>3</v>
      </c>
      <c r="P73" s="49">
        <f>(F73+H73+J73+L73)*O73</f>
        <v/>
      </c>
      <c r="Q73" s="70">
        <f>M73*O73</f>
        <v/>
      </c>
      <c r="R73" s="70">
        <f>N73*O73</f>
        <v/>
      </c>
    </row>
    <row r="74">
      <c r="A74" s="49" t="n">
        <v>1</v>
      </c>
      <c r="B74" s="49" t="n">
        <v>18</v>
      </c>
      <c r="C74" s="72" t="inlineStr">
        <is>
          <t>А500С</t>
        </is>
      </c>
      <c r="D74" s="49" t="n">
        <v>4</v>
      </c>
      <c r="E74" s="69" t="n">
        <v>8.944000000000001</v>
      </c>
      <c r="F74" s="51" t="n">
        <v>1</v>
      </c>
      <c r="G74" s="69" t="n">
        <v>2.388</v>
      </c>
      <c r="H74" s="51" t="n">
        <v>1</v>
      </c>
      <c r="I74" s="21" t="n"/>
      <c r="J74" s="21" t="n"/>
      <c r="K74" s="21" t="n"/>
      <c r="L74" s="21" t="n"/>
      <c r="M74" s="37">
        <f>E74*F74+G74*H74+I74*J74+K74*L74</f>
        <v/>
      </c>
      <c r="N74" s="37">
        <f>Исходные!$B$13-M74</f>
        <v/>
      </c>
      <c r="O74" s="51" t="n">
        <v>8</v>
      </c>
      <c r="P74" s="49">
        <f>(F74+H74+J74+L74)*O74</f>
        <v/>
      </c>
      <c r="Q74" s="70">
        <f>M74*O74</f>
        <v/>
      </c>
      <c r="R74" s="70">
        <f>N74*O74</f>
        <v/>
      </c>
    </row>
    <row r="75">
      <c r="A75" s="49" t="n">
        <v>1</v>
      </c>
      <c r="B75" s="49" t="n">
        <v>18</v>
      </c>
      <c r="C75" s="72" t="inlineStr">
        <is>
          <t>А500С</t>
        </is>
      </c>
      <c r="D75" s="49" t="n">
        <v>5</v>
      </c>
      <c r="E75" s="69" t="n">
        <v>5.93</v>
      </c>
      <c r="F75" s="51" t="n">
        <v>1</v>
      </c>
      <c r="G75" s="69" t="n">
        <v>1.95</v>
      </c>
      <c r="H75" s="51" t="n">
        <v>2</v>
      </c>
      <c r="I75" s="69" t="n">
        <v>1.45</v>
      </c>
      <c r="J75" s="51" t="n">
        <v>1</v>
      </c>
      <c r="K75" s="21" t="n"/>
      <c r="L75" s="21" t="n"/>
      <c r="M75" s="37">
        <f>E75*F75+G75*H75+I75*J75+K75*L75</f>
        <v/>
      </c>
      <c r="N75" s="37">
        <f>Исходные!$B$13-M75</f>
        <v/>
      </c>
      <c r="O75" s="51" t="n">
        <v>9</v>
      </c>
      <c r="P75" s="49">
        <f>(F75+H75+J75+L75)*O75</f>
        <v/>
      </c>
      <c r="Q75" s="70">
        <f>M75*O75</f>
        <v/>
      </c>
      <c r="R75" s="70">
        <f>N75*O75</f>
        <v/>
      </c>
    </row>
    <row r="76">
      <c r="A76" s="49" t="n">
        <v>1</v>
      </c>
      <c r="B76" s="49" t="n">
        <v>18</v>
      </c>
      <c r="C76" s="72" t="inlineStr">
        <is>
          <t>А500С</t>
        </is>
      </c>
      <c r="D76" s="49" t="n">
        <v>6</v>
      </c>
      <c r="E76" s="69" t="n">
        <v>5.93</v>
      </c>
      <c r="F76" s="51" t="n">
        <v>1</v>
      </c>
      <c r="G76" s="69" t="n">
        <v>1.45</v>
      </c>
      <c r="H76" s="51" t="n">
        <v>2</v>
      </c>
      <c r="I76" s="69" t="n">
        <v>1.2</v>
      </c>
      <c r="J76" s="51" t="n">
        <v>2</v>
      </c>
      <c r="K76" s="21" t="n"/>
      <c r="L76" s="21" t="n"/>
      <c r="M76" s="37">
        <f>E76*F76+G76*H76+I76*J76+K76*L76</f>
        <v/>
      </c>
      <c r="N76" s="37">
        <f>Исходные!$B$13-M76</f>
        <v/>
      </c>
      <c r="O76" s="51" t="n">
        <v>1</v>
      </c>
      <c r="P76" s="49">
        <f>(F76+H76+J76+L76)*O76</f>
        <v/>
      </c>
      <c r="Q76" s="70">
        <f>M76*O76</f>
        <v/>
      </c>
      <c r="R76" s="70">
        <f>N76*O76</f>
        <v/>
      </c>
    </row>
    <row r="77">
      <c r="A77" s="49" t="n">
        <v>1</v>
      </c>
      <c r="B77" s="49" t="n">
        <v>18</v>
      </c>
      <c r="C77" s="72" t="inlineStr">
        <is>
          <t>А500С</t>
        </is>
      </c>
      <c r="D77" s="49" t="n">
        <v>7</v>
      </c>
      <c r="E77" s="69" t="n">
        <v>8.944000000000001</v>
      </c>
      <c r="F77" s="51" t="n">
        <v>1</v>
      </c>
      <c r="G77" s="69" t="n">
        <v>1.95</v>
      </c>
      <c r="H77" s="51" t="n">
        <v>1</v>
      </c>
      <c r="I77" s="21" t="n"/>
      <c r="J77" s="21" t="n"/>
      <c r="K77" s="21" t="n"/>
      <c r="L77" s="21" t="n"/>
      <c r="M77" s="37">
        <f>E77*F77+G77*H77+I77*J77+K77*L77</f>
        <v/>
      </c>
      <c r="N77" s="37">
        <f>Исходные!$B$13-M77</f>
        <v/>
      </c>
      <c r="O77" s="51" t="n">
        <v>2</v>
      </c>
      <c r="P77" s="49">
        <f>(F77+H77+J77+L77)*O77</f>
        <v/>
      </c>
      <c r="Q77" s="70">
        <f>M77*O77</f>
        <v/>
      </c>
      <c r="R77" s="70">
        <f>N77*O77</f>
        <v/>
      </c>
    </row>
    <row r="78">
      <c r="A78" s="49" t="n">
        <v>1</v>
      </c>
      <c r="B78" s="49" t="n">
        <v>18</v>
      </c>
      <c r="C78" s="72" t="inlineStr">
        <is>
          <t>А500С</t>
        </is>
      </c>
      <c r="D78" s="49" t="n">
        <v>8</v>
      </c>
      <c r="E78" s="69" t="n">
        <v>1.2</v>
      </c>
      <c r="F78" s="51" t="n">
        <v>9</v>
      </c>
      <c r="G78" s="21" t="n"/>
      <c r="H78" s="21" t="n"/>
      <c r="I78" s="21" t="n"/>
      <c r="J78" s="21" t="n"/>
      <c r="K78" s="21" t="n"/>
      <c r="L78" s="21" t="n"/>
      <c r="M78" s="37">
        <f>E78*F78+G78*H78+I78*J78+K78*L78</f>
        <v/>
      </c>
      <c r="N78" s="37">
        <f>Исходные!$B$13-M78</f>
        <v/>
      </c>
      <c r="O78" s="51" t="n">
        <v>1</v>
      </c>
      <c r="P78" s="49">
        <f>(F78+H78+J78+L78)*O78</f>
        <v/>
      </c>
      <c r="Q78" s="70">
        <f>M78*O78</f>
        <v/>
      </c>
      <c r="R78" s="70">
        <f>N78*O78</f>
        <v/>
      </c>
    </row>
    <row r="79">
      <c r="A79" s="49" t="n">
        <v>1</v>
      </c>
      <c r="B79" s="49" t="n">
        <v>18</v>
      </c>
      <c r="C79" s="72" t="inlineStr">
        <is>
          <t>А500С</t>
        </is>
      </c>
      <c r="D79" s="49" t="n">
        <v>9</v>
      </c>
      <c r="E79" s="69" t="n">
        <v>5.93</v>
      </c>
      <c r="F79" s="51" t="n">
        <v>1</v>
      </c>
      <c r="G79" s="69" t="n">
        <v>1.2</v>
      </c>
      <c r="H79" s="51" t="n">
        <v>4</v>
      </c>
      <c r="I79" s="21" t="n"/>
      <c r="J79" s="21" t="n"/>
      <c r="K79" s="21" t="n"/>
      <c r="L79" s="21" t="n"/>
      <c r="M79" s="37">
        <f>E79*F79+G79*H79+I79*J79+K79*L79</f>
        <v/>
      </c>
      <c r="N79" s="37">
        <f>Исходные!$B$13-M79</f>
        <v/>
      </c>
      <c r="O79" s="51" t="n">
        <v>5</v>
      </c>
      <c r="P79" s="49">
        <f>(F79+H79+J79+L79)*O79</f>
        <v/>
      </c>
      <c r="Q79" s="70">
        <f>M79*O79</f>
        <v/>
      </c>
      <c r="R79" s="70">
        <f>N79*O79</f>
        <v/>
      </c>
    </row>
    <row r="80">
      <c r="A80" s="49" t="n">
        <v>1</v>
      </c>
      <c r="B80" s="49" t="n">
        <v>18</v>
      </c>
      <c r="C80" s="72" t="inlineStr">
        <is>
          <t>А500С</t>
        </is>
      </c>
      <c r="D80" s="49" t="n">
        <v>10</v>
      </c>
      <c r="E80" s="69" t="n">
        <v>6.508</v>
      </c>
      <c r="F80" s="51" t="n">
        <v>1</v>
      </c>
      <c r="G80" s="69" t="n">
        <v>4.144</v>
      </c>
      <c r="H80" s="51" t="n">
        <v>1</v>
      </c>
      <c r="I80" s="21" t="n"/>
      <c r="J80" s="21" t="n"/>
      <c r="K80" s="21" t="n"/>
      <c r="L80" s="21" t="n"/>
      <c r="M80" s="37">
        <f>E80*F80+G80*H80+I80*J80+K80*L80</f>
        <v/>
      </c>
      <c r="N80" s="37">
        <f>Исходные!$B$13-M80</f>
        <v/>
      </c>
      <c r="O80" s="51" t="n">
        <v>10</v>
      </c>
      <c r="P80" s="49">
        <f>(F80+H80+J80+L80)*O80</f>
        <v/>
      </c>
      <c r="Q80" s="70">
        <f>M80*O80</f>
        <v/>
      </c>
      <c r="R80" s="70">
        <f>N80*O80</f>
        <v/>
      </c>
    </row>
    <row r="81">
      <c r="A81" s="49" t="n">
        <v>1</v>
      </c>
      <c r="B81" s="49" t="n">
        <v>16</v>
      </c>
      <c r="C81" s="72" t="inlineStr">
        <is>
          <t>А500С</t>
        </is>
      </c>
      <c r="D81" s="49" t="n">
        <v>1</v>
      </c>
      <c r="E81" s="69" t="n">
        <v>11.7</v>
      </c>
      <c r="F81" s="51" t="n">
        <v>1</v>
      </c>
      <c r="G81" s="21" t="n"/>
      <c r="H81" s="21" t="n"/>
      <c r="I81" s="21" t="n"/>
      <c r="J81" s="21" t="n"/>
      <c r="K81" s="21" t="n"/>
      <c r="L81" s="21" t="n"/>
      <c r="M81" s="37">
        <f>E81*F81+G81*H81+I81*J81+K81*L81</f>
        <v/>
      </c>
      <c r="N81" s="37">
        <f>Исходные!$B$13-M81</f>
        <v/>
      </c>
      <c r="O81" s="51" t="n">
        <v>26</v>
      </c>
      <c r="P81" s="49">
        <f>(F81+H81+J81+L81)*O81</f>
        <v/>
      </c>
      <c r="Q81" s="70">
        <f>M81*O81</f>
        <v/>
      </c>
      <c r="R81" s="70">
        <f>N81*O81</f>
        <v/>
      </c>
    </row>
    <row r="82">
      <c r="A82" s="49" t="n">
        <v>1</v>
      </c>
      <c r="B82" s="49" t="n">
        <v>16</v>
      </c>
      <c r="C82" s="72" t="inlineStr">
        <is>
          <t>А500С</t>
        </is>
      </c>
      <c r="D82" s="49" t="n">
        <v>2</v>
      </c>
      <c r="E82" s="69" t="n">
        <v>9.449999999999999</v>
      </c>
      <c r="F82" s="51" t="n">
        <v>1</v>
      </c>
      <c r="G82" s="69" t="n">
        <v>2.25</v>
      </c>
      <c r="H82" s="51" t="n">
        <v>1</v>
      </c>
      <c r="I82" s="21" t="n"/>
      <c r="J82" s="21" t="n"/>
      <c r="K82" s="21" t="n"/>
      <c r="L82" s="21" t="n"/>
      <c r="M82" s="37">
        <f>E82*F82+G82*H82+I82*J82+K82*L82</f>
        <v/>
      </c>
      <c r="N82" s="37">
        <f>Исходные!$B$13-M82</f>
        <v/>
      </c>
      <c r="O82" s="51" t="n">
        <v>2</v>
      </c>
      <c r="P82" s="49">
        <f>(F82+H82+J82+L82)*O82</f>
        <v/>
      </c>
      <c r="Q82" s="70">
        <f>M82*O82</f>
        <v/>
      </c>
      <c r="R82" s="70">
        <f>N82*O82</f>
        <v/>
      </c>
    </row>
    <row r="83">
      <c r="A83" s="49" t="n">
        <v>1</v>
      </c>
      <c r="B83" s="49" t="n">
        <v>16</v>
      </c>
      <c r="C83" s="72" t="inlineStr">
        <is>
          <t>А500С</t>
        </is>
      </c>
      <c r="D83" s="49" t="n">
        <v>3</v>
      </c>
      <c r="E83" s="69" t="n">
        <v>1.95</v>
      </c>
      <c r="F83" s="51" t="n">
        <v>6</v>
      </c>
      <c r="G83" s="21" t="n"/>
      <c r="H83" s="21" t="n"/>
      <c r="I83" s="21" t="n"/>
      <c r="J83" s="21" t="n"/>
      <c r="K83" s="21" t="n"/>
      <c r="L83" s="21" t="n"/>
      <c r="M83" s="37">
        <f>E83*F83+G83*H83+I83*J83+K83*L83</f>
        <v/>
      </c>
      <c r="N83" s="37">
        <f>Исходные!$B$13-M83</f>
        <v/>
      </c>
      <c r="O83" s="51" t="n">
        <v>5</v>
      </c>
      <c r="P83" s="49">
        <f>(F83+H83+J83+L83)*O83</f>
        <v/>
      </c>
      <c r="Q83" s="70">
        <f>M83*O83</f>
        <v/>
      </c>
      <c r="R83" s="70">
        <f>N83*O83</f>
        <v/>
      </c>
    </row>
    <row r="84">
      <c r="A84" s="49" t="n">
        <v>1</v>
      </c>
      <c r="B84" s="49" t="n">
        <v>16</v>
      </c>
      <c r="C84" s="72" t="inlineStr">
        <is>
          <t>А500С</t>
        </is>
      </c>
      <c r="D84" s="49" t="n">
        <v>4</v>
      </c>
      <c r="E84" s="69" t="n">
        <v>3.3</v>
      </c>
      <c r="F84" s="51" t="n">
        <v>1</v>
      </c>
      <c r="G84" s="69" t="n">
        <v>3</v>
      </c>
      <c r="H84" s="51" t="n">
        <v>2</v>
      </c>
      <c r="I84" s="69" t="n">
        <v>2.356</v>
      </c>
      <c r="J84" s="51" t="n">
        <v>1</v>
      </c>
      <c r="K84" s="21" t="n"/>
      <c r="L84" s="21" t="n"/>
      <c r="M84" s="37">
        <f>E84*F84+G84*H84+I84*J84+K84*L84</f>
        <v/>
      </c>
      <c r="N84" s="37">
        <f>Исходные!$B$13-M84</f>
        <v/>
      </c>
      <c r="O84" s="51" t="n">
        <v>1</v>
      </c>
      <c r="P84" s="49">
        <f>(F84+H84+J84+L84)*O84</f>
        <v/>
      </c>
      <c r="Q84" s="70">
        <f>M84*O84</f>
        <v/>
      </c>
      <c r="R84" s="70">
        <f>N84*O84</f>
        <v/>
      </c>
    </row>
    <row r="85">
      <c r="A85" s="49" t="n">
        <v>1</v>
      </c>
      <c r="B85" s="49" t="n">
        <v>16</v>
      </c>
      <c r="C85" s="72" t="inlineStr">
        <is>
          <t>А500С</t>
        </is>
      </c>
      <c r="D85" s="49" t="n">
        <v>5</v>
      </c>
      <c r="E85" s="69" t="n">
        <v>2.9</v>
      </c>
      <c r="F85" s="51" t="n">
        <v>4</v>
      </c>
      <c r="G85" s="21" t="n"/>
      <c r="H85" s="21" t="n"/>
      <c r="I85" s="21" t="n"/>
      <c r="J85" s="21" t="n"/>
      <c r="K85" s="21" t="n"/>
      <c r="L85" s="21" t="n"/>
      <c r="M85" s="37">
        <f>E85*F85+G85*H85+I85*J85+K85*L85</f>
        <v/>
      </c>
      <c r="N85" s="37">
        <f>Исходные!$B$13-M85</f>
        <v/>
      </c>
      <c r="O85" s="51" t="n">
        <v>3</v>
      </c>
      <c r="P85" s="49">
        <f>(F85+H85+J85+L85)*O85</f>
        <v/>
      </c>
      <c r="Q85" s="70">
        <f>M85*O85</f>
        <v/>
      </c>
      <c r="R85" s="70">
        <f>N85*O85</f>
        <v/>
      </c>
    </row>
    <row r="86">
      <c r="A86" s="49" t="n">
        <v>1</v>
      </c>
      <c r="B86" s="49" t="n">
        <v>16</v>
      </c>
      <c r="C86" s="72" t="inlineStr">
        <is>
          <t>А500С</t>
        </is>
      </c>
      <c r="D86" s="49" t="n">
        <v>6</v>
      </c>
      <c r="E86" s="69" t="n">
        <v>2.9</v>
      </c>
      <c r="F86" s="51" t="n">
        <v>1</v>
      </c>
      <c r="G86" s="69" t="n">
        <v>2.25</v>
      </c>
      <c r="H86" s="51" t="n">
        <v>3</v>
      </c>
      <c r="I86" s="69" t="n">
        <v>1.95</v>
      </c>
      <c r="J86" s="51" t="n">
        <v>1</v>
      </c>
      <c r="K86" s="21" t="n"/>
      <c r="L86" s="21" t="n"/>
      <c r="M86" s="37">
        <f>E86*F86+G86*H86+I86*J86+K86*L86</f>
        <v/>
      </c>
      <c r="N86" s="37">
        <f>Исходные!$B$13-M86</f>
        <v/>
      </c>
      <c r="O86" s="51" t="n">
        <v>1</v>
      </c>
      <c r="P86" s="49">
        <f>(F86+H86+J86+L86)*O86</f>
        <v/>
      </c>
      <c r="Q86" s="70">
        <f>M86*O86</f>
        <v/>
      </c>
      <c r="R86" s="70">
        <f>N86*O86</f>
        <v/>
      </c>
    </row>
    <row r="87">
      <c r="A87" s="49" t="n">
        <v>1</v>
      </c>
      <c r="B87" s="49" t="n">
        <v>16</v>
      </c>
      <c r="C87" s="72" t="inlineStr">
        <is>
          <t>А500С</t>
        </is>
      </c>
      <c r="D87" s="49" t="n">
        <v>7</v>
      </c>
      <c r="E87" s="69" t="n">
        <v>1.95</v>
      </c>
      <c r="F87" s="51" t="n">
        <v>5</v>
      </c>
      <c r="G87" s="69" t="n">
        <v>1.85</v>
      </c>
      <c r="H87" s="51" t="n">
        <v>1</v>
      </c>
      <c r="I87" s="21" t="n"/>
      <c r="J87" s="21" t="n"/>
      <c r="K87" s="21" t="n"/>
      <c r="L87" s="21" t="n"/>
      <c r="M87" s="37">
        <f>E87*F87+G87*H87+I87*J87+K87*L87</f>
        <v/>
      </c>
      <c r="N87" s="37">
        <f>Исходные!$B$13-M87</f>
        <v/>
      </c>
      <c r="O87" s="51" t="n">
        <v>1</v>
      </c>
      <c r="P87" s="49">
        <f>(F87+H87+J87+L87)*O87</f>
        <v/>
      </c>
      <c r="Q87" s="70">
        <f>M87*O87</f>
        <v/>
      </c>
      <c r="R87" s="70">
        <f>N87*O87</f>
        <v/>
      </c>
    </row>
    <row r="88">
      <c r="A88" s="49" t="n">
        <v>1</v>
      </c>
      <c r="B88" s="49" t="n">
        <v>16</v>
      </c>
      <c r="C88" s="72" t="inlineStr">
        <is>
          <t>А500С</t>
        </is>
      </c>
      <c r="D88" s="49" t="n">
        <v>8</v>
      </c>
      <c r="E88" s="69" t="n">
        <v>1.45</v>
      </c>
      <c r="F88" s="51" t="n">
        <v>8</v>
      </c>
      <c r="G88" s="21" t="n"/>
      <c r="H88" s="21" t="n"/>
      <c r="I88" s="21" t="n"/>
      <c r="J88" s="21" t="n"/>
      <c r="K88" s="21" t="n"/>
      <c r="L88" s="21" t="n"/>
      <c r="M88" s="37">
        <f>E88*F88+G88*H88+I88*J88+K88*L88</f>
        <v/>
      </c>
      <c r="N88" s="37">
        <f>Исходные!$B$13-M88</f>
        <v/>
      </c>
      <c r="O88" s="51" t="n">
        <v>8</v>
      </c>
      <c r="P88" s="49">
        <f>(F88+H88+J88+L88)*O88</f>
        <v/>
      </c>
      <c r="Q88" s="70">
        <f>M88*O88</f>
        <v/>
      </c>
      <c r="R88" s="70">
        <f>N88*O88</f>
        <v/>
      </c>
    </row>
    <row r="89">
      <c r="A89" s="49" t="n">
        <v>1</v>
      </c>
      <c r="B89" s="49" t="n">
        <v>16</v>
      </c>
      <c r="C89" s="72" t="inlineStr">
        <is>
          <t>А500С</t>
        </is>
      </c>
      <c r="D89" s="49" t="n">
        <v>9</v>
      </c>
      <c r="E89" s="69" t="n">
        <v>4.95</v>
      </c>
      <c r="F89" s="51" t="n">
        <v>2</v>
      </c>
      <c r="G89" s="69" t="n">
        <v>1.6</v>
      </c>
      <c r="H89" s="51" t="n">
        <v>1</v>
      </c>
      <c r="I89" s="21" t="n"/>
      <c r="J89" s="21" t="n"/>
      <c r="K89" s="21" t="n"/>
      <c r="L89" s="21" t="n"/>
      <c r="M89" s="37">
        <f>E89*F89+G89*H89+I89*J89+K89*L89</f>
        <v/>
      </c>
      <c r="N89" s="37">
        <f>Исходные!$B$13-M89</f>
        <v/>
      </c>
      <c r="O89" s="51" t="n">
        <v>3</v>
      </c>
      <c r="P89" s="49">
        <f>(F89+H89+J89+L89)*O89</f>
        <v/>
      </c>
      <c r="Q89" s="70">
        <f>M89*O89</f>
        <v/>
      </c>
      <c r="R89" s="70">
        <f>N89*O89</f>
        <v/>
      </c>
    </row>
    <row r="90">
      <c r="A90" s="49" t="n">
        <v>1</v>
      </c>
      <c r="B90" s="49" t="n">
        <v>16</v>
      </c>
      <c r="C90" s="72" t="inlineStr">
        <is>
          <t>А500С</t>
        </is>
      </c>
      <c r="D90" s="49" t="n">
        <v>10</v>
      </c>
      <c r="E90" s="69" t="n">
        <v>1.45</v>
      </c>
      <c r="F90" s="51" t="n">
        <v>7</v>
      </c>
      <c r="G90" s="69" t="n">
        <v>1.25</v>
      </c>
      <c r="H90" s="51" t="n">
        <v>1</v>
      </c>
      <c r="I90" s="21" t="n"/>
      <c r="J90" s="21" t="n"/>
      <c r="K90" s="21" t="n"/>
      <c r="L90" s="21" t="n"/>
      <c r="M90" s="37">
        <f>E90*F90+G90*H90+I90*J90+K90*L90</f>
        <v/>
      </c>
      <c r="N90" s="37">
        <f>Исходные!$B$13-M90</f>
        <v/>
      </c>
      <c r="O90" s="51" t="n">
        <v>1</v>
      </c>
      <c r="P90" s="49">
        <f>(F90+H90+J90+L90)*O90</f>
        <v/>
      </c>
      <c r="Q90" s="70">
        <f>M90*O90</f>
        <v/>
      </c>
      <c r="R90" s="70">
        <f>N90*O90</f>
        <v/>
      </c>
    </row>
    <row r="91">
      <c r="A91" s="49" t="n">
        <v>1</v>
      </c>
      <c r="B91" s="49" t="n">
        <v>16</v>
      </c>
      <c r="C91" s="72" t="inlineStr">
        <is>
          <t>А500С</t>
        </is>
      </c>
      <c r="D91" s="49" t="n">
        <v>11</v>
      </c>
      <c r="E91" s="69" t="n">
        <v>1.85</v>
      </c>
      <c r="F91" s="51" t="n">
        <v>1</v>
      </c>
      <c r="G91" s="69" t="n">
        <v>1.6</v>
      </c>
      <c r="H91" s="51" t="n">
        <v>5</v>
      </c>
      <c r="I91" s="69" t="n">
        <v>1.45</v>
      </c>
      <c r="J91" s="51" t="n">
        <v>1</v>
      </c>
      <c r="K91" s="21" t="n"/>
      <c r="L91" s="21" t="n"/>
      <c r="M91" s="37">
        <f>E91*F91+G91*H91+I91*J91+K91*L91</f>
        <v/>
      </c>
      <c r="N91" s="37">
        <f>Исходные!$B$13-M91</f>
        <v/>
      </c>
      <c r="O91" s="51" t="n">
        <v>1</v>
      </c>
      <c r="P91" s="49">
        <f>(F91+H91+J91+L91)*O91</f>
        <v/>
      </c>
      <c r="Q91" s="70">
        <f>M91*O91</f>
        <v/>
      </c>
      <c r="R91" s="70">
        <f>N91*O91</f>
        <v/>
      </c>
    </row>
    <row r="92">
      <c r="A92" s="49" t="n">
        <v>1</v>
      </c>
      <c r="B92" s="49" t="n">
        <v>16</v>
      </c>
      <c r="C92" s="72" t="inlineStr">
        <is>
          <t>А500С</t>
        </is>
      </c>
      <c r="D92" s="49" t="n">
        <v>12</v>
      </c>
      <c r="E92" s="69" t="n">
        <v>8.928000000000001</v>
      </c>
      <c r="F92" s="51" t="n">
        <v>1</v>
      </c>
      <c r="G92" s="69" t="n">
        <v>2.356</v>
      </c>
      <c r="H92" s="51" t="n">
        <v>1</v>
      </c>
      <c r="I92" s="21" t="n"/>
      <c r="J92" s="21" t="n"/>
      <c r="K92" s="21" t="n"/>
      <c r="L92" s="21" t="n"/>
      <c r="M92" s="37">
        <f>E92*F92+G92*H92+I92*J92+K92*L92</f>
        <v/>
      </c>
      <c r="N92" s="37">
        <f>Исходные!$B$13-M92</f>
        <v/>
      </c>
      <c r="O92" s="51" t="n">
        <v>7</v>
      </c>
      <c r="P92" s="49">
        <f>(F92+H92+J92+L92)*O92</f>
        <v/>
      </c>
      <c r="Q92" s="70">
        <f>M92*O92</f>
        <v/>
      </c>
      <c r="R92" s="70">
        <f>N92*O92</f>
        <v/>
      </c>
    </row>
    <row r="93">
      <c r="A93" s="49" t="n">
        <v>1</v>
      </c>
      <c r="B93" s="49" t="n">
        <v>16</v>
      </c>
      <c r="C93" s="72" t="inlineStr">
        <is>
          <t>А500С</t>
        </is>
      </c>
      <c r="D93" s="49" t="n">
        <v>13</v>
      </c>
      <c r="E93" s="69" t="n">
        <v>2.25</v>
      </c>
      <c r="F93" s="51" t="n">
        <v>5</v>
      </c>
      <c r="G93" s="21" t="n"/>
      <c r="H93" s="21" t="n"/>
      <c r="I93" s="21" t="n"/>
      <c r="J93" s="21" t="n"/>
      <c r="K93" s="21" t="n"/>
      <c r="L93" s="21" t="n"/>
      <c r="M93" s="37">
        <f>E93*F93+G93*H93+I93*J93+K93*L93</f>
        <v/>
      </c>
      <c r="N93" s="37">
        <f>Исходные!$B$13-M93</f>
        <v/>
      </c>
      <c r="O93" s="51" t="n">
        <v>13</v>
      </c>
      <c r="P93" s="49">
        <f>(F93+H93+J93+L93)*O93</f>
        <v/>
      </c>
      <c r="Q93" s="70">
        <f>M93*O93</f>
        <v/>
      </c>
      <c r="R93" s="70">
        <f>N93*O93</f>
        <v/>
      </c>
    </row>
    <row r="94">
      <c r="A94" s="49" t="n">
        <v>1</v>
      </c>
      <c r="B94" s="49" t="n">
        <v>16</v>
      </c>
      <c r="C94" s="72" t="inlineStr">
        <is>
          <t>А500С</t>
        </is>
      </c>
      <c r="D94" s="49" t="n">
        <v>14</v>
      </c>
      <c r="E94" s="69" t="n">
        <v>1.25</v>
      </c>
      <c r="F94" s="51" t="n">
        <v>9</v>
      </c>
      <c r="G94" s="21" t="n"/>
      <c r="H94" s="21" t="n"/>
      <c r="I94" s="21" t="n"/>
      <c r="J94" s="21" t="n"/>
      <c r="K94" s="21" t="n"/>
      <c r="L94" s="21" t="n"/>
      <c r="M94" s="37">
        <f>E94*F94+G94*H94+I94*J94+K94*L94</f>
        <v/>
      </c>
      <c r="N94" s="37">
        <f>Исходные!$B$13-M94</f>
        <v/>
      </c>
      <c r="O94" s="51" t="n">
        <v>7</v>
      </c>
      <c r="P94" s="49">
        <f>(F94+H94+J94+L94)*O94</f>
        <v/>
      </c>
      <c r="Q94" s="70">
        <f>M94*O94</f>
        <v/>
      </c>
      <c r="R94" s="70">
        <f>N94*O94</f>
        <v/>
      </c>
    </row>
    <row r="95">
      <c r="A95" s="49" t="n">
        <v>1</v>
      </c>
      <c r="B95" s="49" t="n">
        <v>16</v>
      </c>
      <c r="C95" s="72" t="inlineStr">
        <is>
          <t>А500С</t>
        </is>
      </c>
      <c r="D95" s="49" t="n">
        <v>15</v>
      </c>
      <c r="E95" s="69" t="n">
        <v>8.928000000000001</v>
      </c>
      <c r="F95" s="51" t="n">
        <v>1</v>
      </c>
      <c r="G95" s="69" t="n">
        <v>2.3</v>
      </c>
      <c r="H95" s="51" t="n">
        <v>1</v>
      </c>
      <c r="I95" s="21" t="n"/>
      <c r="J95" s="21" t="n"/>
      <c r="K95" s="21" t="n"/>
      <c r="L95" s="21" t="n"/>
      <c r="M95" s="37">
        <f>E95*F95+G95*H95+I95*J95+K95*L95</f>
        <v/>
      </c>
      <c r="N95" s="37">
        <f>Исходные!$B$13-M95</f>
        <v/>
      </c>
      <c r="O95" s="51" t="n">
        <v>2</v>
      </c>
      <c r="P95" s="49">
        <f>(F95+H95+J95+L95)*O95</f>
        <v/>
      </c>
      <c r="Q95" s="70">
        <f>M95*O95</f>
        <v/>
      </c>
      <c r="R95" s="70">
        <f>N95*O95</f>
        <v/>
      </c>
    </row>
    <row r="96">
      <c r="A96" s="49" t="n">
        <v>1</v>
      </c>
      <c r="B96" s="49" t="n">
        <v>16</v>
      </c>
      <c r="C96" s="72" t="inlineStr">
        <is>
          <t>А500С</t>
        </is>
      </c>
      <c r="D96" s="49" t="n">
        <v>16</v>
      </c>
      <c r="E96" s="69" t="n">
        <v>8.928000000000001</v>
      </c>
      <c r="F96" s="51" t="n">
        <v>1</v>
      </c>
      <c r="G96" s="69" t="n">
        <v>2.25</v>
      </c>
      <c r="H96" s="51" t="n">
        <v>1</v>
      </c>
      <c r="I96" s="21" t="n"/>
      <c r="J96" s="21" t="n"/>
      <c r="K96" s="21" t="n"/>
      <c r="L96" s="21" t="n"/>
      <c r="M96" s="37">
        <f>E96*F96+G96*H96+I96*J96+K96*L96</f>
        <v/>
      </c>
      <c r="N96" s="37">
        <f>Исходные!$B$13-M96</f>
        <v/>
      </c>
      <c r="O96" s="51" t="n">
        <v>1</v>
      </c>
      <c r="P96" s="49">
        <f>(F96+H96+J96+L96)*O96</f>
        <v/>
      </c>
      <c r="Q96" s="70">
        <f>M96*O96</f>
        <v/>
      </c>
      <c r="R96" s="70">
        <f>N96*O96</f>
        <v/>
      </c>
    </row>
    <row r="97">
      <c r="A97" s="49" t="n">
        <v>1</v>
      </c>
      <c r="B97" s="49" t="n">
        <v>16</v>
      </c>
      <c r="C97" s="72" t="inlineStr">
        <is>
          <t>А500С</t>
        </is>
      </c>
      <c r="D97" s="49" t="n">
        <v>17</v>
      </c>
      <c r="E97" s="69" t="n">
        <v>3</v>
      </c>
      <c r="F97" s="51" t="n">
        <v>2</v>
      </c>
      <c r="G97" s="69" t="n">
        <v>2.9</v>
      </c>
      <c r="H97" s="51" t="n">
        <v>1</v>
      </c>
      <c r="I97" s="69" t="n">
        <v>2.25</v>
      </c>
      <c r="J97" s="51" t="n">
        <v>1</v>
      </c>
      <c r="K97" s="21" t="n"/>
      <c r="L97" s="21" t="n"/>
      <c r="M97" s="37">
        <f>E97*F97+G97*H97+I97*J97+K97*L97</f>
        <v/>
      </c>
      <c r="N97" s="37">
        <f>Исходные!$B$13-M97</f>
        <v/>
      </c>
      <c r="O97" s="51" t="n">
        <v>1</v>
      </c>
      <c r="P97" s="49">
        <f>(F97+H97+J97+L97)*O97</f>
        <v/>
      </c>
      <c r="Q97" s="70">
        <f>M97*O97</f>
        <v/>
      </c>
      <c r="R97" s="70">
        <f>N97*O97</f>
        <v/>
      </c>
    </row>
    <row r="98">
      <c r="A98" s="49" t="n">
        <v>1</v>
      </c>
      <c r="B98" s="49" t="n">
        <v>16</v>
      </c>
      <c r="C98" s="72" t="inlineStr">
        <is>
          <t>А500С</t>
        </is>
      </c>
      <c r="D98" s="49" t="n">
        <v>18</v>
      </c>
      <c r="E98" s="69" t="n">
        <v>3.6</v>
      </c>
      <c r="F98" s="51" t="n">
        <v>2</v>
      </c>
      <c r="G98" s="69" t="n">
        <v>3.3</v>
      </c>
      <c r="H98" s="51" t="n">
        <v>1</v>
      </c>
      <c r="I98" s="21" t="n"/>
      <c r="J98" s="21" t="n"/>
      <c r="K98" s="21" t="n"/>
      <c r="L98" s="21" t="n"/>
      <c r="M98" s="37">
        <f>E98*F98+G98*H98+I98*J98+K98*L98</f>
        <v/>
      </c>
      <c r="N98" s="37">
        <f>Исходные!$B$13-M98</f>
        <v/>
      </c>
      <c r="O98" s="51" t="n">
        <v>1</v>
      </c>
      <c r="P98" s="49">
        <f>(F98+H98+J98+L98)*O98</f>
        <v/>
      </c>
      <c r="Q98" s="70">
        <f>M98*O98</f>
        <v/>
      </c>
      <c r="R98" s="70">
        <f>N98*O98</f>
        <v/>
      </c>
    </row>
    <row r="99">
      <c r="A99" s="49" t="n">
        <v>1</v>
      </c>
      <c r="B99" s="49" t="n">
        <v>16</v>
      </c>
      <c r="C99" s="72" t="inlineStr">
        <is>
          <t>А500С</t>
        </is>
      </c>
      <c r="D99" s="49" t="n">
        <v>19</v>
      </c>
      <c r="E99" s="69" t="n">
        <v>1.25</v>
      </c>
      <c r="F99" s="51" t="n">
        <v>8</v>
      </c>
      <c r="G99" s="21" t="n"/>
      <c r="H99" s="21" t="n"/>
      <c r="I99" s="21" t="n"/>
      <c r="J99" s="21" t="n"/>
      <c r="K99" s="21" t="n"/>
      <c r="L99" s="21" t="n"/>
      <c r="M99" s="37">
        <f>E99*F99+G99*H99+I99*J99+K99*L99</f>
        <v/>
      </c>
      <c r="N99" s="37">
        <f>Исходные!$B$13-M99</f>
        <v/>
      </c>
      <c r="O99" s="51" t="n">
        <v>1</v>
      </c>
      <c r="P99" s="49">
        <f>(F99+H99+J99+L99)*O99</f>
        <v/>
      </c>
      <c r="Q99" s="70">
        <f>M99*O99</f>
        <v/>
      </c>
      <c r="R99" s="70">
        <f>N99*O99</f>
        <v/>
      </c>
    </row>
    <row r="100">
      <c r="A100" s="49" t="n">
        <v>1</v>
      </c>
      <c r="B100" s="49" t="n">
        <v>14</v>
      </c>
      <c r="C100" s="72" t="inlineStr">
        <is>
          <t>А500С</t>
        </is>
      </c>
      <c r="D100" s="49" t="n">
        <v>1</v>
      </c>
      <c r="E100" s="69" t="n">
        <v>11.7</v>
      </c>
      <c r="F100" s="51" t="n">
        <v>1</v>
      </c>
      <c r="G100" s="21" t="n"/>
      <c r="H100" s="21" t="n"/>
      <c r="I100" s="21" t="n"/>
      <c r="J100" s="21" t="n"/>
      <c r="K100" s="21" t="n"/>
      <c r="L100" s="21" t="n"/>
      <c r="M100" s="37">
        <f>E100*F100+G100*H100+I100*J100+K100*L100</f>
        <v/>
      </c>
      <c r="N100" s="37">
        <f>Исходные!$B$13-M100</f>
        <v/>
      </c>
      <c r="O100" s="51" t="n">
        <v>6</v>
      </c>
      <c r="P100" s="49">
        <f>(F100+H100+J100+L100)*O100</f>
        <v/>
      </c>
      <c r="Q100" s="70">
        <f>M100*O100</f>
        <v/>
      </c>
      <c r="R100" s="70">
        <f>N100*O100</f>
        <v/>
      </c>
    </row>
    <row r="101">
      <c r="A101" s="49" t="n">
        <v>1</v>
      </c>
      <c r="B101" s="49" t="n">
        <v>14</v>
      </c>
      <c r="C101" s="72" t="inlineStr">
        <is>
          <t>А500С</t>
        </is>
      </c>
      <c r="D101" s="49" t="n">
        <v>2</v>
      </c>
      <c r="E101" s="69" t="n">
        <v>4</v>
      </c>
      <c r="F101" s="51" t="n">
        <v>2</v>
      </c>
      <c r="G101" s="69" t="n">
        <v>3.7</v>
      </c>
      <c r="H101" s="51" t="n">
        <v>1</v>
      </c>
      <c r="I101" s="21" t="n"/>
      <c r="J101" s="21" t="n"/>
      <c r="K101" s="21" t="n"/>
      <c r="L101" s="21" t="n"/>
      <c r="M101" s="37">
        <f>E101*F101+G101*H101+I101*J101+K101*L101</f>
        <v/>
      </c>
      <c r="N101" s="37">
        <f>Исходные!$B$13-M101</f>
        <v/>
      </c>
      <c r="O101" s="51" t="n">
        <v>1</v>
      </c>
      <c r="P101" s="49">
        <f>(F101+H101+J101+L101)*O101</f>
        <v/>
      </c>
      <c r="Q101" s="70">
        <f>M101*O101</f>
        <v/>
      </c>
      <c r="R101" s="70">
        <f>N101*O101</f>
        <v/>
      </c>
    </row>
    <row r="102">
      <c r="A102" s="49" t="n">
        <v>1</v>
      </c>
      <c r="B102" s="49" t="n">
        <v>14</v>
      </c>
      <c r="C102" s="72" t="inlineStr">
        <is>
          <t>А500С</t>
        </is>
      </c>
      <c r="D102" s="49" t="n">
        <v>3</v>
      </c>
      <c r="E102" s="69" t="n">
        <v>1.45</v>
      </c>
      <c r="F102" s="51" t="n">
        <v>8</v>
      </c>
      <c r="G102" s="21" t="n"/>
      <c r="H102" s="21" t="n"/>
      <c r="I102" s="21" t="n"/>
      <c r="J102" s="21" t="n"/>
      <c r="K102" s="21" t="n"/>
      <c r="L102" s="21" t="n"/>
      <c r="M102" s="37">
        <f>E102*F102+G102*H102+I102*J102+K102*L102</f>
        <v/>
      </c>
      <c r="N102" s="37">
        <f>Исходные!$B$13-M102</f>
        <v/>
      </c>
      <c r="O102" s="51" t="n">
        <v>5</v>
      </c>
      <c r="P102" s="49">
        <f>(F102+H102+J102+L102)*O102</f>
        <v/>
      </c>
      <c r="Q102" s="70">
        <f>M102*O102</f>
        <v/>
      </c>
      <c r="R102" s="70">
        <f>N102*O102</f>
        <v/>
      </c>
    </row>
    <row r="103">
      <c r="A103" s="49" t="n">
        <v>1</v>
      </c>
      <c r="B103" s="49" t="n">
        <v>14</v>
      </c>
      <c r="C103" s="72" t="inlineStr">
        <is>
          <t>А500С</t>
        </is>
      </c>
      <c r="D103" s="49" t="n">
        <v>4</v>
      </c>
      <c r="E103" s="69" t="n">
        <v>9.1</v>
      </c>
      <c r="F103" s="51" t="n">
        <v>1</v>
      </c>
      <c r="G103" s="69" t="n">
        <v>2.4</v>
      </c>
      <c r="H103" s="51" t="n">
        <v>1</v>
      </c>
      <c r="I103" s="21" t="n"/>
      <c r="J103" s="21" t="n"/>
      <c r="K103" s="21" t="n"/>
      <c r="L103" s="21" t="n"/>
      <c r="M103" s="37">
        <f>E103*F103+G103*H103+I103*J103+K103*L103</f>
        <v/>
      </c>
      <c r="N103" s="37">
        <f>Исходные!$B$13-M103</f>
        <v/>
      </c>
      <c r="O103" s="51" t="n">
        <v>2</v>
      </c>
      <c r="P103" s="49">
        <f>(F103+H103+J103+L103)*O103</f>
        <v/>
      </c>
      <c r="Q103" s="70">
        <f>M103*O103</f>
        <v/>
      </c>
      <c r="R103" s="70">
        <f>N103*O103</f>
        <v/>
      </c>
    </row>
    <row r="104">
      <c r="A104" s="49" t="n">
        <v>1</v>
      </c>
      <c r="B104" s="49" t="n">
        <v>14</v>
      </c>
      <c r="C104" s="72" t="inlineStr">
        <is>
          <t>А500С</t>
        </is>
      </c>
      <c r="D104" s="49" t="n">
        <v>5</v>
      </c>
      <c r="E104" s="69" t="n">
        <v>3.9</v>
      </c>
      <c r="F104" s="51" t="n">
        <v>2</v>
      </c>
      <c r="G104" s="69" t="n">
        <v>3.7</v>
      </c>
      <c r="H104" s="51" t="n">
        <v>1</v>
      </c>
      <c r="I104" s="21" t="n"/>
      <c r="J104" s="21" t="n"/>
      <c r="K104" s="21" t="n"/>
      <c r="L104" s="21" t="n"/>
      <c r="M104" s="37">
        <f>E104*F104+G104*H104+I104*J104+K104*L104</f>
        <v/>
      </c>
      <c r="N104" s="37">
        <f>Исходные!$B$13-M104</f>
        <v/>
      </c>
      <c r="O104" s="51" t="n">
        <v>1</v>
      </c>
      <c r="P104" s="49">
        <f>(F104+H104+J104+L104)*O104</f>
        <v/>
      </c>
      <c r="Q104" s="70">
        <f>M104*O104</f>
        <v/>
      </c>
      <c r="R104" s="70">
        <f>N104*O104</f>
        <v/>
      </c>
    </row>
    <row r="105">
      <c r="A105" s="49" t="n">
        <v>1</v>
      </c>
      <c r="B105" s="49" t="n">
        <v>14</v>
      </c>
      <c r="C105" s="72" t="inlineStr">
        <is>
          <t>А500С</t>
        </is>
      </c>
      <c r="D105" s="49" t="n">
        <v>6</v>
      </c>
      <c r="E105" s="69" t="n">
        <v>4.2</v>
      </c>
      <c r="F105" s="51" t="n">
        <v>2</v>
      </c>
      <c r="G105" s="69" t="n">
        <v>2.85</v>
      </c>
      <c r="H105" s="51" t="n">
        <v>1</v>
      </c>
      <c r="I105" s="21" t="n"/>
      <c r="J105" s="21" t="n"/>
      <c r="K105" s="21" t="n"/>
      <c r="L105" s="21" t="n"/>
      <c r="M105" s="37">
        <f>E105*F105+G105*H105+I105*J105+K105*L105</f>
        <v/>
      </c>
      <c r="N105" s="37">
        <f>Исходные!$B$13-M105</f>
        <v/>
      </c>
      <c r="O105" s="51" t="n">
        <v>2</v>
      </c>
      <c r="P105" s="49">
        <f>(F105+H105+J105+L105)*O105</f>
        <v/>
      </c>
      <c r="Q105" s="70">
        <f>M105*O105</f>
        <v/>
      </c>
      <c r="R105" s="70">
        <f>N105*O105</f>
        <v/>
      </c>
    </row>
    <row r="106">
      <c r="A106" s="49" t="n">
        <v>1</v>
      </c>
      <c r="B106" s="49" t="n">
        <v>14</v>
      </c>
      <c r="C106" s="72" t="inlineStr">
        <is>
          <t>А500С</t>
        </is>
      </c>
      <c r="D106" s="49" t="n">
        <v>7</v>
      </c>
      <c r="E106" s="69" t="n">
        <v>3.7</v>
      </c>
      <c r="F106" s="51" t="n">
        <v>3</v>
      </c>
      <c r="G106" s="21" t="n"/>
      <c r="H106" s="21" t="n"/>
      <c r="I106" s="21" t="n"/>
      <c r="J106" s="21" t="n"/>
      <c r="K106" s="21" t="n"/>
      <c r="L106" s="21" t="n"/>
      <c r="M106" s="37">
        <f>E106*F106+G106*H106+I106*J106+K106*L106</f>
        <v/>
      </c>
      <c r="N106" s="37">
        <f>Исходные!$B$13-M106</f>
        <v/>
      </c>
      <c r="O106" s="51" t="n">
        <v>1</v>
      </c>
      <c r="P106" s="49">
        <f>(F106+H106+J106+L106)*O106</f>
        <v/>
      </c>
      <c r="Q106" s="70">
        <f>M106*O106</f>
        <v/>
      </c>
      <c r="R106" s="70">
        <f>N106*O106</f>
        <v/>
      </c>
    </row>
    <row r="107">
      <c r="A107" s="49" t="n">
        <v>1</v>
      </c>
      <c r="B107" s="49" t="n">
        <v>14</v>
      </c>
      <c r="C107" s="72" t="inlineStr">
        <is>
          <t>А500С</t>
        </is>
      </c>
      <c r="D107" s="49" t="n">
        <v>8</v>
      </c>
      <c r="E107" s="69" t="n">
        <v>9.385</v>
      </c>
      <c r="F107" s="51" t="n">
        <v>1</v>
      </c>
      <c r="G107" s="69" t="n">
        <v>1.45</v>
      </c>
      <c r="H107" s="51" t="n">
        <v>1</v>
      </c>
      <c r="I107" s="21" t="n"/>
      <c r="J107" s="21" t="n"/>
      <c r="K107" s="21" t="n"/>
      <c r="L107" s="21" t="n"/>
      <c r="M107" s="37">
        <f>E107*F107+G107*H107+I107*J107+K107*L107</f>
        <v/>
      </c>
      <c r="N107" s="37">
        <f>Исходные!$B$13-M107</f>
        <v/>
      </c>
      <c r="O107" s="51" t="n">
        <v>2</v>
      </c>
      <c r="P107" s="49">
        <f>(F107+H107+J107+L107)*O107</f>
        <v/>
      </c>
      <c r="Q107" s="70">
        <f>M107*O107</f>
        <v/>
      </c>
      <c r="R107" s="70">
        <f>N107*O107</f>
        <v/>
      </c>
    </row>
    <row r="108">
      <c r="A108" s="49" t="n">
        <v>1</v>
      </c>
      <c r="B108" s="49" t="n">
        <v>14</v>
      </c>
      <c r="C108" s="72" t="inlineStr">
        <is>
          <t>А500С</t>
        </is>
      </c>
      <c r="D108" s="49" t="n">
        <v>9</v>
      </c>
      <c r="E108" s="69" t="n">
        <v>3.7</v>
      </c>
      <c r="F108" s="51" t="n">
        <v>1</v>
      </c>
      <c r="G108" s="69" t="n">
        <v>3.545</v>
      </c>
      <c r="H108" s="51" t="n">
        <v>2</v>
      </c>
      <c r="I108" s="21" t="n"/>
      <c r="J108" s="21" t="n"/>
      <c r="K108" s="21" t="n"/>
      <c r="L108" s="21" t="n"/>
      <c r="M108" s="37">
        <f>E108*F108+G108*H108+I108*J108+K108*L108</f>
        <v/>
      </c>
      <c r="N108" s="37">
        <f>Исходные!$B$13-M108</f>
        <v/>
      </c>
      <c r="O108" s="51" t="n">
        <v>1</v>
      </c>
      <c r="P108" s="49">
        <f>(F108+H108+J108+L108)*O108</f>
        <v/>
      </c>
      <c r="Q108" s="70">
        <f>M108*O108</f>
        <v/>
      </c>
      <c r="R108" s="70">
        <f>N108*O108</f>
        <v/>
      </c>
    </row>
    <row r="109">
      <c r="A109" s="49" t="n">
        <v>1</v>
      </c>
      <c r="B109" s="49" t="n">
        <v>12</v>
      </c>
      <c r="C109" s="72" t="inlineStr">
        <is>
          <t>А500С</t>
        </is>
      </c>
      <c r="D109" s="49" t="n">
        <v>1</v>
      </c>
      <c r="E109" s="69" t="n">
        <v>11.7</v>
      </c>
      <c r="F109" s="51" t="n">
        <v>1</v>
      </c>
      <c r="G109" s="21" t="n"/>
      <c r="H109" s="21" t="n"/>
      <c r="I109" s="21" t="n"/>
      <c r="J109" s="21" t="n"/>
      <c r="K109" s="21" t="n"/>
      <c r="L109" s="21" t="n"/>
      <c r="M109" s="37">
        <f>E109*F109+G109*H109+I109*J109+K109*L109</f>
        <v/>
      </c>
      <c r="N109" s="37">
        <f>Исходные!$B$13-M109</f>
        <v/>
      </c>
      <c r="O109" s="51" t="n">
        <v>4</v>
      </c>
      <c r="P109" s="49">
        <f>(F109+H109+J109+L109)*O109</f>
        <v/>
      </c>
      <c r="Q109" s="70">
        <f>M109*O109</f>
        <v/>
      </c>
      <c r="R109" s="70">
        <f>N109*O109</f>
        <v/>
      </c>
    </row>
    <row r="110">
      <c r="A110" s="49" t="n">
        <v>1</v>
      </c>
      <c r="B110" s="49" t="n">
        <v>12</v>
      </c>
      <c r="C110" s="72" t="inlineStr">
        <is>
          <t>А500С</t>
        </is>
      </c>
      <c r="D110" s="49" t="n">
        <v>2</v>
      </c>
      <c r="E110" s="69" t="n">
        <v>2.05</v>
      </c>
      <c r="F110" s="51" t="n">
        <v>5</v>
      </c>
      <c r="G110" s="69" t="n">
        <v>1.4</v>
      </c>
      <c r="H110" s="51" t="n">
        <v>1</v>
      </c>
      <c r="I110" s="21" t="n"/>
      <c r="J110" s="21" t="n"/>
      <c r="K110" s="21" t="n"/>
      <c r="L110" s="21" t="n"/>
      <c r="M110" s="37">
        <f>E110*F110+G110*H110+I110*J110+K110*L110</f>
        <v/>
      </c>
      <c r="N110" s="37">
        <f>Исходные!$B$13-M110</f>
        <v/>
      </c>
      <c r="O110" s="51" t="n">
        <v>1</v>
      </c>
      <c r="P110" s="49">
        <f>(F110+H110+J110+L110)*O110</f>
        <v/>
      </c>
      <c r="Q110" s="70">
        <f>M110*O110</f>
        <v/>
      </c>
      <c r="R110" s="70">
        <f>N110*O110</f>
        <v/>
      </c>
    </row>
    <row r="111">
      <c r="A111" s="49" t="n">
        <v>1</v>
      </c>
      <c r="B111" s="49" t="n">
        <v>12</v>
      </c>
      <c r="C111" s="72" t="inlineStr">
        <is>
          <t>А500С</t>
        </is>
      </c>
      <c r="D111" s="49" t="n">
        <v>3</v>
      </c>
      <c r="E111" s="69" t="n">
        <v>2.4</v>
      </c>
      <c r="F111" s="51" t="n">
        <v>4</v>
      </c>
      <c r="G111" s="69" t="n">
        <v>2.05</v>
      </c>
      <c r="H111" s="51" t="n">
        <v>1</v>
      </c>
      <c r="I111" s="21" t="n"/>
      <c r="J111" s="21" t="n"/>
      <c r="K111" s="21" t="n"/>
      <c r="L111" s="21" t="n"/>
      <c r="M111" s="37">
        <f>E111*F111+G111*H111+I111*J111+K111*L111</f>
        <v/>
      </c>
      <c r="N111" s="37">
        <f>Исходные!$B$13-M111</f>
        <v/>
      </c>
      <c r="O111" s="51" t="n">
        <v>1</v>
      </c>
      <c r="P111" s="49">
        <f>(F111+H111+J111+L111)*O111</f>
        <v/>
      </c>
      <c r="Q111" s="70">
        <f>M111*O111</f>
        <v/>
      </c>
      <c r="R111" s="70">
        <f>N111*O111</f>
        <v/>
      </c>
    </row>
    <row r="112">
      <c r="A112" s="49" t="n">
        <v>1</v>
      </c>
      <c r="B112" s="49" t="n">
        <v>12</v>
      </c>
      <c r="C112" s="72" t="inlineStr">
        <is>
          <t>А500С</t>
        </is>
      </c>
      <c r="D112" s="49" t="n">
        <v>4</v>
      </c>
      <c r="E112" s="69" t="n">
        <v>3.4</v>
      </c>
      <c r="F112" s="51" t="n">
        <v>3</v>
      </c>
      <c r="G112" s="69" t="n">
        <v>1.4</v>
      </c>
      <c r="H112" s="51" t="n">
        <v>1</v>
      </c>
      <c r="I112" s="21" t="n"/>
      <c r="J112" s="21" t="n"/>
      <c r="K112" s="21" t="n"/>
      <c r="L112" s="21" t="n"/>
      <c r="M112" s="37">
        <f>E112*F112+G112*H112+I112*J112+K112*L112</f>
        <v/>
      </c>
      <c r="N112" s="37">
        <f>Исходные!$B$13-M112</f>
        <v/>
      </c>
      <c r="O112" s="51" t="n">
        <v>1</v>
      </c>
      <c r="P112" s="49">
        <f>(F112+H112+J112+L112)*O112</f>
        <v/>
      </c>
      <c r="Q112" s="70">
        <f>M112*O112</f>
        <v/>
      </c>
      <c r="R112" s="70">
        <f>N112*O112</f>
        <v/>
      </c>
    </row>
    <row r="113">
      <c r="A113" s="49" t="n">
        <v>1</v>
      </c>
      <c r="B113" s="49" t="n">
        <v>12</v>
      </c>
      <c r="C113" s="72" t="inlineStr">
        <is>
          <t>А500С</t>
        </is>
      </c>
      <c r="D113" s="49" t="n">
        <v>5</v>
      </c>
      <c r="E113" s="69" t="n">
        <v>3.8</v>
      </c>
      <c r="F113" s="51" t="n">
        <v>3</v>
      </c>
      <c r="G113" s="21" t="n"/>
      <c r="H113" s="21" t="n"/>
      <c r="I113" s="21" t="n"/>
      <c r="J113" s="21" t="n"/>
      <c r="K113" s="21" t="n"/>
      <c r="L113" s="21" t="n"/>
      <c r="M113" s="37">
        <f>E113*F113+G113*H113+I113*J113+K113*L113</f>
        <v/>
      </c>
      <c r="N113" s="37">
        <f>Исходные!$B$13-M113</f>
        <v/>
      </c>
      <c r="O113" s="51" t="n">
        <v>2</v>
      </c>
      <c r="P113" s="49">
        <f>(F113+H113+J113+L113)*O113</f>
        <v/>
      </c>
      <c r="Q113" s="70">
        <f>M113*O113</f>
        <v/>
      </c>
      <c r="R113" s="70">
        <f>N113*O113</f>
        <v/>
      </c>
    </row>
    <row r="114">
      <c r="A114" s="49" t="n">
        <v>1</v>
      </c>
      <c r="B114" s="49" t="n">
        <v>12</v>
      </c>
      <c r="C114" s="72" t="inlineStr">
        <is>
          <t>А500С</t>
        </is>
      </c>
      <c r="D114" s="49" t="n">
        <v>6</v>
      </c>
      <c r="E114" s="69" t="n">
        <v>2.3</v>
      </c>
      <c r="F114" s="51" t="n">
        <v>4</v>
      </c>
      <c r="G114" s="69" t="n">
        <v>2.2</v>
      </c>
      <c r="H114" s="51" t="n">
        <v>1</v>
      </c>
      <c r="I114" s="21" t="n"/>
      <c r="J114" s="21" t="n"/>
      <c r="K114" s="21" t="n"/>
      <c r="L114" s="21" t="n"/>
      <c r="M114" s="37">
        <f>E114*F114+G114*H114+I114*J114+K114*L114</f>
        <v/>
      </c>
      <c r="N114" s="37">
        <f>Исходные!$B$13-M114</f>
        <v/>
      </c>
      <c r="O114" s="51" t="n">
        <v>1</v>
      </c>
      <c r="P114" s="49">
        <f>(F114+H114+J114+L114)*O114</f>
        <v/>
      </c>
      <c r="Q114" s="70">
        <f>M114*O114</f>
        <v/>
      </c>
      <c r="R114" s="70">
        <f>N114*O114</f>
        <v/>
      </c>
    </row>
    <row r="115">
      <c r="A115" s="49" t="n">
        <v>1</v>
      </c>
      <c r="B115" s="49" t="n">
        <v>12</v>
      </c>
      <c r="C115" s="72" t="inlineStr">
        <is>
          <t>А500С</t>
        </is>
      </c>
      <c r="D115" s="49" t="n">
        <v>7</v>
      </c>
      <c r="E115" s="69" t="n">
        <v>3.8</v>
      </c>
      <c r="F115" s="51" t="n">
        <v>2</v>
      </c>
      <c r="G115" s="69" t="n">
        <v>3.6</v>
      </c>
      <c r="H115" s="51" t="n">
        <v>1</v>
      </c>
      <c r="I115" s="21" t="n"/>
      <c r="J115" s="21" t="n"/>
      <c r="K115" s="21" t="n"/>
      <c r="L115" s="21" t="n"/>
      <c r="M115" s="37">
        <f>E115*F115+G115*H115+I115*J115+K115*L115</f>
        <v/>
      </c>
      <c r="N115" s="37">
        <f>Исходные!$B$13-M115</f>
        <v/>
      </c>
      <c r="O115" s="51" t="n">
        <v>1</v>
      </c>
      <c r="P115" s="49">
        <f>(F115+H115+J115+L115)*O115</f>
        <v/>
      </c>
      <c r="Q115" s="70">
        <f>M115*O115</f>
        <v/>
      </c>
      <c r="R115" s="70">
        <f>N115*O115</f>
        <v/>
      </c>
    </row>
    <row r="116">
      <c r="A116" s="49" t="n">
        <v>1</v>
      </c>
      <c r="B116" s="49" t="n">
        <v>12</v>
      </c>
      <c r="C116" s="72" t="inlineStr">
        <is>
          <t>А500С</t>
        </is>
      </c>
      <c r="D116" s="49" t="n">
        <v>8</v>
      </c>
      <c r="E116" s="69" t="n">
        <v>2.05</v>
      </c>
      <c r="F116" s="51" t="n">
        <v>2</v>
      </c>
      <c r="G116" s="69" t="n">
        <v>1.4</v>
      </c>
      <c r="H116" s="51" t="n">
        <v>5</v>
      </c>
      <c r="I116" s="21" t="n"/>
      <c r="J116" s="21" t="n"/>
      <c r="K116" s="21" t="n"/>
      <c r="L116" s="21" t="n"/>
      <c r="M116" s="37">
        <f>E116*F116+G116*H116+I116*J116+K116*L116</f>
        <v/>
      </c>
      <c r="N116" s="37">
        <f>Исходные!$B$13-M116</f>
        <v/>
      </c>
      <c r="O116" s="51" t="n">
        <v>1</v>
      </c>
      <c r="P116" s="49">
        <f>(F116+H116+J116+L116)*O116</f>
        <v/>
      </c>
      <c r="Q116" s="70">
        <f>M116*O116</f>
        <v/>
      </c>
      <c r="R116" s="70">
        <f>N116*O116</f>
        <v/>
      </c>
    </row>
    <row r="117">
      <c r="A117" s="49" t="n">
        <v>1</v>
      </c>
      <c r="B117" s="49" t="n">
        <v>12</v>
      </c>
      <c r="C117" s="72" t="inlineStr">
        <is>
          <t>А500С</t>
        </is>
      </c>
      <c r="D117" s="49" t="n">
        <v>9</v>
      </c>
      <c r="E117" s="69" t="n">
        <v>2.2</v>
      </c>
      <c r="F117" s="51" t="n">
        <v>5</v>
      </c>
      <c r="G117" s="21" t="n"/>
      <c r="H117" s="21" t="n"/>
      <c r="I117" s="21" t="n"/>
      <c r="J117" s="21" t="n"/>
      <c r="K117" s="21" t="n"/>
      <c r="L117" s="21" t="n"/>
      <c r="M117" s="37">
        <f>E117*F117+G117*H117+I117*J117+K117*L117</f>
        <v/>
      </c>
      <c r="N117" s="37">
        <f>Исходные!$B$13-M117</f>
        <v/>
      </c>
      <c r="O117" s="51" t="n">
        <v>2</v>
      </c>
      <c r="P117" s="49">
        <f>(F117+H117+J117+L117)*O117</f>
        <v/>
      </c>
      <c r="Q117" s="70">
        <f>M117*O117</f>
        <v/>
      </c>
      <c r="R117" s="70">
        <f>N117*O117</f>
        <v/>
      </c>
    </row>
    <row r="118">
      <c r="A118" s="49" t="n">
        <v>1</v>
      </c>
      <c r="B118" s="49" t="n">
        <v>12</v>
      </c>
      <c r="C118" s="72" t="inlineStr">
        <is>
          <t>А500С</t>
        </is>
      </c>
      <c r="D118" s="49" t="n">
        <v>10</v>
      </c>
      <c r="E118" s="69" t="n">
        <v>5.496</v>
      </c>
      <c r="F118" s="51" t="n">
        <v>2</v>
      </c>
      <c r="G118" s="21" t="n"/>
      <c r="H118" s="21" t="n"/>
      <c r="I118" s="21" t="n"/>
      <c r="J118" s="21" t="n"/>
      <c r="K118" s="21" t="n"/>
      <c r="L118" s="21" t="n"/>
      <c r="M118" s="37">
        <f>E118*F118+G118*H118+I118*J118+K118*L118</f>
        <v/>
      </c>
      <c r="N118" s="37">
        <f>Исходные!$B$13-M118</f>
        <v/>
      </c>
      <c r="O118" s="51" t="n">
        <v>2</v>
      </c>
      <c r="P118" s="49">
        <f>(F118+H118+J118+L118)*O118</f>
        <v/>
      </c>
      <c r="Q118" s="70">
        <f>M118*O118</f>
        <v/>
      </c>
      <c r="R118" s="70">
        <f>N118*O118</f>
        <v/>
      </c>
    </row>
    <row r="119">
      <c r="A119" s="49" t="n">
        <v>1</v>
      </c>
      <c r="B119" s="49" t="n">
        <v>12</v>
      </c>
      <c r="C119" s="72" t="inlineStr">
        <is>
          <t>А500С</t>
        </is>
      </c>
      <c r="D119" s="49" t="n">
        <v>11</v>
      </c>
      <c r="E119" s="69" t="n">
        <v>3.6</v>
      </c>
      <c r="F119" s="51" t="n">
        <v>3</v>
      </c>
      <c r="G119" s="21" t="n"/>
      <c r="H119" s="21" t="n"/>
      <c r="I119" s="21" t="n"/>
      <c r="J119" s="21" t="n"/>
      <c r="K119" s="21" t="n"/>
      <c r="L119" s="21" t="n"/>
      <c r="M119" s="37">
        <f>E119*F119+G119*H119+I119*J119+K119*L119</f>
        <v/>
      </c>
      <c r="N119" s="37">
        <f>Исходные!$B$13-M119</f>
        <v/>
      </c>
      <c r="O119" s="51" t="n">
        <v>1</v>
      </c>
      <c r="P119" s="49">
        <f>(F119+H119+J119+L119)*O119</f>
        <v/>
      </c>
      <c r="Q119" s="70">
        <f>M119*O119</f>
        <v/>
      </c>
      <c r="R119" s="70">
        <f>N119*O119</f>
        <v/>
      </c>
    </row>
    <row r="120">
      <c r="A120" s="49" t="n">
        <v>1</v>
      </c>
      <c r="B120" s="49" t="n">
        <v>12</v>
      </c>
      <c r="C120" s="72" t="inlineStr">
        <is>
          <t>А500С</t>
        </is>
      </c>
      <c r="D120" s="49" t="n">
        <v>12</v>
      </c>
      <c r="E120" s="69" t="n">
        <v>10.6</v>
      </c>
      <c r="F120" s="51" t="n">
        <v>1</v>
      </c>
      <c r="G120" s="21" t="n"/>
      <c r="H120" s="21" t="n"/>
      <c r="I120" s="21" t="n"/>
      <c r="J120" s="21" t="n"/>
      <c r="K120" s="21" t="n"/>
      <c r="L120" s="21" t="n"/>
      <c r="M120" s="37">
        <f>E120*F120+G120*H120+I120*J120+K120*L120</f>
        <v/>
      </c>
      <c r="N120" s="37">
        <f>Исходные!$B$13-M120</f>
        <v/>
      </c>
      <c r="O120" s="51" t="n">
        <v>2</v>
      </c>
      <c r="P120" s="49">
        <f>(F120+H120+J120+L120)*O120</f>
        <v/>
      </c>
      <c r="Q120" s="70">
        <f>M120*O120</f>
        <v/>
      </c>
      <c r="R120" s="70">
        <f>N120*O120</f>
        <v/>
      </c>
    </row>
    <row r="121">
      <c r="A121" s="49" t="n">
        <v>1</v>
      </c>
      <c r="B121" s="49" t="n">
        <v>12</v>
      </c>
      <c r="C121" s="72" t="inlineStr">
        <is>
          <t>А500С</t>
        </is>
      </c>
      <c r="D121" s="49" t="n">
        <v>13</v>
      </c>
      <c r="E121" s="69" t="n">
        <v>3.6</v>
      </c>
      <c r="F121" s="51" t="n">
        <v>2</v>
      </c>
      <c r="G121" s="69" t="n">
        <v>3.4</v>
      </c>
      <c r="H121" s="51" t="n">
        <v>1</v>
      </c>
      <c r="I121" s="21" t="n"/>
      <c r="J121" s="21" t="n"/>
      <c r="K121" s="21" t="n"/>
      <c r="L121" s="21" t="n"/>
      <c r="M121" s="37">
        <f>E121*F121+G121*H121+I121*J121+K121*L121</f>
        <v/>
      </c>
      <c r="N121" s="37">
        <f>Исходные!$B$13-M121</f>
        <v/>
      </c>
      <c r="O121" s="51" t="n">
        <v>1</v>
      </c>
      <c r="P121" s="49">
        <f>(F121+H121+J121+L121)*O121</f>
        <v/>
      </c>
      <c r="Q121" s="70">
        <f>M121*O121</f>
        <v/>
      </c>
      <c r="R121" s="70">
        <f>N121*O121</f>
        <v/>
      </c>
    </row>
    <row r="122">
      <c r="A122" s="49" t="n">
        <v>1</v>
      </c>
      <c r="B122" s="49" t="n">
        <v>12</v>
      </c>
      <c r="C122" s="72" t="inlineStr">
        <is>
          <t>А500С</t>
        </is>
      </c>
      <c r="D122" s="49" t="n">
        <v>14</v>
      </c>
      <c r="E122" s="69" t="n">
        <v>2.2</v>
      </c>
      <c r="F122" s="51" t="n">
        <v>1</v>
      </c>
      <c r="G122" s="69" t="n">
        <v>2.05</v>
      </c>
      <c r="H122" s="51" t="n">
        <v>4</v>
      </c>
      <c r="I122" s="21" t="n"/>
      <c r="J122" s="21" t="n"/>
      <c r="K122" s="21" t="n"/>
      <c r="L122" s="21" t="n"/>
      <c r="M122" s="37">
        <f>E122*F122+G122*H122+I122*J122+K122*L122</f>
        <v/>
      </c>
      <c r="N122" s="37">
        <f>Исходные!$B$13-M122</f>
        <v/>
      </c>
      <c r="O122" s="51" t="n">
        <v>1</v>
      </c>
      <c r="P122" s="49">
        <f>(F122+H122+J122+L122)*O122</f>
        <v/>
      </c>
      <c r="Q122" s="70">
        <f>M122*O122</f>
        <v/>
      </c>
      <c r="R122" s="70">
        <f>N122*O122</f>
        <v/>
      </c>
    </row>
    <row r="123">
      <c r="A123" s="49" t="n">
        <v>1</v>
      </c>
      <c r="B123" s="49" t="n">
        <v>12</v>
      </c>
      <c r="C123" s="72" t="inlineStr">
        <is>
          <t>А500С</t>
        </is>
      </c>
      <c r="D123" s="49" t="n">
        <v>15</v>
      </c>
      <c r="E123" s="69" t="n">
        <v>1.4</v>
      </c>
      <c r="F123" s="51" t="n">
        <v>5</v>
      </c>
      <c r="G123" s="21" t="n"/>
      <c r="H123" s="21" t="n"/>
      <c r="I123" s="21" t="n"/>
      <c r="J123" s="21" t="n"/>
      <c r="K123" s="21" t="n"/>
      <c r="L123" s="21" t="n"/>
      <c r="M123" s="37">
        <f>E123*F123+G123*H123+I123*J123+K123*L123</f>
        <v/>
      </c>
      <c r="N123" s="37">
        <f>Исходные!$B$13-M123</f>
        <v/>
      </c>
      <c r="O123" s="51" t="n">
        <v>1</v>
      </c>
      <c r="P123" s="49">
        <f>(F123+H123+J123+L123)*O123</f>
        <v/>
      </c>
      <c r="Q123" s="70">
        <f>M123*O123</f>
        <v/>
      </c>
      <c r="R123" s="70">
        <f>N123*O123</f>
        <v/>
      </c>
    </row>
    <row r="124">
      <c r="A124" s="49" t="n">
        <v>1</v>
      </c>
      <c r="B124" s="49" t="n">
        <v>10</v>
      </c>
      <c r="C124" s="72" t="inlineStr">
        <is>
          <t>А500С</t>
        </is>
      </c>
      <c r="D124" s="49" t="n">
        <v>1</v>
      </c>
      <c r="E124" s="69" t="n">
        <v>11.7</v>
      </c>
      <c r="F124" s="51" t="n">
        <v>1</v>
      </c>
      <c r="G124" s="21" t="n"/>
      <c r="H124" s="21" t="n"/>
      <c r="I124" s="21" t="n"/>
      <c r="J124" s="21" t="n"/>
      <c r="K124" s="21" t="n"/>
      <c r="L124" s="21" t="n"/>
      <c r="M124" s="37">
        <f>E124*F124+G124*H124+I124*J124+K124*L124</f>
        <v/>
      </c>
      <c r="N124" s="37">
        <f>Исходные!$B$13-M124</f>
        <v/>
      </c>
      <c r="O124" s="51" t="n">
        <v>616</v>
      </c>
      <c r="P124" s="49">
        <f>(F124+H124+J124+L124)*O124</f>
        <v/>
      </c>
      <c r="Q124" s="70">
        <f>M124*O124</f>
        <v/>
      </c>
      <c r="R124" s="70">
        <f>N124*O124</f>
        <v/>
      </c>
    </row>
    <row r="125">
      <c r="A125" s="49" t="n">
        <v>1</v>
      </c>
      <c r="B125" s="49" t="n">
        <v>10</v>
      </c>
      <c r="C125" s="72" t="inlineStr">
        <is>
          <t>А500С</t>
        </is>
      </c>
      <c r="D125" s="49" t="n">
        <v>2</v>
      </c>
      <c r="E125" s="69" t="n">
        <v>4.75</v>
      </c>
      <c r="F125" s="51" t="n">
        <v>2</v>
      </c>
      <c r="G125" s="69" t="n">
        <v>2.2</v>
      </c>
      <c r="H125" s="51" t="n">
        <v>1</v>
      </c>
      <c r="I125" s="21" t="n"/>
      <c r="J125" s="21" t="n"/>
      <c r="K125" s="21" t="n"/>
      <c r="L125" s="21" t="n"/>
      <c r="M125" s="37">
        <f>E125*F125+G125*H125+I125*J125+K125*L125</f>
        <v/>
      </c>
      <c r="N125" s="37">
        <f>Исходные!$B$13-M125</f>
        <v/>
      </c>
      <c r="O125" s="51" t="n">
        <v>13</v>
      </c>
      <c r="P125" s="49">
        <f>(F125+H125+J125+L125)*O125</f>
        <v/>
      </c>
      <c r="Q125" s="70">
        <f>M125*O125</f>
        <v/>
      </c>
      <c r="R125" s="70">
        <f>N125*O125</f>
        <v/>
      </c>
    </row>
    <row r="126">
      <c r="A126" s="49" t="n">
        <v>1</v>
      </c>
      <c r="B126" s="49" t="n">
        <v>10</v>
      </c>
      <c r="C126" s="72" t="inlineStr">
        <is>
          <t>А500С</t>
        </is>
      </c>
      <c r="D126" s="49" t="n">
        <v>3</v>
      </c>
      <c r="E126" s="69" t="n">
        <v>1.4</v>
      </c>
      <c r="F126" s="51" t="n">
        <v>4</v>
      </c>
      <c r="G126" s="69" t="n">
        <v>1.25</v>
      </c>
      <c r="H126" s="51" t="n">
        <v>3</v>
      </c>
      <c r="I126" s="69" t="n">
        <v>1.2</v>
      </c>
      <c r="J126" s="51" t="n">
        <v>1</v>
      </c>
      <c r="K126" s="69" t="n">
        <v>0.57</v>
      </c>
      <c r="L126" s="51" t="n">
        <v>2</v>
      </c>
      <c r="M126" s="37">
        <f>E126*F126+G126*H126+I126*J126+K126*L126</f>
        <v/>
      </c>
      <c r="N126" s="37">
        <f>Исходные!$B$13-M126</f>
        <v/>
      </c>
      <c r="O126" s="51" t="n">
        <v>1</v>
      </c>
      <c r="P126" s="49">
        <f>(F126+H126+J126+L126)*O126</f>
        <v/>
      </c>
      <c r="Q126" s="70">
        <f>M126*O126</f>
        <v/>
      </c>
      <c r="R126" s="70">
        <f>N126*O126</f>
        <v/>
      </c>
    </row>
    <row r="127">
      <c r="A127" s="49" t="n">
        <v>1</v>
      </c>
      <c r="B127" s="49" t="n">
        <v>10</v>
      </c>
      <c r="C127" s="72" t="inlineStr">
        <is>
          <t>А500С</t>
        </is>
      </c>
      <c r="D127" s="49" t="n">
        <v>4</v>
      </c>
      <c r="E127" s="69" t="n">
        <v>1.4</v>
      </c>
      <c r="F127" s="51" t="n">
        <v>8</v>
      </c>
      <c r="G127" s="69" t="n">
        <v>0.48</v>
      </c>
      <c r="H127" s="51" t="n">
        <v>1</v>
      </c>
      <c r="I127" s="21" t="n"/>
      <c r="J127" s="21" t="n"/>
      <c r="K127" s="21" t="n"/>
      <c r="L127" s="21" t="n"/>
      <c r="M127" s="37">
        <f>E127*F127+G127*H127+I127*J127+K127*L127</f>
        <v/>
      </c>
      <c r="N127" s="37">
        <f>Исходные!$B$13-M127</f>
        <v/>
      </c>
      <c r="O127" s="51" t="n">
        <v>3</v>
      </c>
      <c r="P127" s="49">
        <f>(F127+H127+J127+L127)*O127</f>
        <v/>
      </c>
      <c r="Q127" s="70">
        <f>M127*O127</f>
        <v/>
      </c>
      <c r="R127" s="70">
        <f>N127*O127</f>
        <v/>
      </c>
    </row>
    <row r="128">
      <c r="A128" s="49" t="n">
        <v>1</v>
      </c>
      <c r="B128" s="49" t="n">
        <v>10</v>
      </c>
      <c r="C128" s="72" t="inlineStr">
        <is>
          <t>А500С</t>
        </is>
      </c>
      <c r="D128" s="49" t="n">
        <v>5</v>
      </c>
      <c r="E128" s="69" t="n">
        <v>11.05</v>
      </c>
      <c r="F128" s="51" t="n">
        <v>1</v>
      </c>
      <c r="G128" s="69" t="n">
        <v>0.62</v>
      </c>
      <c r="H128" s="51" t="n">
        <v>1</v>
      </c>
      <c r="I128" s="21" t="n"/>
      <c r="J128" s="21" t="n"/>
      <c r="K128" s="21" t="n"/>
      <c r="L128" s="21" t="n"/>
      <c r="M128" s="37">
        <f>E128*F128+G128*H128+I128*J128+K128*L128</f>
        <v/>
      </c>
      <c r="N128" s="37">
        <f>Исходные!$B$13-M128</f>
        <v/>
      </c>
      <c r="O128" s="51" t="n">
        <v>48</v>
      </c>
      <c r="P128" s="49">
        <f>(F128+H128+J128+L128)*O128</f>
        <v/>
      </c>
      <c r="Q128" s="70">
        <f>M128*O128</f>
        <v/>
      </c>
      <c r="R128" s="70">
        <f>N128*O128</f>
        <v/>
      </c>
    </row>
    <row r="129">
      <c r="A129" s="49" t="n">
        <v>1</v>
      </c>
      <c r="B129" s="49" t="n">
        <v>10</v>
      </c>
      <c r="C129" s="72" t="inlineStr">
        <is>
          <t>А500С</t>
        </is>
      </c>
      <c r="D129" s="49" t="n">
        <v>6</v>
      </c>
      <c r="E129" s="69" t="n">
        <v>9.18</v>
      </c>
      <c r="F129" s="51" t="n">
        <v>1</v>
      </c>
      <c r="G129" s="69" t="n">
        <v>2</v>
      </c>
      <c r="H129" s="51" t="n">
        <v>1</v>
      </c>
      <c r="I129" s="69" t="n">
        <v>0.48</v>
      </c>
      <c r="J129" s="51" t="n">
        <v>1</v>
      </c>
      <c r="K129" s="21" t="n"/>
      <c r="L129" s="21" t="n"/>
      <c r="M129" s="37">
        <f>E129*F129+G129*H129+I129*J129+K129*L129</f>
        <v/>
      </c>
      <c r="N129" s="37">
        <f>Исходные!$B$13-M129</f>
        <v/>
      </c>
      <c r="O129" s="51" t="n">
        <v>5</v>
      </c>
      <c r="P129" s="49">
        <f>(F129+H129+J129+L129)*O129</f>
        <v/>
      </c>
      <c r="Q129" s="70">
        <f>M129*O129</f>
        <v/>
      </c>
      <c r="R129" s="70">
        <f>N129*O129</f>
        <v/>
      </c>
    </row>
    <row r="130">
      <c r="A130" s="49" t="n">
        <v>1</v>
      </c>
      <c r="B130" s="49" t="n">
        <v>10</v>
      </c>
      <c r="C130" s="72" t="inlineStr">
        <is>
          <t>А500С</t>
        </is>
      </c>
      <c r="D130" s="49" t="n">
        <v>7</v>
      </c>
      <c r="E130" s="69" t="n">
        <v>4.32</v>
      </c>
      <c r="F130" s="51" t="n">
        <v>2</v>
      </c>
      <c r="G130" s="69" t="n">
        <v>3.02</v>
      </c>
      <c r="H130" s="51" t="n">
        <v>1</v>
      </c>
      <c r="I130" s="21" t="n"/>
      <c r="J130" s="21" t="n"/>
      <c r="K130" s="21" t="n"/>
      <c r="L130" s="21" t="n"/>
      <c r="M130" s="37">
        <f>E130*F130+G130*H130+I130*J130+K130*L130</f>
        <v/>
      </c>
      <c r="N130" s="37">
        <f>Исходные!$B$13-M130</f>
        <v/>
      </c>
      <c r="O130" s="51" t="n">
        <v>16</v>
      </c>
      <c r="P130" s="49">
        <f>(F130+H130+J130+L130)*O130</f>
        <v/>
      </c>
      <c r="Q130" s="70">
        <f>M130*O130</f>
        <v/>
      </c>
      <c r="R130" s="70">
        <f>N130*O130</f>
        <v/>
      </c>
    </row>
    <row r="131">
      <c r="A131" s="49" t="n">
        <v>1</v>
      </c>
      <c r="B131" s="49" t="n">
        <v>10</v>
      </c>
      <c r="C131" s="72" t="inlineStr">
        <is>
          <t>А500С</t>
        </is>
      </c>
      <c r="D131" s="49" t="n">
        <v>8</v>
      </c>
      <c r="E131" s="69" t="n">
        <v>3.02</v>
      </c>
      <c r="F131" s="51" t="n">
        <v>3</v>
      </c>
      <c r="G131" s="69" t="n">
        <v>2.6</v>
      </c>
      <c r="H131" s="51" t="n">
        <v>1</v>
      </c>
      <c r="I131" s="21" t="n"/>
      <c r="J131" s="21" t="n"/>
      <c r="K131" s="21" t="n"/>
      <c r="L131" s="21" t="n"/>
      <c r="M131" s="37">
        <f>E131*F131+G131*H131+I131*J131+K131*L131</f>
        <v/>
      </c>
      <c r="N131" s="37">
        <f>Исходные!$B$13-M131</f>
        <v/>
      </c>
      <c r="O131" s="51" t="n">
        <v>6</v>
      </c>
      <c r="P131" s="49">
        <f>(F131+H131+J131+L131)*O131</f>
        <v/>
      </c>
      <c r="Q131" s="70">
        <f>M131*O131</f>
        <v/>
      </c>
      <c r="R131" s="70">
        <f>N131*O131</f>
        <v/>
      </c>
    </row>
    <row r="132">
      <c r="A132" s="49" t="n">
        <v>1</v>
      </c>
      <c r="B132" s="49" t="n">
        <v>10</v>
      </c>
      <c r="C132" s="72" t="inlineStr">
        <is>
          <t>А500С</t>
        </is>
      </c>
      <c r="D132" s="49" t="n">
        <v>9</v>
      </c>
      <c r="E132" s="69" t="n">
        <v>11.05</v>
      </c>
      <c r="F132" s="51" t="n">
        <v>1</v>
      </c>
      <c r="G132" s="69" t="n">
        <v>0.6</v>
      </c>
      <c r="H132" s="51" t="n">
        <v>1</v>
      </c>
      <c r="I132" s="21" t="n"/>
      <c r="J132" s="21" t="n"/>
      <c r="K132" s="21" t="n"/>
      <c r="L132" s="21" t="n"/>
      <c r="M132" s="37">
        <f>E132*F132+G132*H132+I132*J132+K132*L132</f>
        <v/>
      </c>
      <c r="N132" s="37">
        <f>Исходные!$B$13-M132</f>
        <v/>
      </c>
      <c r="O132" s="51" t="n">
        <v>28</v>
      </c>
      <c r="P132" s="49">
        <f>(F132+H132+J132+L132)*O132</f>
        <v/>
      </c>
      <c r="Q132" s="70">
        <f>M132*O132</f>
        <v/>
      </c>
      <c r="R132" s="70">
        <f>N132*O132</f>
        <v/>
      </c>
    </row>
    <row r="133">
      <c r="A133" s="49" t="n">
        <v>1</v>
      </c>
      <c r="B133" s="49" t="n">
        <v>10</v>
      </c>
      <c r="C133" s="72" t="inlineStr">
        <is>
          <t>А500С</t>
        </is>
      </c>
      <c r="D133" s="49" t="n">
        <v>10</v>
      </c>
      <c r="E133" s="69" t="n">
        <v>6.9</v>
      </c>
      <c r="F133" s="51" t="n">
        <v>1</v>
      </c>
      <c r="G133" s="69" t="n">
        <v>4.75</v>
      </c>
      <c r="H133" s="51" t="n">
        <v>1</v>
      </c>
      <c r="I133" s="21" t="n"/>
      <c r="J133" s="21" t="n"/>
      <c r="K133" s="21" t="n"/>
      <c r="L133" s="21" t="n"/>
      <c r="M133" s="37">
        <f>E133*F133+G133*H133+I133*J133+K133*L133</f>
        <v/>
      </c>
      <c r="N133" s="37">
        <f>Исходные!$B$13-M133</f>
        <v/>
      </c>
      <c r="O133" s="51" t="n">
        <v>26</v>
      </c>
      <c r="P133" s="49">
        <f>(F133+H133+J133+L133)*O133</f>
        <v/>
      </c>
      <c r="Q133" s="70">
        <f>M133*O133</f>
        <v/>
      </c>
      <c r="R133" s="70">
        <f>N133*O133</f>
        <v/>
      </c>
    </row>
    <row r="134">
      <c r="A134" s="49" t="n">
        <v>1</v>
      </c>
      <c r="B134" s="49" t="n">
        <v>10</v>
      </c>
      <c r="C134" s="72" t="inlineStr">
        <is>
          <t>А500С</t>
        </is>
      </c>
      <c r="D134" s="49" t="n">
        <v>11</v>
      </c>
      <c r="E134" s="69" t="n">
        <v>4.5</v>
      </c>
      <c r="F134" s="51" t="n">
        <v>2</v>
      </c>
      <c r="G134" s="69" t="n">
        <v>1.4</v>
      </c>
      <c r="H134" s="51" t="n">
        <v>1</v>
      </c>
      <c r="I134" s="69" t="n">
        <v>1.25</v>
      </c>
      <c r="J134" s="51" t="n">
        <v>1</v>
      </c>
      <c r="K134" s="21" t="n"/>
      <c r="L134" s="21" t="n"/>
      <c r="M134" s="37">
        <f>E134*F134+G134*H134+I134*J134+K134*L134</f>
        <v/>
      </c>
      <c r="N134" s="37">
        <f>Исходные!$B$13-M134</f>
        <v/>
      </c>
      <c r="O134" s="51" t="n">
        <v>3</v>
      </c>
      <c r="P134" s="49">
        <f>(F134+H134+J134+L134)*O134</f>
        <v/>
      </c>
      <c r="Q134" s="70">
        <f>M134*O134</f>
        <v/>
      </c>
      <c r="R134" s="70">
        <f>N134*O134</f>
        <v/>
      </c>
    </row>
    <row r="135">
      <c r="A135" s="49" t="n">
        <v>1</v>
      </c>
      <c r="B135" s="49" t="n">
        <v>10</v>
      </c>
      <c r="C135" s="72" t="inlineStr">
        <is>
          <t>А500С</t>
        </is>
      </c>
      <c r="D135" s="49" t="n">
        <v>12</v>
      </c>
      <c r="E135" s="69" t="n">
        <v>3.02</v>
      </c>
      <c r="F135" s="51" t="n">
        <v>2</v>
      </c>
      <c r="G135" s="69" t="n">
        <v>1.4</v>
      </c>
      <c r="H135" s="51" t="n">
        <v>4</v>
      </c>
      <c r="I135" s="21" t="n"/>
      <c r="J135" s="21" t="n"/>
      <c r="K135" s="21" t="n"/>
      <c r="L135" s="21" t="n"/>
      <c r="M135" s="37">
        <f>E135*F135+G135*H135+I135*J135+K135*L135</f>
        <v/>
      </c>
      <c r="N135" s="37">
        <f>Исходные!$B$13-M135</f>
        <v/>
      </c>
      <c r="O135" s="51" t="n">
        <v>1</v>
      </c>
      <c r="P135" s="49">
        <f>(F135+H135+J135+L135)*O135</f>
        <v/>
      </c>
      <c r="Q135" s="70">
        <f>M135*O135</f>
        <v/>
      </c>
      <c r="R135" s="70">
        <f>N135*O135</f>
        <v/>
      </c>
    </row>
    <row r="136">
      <c r="A136" s="49" t="n">
        <v>1</v>
      </c>
      <c r="B136" s="49" t="n">
        <v>10</v>
      </c>
      <c r="C136" s="72" t="inlineStr">
        <is>
          <t>А500С</t>
        </is>
      </c>
      <c r="D136" s="49" t="n">
        <v>13</v>
      </c>
      <c r="E136" s="69" t="n">
        <v>8</v>
      </c>
      <c r="F136" s="51" t="n">
        <v>1</v>
      </c>
      <c r="G136" s="69" t="n">
        <v>3.625</v>
      </c>
      <c r="H136" s="51" t="n">
        <v>1</v>
      </c>
      <c r="I136" s="21" t="n"/>
      <c r="J136" s="21" t="n"/>
      <c r="K136" s="21" t="n"/>
      <c r="L136" s="21" t="n"/>
      <c r="M136" s="37">
        <f>E136*F136+G136*H136+I136*J136+K136*L136</f>
        <v/>
      </c>
      <c r="N136" s="37">
        <f>Исходные!$B$13-M136</f>
        <v/>
      </c>
      <c r="O136" s="51" t="n">
        <v>20</v>
      </c>
      <c r="P136" s="49">
        <f>(F136+H136+J136+L136)*O136</f>
        <v/>
      </c>
      <c r="Q136" s="70">
        <f>M136*O136</f>
        <v/>
      </c>
      <c r="R136" s="70">
        <f>N136*O136</f>
        <v/>
      </c>
    </row>
    <row r="137">
      <c r="A137" s="49" t="n">
        <v>1</v>
      </c>
      <c r="B137" s="49" t="n">
        <v>10</v>
      </c>
      <c r="C137" s="72" t="inlineStr">
        <is>
          <t>А500С</t>
        </is>
      </c>
      <c r="D137" s="49" t="n">
        <v>14</v>
      </c>
      <c r="E137" s="69" t="n">
        <v>11.05</v>
      </c>
      <c r="F137" s="51" t="n">
        <v>1</v>
      </c>
      <c r="G137" s="69" t="n">
        <v>0.57</v>
      </c>
      <c r="H137" s="51" t="n">
        <v>1</v>
      </c>
      <c r="I137" s="21" t="n"/>
      <c r="J137" s="21" t="n"/>
      <c r="K137" s="21" t="n"/>
      <c r="L137" s="21" t="n"/>
      <c r="M137" s="37">
        <f>E137*F137+G137*H137+I137*J137+K137*L137</f>
        <v/>
      </c>
      <c r="N137" s="37">
        <f>Исходные!$B$13-M137</f>
        <v/>
      </c>
      <c r="O137" s="51" t="n">
        <v>4</v>
      </c>
      <c r="P137" s="49">
        <f>(F137+H137+J137+L137)*O137</f>
        <v/>
      </c>
      <c r="Q137" s="70">
        <f>M137*O137</f>
        <v/>
      </c>
      <c r="R137" s="70">
        <f>N137*O137</f>
        <v/>
      </c>
    </row>
    <row r="138">
      <c r="A138" s="49" t="n">
        <v>1</v>
      </c>
      <c r="B138" s="49" t="n">
        <v>10</v>
      </c>
      <c r="C138" s="72" t="inlineStr">
        <is>
          <t>А500С</t>
        </is>
      </c>
      <c r="D138" s="49" t="n">
        <v>15</v>
      </c>
      <c r="E138" s="69" t="n">
        <v>4.3</v>
      </c>
      <c r="F138" s="51" t="n">
        <v>2</v>
      </c>
      <c r="G138" s="69" t="n">
        <v>3.02</v>
      </c>
      <c r="H138" s="51" t="n">
        <v>1</v>
      </c>
      <c r="I138" s="21" t="n"/>
      <c r="J138" s="21" t="n"/>
      <c r="K138" s="21" t="n"/>
      <c r="L138" s="21" t="n"/>
      <c r="M138" s="37">
        <f>E138*F138+G138*H138+I138*J138+K138*L138</f>
        <v/>
      </c>
      <c r="N138" s="37">
        <f>Исходные!$B$13-M138</f>
        <v/>
      </c>
      <c r="O138" s="51" t="n">
        <v>17</v>
      </c>
      <c r="P138" s="49">
        <f>(F138+H138+J138+L138)*O138</f>
        <v/>
      </c>
      <c r="Q138" s="70">
        <f>M138*O138</f>
        <v/>
      </c>
      <c r="R138" s="70">
        <f>N138*O138</f>
        <v/>
      </c>
    </row>
    <row r="139">
      <c r="A139" s="49" t="n">
        <v>1</v>
      </c>
      <c r="B139" s="49" t="n">
        <v>10</v>
      </c>
      <c r="C139" s="72" t="inlineStr">
        <is>
          <t>А500С</t>
        </is>
      </c>
      <c r="D139" s="49" t="n">
        <v>16</v>
      </c>
      <c r="E139" s="69" t="n">
        <v>5.98</v>
      </c>
      <c r="F139" s="51" t="n">
        <v>1</v>
      </c>
      <c r="G139" s="69" t="n">
        <v>5.05</v>
      </c>
      <c r="H139" s="51" t="n">
        <v>1</v>
      </c>
      <c r="I139" s="69" t="n">
        <v>0.57</v>
      </c>
      <c r="J139" s="51" t="n">
        <v>1</v>
      </c>
      <c r="K139" s="21" t="n"/>
      <c r="L139" s="21" t="n"/>
      <c r="M139" s="37">
        <f>E139*F139+G139*H139+I139*J139+K139*L139</f>
        <v/>
      </c>
      <c r="N139" s="37">
        <f>Исходные!$B$13-M139</f>
        <v/>
      </c>
      <c r="O139" s="51" t="n">
        <v>10</v>
      </c>
      <c r="P139" s="49">
        <f>(F139+H139+J139+L139)*O139</f>
        <v/>
      </c>
      <c r="Q139" s="70">
        <f>M139*O139</f>
        <v/>
      </c>
      <c r="R139" s="70">
        <f>N139*O139</f>
        <v/>
      </c>
    </row>
    <row r="140">
      <c r="A140" s="49" t="n">
        <v>1</v>
      </c>
      <c r="B140" s="49" t="n">
        <v>10</v>
      </c>
      <c r="C140" s="72" t="inlineStr">
        <is>
          <t>А500С</t>
        </is>
      </c>
      <c r="D140" s="49" t="n">
        <v>17</v>
      </c>
      <c r="E140" s="69" t="n">
        <v>4.5</v>
      </c>
      <c r="F140" s="51" t="n">
        <v>2</v>
      </c>
      <c r="G140" s="69" t="n">
        <v>2.6</v>
      </c>
      <c r="H140" s="51" t="n">
        <v>1</v>
      </c>
      <c r="I140" s="21" t="n"/>
      <c r="J140" s="21" t="n"/>
      <c r="K140" s="21" t="n"/>
      <c r="L140" s="21" t="n"/>
      <c r="M140" s="37">
        <f>E140*F140+G140*H140+I140*J140+K140*L140</f>
        <v/>
      </c>
      <c r="N140" s="37">
        <f>Исходные!$B$13-M140</f>
        <v/>
      </c>
      <c r="O140" s="51" t="n">
        <v>18</v>
      </c>
      <c r="P140" s="49">
        <f>(F140+H140+J140+L140)*O140</f>
        <v/>
      </c>
      <c r="Q140" s="70">
        <f>M140*O140</f>
        <v/>
      </c>
      <c r="R140" s="70">
        <f>N140*O140</f>
        <v/>
      </c>
    </row>
    <row r="141">
      <c r="A141" s="49" t="n">
        <v>1</v>
      </c>
      <c r="B141" s="49" t="n">
        <v>10</v>
      </c>
      <c r="C141" s="72" t="inlineStr">
        <is>
          <t>А500С</t>
        </is>
      </c>
      <c r="D141" s="49" t="n">
        <v>18</v>
      </c>
      <c r="E141" s="69" t="n">
        <v>8</v>
      </c>
      <c r="F141" s="51" t="n">
        <v>1</v>
      </c>
      <c r="G141" s="69" t="n">
        <v>3.02</v>
      </c>
      <c r="H141" s="51" t="n">
        <v>1</v>
      </c>
      <c r="I141" s="69" t="n">
        <v>0.57</v>
      </c>
      <c r="J141" s="51" t="n">
        <v>1</v>
      </c>
      <c r="K141" s="21" t="n"/>
      <c r="L141" s="21" t="n"/>
      <c r="M141" s="37">
        <f>E141*F141+G141*H141+I141*J141+K141*L141</f>
        <v/>
      </c>
      <c r="N141" s="37">
        <f>Исходные!$B$13-M141</f>
        <v/>
      </c>
      <c r="O141" s="51" t="n">
        <v>8</v>
      </c>
      <c r="P141" s="49">
        <f>(F141+H141+J141+L141)*O141</f>
        <v/>
      </c>
      <c r="Q141" s="70">
        <f>M141*O141</f>
        <v/>
      </c>
      <c r="R141" s="70">
        <f>N141*O141</f>
        <v/>
      </c>
    </row>
    <row r="142">
      <c r="A142" s="49" t="n">
        <v>1</v>
      </c>
      <c r="B142" s="49" t="n">
        <v>10</v>
      </c>
      <c r="C142" s="72" t="inlineStr">
        <is>
          <t>А500С</t>
        </is>
      </c>
      <c r="D142" s="49" t="n">
        <v>19</v>
      </c>
      <c r="E142" s="69" t="n">
        <v>7.95</v>
      </c>
      <c r="F142" s="51" t="n">
        <v>1</v>
      </c>
      <c r="G142" s="69" t="n">
        <v>3.02</v>
      </c>
      <c r="H142" s="51" t="n">
        <v>1</v>
      </c>
      <c r="I142" s="69" t="n">
        <v>0.57</v>
      </c>
      <c r="J142" s="51" t="n">
        <v>1</v>
      </c>
      <c r="K142" s="21" t="n"/>
      <c r="L142" s="21" t="n"/>
      <c r="M142" s="37">
        <f>E142*F142+G142*H142+I142*J142+K142*L142</f>
        <v/>
      </c>
      <c r="N142" s="37">
        <f>Исходные!$B$13-M142</f>
        <v/>
      </c>
      <c r="O142" s="51" t="n">
        <v>18</v>
      </c>
      <c r="P142" s="49">
        <f>(F142+H142+J142+L142)*O142</f>
        <v/>
      </c>
      <c r="Q142" s="70">
        <f>M142*O142</f>
        <v/>
      </c>
      <c r="R142" s="70">
        <f>N142*O142</f>
        <v/>
      </c>
    </row>
    <row r="143">
      <c r="A143" s="49" t="n">
        <v>1</v>
      </c>
      <c r="B143" s="49" t="n">
        <v>10</v>
      </c>
      <c r="C143" s="72" t="inlineStr">
        <is>
          <t>А500С</t>
        </is>
      </c>
      <c r="D143" s="49" t="n">
        <v>20</v>
      </c>
      <c r="E143" s="69" t="n">
        <v>9.32</v>
      </c>
      <c r="F143" s="51" t="n">
        <v>1</v>
      </c>
      <c r="G143" s="69" t="n">
        <v>2.2</v>
      </c>
      <c r="H143" s="51" t="n">
        <v>1</v>
      </c>
      <c r="I143" s="21" t="n"/>
      <c r="J143" s="21" t="n"/>
      <c r="K143" s="21" t="n"/>
      <c r="L143" s="21" t="n"/>
      <c r="M143" s="37">
        <f>E143*F143+G143*H143+I143*J143+K143*L143</f>
        <v/>
      </c>
      <c r="N143" s="37">
        <f>Исходные!$B$13-M143</f>
        <v/>
      </c>
      <c r="O143" s="51" t="n">
        <v>78</v>
      </c>
      <c r="P143" s="49">
        <f>(F143+H143+J143+L143)*O143</f>
        <v/>
      </c>
      <c r="Q143" s="70">
        <f>M143*O143</f>
        <v/>
      </c>
      <c r="R143" s="70">
        <f>N143*O143</f>
        <v/>
      </c>
    </row>
    <row r="144">
      <c r="A144" s="49" t="n">
        <v>1</v>
      </c>
      <c r="B144" s="49" t="n">
        <v>10</v>
      </c>
      <c r="C144" s="72" t="inlineStr">
        <is>
          <t>А500С</t>
        </is>
      </c>
      <c r="D144" s="49" t="n">
        <v>21</v>
      </c>
      <c r="E144" s="69" t="n">
        <v>5.05</v>
      </c>
      <c r="F144" s="51" t="n">
        <v>2</v>
      </c>
      <c r="G144" s="69" t="n">
        <v>1.4</v>
      </c>
      <c r="H144" s="51" t="n">
        <v>1</v>
      </c>
      <c r="I144" s="21" t="n"/>
      <c r="J144" s="21" t="n"/>
      <c r="K144" s="21" t="n"/>
      <c r="L144" s="21" t="n"/>
      <c r="M144" s="37">
        <f>E144*F144+G144*H144+I144*J144+K144*L144</f>
        <v/>
      </c>
      <c r="N144" s="37">
        <f>Исходные!$B$13-M144</f>
        <v/>
      </c>
      <c r="O144" s="51" t="n">
        <v>6</v>
      </c>
      <c r="P144" s="49">
        <f>(F144+H144+J144+L144)*O144</f>
        <v/>
      </c>
      <c r="Q144" s="70">
        <f>M144*O144</f>
        <v/>
      </c>
      <c r="R144" s="70">
        <f>N144*O144</f>
        <v/>
      </c>
    </row>
    <row r="145">
      <c r="A145" s="49" t="n">
        <v>1</v>
      </c>
      <c r="B145" s="49" t="n">
        <v>10</v>
      </c>
      <c r="C145" s="72" t="inlineStr">
        <is>
          <t>А500С</t>
        </is>
      </c>
      <c r="D145" s="49" t="n">
        <v>22</v>
      </c>
      <c r="E145" s="69" t="n">
        <v>7.71</v>
      </c>
      <c r="F145" s="51" t="n">
        <v>1</v>
      </c>
      <c r="G145" s="69" t="n">
        <v>3.78</v>
      </c>
      <c r="H145" s="51" t="n">
        <v>1</v>
      </c>
      <c r="I145" s="21" t="n"/>
      <c r="J145" s="21" t="n"/>
      <c r="K145" s="21" t="n"/>
      <c r="L145" s="21" t="n"/>
      <c r="M145" s="37">
        <f>E145*F145+G145*H145+I145*J145+K145*L145</f>
        <v/>
      </c>
      <c r="N145" s="37">
        <f>Исходные!$B$13-M145</f>
        <v/>
      </c>
      <c r="O145" s="51" t="n">
        <v>4</v>
      </c>
      <c r="P145" s="49">
        <f>(F145+H145+J145+L145)*O145</f>
        <v/>
      </c>
      <c r="Q145" s="70">
        <f>M145*O145</f>
        <v/>
      </c>
      <c r="R145" s="70">
        <f>N145*O145</f>
        <v/>
      </c>
    </row>
    <row r="146">
      <c r="A146" s="49" t="n">
        <v>1</v>
      </c>
      <c r="B146" s="49" t="n">
        <v>10</v>
      </c>
      <c r="C146" s="72" t="inlineStr">
        <is>
          <t>А500С</t>
        </is>
      </c>
      <c r="D146" s="49" t="n">
        <v>23</v>
      </c>
      <c r="E146" s="69" t="n">
        <v>10.9</v>
      </c>
      <c r="F146" s="51" t="n">
        <v>1</v>
      </c>
      <c r="G146" s="69" t="n">
        <v>0.57</v>
      </c>
      <c r="H146" s="51" t="n">
        <v>1</v>
      </c>
      <c r="I146" s="21" t="n"/>
      <c r="J146" s="21" t="n"/>
      <c r="K146" s="21" t="n"/>
      <c r="L146" s="21" t="n"/>
      <c r="M146" s="37">
        <f>E146*F146+G146*H146+I146*J146+K146*L146</f>
        <v/>
      </c>
      <c r="N146" s="37">
        <f>Исходные!$B$13-M146</f>
        <v/>
      </c>
      <c r="O146" s="51" t="n">
        <v>2</v>
      </c>
      <c r="P146" s="49">
        <f>(F146+H146+J146+L146)*O146</f>
        <v/>
      </c>
      <c r="Q146" s="70">
        <f>M146*O146</f>
        <v/>
      </c>
      <c r="R146" s="70">
        <f>N146*O146</f>
        <v/>
      </c>
    </row>
    <row r="147">
      <c r="A147" s="49" t="n">
        <v>1</v>
      </c>
      <c r="B147" s="49" t="n">
        <v>10</v>
      </c>
      <c r="C147" s="72" t="inlineStr">
        <is>
          <t>А500С</t>
        </is>
      </c>
      <c r="D147" s="49" t="n">
        <v>24</v>
      </c>
      <c r="E147" s="69" t="n">
        <v>0.57</v>
      </c>
      <c r="F147" s="51" t="n">
        <v>20</v>
      </c>
      <c r="G147" s="21" t="n"/>
      <c r="H147" s="21" t="n"/>
      <c r="I147" s="21" t="n"/>
      <c r="J147" s="21" t="n"/>
      <c r="K147" s="21" t="n"/>
      <c r="L147" s="21" t="n"/>
      <c r="M147" s="37">
        <f>E147*F147+G147*H147+I147*J147+K147*L147</f>
        <v/>
      </c>
      <c r="N147" s="37">
        <f>Исходные!$B$13-M147</f>
        <v/>
      </c>
      <c r="O147" s="51" t="n">
        <v>64</v>
      </c>
      <c r="P147" s="49">
        <f>(F147+H147+J147+L147)*O147</f>
        <v/>
      </c>
      <c r="Q147" s="70">
        <f>M147*O147</f>
        <v/>
      </c>
      <c r="R147" s="70">
        <f>N147*O147</f>
        <v/>
      </c>
    </row>
    <row r="148">
      <c r="A148" s="49" t="n">
        <v>1</v>
      </c>
      <c r="B148" s="49" t="n">
        <v>10</v>
      </c>
      <c r="C148" s="72" t="inlineStr">
        <is>
          <t>А500С</t>
        </is>
      </c>
      <c r="D148" s="49" t="n">
        <v>25</v>
      </c>
      <c r="E148" s="69" t="n">
        <v>9.18</v>
      </c>
      <c r="F148" s="51" t="n">
        <v>1</v>
      </c>
      <c r="G148" s="69" t="n">
        <v>2.2</v>
      </c>
      <c r="H148" s="51" t="n">
        <v>1</v>
      </c>
      <c r="I148" s="21" t="n"/>
      <c r="J148" s="21" t="n"/>
      <c r="K148" s="21" t="n"/>
      <c r="L148" s="21" t="n"/>
      <c r="M148" s="37">
        <f>E148*F148+G148*H148+I148*J148+K148*L148</f>
        <v/>
      </c>
      <c r="N148" s="37">
        <f>Исходные!$B$13-M148</f>
        <v/>
      </c>
      <c r="O148" s="51" t="n">
        <v>6</v>
      </c>
      <c r="P148" s="49">
        <f>(F148+H148+J148+L148)*O148</f>
        <v/>
      </c>
      <c r="Q148" s="70">
        <f>M148*O148</f>
        <v/>
      </c>
      <c r="R148" s="70">
        <f>N148*O148</f>
        <v/>
      </c>
    </row>
    <row r="149">
      <c r="A149" s="49" t="n">
        <v>1</v>
      </c>
      <c r="B149" s="49" t="n">
        <v>10</v>
      </c>
      <c r="C149" s="72" t="inlineStr">
        <is>
          <t>А500С</t>
        </is>
      </c>
      <c r="D149" s="49" t="n">
        <v>26</v>
      </c>
      <c r="E149" s="69" t="n">
        <v>10.8</v>
      </c>
      <c r="F149" s="51" t="n">
        <v>1</v>
      </c>
      <c r="G149" s="69" t="n">
        <v>0.57</v>
      </c>
      <c r="H149" s="51" t="n">
        <v>1</v>
      </c>
      <c r="I149" s="21" t="n"/>
      <c r="J149" s="21" t="n"/>
      <c r="K149" s="21" t="n"/>
      <c r="L149" s="21" t="n"/>
      <c r="M149" s="37">
        <f>E149*F149+G149*H149+I149*J149+K149*L149</f>
        <v/>
      </c>
      <c r="N149" s="37">
        <f>Исходные!$B$13-M149</f>
        <v/>
      </c>
      <c r="O149" s="51" t="n">
        <v>2</v>
      </c>
      <c r="P149" s="49">
        <f>(F149+H149+J149+L149)*O149</f>
        <v/>
      </c>
      <c r="Q149" s="70">
        <f>M149*O149</f>
        <v/>
      </c>
      <c r="R149" s="70">
        <f>N149*O149</f>
        <v/>
      </c>
    </row>
    <row r="150">
      <c r="A150" s="49" t="n">
        <v>1</v>
      </c>
      <c r="B150" s="49" t="n">
        <v>10</v>
      </c>
      <c r="C150" s="72" t="inlineStr">
        <is>
          <t>А500С</t>
        </is>
      </c>
      <c r="D150" s="49" t="n">
        <v>27</v>
      </c>
      <c r="E150" s="69" t="n">
        <v>1.2</v>
      </c>
      <c r="F150" s="51" t="n">
        <v>9</v>
      </c>
      <c r="G150" s="69" t="n">
        <v>0.57</v>
      </c>
      <c r="H150" s="51" t="n">
        <v>1</v>
      </c>
      <c r="I150" s="21" t="n"/>
      <c r="J150" s="21" t="n"/>
      <c r="K150" s="21" t="n"/>
      <c r="L150" s="21" t="n"/>
      <c r="M150" s="37">
        <f>E150*F150+G150*H150+I150*J150+K150*L150</f>
        <v/>
      </c>
      <c r="N150" s="37">
        <f>Исходные!$B$13-M150</f>
        <v/>
      </c>
      <c r="O150" s="51" t="n">
        <v>18</v>
      </c>
      <c r="P150" s="49">
        <f>(F150+H150+J150+L150)*O150</f>
        <v/>
      </c>
      <c r="Q150" s="70">
        <f>M150*O150</f>
        <v/>
      </c>
      <c r="R150" s="70">
        <f>N150*O150</f>
        <v/>
      </c>
    </row>
    <row r="151">
      <c r="A151" s="49" t="n">
        <v>1</v>
      </c>
      <c r="B151" s="49" t="n">
        <v>10</v>
      </c>
      <c r="C151" s="72" t="inlineStr">
        <is>
          <t>А500С</t>
        </is>
      </c>
      <c r="D151" s="49" t="n">
        <v>28</v>
      </c>
      <c r="E151" s="69" t="n">
        <v>1.2</v>
      </c>
      <c r="F151" s="51" t="n">
        <v>7</v>
      </c>
      <c r="G151" s="69" t="n">
        <v>1.19</v>
      </c>
      <c r="H151" s="51" t="n">
        <v>2</v>
      </c>
      <c r="I151" s="69" t="n">
        <v>0.57</v>
      </c>
      <c r="J151" s="51" t="n">
        <v>1</v>
      </c>
      <c r="K151" s="21" t="n"/>
      <c r="L151" s="21" t="n"/>
      <c r="M151" s="37">
        <f>E151*F151+G151*H151+I151*J151+K151*L151</f>
        <v/>
      </c>
      <c r="N151" s="37">
        <f>Исходные!$B$13-M151</f>
        <v/>
      </c>
      <c r="O151" s="51" t="n">
        <v>1</v>
      </c>
      <c r="P151" s="49">
        <f>(F151+H151+J151+L151)*O151</f>
        <v/>
      </c>
      <c r="Q151" s="70">
        <f>M151*O151</f>
        <v/>
      </c>
      <c r="R151" s="70">
        <f>N151*O151</f>
        <v/>
      </c>
    </row>
    <row r="152">
      <c r="A152" s="49" t="n">
        <v>1</v>
      </c>
      <c r="B152" s="49" t="n">
        <v>10</v>
      </c>
      <c r="C152" s="72" t="inlineStr">
        <is>
          <t>А500С</t>
        </is>
      </c>
      <c r="D152" s="49" t="n">
        <v>29</v>
      </c>
      <c r="E152" s="69" t="n">
        <v>3.78</v>
      </c>
      <c r="F152" s="51" t="n">
        <v>3</v>
      </c>
      <c r="G152" s="21" t="n"/>
      <c r="H152" s="21" t="n"/>
      <c r="I152" s="21" t="n"/>
      <c r="J152" s="21" t="n"/>
      <c r="K152" s="21" t="n"/>
      <c r="L152" s="21" t="n"/>
      <c r="M152" s="37">
        <f>E152*F152+G152*H152+I152*J152+K152*L152</f>
        <v/>
      </c>
      <c r="N152" s="37">
        <f>Исходные!$B$13-M152</f>
        <v/>
      </c>
      <c r="O152" s="51" t="n">
        <v>4</v>
      </c>
      <c r="P152" s="49">
        <f>(F152+H152+J152+L152)*O152</f>
        <v/>
      </c>
      <c r="Q152" s="70">
        <f>M152*O152</f>
        <v/>
      </c>
      <c r="R152" s="70">
        <f>N152*O152</f>
        <v/>
      </c>
    </row>
    <row r="153">
      <c r="A153" s="49" t="n">
        <v>1</v>
      </c>
      <c r="B153" s="49" t="n">
        <v>10</v>
      </c>
      <c r="C153" s="72" t="inlineStr">
        <is>
          <t>А500С</t>
        </is>
      </c>
      <c r="D153" s="49" t="n">
        <v>30</v>
      </c>
      <c r="E153" s="69" t="n">
        <v>4.15</v>
      </c>
      <c r="F153" s="51" t="n">
        <v>2</v>
      </c>
      <c r="G153" s="69" t="n">
        <v>3.02</v>
      </c>
      <c r="H153" s="51" t="n">
        <v>1</v>
      </c>
      <c r="I153" s="21" t="n"/>
      <c r="J153" s="21" t="n"/>
      <c r="K153" s="21" t="n"/>
      <c r="L153" s="21" t="n"/>
      <c r="M153" s="37">
        <f>E153*F153+G153*H153+I153*J153+K153*L153</f>
        <v/>
      </c>
      <c r="N153" s="37">
        <f>Исходные!$B$13-M153</f>
        <v/>
      </c>
      <c r="O153" s="51" t="n">
        <v>18</v>
      </c>
      <c r="P153" s="49">
        <f>(F153+H153+J153+L153)*O153</f>
        <v/>
      </c>
      <c r="Q153" s="70">
        <f>M153*O153</f>
        <v/>
      </c>
      <c r="R153" s="70">
        <f>N153*O153</f>
        <v/>
      </c>
    </row>
    <row r="154">
      <c r="A154" s="49" t="n">
        <v>1</v>
      </c>
      <c r="B154" s="49" t="n">
        <v>10</v>
      </c>
      <c r="C154" s="72" t="inlineStr">
        <is>
          <t>А500С</t>
        </is>
      </c>
      <c r="D154" s="49" t="n">
        <v>31</v>
      </c>
      <c r="E154" s="69" t="n">
        <v>1.19</v>
      </c>
      <c r="F154" s="51" t="n">
        <v>9</v>
      </c>
      <c r="G154" s="69" t="n">
        <v>0.57</v>
      </c>
      <c r="H154" s="51" t="n">
        <v>1</v>
      </c>
      <c r="I154" s="21" t="n"/>
      <c r="J154" s="21" t="n"/>
      <c r="K154" s="21" t="n"/>
      <c r="L154" s="21" t="n"/>
      <c r="M154" s="37">
        <f>E154*F154+G154*H154+I154*J154+K154*L154</f>
        <v/>
      </c>
      <c r="N154" s="37">
        <f>Исходные!$B$13-M154</f>
        <v/>
      </c>
      <c r="O154" s="51" t="n">
        <v>20</v>
      </c>
      <c r="P154" s="49">
        <f>(F154+H154+J154+L154)*O154</f>
        <v/>
      </c>
      <c r="Q154" s="70">
        <f>M154*O154</f>
        <v/>
      </c>
      <c r="R154" s="70">
        <f>N154*O154</f>
        <v/>
      </c>
    </row>
    <row r="155">
      <c r="A155" s="49" t="n">
        <v>1</v>
      </c>
      <c r="B155" s="49" t="n">
        <v>10</v>
      </c>
      <c r="C155" s="72" t="inlineStr">
        <is>
          <t>А500С</t>
        </is>
      </c>
      <c r="D155" s="49" t="n">
        <v>32</v>
      </c>
      <c r="E155" s="69" t="n">
        <v>9.18</v>
      </c>
      <c r="F155" s="51" t="n">
        <v>1</v>
      </c>
      <c r="G155" s="69" t="n">
        <v>2</v>
      </c>
      <c r="H155" s="51" t="n">
        <v>1</v>
      </c>
      <c r="I155" s="21" t="n"/>
      <c r="J155" s="21" t="n"/>
      <c r="K155" s="21" t="n"/>
      <c r="L155" s="21" t="n"/>
      <c r="M155" s="37">
        <f>E155*F155+G155*H155+I155*J155+K155*L155</f>
        <v/>
      </c>
      <c r="N155" s="37">
        <f>Исходные!$B$13-M155</f>
        <v/>
      </c>
      <c r="O155" s="51" t="n">
        <v>20</v>
      </c>
      <c r="P155" s="49">
        <f>(F155+H155+J155+L155)*O155</f>
        <v/>
      </c>
      <c r="Q155" s="70">
        <f>M155*O155</f>
        <v/>
      </c>
      <c r="R155" s="70">
        <f>N155*O155</f>
        <v/>
      </c>
    </row>
    <row r="156">
      <c r="A156" s="49" t="n">
        <v>1</v>
      </c>
      <c r="B156" s="49" t="n">
        <v>10</v>
      </c>
      <c r="C156" s="72" t="inlineStr">
        <is>
          <t>А500С</t>
        </is>
      </c>
      <c r="D156" s="49" t="n">
        <v>33</v>
      </c>
      <c r="E156" s="69" t="n">
        <v>9.18</v>
      </c>
      <c r="F156" s="51" t="n">
        <v>1</v>
      </c>
      <c r="G156" s="69" t="n">
        <v>1.4</v>
      </c>
      <c r="H156" s="51" t="n">
        <v>1</v>
      </c>
      <c r="I156" s="69" t="n">
        <v>0.57</v>
      </c>
      <c r="J156" s="51" t="n">
        <v>1</v>
      </c>
      <c r="K156" s="21" t="n"/>
      <c r="L156" s="21" t="n"/>
      <c r="M156" s="37">
        <f>E156*F156+G156*H156+I156*J156+K156*L156</f>
        <v/>
      </c>
      <c r="N156" s="37">
        <f>Исходные!$B$13-M156</f>
        <v/>
      </c>
      <c r="O156" s="51" t="n">
        <v>21</v>
      </c>
      <c r="P156" s="49">
        <f>(F156+H156+J156+L156)*O156</f>
        <v/>
      </c>
      <c r="Q156" s="70">
        <f>M156*O156</f>
        <v/>
      </c>
      <c r="R156" s="70">
        <f>N156*O156</f>
        <v/>
      </c>
    </row>
    <row r="157">
      <c r="A157" s="49" t="n">
        <v>1</v>
      </c>
      <c r="B157" s="49" t="n">
        <v>10</v>
      </c>
      <c r="C157" s="72" t="inlineStr">
        <is>
          <t>А500С</t>
        </is>
      </c>
      <c r="D157" s="49" t="n">
        <v>34</v>
      </c>
      <c r="E157" s="69" t="n">
        <v>3.78</v>
      </c>
      <c r="F157" s="51" t="n">
        <v>2</v>
      </c>
      <c r="G157" s="69" t="n">
        <v>3.02</v>
      </c>
      <c r="H157" s="51" t="n">
        <v>1</v>
      </c>
      <c r="I157" s="69" t="n">
        <v>0.57</v>
      </c>
      <c r="J157" s="51" t="n">
        <v>1</v>
      </c>
      <c r="K157" s="21" t="n"/>
      <c r="L157" s="21" t="n"/>
      <c r="M157" s="37">
        <f>E157*F157+G157*H157+I157*J157+K157*L157</f>
        <v/>
      </c>
      <c r="N157" s="37">
        <f>Исходные!$B$13-M157</f>
        <v/>
      </c>
      <c r="O157" s="51" t="n">
        <v>1</v>
      </c>
      <c r="P157" s="49">
        <f>(F157+H157+J157+L157)*O157</f>
        <v/>
      </c>
      <c r="Q157" s="70">
        <f>M157*O157</f>
        <v/>
      </c>
      <c r="R157" s="70">
        <f>N157*O157</f>
        <v/>
      </c>
    </row>
    <row r="158">
      <c r="A158" s="49" t="n">
        <v>1</v>
      </c>
      <c r="B158" s="49" t="n">
        <v>10</v>
      </c>
      <c r="C158" s="72" t="inlineStr">
        <is>
          <t>А500С</t>
        </is>
      </c>
      <c r="D158" s="49" t="n">
        <v>35</v>
      </c>
      <c r="E158" s="69" t="n">
        <v>0.57</v>
      </c>
      <c r="F158" s="51" t="n">
        <v>13</v>
      </c>
      <c r="G158" s="21" t="n"/>
      <c r="H158" s="21" t="n"/>
      <c r="I158" s="21" t="n"/>
      <c r="J158" s="21" t="n"/>
      <c r="K158" s="21" t="n"/>
      <c r="L158" s="21" t="n"/>
      <c r="M158" s="37">
        <f>E158*F158+G158*H158+I158*J158+K158*L158</f>
        <v/>
      </c>
      <c r="N158" s="37">
        <f>Исходные!$B$13-M158</f>
        <v/>
      </c>
      <c r="O158" s="51" t="n">
        <v>1</v>
      </c>
      <c r="P158" s="49">
        <f>(F158+H158+J158+L158)*O158</f>
        <v/>
      </c>
      <c r="Q158" s="70">
        <f>M158*O158</f>
        <v/>
      </c>
      <c r="R158" s="70">
        <f>N158*O158</f>
        <v/>
      </c>
    </row>
    <row r="159">
      <c r="A159" s="49" t="n">
        <v>1</v>
      </c>
      <c r="B159" s="49" t="n">
        <v>16</v>
      </c>
      <c r="C159" s="72" t="inlineStr">
        <is>
          <t>А240</t>
        </is>
      </c>
      <c r="D159" s="49" t="n">
        <v>1</v>
      </c>
      <c r="E159" s="69" t="n">
        <v>0.42</v>
      </c>
      <c r="F159" s="51" t="n">
        <v>2</v>
      </c>
      <c r="G159" s="21" t="n"/>
      <c r="H159" s="21" t="n"/>
      <c r="I159" s="21" t="n"/>
      <c r="J159" s="21" t="n"/>
      <c r="K159" s="21" t="n"/>
      <c r="L159" s="21" t="n"/>
      <c r="M159" s="37">
        <f>E159*F159+G159*H159+I159*J159+K159*L159</f>
        <v/>
      </c>
      <c r="N159" s="37">
        <f>Исходные!$B$13-M159</f>
        <v/>
      </c>
      <c r="O159" s="51" t="n">
        <v>1</v>
      </c>
      <c r="P159" s="49">
        <f>(F159+H159+J159+L159)*O159</f>
        <v/>
      </c>
      <c r="Q159" s="70">
        <f>M159*O159</f>
        <v/>
      </c>
      <c r="R159" s="70">
        <f>N159*O159</f>
        <v/>
      </c>
    </row>
    <row r="160">
      <c r="A160" s="49" t="n">
        <v>1</v>
      </c>
      <c r="B160" s="49" t="n">
        <v>10</v>
      </c>
      <c r="C160" s="72" t="inlineStr">
        <is>
          <t>А240</t>
        </is>
      </c>
      <c r="D160" s="49" t="n">
        <v>1</v>
      </c>
      <c r="E160" s="69" t="n">
        <v>1.76</v>
      </c>
      <c r="F160" s="51" t="n">
        <v>6</v>
      </c>
      <c r="G160" s="69" t="n">
        <v>0.7</v>
      </c>
      <c r="H160" s="51" t="n">
        <v>1</v>
      </c>
      <c r="I160" s="69" t="n">
        <v>0.42</v>
      </c>
      <c r="J160" s="51" t="n">
        <v>1</v>
      </c>
      <c r="K160" s="21" t="n"/>
      <c r="L160" s="21" t="n"/>
      <c r="M160" s="37">
        <f>E160*F160+G160*H160+I160*J160+K160*L160</f>
        <v/>
      </c>
      <c r="N160" s="37">
        <f>Исходные!$B$13-M160</f>
        <v/>
      </c>
      <c r="O160" s="51" t="n">
        <v>9</v>
      </c>
      <c r="P160" s="49">
        <f>(F160+H160+J160+L160)*O160</f>
        <v/>
      </c>
      <c r="Q160" s="70">
        <f>M160*O160</f>
        <v/>
      </c>
      <c r="R160" s="70">
        <f>N160*O160</f>
        <v/>
      </c>
    </row>
    <row r="161">
      <c r="A161" s="49" t="n">
        <v>1</v>
      </c>
      <c r="B161" s="49" t="n">
        <v>10</v>
      </c>
      <c r="C161" s="72" t="inlineStr">
        <is>
          <t>А240</t>
        </is>
      </c>
      <c r="D161" s="49" t="n">
        <v>2</v>
      </c>
      <c r="E161" s="69" t="n">
        <v>2.06</v>
      </c>
      <c r="F161" s="51" t="n">
        <v>5</v>
      </c>
      <c r="G161" s="69" t="n">
        <v>1.33</v>
      </c>
      <c r="H161" s="51" t="n">
        <v>1</v>
      </c>
      <c r="I161" s="21" t="n"/>
      <c r="J161" s="21" t="n"/>
      <c r="K161" s="21" t="n"/>
      <c r="L161" s="21" t="n"/>
      <c r="M161" s="37">
        <f>E161*F161+G161*H161+I161*J161+K161*L161</f>
        <v/>
      </c>
      <c r="N161" s="37">
        <f>Исходные!$B$13-M161</f>
        <v/>
      </c>
      <c r="O161" s="51" t="n">
        <v>131</v>
      </c>
      <c r="P161" s="49">
        <f>(F161+H161+J161+L161)*O161</f>
        <v/>
      </c>
      <c r="Q161" s="70">
        <f>M161*O161</f>
        <v/>
      </c>
      <c r="R161" s="70">
        <f>N161*O161</f>
        <v/>
      </c>
    </row>
    <row r="162">
      <c r="A162" s="49" t="n">
        <v>1</v>
      </c>
      <c r="B162" s="49" t="n">
        <v>10</v>
      </c>
      <c r="C162" s="72" t="inlineStr">
        <is>
          <t>А240</t>
        </is>
      </c>
      <c r="D162" s="49" t="n">
        <v>3</v>
      </c>
      <c r="E162" s="69" t="n">
        <v>1.6</v>
      </c>
      <c r="F162" s="51" t="n">
        <v>7</v>
      </c>
      <c r="G162" s="69" t="n">
        <v>0.42</v>
      </c>
      <c r="H162" s="51" t="n">
        <v>1</v>
      </c>
      <c r="I162" s="21" t="n"/>
      <c r="J162" s="21" t="n"/>
      <c r="K162" s="21" t="n"/>
      <c r="L162" s="21" t="n"/>
      <c r="M162" s="37">
        <f>E162*F162+G162*H162+I162*J162+K162*L162</f>
        <v/>
      </c>
      <c r="N162" s="37">
        <f>Исходные!$B$13-M162</f>
        <v/>
      </c>
      <c r="O162" s="51" t="n">
        <v>43</v>
      </c>
      <c r="P162" s="49">
        <f>(F162+H162+J162+L162)*O162</f>
        <v/>
      </c>
      <c r="Q162" s="70">
        <f>M162*O162</f>
        <v/>
      </c>
      <c r="R162" s="70">
        <f>N162*O162</f>
        <v/>
      </c>
    </row>
    <row r="163">
      <c r="A163" s="49" t="n">
        <v>1</v>
      </c>
      <c r="B163" s="49" t="n">
        <v>10</v>
      </c>
      <c r="C163" s="72" t="inlineStr">
        <is>
          <t>А240</t>
        </is>
      </c>
      <c r="D163" s="49" t="n">
        <v>4</v>
      </c>
      <c r="E163" s="69" t="n">
        <v>1.56</v>
      </c>
      <c r="F163" s="51" t="n">
        <v>7</v>
      </c>
      <c r="G163" s="69" t="n">
        <v>0.7</v>
      </c>
      <c r="H163" s="51" t="n">
        <v>1</v>
      </c>
      <c r="I163" s="21" t="n"/>
      <c r="J163" s="21" t="n"/>
      <c r="K163" s="21" t="n"/>
      <c r="L163" s="21" t="n"/>
      <c r="M163" s="37">
        <f>E163*F163+G163*H163+I163*J163+K163*L163</f>
        <v/>
      </c>
      <c r="N163" s="37">
        <f>Исходные!$B$13-M163</f>
        <v/>
      </c>
      <c r="O163" s="51" t="n">
        <v>14</v>
      </c>
      <c r="P163" s="49">
        <f>(F163+H163+J163+L163)*O163</f>
        <v/>
      </c>
      <c r="Q163" s="70">
        <f>M163*O163</f>
        <v/>
      </c>
      <c r="R163" s="70">
        <f>N163*O163</f>
        <v/>
      </c>
    </row>
    <row r="164">
      <c r="A164" s="49" t="n">
        <v>1</v>
      </c>
      <c r="B164" s="49" t="n">
        <v>10</v>
      </c>
      <c r="C164" s="72" t="inlineStr">
        <is>
          <t>А240</t>
        </is>
      </c>
      <c r="D164" s="49" t="n">
        <v>5</v>
      </c>
      <c r="E164" s="69" t="n">
        <v>0.7</v>
      </c>
      <c r="F164" s="51" t="n">
        <v>16</v>
      </c>
      <c r="G164" s="69" t="n">
        <v>0.42</v>
      </c>
      <c r="H164" s="51" t="n">
        <v>1</v>
      </c>
      <c r="I164" s="21" t="n"/>
      <c r="J164" s="21" t="n"/>
      <c r="K164" s="21" t="n"/>
      <c r="L164" s="21" t="n"/>
      <c r="M164" s="37">
        <f>E164*F164+G164*H164+I164*J164+K164*L164</f>
        <v/>
      </c>
      <c r="N164" s="37">
        <f>Исходные!$B$13-M164</f>
        <v/>
      </c>
      <c r="O164" s="51" t="n">
        <v>4</v>
      </c>
      <c r="P164" s="49">
        <f>(F164+H164+J164+L164)*O164</f>
        <v/>
      </c>
      <c r="Q164" s="70">
        <f>M164*O164</f>
        <v/>
      </c>
      <c r="R164" s="70">
        <f>N164*O164</f>
        <v/>
      </c>
    </row>
    <row r="165">
      <c r="A165" s="49" t="n">
        <v>1</v>
      </c>
      <c r="B165" s="49" t="n">
        <v>10</v>
      </c>
      <c r="C165" s="72" t="inlineStr">
        <is>
          <t>А240</t>
        </is>
      </c>
      <c r="D165" s="49" t="n">
        <v>6</v>
      </c>
      <c r="E165" s="69" t="n">
        <v>1.33</v>
      </c>
      <c r="F165" s="51" t="n">
        <v>2</v>
      </c>
      <c r="G165" s="69" t="n">
        <v>0.7</v>
      </c>
      <c r="H165" s="51" t="n">
        <v>12</v>
      </c>
      <c r="I165" s="69" t="n">
        <v>0.52</v>
      </c>
      <c r="J165" s="51" t="n">
        <v>1</v>
      </c>
      <c r="K165" s="21" t="n"/>
      <c r="L165" s="21" t="n"/>
      <c r="M165" s="37">
        <f>E165*F165+G165*H165+I165*J165+K165*L165</f>
        <v/>
      </c>
      <c r="N165" s="37">
        <f>Исходные!$B$13-M165</f>
        <v/>
      </c>
      <c r="O165" s="51" t="n">
        <v>1</v>
      </c>
      <c r="P165" s="49">
        <f>(F165+H165+J165+L165)*O165</f>
        <v/>
      </c>
      <c r="Q165" s="70">
        <f>M165*O165</f>
        <v/>
      </c>
      <c r="R165" s="70">
        <f>N165*O165</f>
        <v/>
      </c>
    </row>
    <row r="166">
      <c r="A166" s="49" t="n">
        <v>1</v>
      </c>
      <c r="B166" s="49" t="n">
        <v>10</v>
      </c>
      <c r="C166" s="72" t="inlineStr">
        <is>
          <t>А240</t>
        </is>
      </c>
      <c r="D166" s="49" t="n">
        <v>7</v>
      </c>
      <c r="E166" s="69" t="n">
        <v>1.6</v>
      </c>
      <c r="F166" s="51" t="n">
        <v>3</v>
      </c>
      <c r="G166" s="69" t="n">
        <v>1.56</v>
      </c>
      <c r="H166" s="51" t="n">
        <v>4</v>
      </c>
      <c r="I166" s="69" t="n">
        <v>0.52</v>
      </c>
      <c r="J166" s="51" t="n">
        <v>1</v>
      </c>
      <c r="K166" s="21" t="n"/>
      <c r="L166" s="21" t="n"/>
      <c r="M166" s="37">
        <f>E166*F166+G166*H166+I166*J166+K166*L166</f>
        <v/>
      </c>
      <c r="N166" s="37">
        <f>Исходные!$B$13-M166</f>
        <v/>
      </c>
      <c r="O166" s="51" t="n">
        <v>1</v>
      </c>
      <c r="P166" s="49">
        <f>(F166+H166+J166+L166)*O166</f>
        <v/>
      </c>
      <c r="Q166" s="70">
        <f>M166*O166</f>
        <v/>
      </c>
      <c r="R166" s="70">
        <f>N166*O166</f>
        <v/>
      </c>
    </row>
    <row r="167">
      <c r="A167" s="49" t="n">
        <v>1</v>
      </c>
      <c r="B167" s="49" t="n">
        <v>10</v>
      </c>
      <c r="C167" s="72" t="inlineStr">
        <is>
          <t>А240</t>
        </is>
      </c>
      <c r="D167" s="49" t="n">
        <v>8</v>
      </c>
      <c r="E167" s="69" t="n">
        <v>0.52</v>
      </c>
      <c r="F167" s="51" t="n">
        <v>19</v>
      </c>
      <c r="G167" s="69" t="n">
        <v>0.42</v>
      </c>
      <c r="H167" s="51" t="n">
        <v>4</v>
      </c>
      <c r="I167" s="21" t="n"/>
      <c r="J167" s="21" t="n"/>
      <c r="K167" s="21" t="n"/>
      <c r="L167" s="21" t="n"/>
      <c r="M167" s="37">
        <f>E167*F167+G167*H167+I167*J167+K167*L167</f>
        <v/>
      </c>
      <c r="N167" s="37">
        <f>Исходные!$B$13-M167</f>
        <v/>
      </c>
      <c r="O167" s="51" t="n">
        <v>1</v>
      </c>
      <c r="P167" s="49">
        <f>(F167+H167+J167+L167)*O167</f>
        <v/>
      </c>
      <c r="Q167" s="70">
        <f>M167*O167</f>
        <v/>
      </c>
      <c r="R167" s="70">
        <f>N167*O167</f>
        <v/>
      </c>
    </row>
    <row r="168">
      <c r="A168" s="49" t="n">
        <v>1</v>
      </c>
      <c r="B168" s="49" t="n">
        <v>10</v>
      </c>
      <c r="C168" s="72" t="inlineStr">
        <is>
          <t>А240</t>
        </is>
      </c>
      <c r="D168" s="49" t="n">
        <v>9</v>
      </c>
      <c r="E168" s="69" t="n">
        <v>0.52</v>
      </c>
      <c r="F168" s="51" t="n">
        <v>22</v>
      </c>
      <c r="G168" s="21" t="n"/>
      <c r="H168" s="21" t="n"/>
      <c r="I168" s="21" t="n"/>
      <c r="J168" s="21" t="n"/>
      <c r="K168" s="21" t="n"/>
      <c r="L168" s="21" t="n"/>
      <c r="M168" s="37">
        <f>E168*F168+G168*H168+I168*J168+K168*L168</f>
        <v/>
      </c>
      <c r="N168" s="37">
        <f>Исходные!$B$13-M168</f>
        <v/>
      </c>
      <c r="O168" s="51" t="n">
        <v>7</v>
      </c>
      <c r="P168" s="49">
        <f>(F168+H168+J168+L168)*O168</f>
        <v/>
      </c>
      <c r="Q168" s="70">
        <f>M168*O168</f>
        <v/>
      </c>
      <c r="R168" s="70">
        <f>N168*O168</f>
        <v/>
      </c>
    </row>
    <row r="169">
      <c r="A169" s="49" t="n">
        <v>1</v>
      </c>
      <c r="B169" s="49" t="n">
        <v>10</v>
      </c>
      <c r="C169" s="72" t="inlineStr">
        <is>
          <t>А240</t>
        </is>
      </c>
      <c r="D169" s="49" t="n">
        <v>10</v>
      </c>
      <c r="E169" s="69" t="n">
        <v>1.56</v>
      </c>
      <c r="F169" s="51" t="n">
        <v>6</v>
      </c>
      <c r="G169" s="69" t="n">
        <v>1.33</v>
      </c>
      <c r="H169" s="51" t="n">
        <v>1</v>
      </c>
      <c r="I169" s="69" t="n">
        <v>0.7</v>
      </c>
      <c r="J169" s="51" t="n">
        <v>1</v>
      </c>
      <c r="K169" s="21" t="n"/>
      <c r="L169" s="21" t="n"/>
      <c r="M169" s="37">
        <f>E169*F169+G169*H169+I169*J169+K169*L169</f>
        <v/>
      </c>
      <c r="N169" s="37">
        <f>Исходные!$B$13-M169</f>
        <v/>
      </c>
      <c r="O169" s="51" t="n">
        <v>1</v>
      </c>
      <c r="P169" s="49">
        <f>(F169+H169+J169+L169)*O169</f>
        <v/>
      </c>
      <c r="Q169" s="70">
        <f>M169*O169</f>
        <v/>
      </c>
      <c r="R169" s="70">
        <f>N169*O169</f>
        <v/>
      </c>
    </row>
    <row r="170">
      <c r="A170" s="49" t="n">
        <v>1</v>
      </c>
      <c r="B170" s="49" t="n">
        <v>10</v>
      </c>
      <c r="C170" s="72" t="inlineStr">
        <is>
          <t>А240</t>
        </is>
      </c>
      <c r="D170" s="49" t="n">
        <v>11</v>
      </c>
      <c r="E170" s="69" t="n">
        <v>1.33</v>
      </c>
      <c r="F170" s="51" t="n">
        <v>8</v>
      </c>
      <c r="G170" s="69" t="n">
        <v>0.7</v>
      </c>
      <c r="H170" s="51" t="n">
        <v>1</v>
      </c>
      <c r="I170" s="21" t="n"/>
      <c r="J170" s="21" t="n"/>
      <c r="K170" s="21" t="n"/>
      <c r="L170" s="21" t="n"/>
      <c r="M170" s="37">
        <f>E170*F170+G170*H170+I170*J170+K170*L170</f>
        <v/>
      </c>
      <c r="N170" s="37">
        <f>Исходные!$B$13-M170</f>
        <v/>
      </c>
      <c r="O170" s="51" t="n">
        <v>8</v>
      </c>
      <c r="P170" s="49">
        <f>(F170+H170+J170+L170)*O170</f>
        <v/>
      </c>
      <c r="Q170" s="70">
        <f>M170*O170</f>
        <v/>
      </c>
      <c r="R170" s="70">
        <f>N170*O170</f>
        <v/>
      </c>
    </row>
    <row r="171">
      <c r="A171" s="49" t="n">
        <v>1</v>
      </c>
      <c r="B171" s="49" t="n">
        <v>10</v>
      </c>
      <c r="C171" s="72" t="inlineStr">
        <is>
          <t>А240</t>
        </is>
      </c>
      <c r="D171" s="49" t="n">
        <v>12</v>
      </c>
      <c r="E171" s="69" t="n">
        <v>0.7</v>
      </c>
      <c r="F171" s="51" t="n">
        <v>11</v>
      </c>
      <c r="G171" s="69" t="n">
        <v>0.52</v>
      </c>
      <c r="H171" s="51" t="n">
        <v>7</v>
      </c>
      <c r="I171" s="21" t="n"/>
      <c r="J171" s="21" t="n"/>
      <c r="K171" s="21" t="n"/>
      <c r="L171" s="21" t="n"/>
      <c r="M171" s="37">
        <f>E171*F171+G171*H171+I171*J171+K171*L171</f>
        <v/>
      </c>
      <c r="N171" s="37">
        <f>Исходные!$B$13-M171</f>
        <v/>
      </c>
      <c r="O171" s="51" t="n">
        <v>1</v>
      </c>
      <c r="P171" s="49">
        <f>(F171+H171+J171+L171)*O171</f>
        <v/>
      </c>
      <c r="Q171" s="70">
        <f>M171*O171</f>
        <v/>
      </c>
      <c r="R171" s="70">
        <f>N171*O171</f>
        <v/>
      </c>
    </row>
    <row r="172">
      <c r="A172" s="49" t="n">
        <v>1</v>
      </c>
      <c r="B172" s="49" t="n">
        <v>10</v>
      </c>
      <c r="C172" s="72" t="inlineStr">
        <is>
          <t>А240</t>
        </is>
      </c>
      <c r="D172" s="49" t="n">
        <v>13</v>
      </c>
      <c r="E172" s="69" t="n">
        <v>0.42</v>
      </c>
      <c r="F172" s="51" t="n">
        <v>27</v>
      </c>
      <c r="G172" s="21" t="n"/>
      <c r="H172" s="21" t="n"/>
      <c r="I172" s="21" t="n"/>
      <c r="J172" s="21" t="n"/>
      <c r="K172" s="21" t="n"/>
      <c r="L172" s="21" t="n"/>
      <c r="M172" s="37">
        <f>E172*F172+G172*H172+I172*J172+K172*L172</f>
        <v/>
      </c>
      <c r="N172" s="37">
        <f>Исходные!$B$13-M172</f>
        <v/>
      </c>
      <c r="O172" s="51" t="n">
        <v>29</v>
      </c>
      <c r="P172" s="49">
        <f>(F172+H172+J172+L172)*O172</f>
        <v/>
      </c>
      <c r="Q172" s="70">
        <f>M172*O172</f>
        <v/>
      </c>
      <c r="R172" s="70">
        <f>N172*O172</f>
        <v/>
      </c>
    </row>
    <row r="173">
      <c r="A173" s="49" t="n">
        <v>1</v>
      </c>
      <c r="B173" s="49" t="n">
        <v>10</v>
      </c>
      <c r="C173" s="72" t="inlineStr">
        <is>
          <t>А240</t>
        </is>
      </c>
      <c r="D173" s="49" t="n">
        <v>14</v>
      </c>
      <c r="E173" s="69" t="n">
        <v>0.42</v>
      </c>
      <c r="F173" s="51" t="n">
        <v>4</v>
      </c>
      <c r="G173" s="21" t="n"/>
      <c r="H173" s="21" t="n"/>
      <c r="I173" s="21" t="n"/>
      <c r="J173" s="21" t="n"/>
      <c r="K173" s="21" t="n"/>
      <c r="L173" s="21" t="n"/>
      <c r="M173" s="37">
        <f>E173*F173+G173*H173+I173*J173+K173*L173</f>
        <v/>
      </c>
      <c r="N173" s="37">
        <f>Исходные!$B$13-M173</f>
        <v/>
      </c>
      <c r="O173" s="51" t="n">
        <v>1</v>
      </c>
      <c r="P173" s="49">
        <f>(F173+H173+J173+L173)*O173</f>
        <v/>
      </c>
      <c r="Q173" s="70">
        <f>M173*O173</f>
        <v/>
      </c>
      <c r="R173" s="70">
        <f>N173*O173</f>
        <v/>
      </c>
    </row>
    <row r="174">
      <c r="A174" s="49" t="n">
        <v>1</v>
      </c>
      <c r="B174" s="49" t="n">
        <v>8</v>
      </c>
      <c r="C174" s="72" t="inlineStr">
        <is>
          <t>А240</t>
        </is>
      </c>
      <c r="D174" s="49" t="n">
        <v>1</v>
      </c>
      <c r="E174" s="69" t="n">
        <v>0.75</v>
      </c>
      <c r="F174" s="51" t="n">
        <v>4</v>
      </c>
      <c r="G174" s="69" t="n">
        <v>0.58</v>
      </c>
      <c r="H174" s="51" t="n">
        <v>15</v>
      </c>
      <c r="I174" s="21" t="n"/>
      <c r="J174" s="21" t="n"/>
      <c r="K174" s="21" t="n"/>
      <c r="L174" s="21" t="n"/>
      <c r="M174" s="37">
        <f>E174*F174+G174*H174+I174*J174+K174*L174</f>
        <v/>
      </c>
      <c r="N174" s="37">
        <f>Исходные!$B$13-M174</f>
        <v/>
      </c>
      <c r="O174" s="51" t="n">
        <v>1</v>
      </c>
      <c r="P174" s="49">
        <f>(F174+H174+J174+L174)*O174</f>
        <v/>
      </c>
      <c r="Q174" s="70">
        <f>M174*O174</f>
        <v/>
      </c>
      <c r="R174" s="70">
        <f>N174*O174</f>
        <v/>
      </c>
    </row>
    <row r="175">
      <c r="A175" s="49" t="n">
        <v>1</v>
      </c>
      <c r="B175" s="49" t="n">
        <v>8</v>
      </c>
      <c r="C175" s="72" t="inlineStr">
        <is>
          <t>А240</t>
        </is>
      </c>
      <c r="D175" s="49" t="n">
        <v>2</v>
      </c>
      <c r="E175" s="69" t="n">
        <v>1.24</v>
      </c>
      <c r="F175" s="51" t="n">
        <v>9</v>
      </c>
      <c r="G175" s="69" t="n">
        <v>0.53</v>
      </c>
      <c r="H175" s="51" t="n">
        <v>1</v>
      </c>
      <c r="I175" s="21" t="n"/>
      <c r="J175" s="21" t="n"/>
      <c r="K175" s="21" t="n"/>
      <c r="L175" s="21" t="n"/>
      <c r="M175" s="37">
        <f>E175*F175+G175*H175+I175*J175+K175*L175</f>
        <v/>
      </c>
      <c r="N175" s="37">
        <f>Исходные!$B$13-M175</f>
        <v/>
      </c>
      <c r="O175" s="51" t="n">
        <v>67</v>
      </c>
      <c r="P175" s="49">
        <f>(F175+H175+J175+L175)*O175</f>
        <v/>
      </c>
      <c r="Q175" s="70">
        <f>M175*O175</f>
        <v/>
      </c>
      <c r="R175" s="70">
        <f>N175*O175</f>
        <v/>
      </c>
    </row>
    <row r="176">
      <c r="A176" s="49" t="n">
        <v>1</v>
      </c>
      <c r="B176" s="49" t="n">
        <v>8</v>
      </c>
      <c r="C176" s="72" t="inlineStr">
        <is>
          <t>А240</t>
        </is>
      </c>
      <c r="D176" s="49" t="n">
        <v>3</v>
      </c>
      <c r="E176" s="69" t="n">
        <v>0.75</v>
      </c>
      <c r="F176" s="51" t="n">
        <v>15</v>
      </c>
      <c r="G176" s="69" t="n">
        <v>0.22</v>
      </c>
      <c r="H176" s="51" t="n">
        <v>2</v>
      </c>
      <c r="I176" s="21" t="n"/>
      <c r="J176" s="21" t="n"/>
      <c r="K176" s="21" t="n"/>
      <c r="L176" s="21" t="n"/>
      <c r="M176" s="37">
        <f>E176*F176+G176*H176+I176*J176+K176*L176</f>
        <v/>
      </c>
      <c r="N176" s="37">
        <f>Исходные!$B$13-M176</f>
        <v/>
      </c>
      <c r="O176" s="51" t="n">
        <v>50</v>
      </c>
      <c r="P176" s="49">
        <f>(F176+H176+J176+L176)*O176</f>
        <v/>
      </c>
      <c r="Q176" s="70">
        <f>M176*O176</f>
        <v/>
      </c>
      <c r="R176" s="70">
        <f>N176*O176</f>
        <v/>
      </c>
    </row>
    <row r="177">
      <c r="A177" s="49" t="n">
        <v>1</v>
      </c>
      <c r="B177" s="49" t="n">
        <v>8</v>
      </c>
      <c r="C177" s="72" t="inlineStr">
        <is>
          <t>А240</t>
        </is>
      </c>
      <c r="D177" s="49" t="n">
        <v>4</v>
      </c>
      <c r="E177" s="69" t="n">
        <v>1.96</v>
      </c>
      <c r="F177" s="51" t="n">
        <v>5</v>
      </c>
      <c r="G177" s="69" t="n">
        <v>1.44</v>
      </c>
      <c r="H177" s="51" t="n">
        <v>1</v>
      </c>
      <c r="I177" s="69" t="n">
        <v>0.22</v>
      </c>
      <c r="J177" s="51" t="n">
        <v>2</v>
      </c>
      <c r="K177" s="21" t="n"/>
      <c r="L177" s="21" t="n"/>
      <c r="M177" s="37">
        <f>E177*F177+G177*H177+I177*J177+K177*L177</f>
        <v/>
      </c>
      <c r="N177" s="37">
        <f>Исходные!$B$13-M177</f>
        <v/>
      </c>
      <c r="O177" s="51" t="n">
        <v>44</v>
      </c>
      <c r="P177" s="49">
        <f>(F177+H177+J177+L177)*O177</f>
        <v/>
      </c>
      <c r="Q177" s="70">
        <f>M177*O177</f>
        <v/>
      </c>
      <c r="R177" s="70">
        <f>N177*O177</f>
        <v/>
      </c>
    </row>
    <row r="178">
      <c r="A178" s="49" t="n">
        <v>1</v>
      </c>
      <c r="B178" s="49" t="n">
        <v>8</v>
      </c>
      <c r="C178" s="72" t="inlineStr">
        <is>
          <t>А240</t>
        </is>
      </c>
      <c r="D178" s="49" t="n">
        <v>5</v>
      </c>
      <c r="E178" s="69" t="n">
        <v>1.04</v>
      </c>
      <c r="F178" s="51" t="n">
        <v>11</v>
      </c>
      <c r="G178" s="69" t="n">
        <v>0.22</v>
      </c>
      <c r="H178" s="51" t="n">
        <v>1</v>
      </c>
      <c r="I178" s="21" t="n"/>
      <c r="J178" s="21" t="n"/>
      <c r="K178" s="21" t="n"/>
      <c r="L178" s="21" t="n"/>
      <c r="M178" s="37">
        <f>E178*F178+G178*H178+I178*J178+K178*L178</f>
        <v/>
      </c>
      <c r="N178" s="37">
        <f>Исходные!$B$13-M178</f>
        <v/>
      </c>
      <c r="O178" s="51" t="n">
        <v>8</v>
      </c>
      <c r="P178" s="49">
        <f>(F178+H178+J178+L178)*O178</f>
        <v/>
      </c>
      <c r="Q178" s="70">
        <f>M178*O178</f>
        <v/>
      </c>
      <c r="R178" s="70">
        <f>N178*O178</f>
        <v/>
      </c>
    </row>
    <row r="179">
      <c r="A179" s="49" t="n">
        <v>1</v>
      </c>
      <c r="B179" s="49" t="n">
        <v>8</v>
      </c>
      <c r="C179" s="72" t="inlineStr">
        <is>
          <t>А240</t>
        </is>
      </c>
      <c r="D179" s="49" t="n">
        <v>6</v>
      </c>
      <c r="E179" s="69" t="n">
        <v>0.53</v>
      </c>
      <c r="F179" s="51" t="n">
        <v>22</v>
      </c>
      <c r="G179" s="21" t="n"/>
      <c r="H179" s="21" t="n"/>
      <c r="I179" s="21" t="n"/>
      <c r="J179" s="21" t="n"/>
      <c r="K179" s="21" t="n"/>
      <c r="L179" s="21" t="n"/>
      <c r="M179" s="37">
        <f>E179*F179+G179*H179+I179*J179+K179*L179</f>
        <v/>
      </c>
      <c r="N179" s="37">
        <f>Исходные!$B$13-M179</f>
        <v/>
      </c>
      <c r="O179" s="51" t="n">
        <v>11</v>
      </c>
      <c r="P179" s="49">
        <f>(F179+H179+J179+L179)*O179</f>
        <v/>
      </c>
      <c r="Q179" s="70">
        <f>M179*O179</f>
        <v/>
      </c>
      <c r="R179" s="70">
        <f>N179*O179</f>
        <v/>
      </c>
    </row>
    <row r="180">
      <c r="A180" s="49" t="n">
        <v>1</v>
      </c>
      <c r="B180" s="49" t="n">
        <v>8</v>
      </c>
      <c r="C180" s="72" t="inlineStr">
        <is>
          <t>А240</t>
        </is>
      </c>
      <c r="D180" s="49" t="n">
        <v>7</v>
      </c>
      <c r="E180" s="69" t="n">
        <v>0.22</v>
      </c>
      <c r="F180" s="51" t="n">
        <v>53</v>
      </c>
      <c r="G180" s="21" t="n"/>
      <c r="H180" s="21" t="n"/>
      <c r="I180" s="21" t="n"/>
      <c r="J180" s="21" t="n"/>
      <c r="K180" s="21" t="n"/>
      <c r="L180" s="21" t="n"/>
      <c r="M180" s="37">
        <f>E180*F180+G180*H180+I180*J180+K180*L180</f>
        <v/>
      </c>
      <c r="N180" s="37">
        <f>Исходные!$B$13-M180</f>
        <v/>
      </c>
      <c r="O180" s="51" t="n">
        <v>11</v>
      </c>
      <c r="P180" s="49">
        <f>(F180+H180+J180+L180)*O180</f>
        <v/>
      </c>
      <c r="Q180" s="70">
        <f>M180*O180</f>
        <v/>
      </c>
      <c r="R180" s="70">
        <f>N180*O180</f>
        <v/>
      </c>
    </row>
    <row r="181">
      <c r="A181" s="49" t="n">
        <v>1</v>
      </c>
      <c r="B181" s="49" t="n">
        <v>8</v>
      </c>
      <c r="C181" s="72" t="inlineStr">
        <is>
          <t>А240</t>
        </is>
      </c>
      <c r="D181" s="49" t="n">
        <v>8</v>
      </c>
      <c r="E181" s="69" t="n">
        <v>1.96</v>
      </c>
      <c r="F181" s="51" t="n">
        <v>5</v>
      </c>
      <c r="G181" s="69" t="n">
        <v>1.24</v>
      </c>
      <c r="H181" s="51" t="n">
        <v>1</v>
      </c>
      <c r="I181" s="69" t="n">
        <v>0.58</v>
      </c>
      <c r="J181" s="51" t="n">
        <v>1</v>
      </c>
      <c r="K181" s="21" t="n"/>
      <c r="L181" s="21" t="n"/>
      <c r="M181" s="37">
        <f>E181*F181+G181*H181+I181*J181+K181*L181</f>
        <v/>
      </c>
      <c r="N181" s="37">
        <f>Исходные!$B$13-M181</f>
        <v/>
      </c>
      <c r="O181" s="51" t="n">
        <v>64</v>
      </c>
      <c r="P181" s="49">
        <f>(F181+H181+J181+L181)*O181</f>
        <v/>
      </c>
      <c r="Q181" s="70">
        <f>M181*O181</f>
        <v/>
      </c>
      <c r="R181" s="70">
        <f>N181*O181</f>
        <v/>
      </c>
    </row>
    <row r="182">
      <c r="A182" s="49" t="n">
        <v>1</v>
      </c>
      <c r="B182" s="49" t="n">
        <v>8</v>
      </c>
      <c r="C182" s="72" t="inlineStr">
        <is>
          <t>А240</t>
        </is>
      </c>
      <c r="D182" s="49" t="n">
        <v>9</v>
      </c>
      <c r="E182" s="69" t="n">
        <v>1.14</v>
      </c>
      <c r="F182" s="51" t="n">
        <v>10</v>
      </c>
      <c r="G182" s="69" t="n">
        <v>0.22</v>
      </c>
      <c r="H182" s="51" t="n">
        <v>1</v>
      </c>
      <c r="I182" s="21" t="n"/>
      <c r="J182" s="21" t="n"/>
      <c r="K182" s="21" t="n"/>
      <c r="L182" s="21" t="n"/>
      <c r="M182" s="37">
        <f>E182*F182+G182*H182+I182*J182+K182*L182</f>
        <v/>
      </c>
      <c r="N182" s="37">
        <f>Исходные!$B$13-M182</f>
        <v/>
      </c>
      <c r="O182" s="51" t="n">
        <v>27</v>
      </c>
      <c r="P182" s="49">
        <f>(F182+H182+J182+L182)*O182</f>
        <v/>
      </c>
      <c r="Q182" s="70">
        <f>M182*O182</f>
        <v/>
      </c>
      <c r="R182" s="70">
        <f>N182*O182</f>
        <v/>
      </c>
    </row>
    <row r="183">
      <c r="A183" s="49" t="n">
        <v>1</v>
      </c>
      <c r="B183" s="49" t="n">
        <v>8</v>
      </c>
      <c r="C183" s="72" t="inlineStr">
        <is>
          <t>А240</t>
        </is>
      </c>
      <c r="D183" s="49" t="n">
        <v>10</v>
      </c>
      <c r="E183" s="69" t="n">
        <v>0.58</v>
      </c>
      <c r="F183" s="51" t="n">
        <v>16</v>
      </c>
      <c r="G183" s="69" t="n">
        <v>0.53</v>
      </c>
      <c r="H183" s="51" t="n">
        <v>4</v>
      </c>
      <c r="I183" s="69" t="n">
        <v>0.22</v>
      </c>
      <c r="J183" s="51" t="n">
        <v>1</v>
      </c>
      <c r="K183" s="21" t="n"/>
      <c r="L183" s="21" t="n"/>
      <c r="M183" s="37">
        <f>E183*F183+G183*H183+I183*J183+K183*L183</f>
        <v/>
      </c>
      <c r="N183" s="37">
        <f>Исходные!$B$13-M183</f>
        <v/>
      </c>
      <c r="O183" s="51" t="n">
        <v>1</v>
      </c>
      <c r="P183" s="49">
        <f>(F183+H183+J183+L183)*O183</f>
        <v/>
      </c>
      <c r="Q183" s="70">
        <f>M183*O183</f>
        <v/>
      </c>
      <c r="R183" s="70">
        <f>N183*O183</f>
        <v/>
      </c>
    </row>
    <row r="184">
      <c r="A184" s="49" t="n">
        <v>1</v>
      </c>
      <c r="B184" s="49" t="n">
        <v>8</v>
      </c>
      <c r="C184" s="72" t="inlineStr">
        <is>
          <t>А240</t>
        </is>
      </c>
      <c r="D184" s="49" t="n">
        <v>11</v>
      </c>
      <c r="E184" s="69" t="n">
        <v>1.16</v>
      </c>
      <c r="F184" s="51" t="n">
        <v>10</v>
      </c>
      <c r="G184" s="21" t="n"/>
      <c r="H184" s="21" t="n"/>
      <c r="I184" s="21" t="n"/>
      <c r="J184" s="21" t="n"/>
      <c r="K184" s="21" t="n"/>
      <c r="L184" s="21" t="n"/>
      <c r="M184" s="37">
        <f>E184*F184+G184*H184+I184*J184+K184*L184</f>
        <v/>
      </c>
      <c r="N184" s="37">
        <f>Исходные!$B$13-M184</f>
        <v/>
      </c>
      <c r="O184" s="51" t="n">
        <v>1</v>
      </c>
      <c r="P184" s="49">
        <f>(F184+H184+J184+L184)*O184</f>
        <v/>
      </c>
      <c r="Q184" s="70">
        <f>M184*O184</f>
        <v/>
      </c>
      <c r="R184" s="70">
        <f>N184*O184</f>
        <v/>
      </c>
    </row>
    <row r="185">
      <c r="A185" s="49" t="n">
        <v>1</v>
      </c>
      <c r="B185" s="49" t="n">
        <v>8</v>
      </c>
      <c r="C185" s="72" t="inlineStr">
        <is>
          <t>А240</t>
        </is>
      </c>
      <c r="D185" s="49" t="n">
        <v>12</v>
      </c>
      <c r="E185" s="69" t="n">
        <v>0.58</v>
      </c>
      <c r="F185" s="51" t="n">
        <v>20</v>
      </c>
      <c r="G185" s="21" t="n"/>
      <c r="H185" s="21" t="n"/>
      <c r="I185" s="21" t="n"/>
      <c r="J185" s="21" t="n"/>
      <c r="K185" s="21" t="n"/>
      <c r="L185" s="21" t="n"/>
      <c r="M185" s="37">
        <f>E185*F185+G185*H185+I185*J185+K185*L185</f>
        <v/>
      </c>
      <c r="N185" s="37">
        <f>Исходные!$B$13-M185</f>
        <v/>
      </c>
      <c r="O185" s="51" t="n">
        <v>17</v>
      </c>
      <c r="P185" s="49">
        <f>(F185+H185+J185+L185)*O185</f>
        <v/>
      </c>
      <c r="Q185" s="70">
        <f>M185*O185</f>
        <v/>
      </c>
      <c r="R185" s="70">
        <f>N185*O185</f>
        <v/>
      </c>
    </row>
    <row r="186">
      <c r="A186" s="49" t="n">
        <v>1</v>
      </c>
      <c r="B186" s="49" t="n">
        <v>8</v>
      </c>
      <c r="C186" s="72" t="inlineStr">
        <is>
          <t>А240</t>
        </is>
      </c>
      <c r="D186" s="49" t="n">
        <v>13</v>
      </c>
      <c r="E186" s="69" t="n">
        <v>1.24</v>
      </c>
      <c r="F186" s="51" t="n">
        <v>5</v>
      </c>
      <c r="G186" s="69" t="n">
        <v>1.16</v>
      </c>
      <c r="H186" s="51" t="n">
        <v>4</v>
      </c>
      <c r="I186" s="69" t="n">
        <v>0.75</v>
      </c>
      <c r="J186" s="51" t="n">
        <v>1</v>
      </c>
      <c r="K186" s="21" t="n"/>
      <c r="L186" s="21" t="n"/>
      <c r="M186" s="37">
        <f>E186*F186+G186*H186+I186*J186+K186*L186</f>
        <v/>
      </c>
      <c r="N186" s="37">
        <f>Исходные!$B$13-M186</f>
        <v/>
      </c>
      <c r="O186" s="51" t="n">
        <v>1</v>
      </c>
      <c r="P186" s="49">
        <f>(F186+H186+J186+L186)*O186</f>
        <v/>
      </c>
      <c r="Q186" s="70">
        <f>M186*O186</f>
        <v/>
      </c>
      <c r="R186" s="70">
        <f>N186*O186</f>
        <v/>
      </c>
    </row>
    <row r="187">
      <c r="A187" s="49" t="n">
        <v>1</v>
      </c>
      <c r="B187" s="49" t="n">
        <v>8</v>
      </c>
      <c r="C187" s="72" t="inlineStr">
        <is>
          <t>А240</t>
        </is>
      </c>
      <c r="D187" s="49" t="n">
        <v>14</v>
      </c>
      <c r="E187" s="69" t="n">
        <v>2.44</v>
      </c>
      <c r="F187" s="51" t="n">
        <v>4</v>
      </c>
      <c r="G187" s="69" t="n">
        <v>1.24</v>
      </c>
      <c r="H187" s="51" t="n">
        <v>1</v>
      </c>
      <c r="I187" s="69" t="n">
        <v>0.58</v>
      </c>
      <c r="J187" s="51" t="n">
        <v>1</v>
      </c>
      <c r="K187" s="21" t="n"/>
      <c r="L187" s="21" t="n"/>
      <c r="M187" s="37">
        <f>E187*F187+G187*H187+I187*J187+K187*L187</f>
        <v/>
      </c>
      <c r="N187" s="37">
        <f>Исходные!$B$13-M187</f>
        <v/>
      </c>
      <c r="O187" s="51" t="n">
        <v>150</v>
      </c>
      <c r="P187" s="49">
        <f>(F187+H187+J187+L187)*O187</f>
        <v/>
      </c>
      <c r="Q187" s="70">
        <f>M187*O187</f>
        <v/>
      </c>
      <c r="R187" s="70">
        <f>N187*O187</f>
        <v/>
      </c>
    </row>
    <row r="188">
      <c r="A188" s="49" t="n">
        <v>1</v>
      </c>
      <c r="B188" s="49" t="n">
        <v>8</v>
      </c>
      <c r="C188" s="72" t="inlineStr">
        <is>
          <t>А240</t>
        </is>
      </c>
      <c r="D188" s="49" t="n">
        <v>15</v>
      </c>
      <c r="E188" s="69" t="n">
        <v>2.06</v>
      </c>
      <c r="F188" s="51" t="n">
        <v>5</v>
      </c>
      <c r="G188" s="69" t="n">
        <v>1.28</v>
      </c>
      <c r="H188" s="51" t="n">
        <v>1</v>
      </c>
      <c r="I188" s="21" t="n"/>
      <c r="J188" s="21" t="n"/>
      <c r="K188" s="21" t="n"/>
      <c r="L188" s="21" t="n"/>
      <c r="M188" s="37">
        <f>E188*F188+G188*H188+I188*J188+K188*L188</f>
        <v/>
      </c>
      <c r="N188" s="37">
        <f>Исходные!$B$13-M188</f>
        <v/>
      </c>
      <c r="O188" s="51" t="n">
        <v>15</v>
      </c>
      <c r="P188" s="49">
        <f>(F188+H188+J188+L188)*O188</f>
        <v/>
      </c>
      <c r="Q188" s="70">
        <f>M188*O188</f>
        <v/>
      </c>
      <c r="R188" s="70">
        <f>N188*O188</f>
        <v/>
      </c>
    </row>
    <row r="189">
      <c r="A189" s="49" t="n">
        <v>1</v>
      </c>
      <c r="B189" s="49" t="n">
        <v>8</v>
      </c>
      <c r="C189" s="72" t="inlineStr">
        <is>
          <t>А240</t>
        </is>
      </c>
      <c r="D189" s="49" t="n">
        <v>16</v>
      </c>
      <c r="E189" s="69" t="n">
        <v>1.96</v>
      </c>
      <c r="F189" s="51" t="n">
        <v>5</v>
      </c>
      <c r="G189" s="69" t="n">
        <v>1.76</v>
      </c>
      <c r="H189" s="51" t="n">
        <v>1</v>
      </c>
      <c r="I189" s="21" t="n"/>
      <c r="J189" s="21" t="n"/>
      <c r="K189" s="21" t="n"/>
      <c r="L189" s="21" t="n"/>
      <c r="M189" s="37">
        <f>E189*F189+G189*H189+I189*J189+K189*L189</f>
        <v/>
      </c>
      <c r="N189" s="37">
        <f>Исходные!$B$13-M189</f>
        <v/>
      </c>
      <c r="O189" s="51" t="n">
        <v>36</v>
      </c>
      <c r="P189" s="49">
        <f>(F189+H189+J189+L189)*O189</f>
        <v/>
      </c>
      <c r="Q189" s="70">
        <f>M189*O189</f>
        <v/>
      </c>
      <c r="R189" s="70">
        <f>N189*O189</f>
        <v/>
      </c>
    </row>
    <row r="190">
      <c r="A190" s="49" t="n">
        <v>1</v>
      </c>
      <c r="B190" s="49" t="n">
        <v>8</v>
      </c>
      <c r="C190" s="72" t="inlineStr">
        <is>
          <t>А240</t>
        </is>
      </c>
      <c r="D190" s="49" t="n">
        <v>17</v>
      </c>
      <c r="E190" s="69" t="n">
        <v>1.16</v>
      </c>
      <c r="F190" s="51" t="n">
        <v>8</v>
      </c>
      <c r="G190" s="69" t="n">
        <v>1.14</v>
      </c>
      <c r="H190" s="51" t="n">
        <v>2</v>
      </c>
      <c r="I190" s="21" t="n"/>
      <c r="J190" s="21" t="n"/>
      <c r="K190" s="21" t="n"/>
      <c r="L190" s="21" t="n"/>
      <c r="M190" s="37">
        <f>E190*F190+G190*H190+I190*J190+K190*L190</f>
        <v/>
      </c>
      <c r="N190" s="37">
        <f>Исходные!$B$13-M190</f>
        <v/>
      </c>
      <c r="O190" s="51" t="n">
        <v>1</v>
      </c>
      <c r="P190" s="49">
        <f>(F190+H190+J190+L190)*O190</f>
        <v/>
      </c>
      <c r="Q190" s="70">
        <f>M190*O190</f>
        <v/>
      </c>
      <c r="R190" s="70">
        <f>N190*O190</f>
        <v/>
      </c>
    </row>
    <row r="191">
      <c r="A191" s="49" t="n">
        <v>1</v>
      </c>
      <c r="B191" s="49" t="n">
        <v>8</v>
      </c>
      <c r="C191" s="72" t="inlineStr">
        <is>
          <t>А240</t>
        </is>
      </c>
      <c r="D191" s="49" t="n">
        <v>18</v>
      </c>
      <c r="E191" s="69" t="n">
        <v>0.53</v>
      </c>
      <c r="F191" s="51" t="n">
        <v>11</v>
      </c>
      <c r="G191" s="69" t="n">
        <v>0.22</v>
      </c>
      <c r="H191" s="51" t="n">
        <v>26</v>
      </c>
      <c r="I191" s="21" t="n"/>
      <c r="J191" s="21" t="n"/>
      <c r="K191" s="21" t="n"/>
      <c r="L191" s="21" t="n"/>
      <c r="M191" s="37">
        <f>E191*F191+G191*H191+I191*J191+K191*L191</f>
        <v/>
      </c>
      <c r="N191" s="37">
        <f>Исходные!$B$13-M191</f>
        <v/>
      </c>
      <c r="O191" s="51" t="n">
        <v>1</v>
      </c>
      <c r="P191" s="49">
        <f>(F191+H191+J191+L191)*O191</f>
        <v/>
      </c>
      <c r="Q191" s="70">
        <f>M191*O191</f>
        <v/>
      </c>
      <c r="R191" s="70">
        <f>N191*O191</f>
        <v/>
      </c>
    </row>
    <row r="192">
      <c r="A192" s="49" t="n">
        <v>1</v>
      </c>
      <c r="B192" s="49" t="n">
        <v>8</v>
      </c>
      <c r="C192" s="72" t="inlineStr">
        <is>
          <t>А240</t>
        </is>
      </c>
      <c r="D192" s="49" t="n">
        <v>19</v>
      </c>
      <c r="E192" s="69" t="n">
        <v>2.06</v>
      </c>
      <c r="F192" s="51" t="n">
        <v>5</v>
      </c>
      <c r="G192" s="69" t="n">
        <v>1.24</v>
      </c>
      <c r="H192" s="51" t="n">
        <v>1</v>
      </c>
      <c r="I192" s="21" t="n"/>
      <c r="J192" s="21" t="n"/>
      <c r="K192" s="21" t="n"/>
      <c r="L192" s="21" t="n"/>
      <c r="M192" s="37">
        <f>E192*F192+G192*H192+I192*J192+K192*L192</f>
        <v/>
      </c>
      <c r="N192" s="37">
        <f>Исходные!$B$13-M192</f>
        <v/>
      </c>
      <c r="O192" s="51" t="n">
        <v>147</v>
      </c>
      <c r="P192" s="49">
        <f>(F192+H192+J192+L192)*O192</f>
        <v/>
      </c>
      <c r="Q192" s="70">
        <f>M192*O192</f>
        <v/>
      </c>
      <c r="R192" s="70">
        <f>N192*O192</f>
        <v/>
      </c>
    </row>
    <row r="193">
      <c r="A193" s="49" t="n">
        <v>1</v>
      </c>
      <c r="B193" s="49" t="n">
        <v>8</v>
      </c>
      <c r="C193" s="72" t="inlineStr">
        <is>
          <t>А240</t>
        </is>
      </c>
      <c r="D193" s="49" t="n">
        <v>20</v>
      </c>
      <c r="E193" s="69" t="n">
        <v>0.22</v>
      </c>
      <c r="F193" s="51" t="n">
        <v>14</v>
      </c>
      <c r="G193" s="21" t="n"/>
      <c r="H193" s="21" t="n"/>
      <c r="I193" s="21" t="n"/>
      <c r="J193" s="21" t="n"/>
      <c r="K193" s="21" t="n"/>
      <c r="L193" s="21" t="n"/>
      <c r="M193" s="37">
        <f>E193*F193+G193*H193+I193*J193+K193*L193</f>
        <v/>
      </c>
      <c r="N193" s="37">
        <f>Исходные!$B$13-M193</f>
        <v/>
      </c>
      <c r="O193" s="51" t="n">
        <v>1</v>
      </c>
      <c r="P193" s="49">
        <f>(F193+H193+J193+L193)*O193</f>
        <v/>
      </c>
      <c r="Q193" s="70">
        <f>M193*O193</f>
        <v/>
      </c>
      <c r="R193" s="70">
        <f>N193*O193</f>
        <v/>
      </c>
    </row>
    <row r="194">
      <c r="A194" s="49" t="n">
        <v>1</v>
      </c>
      <c r="B194" s="49" t="n">
        <v>6</v>
      </c>
      <c r="C194" s="72" t="inlineStr">
        <is>
          <t>А240</t>
        </is>
      </c>
      <c r="D194" s="49" t="n">
        <v>1</v>
      </c>
      <c r="E194" s="69" t="n">
        <v>0.28</v>
      </c>
      <c r="F194" s="51" t="n">
        <v>41</v>
      </c>
      <c r="G194" s="21" t="n"/>
      <c r="H194" s="21" t="n"/>
      <c r="I194" s="21" t="n"/>
      <c r="J194" s="21" t="n"/>
      <c r="K194" s="21" t="n"/>
      <c r="L194" s="21" t="n"/>
      <c r="M194" s="37">
        <f>E194*F194+G194*H194+I194*J194+K194*L194</f>
        <v/>
      </c>
      <c r="N194" s="37">
        <f>Исходные!$B$13-M194</f>
        <v/>
      </c>
      <c r="O194" s="51" t="n">
        <v>2</v>
      </c>
      <c r="P194" s="49">
        <f>(F194+H194+J194+L194)*O194</f>
        <v/>
      </c>
      <c r="Q194" s="70">
        <f>M194*O194</f>
        <v/>
      </c>
      <c r="R194" s="70">
        <f>N194*O194</f>
        <v/>
      </c>
    </row>
    <row r="195">
      <c r="A195" s="49" t="n">
        <v>1</v>
      </c>
      <c r="B195" s="49" t="n">
        <v>6</v>
      </c>
      <c r="C195" s="72" t="inlineStr">
        <is>
          <t>А240</t>
        </is>
      </c>
      <c r="D195" s="49" t="n">
        <v>2</v>
      </c>
      <c r="E195" s="69" t="n">
        <v>0.28</v>
      </c>
      <c r="F195" s="51" t="n">
        <v>29</v>
      </c>
      <c r="G195" s="21" t="n"/>
      <c r="H195" s="21" t="n"/>
      <c r="I195" s="21" t="n"/>
      <c r="J195" s="21" t="n"/>
      <c r="K195" s="21" t="n"/>
      <c r="L195" s="21" t="n"/>
      <c r="M195" s="37">
        <f>E195*F195+G195*H195+I195*J195+K195*L195</f>
        <v/>
      </c>
      <c r="N195" s="37">
        <f>Исходные!$B$13-M195</f>
        <v/>
      </c>
      <c r="O195" s="51" t="n">
        <v>1</v>
      </c>
      <c r="P195" s="49">
        <f>(F195+H195+J195+L195)*O195</f>
        <v/>
      </c>
      <c r="Q195" s="70">
        <f>M195*O195</f>
        <v/>
      </c>
      <c r="R195" s="70">
        <f>N195*O195</f>
        <v/>
      </c>
    </row>
    <row r="196">
      <c r="A196" s="49" t="n">
        <v>2</v>
      </c>
      <c r="B196" s="49" t="n">
        <v>32</v>
      </c>
      <c r="C196" s="72" t="inlineStr">
        <is>
          <t>А500С</t>
        </is>
      </c>
      <c r="D196" s="49" t="n">
        <v>1</v>
      </c>
      <c r="E196" s="69" t="n">
        <v>7.85</v>
      </c>
      <c r="F196" s="51" t="n">
        <v>1</v>
      </c>
      <c r="G196" s="69" t="n">
        <v>3.8</v>
      </c>
      <c r="H196" s="51" t="n">
        <v>1</v>
      </c>
      <c r="I196" s="21" t="n"/>
      <c r="J196" s="21" t="n"/>
      <c r="K196" s="21" t="n"/>
      <c r="L196" s="21" t="n"/>
      <c r="M196" s="37">
        <f>E196*F196+G196*H196+I196*J196+K196*L196</f>
        <v/>
      </c>
      <c r="N196" s="37">
        <f>Исходные!$B$13-M196</f>
        <v/>
      </c>
      <c r="O196" s="51" t="n">
        <v>2</v>
      </c>
      <c r="P196" s="49">
        <f>(F196+H196+J196+L196)*O196</f>
        <v/>
      </c>
      <c r="Q196" s="70">
        <f>M196*O196</f>
        <v/>
      </c>
      <c r="R196" s="70">
        <f>N196*O196</f>
        <v/>
      </c>
    </row>
    <row r="197">
      <c r="A197" s="49" t="n">
        <v>2</v>
      </c>
      <c r="B197" s="49" t="n">
        <v>32</v>
      </c>
      <c r="C197" s="72" t="inlineStr">
        <is>
          <t>А500С</t>
        </is>
      </c>
      <c r="D197" s="49" t="n">
        <v>2</v>
      </c>
      <c r="E197" s="69" t="n">
        <v>2.85</v>
      </c>
      <c r="F197" s="51" t="n">
        <v>4</v>
      </c>
      <c r="G197" s="21" t="n"/>
      <c r="H197" s="21" t="n"/>
      <c r="I197" s="21" t="n"/>
      <c r="J197" s="21" t="n"/>
      <c r="K197" s="21" t="n"/>
      <c r="L197" s="21" t="n"/>
      <c r="M197" s="37">
        <f>E197*F197+G197*H197+I197*J197+K197*L197</f>
        <v/>
      </c>
      <c r="N197" s="37">
        <f>Исходные!$B$13-M197</f>
        <v/>
      </c>
      <c r="O197" s="51" t="n">
        <v>1</v>
      </c>
      <c r="P197" s="49">
        <f>(F197+H197+J197+L197)*O197</f>
        <v/>
      </c>
      <c r="Q197" s="70">
        <f>M197*O197</f>
        <v/>
      </c>
      <c r="R197" s="70">
        <f>N197*O197</f>
        <v/>
      </c>
    </row>
    <row r="198">
      <c r="A198" s="49" t="n">
        <v>2</v>
      </c>
      <c r="B198" s="49" t="n">
        <v>32</v>
      </c>
      <c r="C198" s="72" t="inlineStr">
        <is>
          <t>А500С</t>
        </is>
      </c>
      <c r="D198" s="49" t="n">
        <v>3</v>
      </c>
      <c r="E198" s="69" t="n">
        <v>7.5</v>
      </c>
      <c r="F198" s="51" t="n">
        <v>1</v>
      </c>
      <c r="G198" s="69" t="n">
        <v>3.8</v>
      </c>
      <c r="H198" s="51" t="n">
        <v>1</v>
      </c>
      <c r="I198" s="21" t="n"/>
      <c r="J198" s="21" t="n"/>
      <c r="K198" s="21" t="n"/>
      <c r="L198" s="21" t="n"/>
      <c r="M198" s="37">
        <f>E198*F198+G198*H198+I198*J198+K198*L198</f>
        <v/>
      </c>
      <c r="N198" s="37">
        <f>Исходные!$B$13-M198</f>
        <v/>
      </c>
      <c r="O198" s="51" t="n">
        <v>2</v>
      </c>
      <c r="P198" s="49">
        <f>(F198+H198+J198+L198)*O198</f>
        <v/>
      </c>
      <c r="Q198" s="70">
        <f>M198*O198</f>
        <v/>
      </c>
      <c r="R198" s="70">
        <f>N198*O198</f>
        <v/>
      </c>
    </row>
    <row r="199">
      <c r="A199" s="49" t="n">
        <v>2</v>
      </c>
      <c r="B199" s="49" t="n">
        <v>32</v>
      </c>
      <c r="C199" s="72" t="inlineStr">
        <is>
          <t>А500С</t>
        </is>
      </c>
      <c r="D199" s="49" t="n">
        <v>4</v>
      </c>
      <c r="E199" s="69" t="n">
        <v>3.7</v>
      </c>
      <c r="F199" s="51" t="n">
        <v>2</v>
      </c>
      <c r="G199" s="69" t="n">
        <v>3.6</v>
      </c>
      <c r="H199" s="51" t="n">
        <v>1</v>
      </c>
      <c r="I199" s="21" t="n"/>
      <c r="J199" s="21" t="n"/>
      <c r="K199" s="21" t="n"/>
      <c r="L199" s="21" t="n"/>
      <c r="M199" s="37">
        <f>E199*F199+G199*H199+I199*J199+K199*L199</f>
        <v/>
      </c>
      <c r="N199" s="37">
        <f>Исходные!$B$13-M199</f>
        <v/>
      </c>
      <c r="O199" s="51" t="n">
        <v>1</v>
      </c>
      <c r="P199" s="49">
        <f>(F199+H199+J199+L199)*O199</f>
        <v/>
      </c>
      <c r="Q199" s="70">
        <f>M199*O199</f>
        <v/>
      </c>
      <c r="R199" s="70">
        <f>N199*O199</f>
        <v/>
      </c>
    </row>
    <row r="200">
      <c r="A200" s="49" t="n">
        <v>2</v>
      </c>
      <c r="B200" s="49" t="n">
        <v>32</v>
      </c>
      <c r="C200" s="72" t="inlineStr">
        <is>
          <t>А500С</t>
        </is>
      </c>
      <c r="D200" s="49" t="n">
        <v>5</v>
      </c>
      <c r="E200" s="69" t="n">
        <v>3.6</v>
      </c>
      <c r="F200" s="51" t="n">
        <v>3</v>
      </c>
      <c r="G200" s="21" t="n"/>
      <c r="H200" s="21" t="n"/>
      <c r="I200" s="21" t="n"/>
      <c r="J200" s="21" t="n"/>
      <c r="K200" s="21" t="n"/>
      <c r="L200" s="21" t="n"/>
      <c r="M200" s="37">
        <f>E200*F200+G200*H200+I200*J200+K200*L200</f>
        <v/>
      </c>
      <c r="N200" s="37">
        <f>Исходные!$B$13-M200</f>
        <v/>
      </c>
      <c r="O200" s="51" t="n">
        <v>1</v>
      </c>
      <c r="P200" s="49">
        <f>(F200+H200+J200+L200)*O200</f>
        <v/>
      </c>
      <c r="Q200" s="70">
        <f>M200*O200</f>
        <v/>
      </c>
      <c r="R200" s="70">
        <f>N200*O200</f>
        <v/>
      </c>
    </row>
    <row r="201">
      <c r="A201" s="49" t="n">
        <v>2</v>
      </c>
      <c r="B201" s="49" t="n">
        <v>32</v>
      </c>
      <c r="C201" s="72" t="inlineStr">
        <is>
          <t>А500С</t>
        </is>
      </c>
      <c r="D201" s="49" t="n">
        <v>6</v>
      </c>
      <c r="E201" s="69" t="n">
        <v>3.6</v>
      </c>
      <c r="F201" s="51" t="n">
        <v>2</v>
      </c>
      <c r="G201" s="69" t="n">
        <v>3.4</v>
      </c>
      <c r="H201" s="51" t="n">
        <v>1</v>
      </c>
      <c r="I201" s="21" t="n"/>
      <c r="J201" s="21" t="n"/>
      <c r="K201" s="21" t="n"/>
      <c r="L201" s="21" t="n"/>
      <c r="M201" s="37">
        <f>E201*F201+G201*H201+I201*J201+K201*L201</f>
        <v/>
      </c>
      <c r="N201" s="37">
        <f>Исходные!$B$13-M201</f>
        <v/>
      </c>
      <c r="O201" s="51" t="n">
        <v>1</v>
      </c>
      <c r="P201" s="49">
        <f>(F201+H201+J201+L201)*O201</f>
        <v/>
      </c>
      <c r="Q201" s="70">
        <f>M201*O201</f>
        <v/>
      </c>
      <c r="R201" s="70">
        <f>N201*O201</f>
        <v/>
      </c>
    </row>
    <row r="202">
      <c r="A202" s="49" t="n">
        <v>2</v>
      </c>
      <c r="B202" s="49" t="n">
        <v>32</v>
      </c>
      <c r="C202" s="72" t="inlineStr">
        <is>
          <t>А500С</t>
        </is>
      </c>
      <c r="D202" s="49" t="n">
        <v>7</v>
      </c>
      <c r="E202" s="69" t="n">
        <v>2.05</v>
      </c>
      <c r="F202" s="51" t="n">
        <v>5</v>
      </c>
      <c r="G202" s="21" t="n"/>
      <c r="H202" s="21" t="n"/>
      <c r="I202" s="21" t="n"/>
      <c r="J202" s="21" t="n"/>
      <c r="K202" s="21" t="n"/>
      <c r="L202" s="21" t="n"/>
      <c r="M202" s="37">
        <f>E202*F202+G202*H202+I202*J202+K202*L202</f>
        <v/>
      </c>
      <c r="N202" s="37">
        <f>Исходные!$B$13-M202</f>
        <v/>
      </c>
      <c r="O202" s="51" t="n">
        <v>1</v>
      </c>
      <c r="P202" s="49">
        <f>(F202+H202+J202+L202)*O202</f>
        <v/>
      </c>
      <c r="Q202" s="70">
        <f>M202*O202</f>
        <v/>
      </c>
      <c r="R202" s="70">
        <f>N202*O202</f>
        <v/>
      </c>
    </row>
    <row r="203">
      <c r="A203" s="49" t="n">
        <v>2</v>
      </c>
      <c r="B203" s="49" t="n">
        <v>32</v>
      </c>
      <c r="C203" s="72" t="inlineStr">
        <is>
          <t>А500С</t>
        </is>
      </c>
      <c r="D203" s="49" t="n">
        <v>8</v>
      </c>
      <c r="E203" s="69" t="n">
        <v>3.4</v>
      </c>
      <c r="F203" s="51" t="n">
        <v>1</v>
      </c>
      <c r="G203" s="69" t="n">
        <v>3.3</v>
      </c>
      <c r="H203" s="51" t="n">
        <v>2</v>
      </c>
      <c r="I203" s="21" t="n"/>
      <c r="J203" s="21" t="n"/>
      <c r="K203" s="21" t="n"/>
      <c r="L203" s="21" t="n"/>
      <c r="M203" s="37">
        <f>E203*F203+G203*H203+I203*J203+K203*L203</f>
        <v/>
      </c>
      <c r="N203" s="37">
        <f>Исходные!$B$13-M203</f>
        <v/>
      </c>
      <c r="O203" s="51" t="n">
        <v>1</v>
      </c>
      <c r="P203" s="49">
        <f>(F203+H203+J203+L203)*O203</f>
        <v/>
      </c>
      <c r="Q203" s="70">
        <f>M203*O203</f>
        <v/>
      </c>
      <c r="R203" s="70">
        <f>N203*O203</f>
        <v/>
      </c>
    </row>
    <row r="204">
      <c r="A204" s="49" t="n">
        <v>2</v>
      </c>
      <c r="B204" s="49" t="n">
        <v>32</v>
      </c>
      <c r="C204" s="72" t="inlineStr">
        <is>
          <t>А500С</t>
        </is>
      </c>
      <c r="D204" s="49" t="n">
        <v>9</v>
      </c>
      <c r="E204" s="69" t="n">
        <v>2.05</v>
      </c>
      <c r="F204" s="51" t="n">
        <v>1</v>
      </c>
      <c r="G204" s="21" t="n"/>
      <c r="H204" s="21" t="n"/>
      <c r="I204" s="21" t="n"/>
      <c r="J204" s="21" t="n"/>
      <c r="K204" s="21" t="n"/>
      <c r="L204" s="21" t="n"/>
      <c r="M204" s="37">
        <f>E204*F204+G204*H204+I204*J204+K204*L204</f>
        <v/>
      </c>
      <c r="N204" s="37">
        <f>Исходные!$B$13-M204</f>
        <v/>
      </c>
      <c r="O204" s="51" t="n">
        <v>1</v>
      </c>
      <c r="P204" s="49">
        <f>(F204+H204+J204+L204)*O204</f>
        <v/>
      </c>
      <c r="Q204" s="70">
        <f>M204*O204</f>
        <v/>
      </c>
      <c r="R204" s="70">
        <f>N204*O204</f>
        <v/>
      </c>
    </row>
    <row r="205">
      <c r="A205" s="49" t="n">
        <v>2</v>
      </c>
      <c r="B205" s="49" t="n">
        <v>28</v>
      </c>
      <c r="C205" s="72" t="inlineStr">
        <is>
          <t>А500С</t>
        </is>
      </c>
      <c r="D205" s="49" t="n">
        <v>1</v>
      </c>
      <c r="E205" s="69" t="n">
        <v>11.7</v>
      </c>
      <c r="F205" s="51" t="n">
        <v>1</v>
      </c>
      <c r="G205" s="21" t="n"/>
      <c r="H205" s="21" t="n"/>
      <c r="I205" s="21" t="n"/>
      <c r="J205" s="21" t="n"/>
      <c r="K205" s="21" t="n"/>
      <c r="L205" s="21" t="n"/>
      <c r="M205" s="37">
        <f>E205*F205+G205*H205+I205*J205+K205*L205</f>
        <v/>
      </c>
      <c r="N205" s="37">
        <f>Исходные!$B$13-M205</f>
        <v/>
      </c>
      <c r="O205" s="51" t="n">
        <v>52</v>
      </c>
      <c r="P205" s="49">
        <f>(F205+H205+J205+L205)*O205</f>
        <v/>
      </c>
      <c r="Q205" s="70">
        <f>M205*O205</f>
        <v/>
      </c>
      <c r="R205" s="70">
        <f>N205*O205</f>
        <v/>
      </c>
    </row>
    <row r="206">
      <c r="A206" s="49" t="n">
        <v>2</v>
      </c>
      <c r="B206" s="49" t="n">
        <v>28</v>
      </c>
      <c r="C206" s="72" t="inlineStr">
        <is>
          <t>А500С</t>
        </is>
      </c>
      <c r="D206" s="49" t="n">
        <v>2</v>
      </c>
      <c r="E206" s="69" t="n">
        <v>6.2</v>
      </c>
      <c r="F206" s="51" t="n">
        <v>1</v>
      </c>
      <c r="G206" s="69" t="n">
        <v>5.5</v>
      </c>
      <c r="H206" s="51" t="n">
        <v>1</v>
      </c>
      <c r="I206" s="21" t="n"/>
      <c r="J206" s="21" t="n"/>
      <c r="K206" s="21" t="n"/>
      <c r="L206" s="21" t="n"/>
      <c r="M206" s="37">
        <f>E206*F206+G206*H206+I206*J206+K206*L206</f>
        <v/>
      </c>
      <c r="N206" s="37">
        <f>Исходные!$B$13-M206</f>
        <v/>
      </c>
      <c r="O206" s="51" t="n">
        <v>2</v>
      </c>
      <c r="P206" s="49">
        <f>(F206+H206+J206+L206)*O206</f>
        <v/>
      </c>
      <c r="Q206" s="70">
        <f>M206*O206</f>
        <v/>
      </c>
      <c r="R206" s="70">
        <f>N206*O206</f>
        <v/>
      </c>
    </row>
    <row r="207">
      <c r="A207" s="49" t="n">
        <v>2</v>
      </c>
      <c r="B207" s="49" t="n">
        <v>28</v>
      </c>
      <c r="C207" s="72" t="inlineStr">
        <is>
          <t>А500С</t>
        </is>
      </c>
      <c r="D207" s="49" t="n">
        <v>3</v>
      </c>
      <c r="E207" s="69" t="n">
        <v>4.3</v>
      </c>
      <c r="F207" s="51" t="n">
        <v>2</v>
      </c>
      <c r="G207" s="69" t="n">
        <v>3</v>
      </c>
      <c r="H207" s="51" t="n">
        <v>1</v>
      </c>
      <c r="I207" s="21" t="n"/>
      <c r="J207" s="21" t="n"/>
      <c r="K207" s="21" t="n"/>
      <c r="L207" s="21" t="n"/>
      <c r="M207" s="37">
        <f>E207*F207+G207*H207+I207*J207+K207*L207</f>
        <v/>
      </c>
      <c r="N207" s="37">
        <f>Исходные!$B$13-M207</f>
        <v/>
      </c>
      <c r="O207" s="51" t="n">
        <v>1</v>
      </c>
      <c r="P207" s="49">
        <f>(F207+H207+J207+L207)*O207</f>
        <v/>
      </c>
      <c r="Q207" s="70">
        <f>M207*O207</f>
        <v/>
      </c>
      <c r="R207" s="70">
        <f>N207*O207</f>
        <v/>
      </c>
    </row>
    <row r="208">
      <c r="A208" s="49" t="n">
        <v>2</v>
      </c>
      <c r="B208" s="49" t="n">
        <v>28</v>
      </c>
      <c r="C208" s="72" t="inlineStr">
        <is>
          <t>А500С</t>
        </is>
      </c>
      <c r="D208" s="49" t="n">
        <v>4</v>
      </c>
      <c r="E208" s="69" t="n">
        <v>4.7</v>
      </c>
      <c r="F208" s="51" t="n">
        <v>2</v>
      </c>
      <c r="G208" s="69" t="n">
        <v>2.1</v>
      </c>
      <c r="H208" s="51" t="n">
        <v>1</v>
      </c>
      <c r="I208" s="21" t="n"/>
      <c r="J208" s="21" t="n"/>
      <c r="K208" s="21" t="n"/>
      <c r="L208" s="21" t="n"/>
      <c r="M208" s="37">
        <f>E208*F208+G208*H208+I208*J208+K208*L208</f>
        <v/>
      </c>
      <c r="N208" s="37">
        <f>Исходные!$B$13-M208</f>
        <v/>
      </c>
      <c r="O208" s="51" t="n">
        <v>2</v>
      </c>
      <c r="P208" s="49">
        <f>(F208+H208+J208+L208)*O208</f>
        <v/>
      </c>
      <c r="Q208" s="70">
        <f>M208*O208</f>
        <v/>
      </c>
      <c r="R208" s="70">
        <f>N208*O208</f>
        <v/>
      </c>
    </row>
    <row r="209">
      <c r="A209" s="49" t="n">
        <v>2</v>
      </c>
      <c r="B209" s="49" t="n">
        <v>28</v>
      </c>
      <c r="C209" s="72" t="inlineStr">
        <is>
          <t>А500С</t>
        </is>
      </c>
      <c r="D209" s="49" t="n">
        <v>5</v>
      </c>
      <c r="E209" s="69" t="n">
        <v>3.8</v>
      </c>
      <c r="F209" s="51" t="n">
        <v>3</v>
      </c>
      <c r="G209" s="21" t="n"/>
      <c r="H209" s="21" t="n"/>
      <c r="I209" s="21" t="n"/>
      <c r="J209" s="21" t="n"/>
      <c r="K209" s="21" t="n"/>
      <c r="L209" s="21" t="n"/>
      <c r="M209" s="37">
        <f>E209*F209+G209*H209+I209*J209+K209*L209</f>
        <v/>
      </c>
      <c r="N209" s="37">
        <f>Исходные!$B$13-M209</f>
        <v/>
      </c>
      <c r="O209" s="51" t="n">
        <v>2</v>
      </c>
      <c r="P209" s="49">
        <f>(F209+H209+J209+L209)*O209</f>
        <v/>
      </c>
      <c r="Q209" s="70">
        <f>M209*O209</f>
        <v/>
      </c>
      <c r="R209" s="70">
        <f>N209*O209</f>
        <v/>
      </c>
    </row>
    <row r="210">
      <c r="A210" s="49" t="n">
        <v>2</v>
      </c>
      <c r="B210" s="49" t="n">
        <v>28</v>
      </c>
      <c r="C210" s="72" t="inlineStr">
        <is>
          <t>А500С</t>
        </is>
      </c>
      <c r="D210" s="49" t="n">
        <v>6</v>
      </c>
      <c r="E210" s="69" t="n">
        <v>3.8</v>
      </c>
      <c r="F210" s="51" t="n">
        <v>2</v>
      </c>
      <c r="G210" s="69" t="n">
        <v>3.7</v>
      </c>
      <c r="H210" s="51" t="n">
        <v>1</v>
      </c>
      <c r="I210" s="21" t="n"/>
      <c r="J210" s="21" t="n"/>
      <c r="K210" s="21" t="n"/>
      <c r="L210" s="21" t="n"/>
      <c r="M210" s="37">
        <f>E210*F210+G210*H210+I210*J210+K210*L210</f>
        <v/>
      </c>
      <c r="N210" s="37">
        <f>Исходные!$B$13-M210</f>
        <v/>
      </c>
      <c r="O210" s="51" t="n">
        <v>1</v>
      </c>
      <c r="P210" s="49">
        <f>(F210+H210+J210+L210)*O210</f>
        <v/>
      </c>
      <c r="Q210" s="70">
        <f>M210*O210</f>
        <v/>
      </c>
      <c r="R210" s="70">
        <f>N210*O210</f>
        <v/>
      </c>
    </row>
    <row r="211">
      <c r="A211" s="49" t="n">
        <v>2</v>
      </c>
      <c r="B211" s="49" t="n">
        <v>28</v>
      </c>
      <c r="C211" s="72" t="inlineStr">
        <is>
          <t>А500С</t>
        </is>
      </c>
      <c r="D211" s="49" t="n">
        <v>7</v>
      </c>
      <c r="E211" s="69" t="n">
        <v>3</v>
      </c>
      <c r="F211" s="51" t="n">
        <v>1</v>
      </c>
      <c r="G211" s="69" t="n">
        <v>2.05</v>
      </c>
      <c r="H211" s="51" t="n">
        <v>4</v>
      </c>
      <c r="I211" s="21" t="n"/>
      <c r="J211" s="21" t="n"/>
      <c r="K211" s="21" t="n"/>
      <c r="L211" s="21" t="n"/>
      <c r="M211" s="37">
        <f>E211*F211+G211*H211+I211*J211+K211*L211</f>
        <v/>
      </c>
      <c r="N211" s="37">
        <f>Исходные!$B$13-M211</f>
        <v/>
      </c>
      <c r="O211" s="51" t="n">
        <v>1</v>
      </c>
      <c r="P211" s="49">
        <f>(F211+H211+J211+L211)*O211</f>
        <v/>
      </c>
      <c r="Q211" s="70">
        <f>M211*O211</f>
        <v/>
      </c>
      <c r="R211" s="70">
        <f>N211*O211</f>
        <v/>
      </c>
    </row>
    <row r="212">
      <c r="A212" s="49" t="n">
        <v>2</v>
      </c>
      <c r="B212" s="49" t="n">
        <v>28</v>
      </c>
      <c r="C212" s="72" t="inlineStr">
        <is>
          <t>А500С</t>
        </is>
      </c>
      <c r="D212" s="49" t="n">
        <v>8</v>
      </c>
      <c r="E212" s="69" t="n">
        <v>3.7</v>
      </c>
      <c r="F212" s="51" t="n">
        <v>3</v>
      </c>
      <c r="G212" s="21" t="n"/>
      <c r="H212" s="21" t="n"/>
      <c r="I212" s="21" t="n"/>
      <c r="J212" s="21" t="n"/>
      <c r="K212" s="21" t="n"/>
      <c r="L212" s="21" t="n"/>
      <c r="M212" s="37">
        <f>E212*F212+G212*H212+I212*J212+K212*L212</f>
        <v/>
      </c>
      <c r="N212" s="37">
        <f>Исходные!$B$13-M212</f>
        <v/>
      </c>
      <c r="O212" s="51" t="n">
        <v>1</v>
      </c>
      <c r="P212" s="49">
        <f>(F212+H212+J212+L212)*O212</f>
        <v/>
      </c>
      <c r="Q212" s="70">
        <f>M212*O212</f>
        <v/>
      </c>
      <c r="R212" s="70">
        <f>N212*O212</f>
        <v/>
      </c>
    </row>
    <row r="213">
      <c r="A213" s="49" t="n">
        <v>2</v>
      </c>
      <c r="B213" s="49" t="n">
        <v>28</v>
      </c>
      <c r="C213" s="72" t="inlineStr">
        <is>
          <t>А500С</t>
        </is>
      </c>
      <c r="D213" s="49" t="n">
        <v>9</v>
      </c>
      <c r="E213" s="69" t="n">
        <v>3.7</v>
      </c>
      <c r="F213" s="51" t="n">
        <v>2</v>
      </c>
      <c r="G213" s="69" t="n">
        <v>3.6</v>
      </c>
      <c r="H213" s="51" t="n">
        <v>1</v>
      </c>
      <c r="I213" s="21" t="n"/>
      <c r="J213" s="21" t="n"/>
      <c r="K213" s="21" t="n"/>
      <c r="L213" s="21" t="n"/>
      <c r="M213" s="37">
        <f>E213*F213+G213*H213+I213*J213+K213*L213</f>
        <v/>
      </c>
      <c r="N213" s="37">
        <f>Исходные!$B$13-M213</f>
        <v/>
      </c>
      <c r="O213" s="51" t="n">
        <v>1</v>
      </c>
      <c r="P213" s="49">
        <f>(F213+H213+J213+L213)*O213</f>
        <v/>
      </c>
      <c r="Q213" s="70">
        <f>M213*O213</f>
        <v/>
      </c>
      <c r="R213" s="70">
        <f>N213*O213</f>
        <v/>
      </c>
    </row>
    <row r="214">
      <c r="A214" s="49" t="n">
        <v>2</v>
      </c>
      <c r="B214" s="49" t="n">
        <v>28</v>
      </c>
      <c r="C214" s="72" t="inlineStr">
        <is>
          <t>А500С</t>
        </is>
      </c>
      <c r="D214" s="49" t="n">
        <v>10</v>
      </c>
      <c r="E214" s="69" t="n">
        <v>8.800000000000001</v>
      </c>
      <c r="F214" s="51" t="n">
        <v>1</v>
      </c>
      <c r="G214" s="69" t="n">
        <v>2.1</v>
      </c>
      <c r="H214" s="51" t="n">
        <v>1</v>
      </c>
      <c r="I214" s="21" t="n"/>
      <c r="J214" s="21" t="n"/>
      <c r="K214" s="21" t="n"/>
      <c r="L214" s="21" t="n"/>
      <c r="M214" s="37">
        <f>E214*F214+G214*H214+I214*J214+K214*L214</f>
        <v/>
      </c>
      <c r="N214" s="37">
        <f>Исходные!$B$13-M214</f>
        <v/>
      </c>
      <c r="O214" s="51" t="n">
        <v>14</v>
      </c>
      <c r="P214" s="49">
        <f>(F214+H214+J214+L214)*O214</f>
        <v/>
      </c>
      <c r="Q214" s="70">
        <f>M214*O214</f>
        <v/>
      </c>
      <c r="R214" s="70">
        <f>N214*O214</f>
        <v/>
      </c>
    </row>
    <row r="215">
      <c r="A215" s="49" t="n">
        <v>2</v>
      </c>
      <c r="B215" s="49" t="n">
        <v>28</v>
      </c>
      <c r="C215" s="72" t="inlineStr">
        <is>
          <t>А500С</t>
        </is>
      </c>
      <c r="D215" s="49" t="n">
        <v>11</v>
      </c>
      <c r="E215" s="69" t="n">
        <v>8.800000000000001</v>
      </c>
      <c r="F215" s="51" t="n">
        <v>1</v>
      </c>
      <c r="G215" s="69" t="n">
        <v>2.05</v>
      </c>
      <c r="H215" s="51" t="n">
        <v>1</v>
      </c>
      <c r="I215" s="21" t="n"/>
      <c r="J215" s="21" t="n"/>
      <c r="K215" s="21" t="n"/>
      <c r="L215" s="21" t="n"/>
      <c r="M215" s="37">
        <f>E215*F215+G215*H215+I215*J215+K215*L215</f>
        <v/>
      </c>
      <c r="N215" s="37">
        <f>Исходные!$B$13-M215</f>
        <v/>
      </c>
      <c r="O215" s="51" t="n">
        <v>6</v>
      </c>
      <c r="P215" s="49">
        <f>(F215+H215+J215+L215)*O215</f>
        <v/>
      </c>
      <c r="Q215" s="70">
        <f>M215*O215</f>
        <v/>
      </c>
      <c r="R215" s="70">
        <f>N215*O215</f>
        <v/>
      </c>
    </row>
    <row r="216">
      <c r="A216" s="49" t="n">
        <v>2</v>
      </c>
      <c r="B216" s="49" t="n">
        <v>28</v>
      </c>
      <c r="C216" s="72" t="inlineStr">
        <is>
          <t>А500С</t>
        </is>
      </c>
      <c r="D216" s="49" t="n">
        <v>12</v>
      </c>
      <c r="E216" s="69" t="n">
        <v>3.6</v>
      </c>
      <c r="F216" s="51" t="n">
        <v>3</v>
      </c>
      <c r="G216" s="21" t="n"/>
      <c r="H216" s="21" t="n"/>
      <c r="I216" s="21" t="n"/>
      <c r="J216" s="21" t="n"/>
      <c r="K216" s="21" t="n"/>
      <c r="L216" s="21" t="n"/>
      <c r="M216" s="37">
        <f>E216*F216+G216*H216+I216*J216+K216*L216</f>
        <v/>
      </c>
      <c r="N216" s="37">
        <f>Исходные!$B$13-M216</f>
        <v/>
      </c>
      <c r="O216" s="51" t="n">
        <v>27</v>
      </c>
      <c r="P216" s="49">
        <f>(F216+H216+J216+L216)*O216</f>
        <v/>
      </c>
      <c r="Q216" s="70">
        <f>M216*O216</f>
        <v/>
      </c>
      <c r="R216" s="70">
        <f>N216*O216</f>
        <v/>
      </c>
    </row>
    <row r="217">
      <c r="A217" s="49" t="n">
        <v>2</v>
      </c>
      <c r="B217" s="49" t="n">
        <v>28</v>
      </c>
      <c r="C217" s="72" t="inlineStr">
        <is>
          <t>А500С</t>
        </is>
      </c>
      <c r="D217" s="49" t="n">
        <v>13</v>
      </c>
      <c r="E217" s="69" t="n">
        <v>10.5</v>
      </c>
      <c r="F217" s="51" t="n">
        <v>1</v>
      </c>
      <c r="G217" s="21" t="n"/>
      <c r="H217" s="21" t="n"/>
      <c r="I217" s="21" t="n"/>
      <c r="J217" s="21" t="n"/>
      <c r="K217" s="21" t="n"/>
      <c r="L217" s="21" t="n"/>
      <c r="M217" s="37">
        <f>E217*F217+G217*H217+I217*J217+K217*L217</f>
        <v/>
      </c>
      <c r="N217" s="37">
        <f>Исходные!$B$13-M217</f>
        <v/>
      </c>
      <c r="O217" s="51" t="n">
        <v>2</v>
      </c>
      <c r="P217" s="49">
        <f>(F217+H217+J217+L217)*O217</f>
        <v/>
      </c>
      <c r="Q217" s="70">
        <f>M217*O217</f>
        <v/>
      </c>
      <c r="R217" s="70">
        <f>N217*O217</f>
        <v/>
      </c>
    </row>
    <row r="218">
      <c r="A218" s="49" t="n">
        <v>2</v>
      </c>
      <c r="B218" s="49" t="n">
        <v>25</v>
      </c>
      <c r="C218" s="72" t="inlineStr">
        <is>
          <t>А500С</t>
        </is>
      </c>
      <c r="D218" s="49" t="n">
        <v>1</v>
      </c>
      <c r="E218" s="69" t="n">
        <v>11.7</v>
      </c>
      <c r="F218" s="51" t="n">
        <v>1</v>
      </c>
      <c r="G218" s="21" t="n"/>
      <c r="H218" s="21" t="n"/>
      <c r="I218" s="21" t="n"/>
      <c r="J218" s="21" t="n"/>
      <c r="K218" s="21" t="n"/>
      <c r="L218" s="21" t="n"/>
      <c r="M218" s="37">
        <f>E218*F218+G218*H218+I218*J218+K218*L218</f>
        <v/>
      </c>
      <c r="N218" s="37">
        <f>Исходные!$B$13-M218</f>
        <v/>
      </c>
      <c r="O218" s="51" t="n">
        <v>40</v>
      </c>
      <c r="P218" s="49">
        <f>(F218+H218+J218+L218)*O218</f>
        <v/>
      </c>
      <c r="Q218" s="70">
        <f>M218*O218</f>
        <v/>
      </c>
      <c r="R218" s="70">
        <f>N218*O218</f>
        <v/>
      </c>
    </row>
    <row r="219">
      <c r="A219" s="49" t="n">
        <v>2</v>
      </c>
      <c r="B219" s="49" t="n">
        <v>25</v>
      </c>
      <c r="C219" s="72" t="inlineStr">
        <is>
          <t>А500С</t>
        </is>
      </c>
      <c r="D219" s="49" t="n">
        <v>2</v>
      </c>
      <c r="E219" s="69" t="n">
        <v>4.3</v>
      </c>
      <c r="F219" s="51" t="n">
        <v>2</v>
      </c>
      <c r="G219" s="69" t="n">
        <v>3.065</v>
      </c>
      <c r="H219" s="51" t="n">
        <v>1</v>
      </c>
      <c r="I219" s="21" t="n"/>
      <c r="J219" s="21" t="n"/>
      <c r="K219" s="21" t="n"/>
      <c r="L219" s="21" t="n"/>
      <c r="M219" s="37">
        <f>E219*F219+G219*H219+I219*J219+K219*L219</f>
        <v/>
      </c>
      <c r="N219" s="37">
        <f>Исходные!$B$13-M219</f>
        <v/>
      </c>
      <c r="O219" s="51" t="n">
        <v>1</v>
      </c>
      <c r="P219" s="49">
        <f>(F219+H219+J219+L219)*O219</f>
        <v/>
      </c>
      <c r="Q219" s="70">
        <f>M219*O219</f>
        <v/>
      </c>
      <c r="R219" s="70">
        <f>N219*O219</f>
        <v/>
      </c>
    </row>
    <row r="220">
      <c r="A220" s="49" t="n">
        <v>2</v>
      </c>
      <c r="B220" s="49" t="n">
        <v>25</v>
      </c>
      <c r="C220" s="72" t="inlineStr">
        <is>
          <t>А500С</t>
        </is>
      </c>
      <c r="D220" s="49" t="n">
        <v>3</v>
      </c>
      <c r="E220" s="69" t="n">
        <v>7.85</v>
      </c>
      <c r="F220" s="51" t="n">
        <v>1</v>
      </c>
      <c r="G220" s="69" t="n">
        <v>3.8</v>
      </c>
      <c r="H220" s="51" t="n">
        <v>1</v>
      </c>
      <c r="I220" s="21" t="n"/>
      <c r="J220" s="21" t="n"/>
      <c r="K220" s="21" t="n"/>
      <c r="L220" s="21" t="n"/>
      <c r="M220" s="37">
        <f>E220*F220+G220*H220+I220*J220+K220*L220</f>
        <v/>
      </c>
      <c r="N220" s="37">
        <f>Исходные!$B$13-M220</f>
        <v/>
      </c>
      <c r="O220" s="51" t="n">
        <v>4</v>
      </c>
      <c r="P220" s="49">
        <f>(F220+H220+J220+L220)*O220</f>
        <v/>
      </c>
      <c r="Q220" s="70">
        <f>M220*O220</f>
        <v/>
      </c>
      <c r="R220" s="70">
        <f>N220*O220</f>
        <v/>
      </c>
    </row>
    <row r="221">
      <c r="A221" s="49" t="n">
        <v>2</v>
      </c>
      <c r="B221" s="49" t="n">
        <v>25</v>
      </c>
      <c r="C221" s="72" t="inlineStr">
        <is>
          <t>А500С</t>
        </is>
      </c>
      <c r="D221" s="49" t="n">
        <v>4</v>
      </c>
      <c r="E221" s="69" t="n">
        <v>3.365</v>
      </c>
      <c r="F221" s="51" t="n">
        <v>2</v>
      </c>
      <c r="G221" s="69" t="n">
        <v>3.065</v>
      </c>
      <c r="H221" s="51" t="n">
        <v>1</v>
      </c>
      <c r="I221" s="69" t="n">
        <v>1.85</v>
      </c>
      <c r="J221" s="51" t="n">
        <v>1</v>
      </c>
      <c r="K221" s="21" t="n"/>
      <c r="L221" s="21" t="n"/>
      <c r="M221" s="37">
        <f>E221*F221+G221*H221+I221*J221+K221*L221</f>
        <v/>
      </c>
      <c r="N221" s="37">
        <f>Исходные!$B$13-M221</f>
        <v/>
      </c>
      <c r="O221" s="51" t="n">
        <v>1</v>
      </c>
      <c r="P221" s="49">
        <f>(F221+H221+J221+L221)*O221</f>
        <v/>
      </c>
      <c r="Q221" s="70">
        <f>M221*O221</f>
        <v/>
      </c>
      <c r="R221" s="70">
        <f>N221*O221</f>
        <v/>
      </c>
    </row>
    <row r="222">
      <c r="A222" s="49" t="n">
        <v>2</v>
      </c>
      <c r="B222" s="49" t="n">
        <v>25</v>
      </c>
      <c r="C222" s="72" t="inlineStr">
        <is>
          <t>А500С</t>
        </is>
      </c>
      <c r="D222" s="49" t="n">
        <v>5</v>
      </c>
      <c r="E222" s="69" t="n">
        <v>4.7</v>
      </c>
      <c r="F222" s="51" t="n">
        <v>2</v>
      </c>
      <c r="G222" s="69" t="n">
        <v>2.21</v>
      </c>
      <c r="H222" s="51" t="n">
        <v>1</v>
      </c>
      <c r="I222" s="21" t="n"/>
      <c r="J222" s="21" t="n"/>
      <c r="K222" s="21" t="n"/>
      <c r="L222" s="21" t="n"/>
      <c r="M222" s="37">
        <f>E222*F222+G222*H222+I222*J222+K222*L222</f>
        <v/>
      </c>
      <c r="N222" s="37">
        <f>Исходные!$B$13-M222</f>
        <v/>
      </c>
      <c r="O222" s="51" t="n">
        <v>1</v>
      </c>
      <c r="P222" s="49">
        <f>(F222+H222+J222+L222)*O222</f>
        <v/>
      </c>
      <c r="Q222" s="70">
        <f>M222*O222</f>
        <v/>
      </c>
      <c r="R222" s="70">
        <f>N222*O222</f>
        <v/>
      </c>
    </row>
    <row r="223">
      <c r="A223" s="49" t="n">
        <v>2</v>
      </c>
      <c r="B223" s="49" t="n">
        <v>25</v>
      </c>
      <c r="C223" s="72" t="inlineStr">
        <is>
          <t>А500С</t>
        </is>
      </c>
      <c r="D223" s="49" t="n">
        <v>6</v>
      </c>
      <c r="E223" s="69" t="n">
        <v>4.5</v>
      </c>
      <c r="F223" s="51" t="n">
        <v>2</v>
      </c>
      <c r="G223" s="69" t="n">
        <v>2.4</v>
      </c>
      <c r="H223" s="51" t="n">
        <v>1</v>
      </c>
      <c r="I223" s="69" t="n">
        <v>0.2</v>
      </c>
      <c r="J223" s="51" t="n">
        <v>1</v>
      </c>
      <c r="K223" s="21" t="n"/>
      <c r="L223" s="21" t="n"/>
      <c r="M223" s="37">
        <f>E223*F223+G223*H223+I223*J223+K223*L223</f>
        <v/>
      </c>
      <c r="N223" s="37">
        <f>Исходные!$B$13-M223</f>
        <v/>
      </c>
      <c r="O223" s="51" t="n">
        <v>1</v>
      </c>
      <c r="P223" s="49">
        <f>(F223+H223+J223+L223)*O223</f>
        <v/>
      </c>
      <c r="Q223" s="70">
        <f>M223*O223</f>
        <v/>
      </c>
      <c r="R223" s="70">
        <f>N223*O223</f>
        <v/>
      </c>
    </row>
    <row r="224">
      <c r="A224" s="49" t="n">
        <v>2</v>
      </c>
      <c r="B224" s="49" t="n">
        <v>25</v>
      </c>
      <c r="C224" s="72" t="inlineStr">
        <is>
          <t>А500С</t>
        </is>
      </c>
      <c r="D224" s="49" t="n">
        <v>7</v>
      </c>
      <c r="E224" s="69" t="n">
        <v>3.785</v>
      </c>
      <c r="F224" s="51" t="n">
        <v>3</v>
      </c>
      <c r="G224" s="69" t="n">
        <v>0.2</v>
      </c>
      <c r="H224" s="51" t="n">
        <v>1</v>
      </c>
      <c r="I224" s="21" t="n"/>
      <c r="J224" s="21" t="n"/>
      <c r="K224" s="21" t="n"/>
      <c r="L224" s="21" t="n"/>
      <c r="M224" s="37">
        <f>E224*F224+G224*H224+I224*J224+K224*L224</f>
        <v/>
      </c>
      <c r="N224" s="37">
        <f>Исходные!$B$13-M224</f>
        <v/>
      </c>
      <c r="O224" s="51" t="n">
        <v>1</v>
      </c>
      <c r="P224" s="49">
        <f>(F224+H224+J224+L224)*O224</f>
        <v/>
      </c>
      <c r="Q224" s="70">
        <f>M224*O224</f>
        <v/>
      </c>
      <c r="R224" s="70">
        <f>N224*O224</f>
        <v/>
      </c>
    </row>
    <row r="225">
      <c r="A225" s="49" t="n">
        <v>2</v>
      </c>
      <c r="B225" s="49" t="n">
        <v>25</v>
      </c>
      <c r="C225" s="72" t="inlineStr">
        <is>
          <t>А500С</t>
        </is>
      </c>
      <c r="D225" s="49" t="n">
        <v>8</v>
      </c>
      <c r="E225" s="69" t="n">
        <v>8.699999999999999</v>
      </c>
      <c r="F225" s="51" t="n">
        <v>1</v>
      </c>
      <c r="G225" s="69" t="n">
        <v>2.4</v>
      </c>
      <c r="H225" s="51" t="n">
        <v>1</v>
      </c>
      <c r="I225" s="69" t="n">
        <v>0.2</v>
      </c>
      <c r="J225" s="51" t="n">
        <v>2</v>
      </c>
      <c r="K225" s="21" t="n"/>
      <c r="L225" s="21" t="n"/>
      <c r="M225" s="37">
        <f>E225*F225+G225*H225+I225*J225+K225*L225</f>
        <v/>
      </c>
      <c r="N225" s="37">
        <f>Исходные!$B$13-M225</f>
        <v/>
      </c>
      <c r="O225" s="51" t="n">
        <v>1</v>
      </c>
      <c r="P225" s="49">
        <f>(F225+H225+J225+L225)*O225</f>
        <v/>
      </c>
      <c r="Q225" s="70">
        <f>M225*O225</f>
        <v/>
      </c>
      <c r="R225" s="70">
        <f>N225*O225</f>
        <v/>
      </c>
    </row>
    <row r="226">
      <c r="A226" s="49" t="n">
        <v>2</v>
      </c>
      <c r="B226" s="49" t="n">
        <v>25</v>
      </c>
      <c r="C226" s="72" t="inlineStr">
        <is>
          <t>А500С</t>
        </is>
      </c>
      <c r="D226" s="49" t="n">
        <v>9</v>
      </c>
      <c r="E226" s="69" t="n">
        <v>8.699999999999999</v>
      </c>
      <c r="F226" s="51" t="n">
        <v>1</v>
      </c>
      <c r="G226" s="69" t="n">
        <v>2.4</v>
      </c>
      <c r="H226" s="51" t="n">
        <v>1</v>
      </c>
      <c r="I226" s="21" t="n"/>
      <c r="J226" s="21" t="n"/>
      <c r="K226" s="21" t="n"/>
      <c r="L226" s="21" t="n"/>
      <c r="M226" s="37">
        <f>E226*F226+G226*H226+I226*J226+K226*L226</f>
        <v/>
      </c>
      <c r="N226" s="37">
        <f>Исходные!$B$13-M226</f>
        <v/>
      </c>
      <c r="O226" s="51" t="n">
        <v>2</v>
      </c>
      <c r="P226" s="49">
        <f>(F226+H226+J226+L226)*O226</f>
        <v/>
      </c>
      <c r="Q226" s="70">
        <f>M226*O226</f>
        <v/>
      </c>
      <c r="R226" s="70">
        <f>N226*O226</f>
        <v/>
      </c>
    </row>
    <row r="227">
      <c r="A227" s="49" t="n">
        <v>2</v>
      </c>
      <c r="B227" s="49" t="n">
        <v>25</v>
      </c>
      <c r="C227" s="72" t="inlineStr">
        <is>
          <t>А500С</t>
        </is>
      </c>
      <c r="D227" s="49" t="n">
        <v>10</v>
      </c>
      <c r="E227" s="69" t="n">
        <v>5.5</v>
      </c>
      <c r="F227" s="51" t="n">
        <v>2</v>
      </c>
      <c r="G227" s="21" t="n"/>
      <c r="H227" s="21" t="n"/>
      <c r="I227" s="21" t="n"/>
      <c r="J227" s="21" t="n"/>
      <c r="K227" s="21" t="n"/>
      <c r="L227" s="21" t="n"/>
      <c r="M227" s="37">
        <f>E227*F227+G227*H227+I227*J227+K227*L227</f>
        <v/>
      </c>
      <c r="N227" s="37">
        <f>Исходные!$B$13-M227</f>
        <v/>
      </c>
      <c r="O227" s="51" t="n">
        <v>2</v>
      </c>
      <c r="P227" s="49">
        <f>(F227+H227+J227+L227)*O227</f>
        <v/>
      </c>
      <c r="Q227" s="70">
        <f>M227*O227</f>
        <v/>
      </c>
      <c r="R227" s="70">
        <f>N227*O227</f>
        <v/>
      </c>
    </row>
    <row r="228">
      <c r="A228" s="49" t="n">
        <v>2</v>
      </c>
      <c r="B228" s="49" t="n">
        <v>25</v>
      </c>
      <c r="C228" s="72" t="inlineStr">
        <is>
          <t>А500С</t>
        </is>
      </c>
      <c r="D228" s="49" t="n">
        <v>11</v>
      </c>
      <c r="E228" s="69" t="n">
        <v>3.785</v>
      </c>
      <c r="F228" s="51" t="n">
        <v>1</v>
      </c>
      <c r="G228" s="69" t="n">
        <v>3.6</v>
      </c>
      <c r="H228" s="51" t="n">
        <v>2</v>
      </c>
      <c r="I228" s="21" t="n"/>
      <c r="J228" s="21" t="n"/>
      <c r="K228" s="21" t="n"/>
      <c r="L228" s="21" t="n"/>
      <c r="M228" s="37">
        <f>E228*F228+G228*H228+I228*J228+K228*L228</f>
        <v/>
      </c>
      <c r="N228" s="37">
        <f>Исходные!$B$13-M228</f>
        <v/>
      </c>
      <c r="O228" s="51" t="n">
        <v>1</v>
      </c>
      <c r="P228" s="49">
        <f>(F228+H228+J228+L228)*O228</f>
        <v/>
      </c>
      <c r="Q228" s="70">
        <f>M228*O228</f>
        <v/>
      </c>
      <c r="R228" s="70">
        <f>N228*O228</f>
        <v/>
      </c>
    </row>
    <row r="229">
      <c r="A229" s="49" t="n">
        <v>2</v>
      </c>
      <c r="B229" s="49" t="n">
        <v>25</v>
      </c>
      <c r="C229" s="72" t="inlineStr">
        <is>
          <t>А500С</t>
        </is>
      </c>
      <c r="D229" s="49" t="n">
        <v>12</v>
      </c>
      <c r="E229" s="69" t="n">
        <v>8.699999999999999</v>
      </c>
      <c r="F229" s="51" t="n">
        <v>1</v>
      </c>
      <c r="G229" s="69" t="n">
        <v>2.21</v>
      </c>
      <c r="H229" s="51" t="n">
        <v>1</v>
      </c>
      <c r="I229" s="21" t="n"/>
      <c r="J229" s="21" t="n"/>
      <c r="K229" s="21" t="n"/>
      <c r="L229" s="21" t="n"/>
      <c r="M229" s="37">
        <f>E229*F229+G229*H229+I229*J229+K229*L229</f>
        <v/>
      </c>
      <c r="N229" s="37">
        <f>Исходные!$B$13-M229</f>
        <v/>
      </c>
      <c r="O229" s="51" t="n">
        <v>3</v>
      </c>
      <c r="P229" s="49">
        <f>(F229+H229+J229+L229)*O229</f>
        <v/>
      </c>
      <c r="Q229" s="70">
        <f>M229*O229</f>
        <v/>
      </c>
      <c r="R229" s="70">
        <f>N229*O229</f>
        <v/>
      </c>
    </row>
    <row r="230">
      <c r="A230" s="49" t="n">
        <v>2</v>
      </c>
      <c r="B230" s="49" t="n">
        <v>25</v>
      </c>
      <c r="C230" s="72" t="inlineStr">
        <is>
          <t>А500С</t>
        </is>
      </c>
      <c r="D230" s="49" t="n">
        <v>13</v>
      </c>
      <c r="E230" s="69" t="n">
        <v>8.699999999999999</v>
      </c>
      <c r="F230" s="51" t="n">
        <v>1</v>
      </c>
      <c r="G230" s="69" t="n">
        <v>2.2</v>
      </c>
      <c r="H230" s="51" t="n">
        <v>1</v>
      </c>
      <c r="I230" s="21" t="n"/>
      <c r="J230" s="21" t="n"/>
      <c r="K230" s="21" t="n"/>
      <c r="L230" s="21" t="n"/>
      <c r="M230" s="37">
        <f>E230*F230+G230*H230+I230*J230+K230*L230</f>
        <v/>
      </c>
      <c r="N230" s="37">
        <f>Исходные!$B$13-M230</f>
        <v/>
      </c>
      <c r="O230" s="51" t="n">
        <v>6</v>
      </c>
      <c r="P230" s="49">
        <f>(F230+H230+J230+L230)*O230</f>
        <v/>
      </c>
      <c r="Q230" s="70">
        <f>M230*O230</f>
        <v/>
      </c>
      <c r="R230" s="70">
        <f>N230*O230</f>
        <v/>
      </c>
    </row>
    <row r="231">
      <c r="A231" s="49" t="n">
        <v>2</v>
      </c>
      <c r="B231" s="49" t="n">
        <v>25</v>
      </c>
      <c r="C231" s="72" t="inlineStr">
        <is>
          <t>А500С</t>
        </is>
      </c>
      <c r="D231" s="49" t="n">
        <v>14</v>
      </c>
      <c r="E231" s="69" t="n">
        <v>3.6</v>
      </c>
      <c r="F231" s="51" t="n">
        <v>3</v>
      </c>
      <c r="G231" s="21" t="n"/>
      <c r="H231" s="21" t="n"/>
      <c r="I231" s="21" t="n"/>
      <c r="J231" s="21" t="n"/>
      <c r="K231" s="21" t="n"/>
      <c r="L231" s="21" t="n"/>
      <c r="M231" s="37">
        <f>E231*F231+G231*H231+I231*J231+K231*L231</f>
        <v/>
      </c>
      <c r="N231" s="37">
        <f>Исходные!$B$13-M231</f>
        <v/>
      </c>
      <c r="O231" s="51" t="n">
        <v>19</v>
      </c>
      <c r="P231" s="49">
        <f>(F231+H231+J231+L231)*O231</f>
        <v/>
      </c>
      <c r="Q231" s="70">
        <f>M231*O231</f>
        <v/>
      </c>
      <c r="R231" s="70">
        <f>N231*O231</f>
        <v/>
      </c>
    </row>
    <row r="232">
      <c r="A232" s="49" t="n">
        <v>2</v>
      </c>
      <c r="B232" s="49" t="n">
        <v>25</v>
      </c>
      <c r="C232" s="72" t="inlineStr">
        <is>
          <t>А500С</t>
        </is>
      </c>
      <c r="D232" s="49" t="n">
        <v>15</v>
      </c>
      <c r="E232" s="69" t="n">
        <v>3.065</v>
      </c>
      <c r="F232" s="51" t="n">
        <v>2</v>
      </c>
      <c r="G232" s="69" t="n">
        <v>2.2</v>
      </c>
      <c r="H232" s="51" t="n">
        <v>2</v>
      </c>
      <c r="I232" s="21" t="n"/>
      <c r="J232" s="21" t="n"/>
      <c r="K232" s="21" t="n"/>
      <c r="L232" s="21" t="n"/>
      <c r="M232" s="37">
        <f>E232*F232+G232*H232+I232*J232+K232*L232</f>
        <v/>
      </c>
      <c r="N232" s="37">
        <f>Исходные!$B$13-M232</f>
        <v/>
      </c>
      <c r="O232" s="51" t="n">
        <v>1</v>
      </c>
      <c r="P232" s="49">
        <f>(F232+H232+J232+L232)*O232</f>
        <v/>
      </c>
      <c r="Q232" s="70">
        <f>M232*O232</f>
        <v/>
      </c>
      <c r="R232" s="70">
        <f>N232*O232</f>
        <v/>
      </c>
    </row>
    <row r="233">
      <c r="A233" s="49" t="n">
        <v>2</v>
      </c>
      <c r="B233" s="49" t="n">
        <v>25</v>
      </c>
      <c r="C233" s="72" t="inlineStr">
        <is>
          <t>А500С</t>
        </is>
      </c>
      <c r="D233" s="49" t="n">
        <v>16</v>
      </c>
      <c r="E233" s="69" t="n">
        <v>3.6</v>
      </c>
      <c r="F233" s="51" t="n">
        <v>1</v>
      </c>
      <c r="G233" s="69" t="n">
        <v>3.365</v>
      </c>
      <c r="H233" s="51" t="n">
        <v>2</v>
      </c>
      <c r="I233" s="21" t="n"/>
      <c r="J233" s="21" t="n"/>
      <c r="K233" s="21" t="n"/>
      <c r="L233" s="21" t="n"/>
      <c r="M233" s="37">
        <f>E233*F233+G233*H233+I233*J233+K233*L233</f>
        <v/>
      </c>
      <c r="N233" s="37">
        <f>Исходные!$B$13-M233</f>
        <v/>
      </c>
      <c r="O233" s="51" t="n">
        <v>1</v>
      </c>
      <c r="P233" s="49">
        <f>(F233+H233+J233+L233)*O233</f>
        <v/>
      </c>
      <c r="Q233" s="70">
        <f>M233*O233</f>
        <v/>
      </c>
      <c r="R233" s="70">
        <f>N233*O233</f>
        <v/>
      </c>
    </row>
    <row r="234">
      <c r="A234" s="49" t="n">
        <v>2</v>
      </c>
      <c r="B234" s="49" t="n">
        <v>25</v>
      </c>
      <c r="C234" s="72" t="inlineStr">
        <is>
          <t>А500С</t>
        </is>
      </c>
      <c r="D234" s="49" t="n">
        <v>17</v>
      </c>
      <c r="E234" s="69" t="n">
        <v>2.05</v>
      </c>
      <c r="F234" s="51" t="n">
        <v>5</v>
      </c>
      <c r="G234" s="21" t="n"/>
      <c r="H234" s="21" t="n"/>
      <c r="I234" s="21" t="n"/>
      <c r="J234" s="21" t="n"/>
      <c r="K234" s="21" t="n"/>
      <c r="L234" s="21" t="n"/>
      <c r="M234" s="37">
        <f>E234*F234+G234*H234+I234*J234+K234*L234</f>
        <v/>
      </c>
      <c r="N234" s="37">
        <f>Исходные!$B$13-M234</f>
        <v/>
      </c>
      <c r="O234" s="51" t="n">
        <v>1</v>
      </c>
      <c r="P234" s="49">
        <f>(F234+H234+J234+L234)*O234</f>
        <v/>
      </c>
      <c r="Q234" s="70">
        <f>M234*O234</f>
        <v/>
      </c>
      <c r="R234" s="70">
        <f>N234*O234</f>
        <v/>
      </c>
    </row>
    <row r="235">
      <c r="A235" s="49" t="n">
        <v>2</v>
      </c>
      <c r="B235" s="49" t="n">
        <v>25</v>
      </c>
      <c r="C235" s="72" t="inlineStr">
        <is>
          <t>А500С</t>
        </is>
      </c>
      <c r="D235" s="49" t="n">
        <v>18</v>
      </c>
      <c r="E235" s="69" t="n">
        <v>2.05</v>
      </c>
      <c r="F235" s="51" t="n">
        <v>3</v>
      </c>
      <c r="G235" s="69" t="n">
        <v>2</v>
      </c>
      <c r="H235" s="51" t="n">
        <v>2</v>
      </c>
      <c r="I235" s="21" t="n"/>
      <c r="J235" s="21" t="n"/>
      <c r="K235" s="21" t="n"/>
      <c r="L235" s="21" t="n"/>
      <c r="M235" s="37">
        <f>E235*F235+G235*H235+I235*J235+K235*L235</f>
        <v/>
      </c>
      <c r="N235" s="37">
        <f>Исходные!$B$13-M235</f>
        <v/>
      </c>
      <c r="O235" s="51" t="n">
        <v>1</v>
      </c>
      <c r="P235" s="49">
        <f>(F235+H235+J235+L235)*O235</f>
        <v/>
      </c>
      <c r="Q235" s="70">
        <f>M235*O235</f>
        <v/>
      </c>
      <c r="R235" s="70">
        <f>N235*O235</f>
        <v/>
      </c>
    </row>
    <row r="236">
      <c r="A236" s="49" t="n">
        <v>2</v>
      </c>
      <c r="B236" s="49" t="n">
        <v>25</v>
      </c>
      <c r="C236" s="72" t="inlineStr">
        <is>
          <t>А500С</t>
        </is>
      </c>
      <c r="D236" s="49" t="n">
        <v>19</v>
      </c>
      <c r="E236" s="69" t="n">
        <v>2</v>
      </c>
      <c r="F236" s="51" t="n">
        <v>5</v>
      </c>
      <c r="G236" s="21" t="n"/>
      <c r="H236" s="21" t="n"/>
      <c r="I236" s="21" t="n"/>
      <c r="J236" s="21" t="n"/>
      <c r="K236" s="21" t="n"/>
      <c r="L236" s="21" t="n"/>
      <c r="M236" s="37">
        <f>E236*F236+G236*H236+I236*J236+K236*L236</f>
        <v/>
      </c>
      <c r="N236" s="37">
        <f>Исходные!$B$13-M236</f>
        <v/>
      </c>
      <c r="O236" s="51" t="n">
        <v>1</v>
      </c>
      <c r="P236" s="49">
        <f>(F236+H236+J236+L236)*O236</f>
        <v/>
      </c>
      <c r="Q236" s="70">
        <f>M236*O236</f>
        <v/>
      </c>
      <c r="R236" s="70">
        <f>N236*O236</f>
        <v/>
      </c>
    </row>
    <row r="237">
      <c r="A237" s="49" t="n">
        <v>2</v>
      </c>
      <c r="B237" s="49" t="n">
        <v>25</v>
      </c>
      <c r="C237" s="72" t="inlineStr">
        <is>
          <t>А500С</t>
        </is>
      </c>
      <c r="D237" s="49" t="n">
        <v>20</v>
      </c>
      <c r="E237" s="69" t="n">
        <v>2</v>
      </c>
      <c r="F237" s="51" t="n">
        <v>1</v>
      </c>
      <c r="G237" s="69" t="n">
        <v>1.85</v>
      </c>
      <c r="H237" s="51" t="n">
        <v>1</v>
      </c>
      <c r="I237" s="21" t="n"/>
      <c r="J237" s="21" t="n"/>
      <c r="K237" s="21" t="n"/>
      <c r="L237" s="21" t="n"/>
      <c r="M237" s="37">
        <f>E237*F237+G237*H237+I237*J237+K237*L237</f>
        <v/>
      </c>
      <c r="N237" s="37">
        <f>Исходные!$B$13-M237</f>
        <v/>
      </c>
      <c r="O237" s="51" t="n">
        <v>1</v>
      </c>
      <c r="P237" s="49">
        <f>(F237+H237+J237+L237)*O237</f>
        <v/>
      </c>
      <c r="Q237" s="70">
        <f>M237*O237</f>
        <v/>
      </c>
      <c r="R237" s="70">
        <f>N237*O237</f>
        <v/>
      </c>
    </row>
    <row r="238">
      <c r="A238" s="49" t="n">
        <v>2</v>
      </c>
      <c r="B238" s="49" t="n">
        <v>22</v>
      </c>
      <c r="C238" s="72" t="inlineStr">
        <is>
          <t>А500С</t>
        </is>
      </c>
      <c r="D238" s="49" t="n">
        <v>1</v>
      </c>
      <c r="E238" s="69" t="n">
        <v>7.95</v>
      </c>
      <c r="F238" s="51" t="n">
        <v>1</v>
      </c>
      <c r="G238" s="69" t="n">
        <v>3.7</v>
      </c>
      <c r="H238" s="51" t="n">
        <v>1</v>
      </c>
      <c r="I238" s="21" t="n"/>
      <c r="J238" s="21" t="n"/>
      <c r="K238" s="21" t="n"/>
      <c r="L238" s="21" t="n"/>
      <c r="M238" s="37">
        <f>E238*F238+G238*H238+I238*J238+K238*L238</f>
        <v/>
      </c>
      <c r="N238" s="37">
        <f>Исходные!$B$13-M238</f>
        <v/>
      </c>
      <c r="O238" s="51" t="n">
        <v>2</v>
      </c>
      <c r="P238" s="49">
        <f>(F238+H238+J238+L238)*O238</f>
        <v/>
      </c>
      <c r="Q238" s="70">
        <f>M238*O238</f>
        <v/>
      </c>
      <c r="R238" s="70">
        <f>N238*O238</f>
        <v/>
      </c>
    </row>
    <row r="239">
      <c r="A239" s="49" t="n">
        <v>2</v>
      </c>
      <c r="B239" s="49" t="n">
        <v>22</v>
      </c>
      <c r="C239" s="72" t="inlineStr">
        <is>
          <t>А500С</t>
        </is>
      </c>
      <c r="D239" s="49" t="n">
        <v>2</v>
      </c>
      <c r="E239" s="69" t="n">
        <v>3.6</v>
      </c>
      <c r="F239" s="51" t="n">
        <v>2</v>
      </c>
      <c r="G239" s="69" t="n">
        <v>2.375</v>
      </c>
      <c r="H239" s="51" t="n">
        <v>1</v>
      </c>
      <c r="I239" s="69" t="n">
        <v>2.05</v>
      </c>
      <c r="J239" s="51" t="n">
        <v>1</v>
      </c>
      <c r="K239" s="21" t="n"/>
      <c r="L239" s="21" t="n"/>
      <c r="M239" s="37">
        <f>E239*F239+G239*H239+I239*J239+K239*L239</f>
        <v/>
      </c>
      <c r="N239" s="37">
        <f>Исходные!$B$13-M239</f>
        <v/>
      </c>
      <c r="O239" s="51" t="n">
        <v>1</v>
      </c>
      <c r="P239" s="49">
        <f>(F239+H239+J239+L239)*O239</f>
        <v/>
      </c>
      <c r="Q239" s="70">
        <f>M239*O239</f>
        <v/>
      </c>
      <c r="R239" s="70">
        <f>N239*O239</f>
        <v/>
      </c>
    </row>
    <row r="240">
      <c r="A240" s="49" t="n">
        <v>2</v>
      </c>
      <c r="B240" s="49" t="n">
        <v>22</v>
      </c>
      <c r="C240" s="72" t="inlineStr">
        <is>
          <t>А500С</t>
        </is>
      </c>
      <c r="D240" s="49" t="n">
        <v>3</v>
      </c>
      <c r="E240" s="69" t="n">
        <v>4.2</v>
      </c>
      <c r="F240" s="51" t="n">
        <v>2</v>
      </c>
      <c r="G240" s="69" t="n">
        <v>3.2</v>
      </c>
      <c r="H240" s="51" t="n">
        <v>1</v>
      </c>
      <c r="I240" s="21" t="n"/>
      <c r="J240" s="21" t="n"/>
      <c r="K240" s="21" t="n"/>
      <c r="L240" s="21" t="n"/>
      <c r="M240" s="37">
        <f>E240*F240+G240*H240+I240*J240+K240*L240</f>
        <v/>
      </c>
      <c r="N240" s="37">
        <f>Исходные!$B$13-M240</f>
        <v/>
      </c>
      <c r="O240" s="51" t="n">
        <v>1</v>
      </c>
      <c r="P240" s="49">
        <f>(F240+H240+J240+L240)*O240</f>
        <v/>
      </c>
      <c r="Q240" s="70">
        <f>M240*O240</f>
        <v/>
      </c>
      <c r="R240" s="70">
        <f>N240*O240</f>
        <v/>
      </c>
    </row>
    <row r="241">
      <c r="A241" s="49" t="n">
        <v>2</v>
      </c>
      <c r="B241" s="49" t="n">
        <v>22</v>
      </c>
      <c r="C241" s="72" t="inlineStr">
        <is>
          <t>А500С</t>
        </is>
      </c>
      <c r="D241" s="49" t="n">
        <v>4</v>
      </c>
      <c r="E241" s="69" t="n">
        <v>7.95</v>
      </c>
      <c r="F241" s="51" t="n">
        <v>1</v>
      </c>
      <c r="G241" s="69" t="n">
        <v>3.6</v>
      </c>
      <c r="H241" s="51" t="n">
        <v>1</v>
      </c>
      <c r="I241" s="21" t="n"/>
      <c r="J241" s="21" t="n"/>
      <c r="K241" s="21" t="n"/>
      <c r="L241" s="21" t="n"/>
      <c r="M241" s="37">
        <f>E241*F241+G241*H241+I241*J241+K241*L241</f>
        <v/>
      </c>
      <c r="N241" s="37">
        <f>Исходные!$B$13-M241</f>
        <v/>
      </c>
      <c r="O241" s="51" t="n">
        <v>2</v>
      </c>
      <c r="P241" s="49">
        <f>(F241+H241+J241+L241)*O241</f>
        <v/>
      </c>
      <c r="Q241" s="70">
        <f>M241*O241</f>
        <v/>
      </c>
      <c r="R241" s="70">
        <f>N241*O241</f>
        <v/>
      </c>
    </row>
    <row r="242">
      <c r="A242" s="49" t="n">
        <v>2</v>
      </c>
      <c r="B242" s="49" t="n">
        <v>22</v>
      </c>
      <c r="C242" s="72" t="inlineStr">
        <is>
          <t>А500С</t>
        </is>
      </c>
      <c r="D242" s="49" t="n">
        <v>5</v>
      </c>
      <c r="E242" s="69" t="n">
        <v>4.15</v>
      </c>
      <c r="F242" s="51" t="n">
        <v>2</v>
      </c>
      <c r="G242" s="69" t="n">
        <v>3.2</v>
      </c>
      <c r="H242" s="51" t="n">
        <v>1</v>
      </c>
      <c r="I242" s="21" t="n"/>
      <c r="J242" s="21" t="n"/>
      <c r="K242" s="21" t="n"/>
      <c r="L242" s="21" t="n"/>
      <c r="M242" s="37">
        <f>E242*F242+G242*H242+I242*J242+K242*L242</f>
        <v/>
      </c>
      <c r="N242" s="37">
        <f>Исходные!$B$13-M242</f>
        <v/>
      </c>
      <c r="O242" s="51" t="n">
        <v>3</v>
      </c>
      <c r="P242" s="49">
        <f>(F242+H242+J242+L242)*O242</f>
        <v/>
      </c>
      <c r="Q242" s="70">
        <f>M242*O242</f>
        <v/>
      </c>
      <c r="R242" s="70">
        <f>N242*O242</f>
        <v/>
      </c>
    </row>
    <row r="243">
      <c r="A243" s="49" t="n">
        <v>2</v>
      </c>
      <c r="B243" s="49" t="n">
        <v>22</v>
      </c>
      <c r="C243" s="72" t="inlineStr">
        <is>
          <t>А500С</t>
        </is>
      </c>
      <c r="D243" s="49" t="n">
        <v>6</v>
      </c>
      <c r="E243" s="69" t="n">
        <v>4.5</v>
      </c>
      <c r="F243" s="51" t="n">
        <v>2</v>
      </c>
      <c r="G243" s="69" t="n">
        <v>2.4</v>
      </c>
      <c r="H243" s="51" t="n">
        <v>1</v>
      </c>
      <c r="I243" s="21" t="n"/>
      <c r="J243" s="21" t="n"/>
      <c r="K243" s="21" t="n"/>
      <c r="L243" s="21" t="n"/>
      <c r="M243" s="37">
        <f>E243*F243+G243*H243+I243*J243+K243*L243</f>
        <v/>
      </c>
      <c r="N243" s="37">
        <f>Исходные!$B$13-M243</f>
        <v/>
      </c>
      <c r="O243" s="51" t="n">
        <v>1</v>
      </c>
      <c r="P243" s="49">
        <f>(F243+H243+J243+L243)*O243</f>
        <v/>
      </c>
      <c r="Q243" s="70">
        <f>M243*O243</f>
        <v/>
      </c>
      <c r="R243" s="70">
        <f>N243*O243</f>
        <v/>
      </c>
    </row>
    <row r="244">
      <c r="A244" s="49" t="n">
        <v>2</v>
      </c>
      <c r="B244" s="49" t="n">
        <v>22</v>
      </c>
      <c r="C244" s="72" t="inlineStr">
        <is>
          <t>А500С</t>
        </is>
      </c>
      <c r="D244" s="49" t="n">
        <v>7</v>
      </c>
      <c r="E244" s="69" t="n">
        <v>3.775</v>
      </c>
      <c r="F244" s="51" t="n">
        <v>3</v>
      </c>
      <c r="G244" s="21" t="n"/>
      <c r="H244" s="21" t="n"/>
      <c r="I244" s="21" t="n"/>
      <c r="J244" s="21" t="n"/>
      <c r="K244" s="21" t="n"/>
      <c r="L244" s="21" t="n"/>
      <c r="M244" s="37">
        <f>E244*F244+G244*H244+I244*J244+K244*L244</f>
        <v/>
      </c>
      <c r="N244" s="37">
        <f>Исходные!$B$13-M244</f>
        <v/>
      </c>
      <c r="O244" s="51" t="n">
        <v>1</v>
      </c>
      <c r="P244" s="49">
        <f>(F244+H244+J244+L244)*O244</f>
        <v/>
      </c>
      <c r="Q244" s="70">
        <f>M244*O244</f>
        <v/>
      </c>
      <c r="R244" s="70">
        <f>N244*O244</f>
        <v/>
      </c>
    </row>
    <row r="245">
      <c r="A245" s="49" t="n">
        <v>2</v>
      </c>
      <c r="B245" s="49" t="n">
        <v>22</v>
      </c>
      <c r="C245" s="72" t="inlineStr">
        <is>
          <t>А500С</t>
        </is>
      </c>
      <c r="D245" s="49" t="n">
        <v>8</v>
      </c>
      <c r="E245" s="69" t="n">
        <v>2.375</v>
      </c>
      <c r="F245" s="51" t="n">
        <v>1</v>
      </c>
      <c r="G245" s="69" t="n">
        <v>2.175</v>
      </c>
      <c r="H245" s="51" t="n">
        <v>4</v>
      </c>
      <c r="I245" s="21" t="n"/>
      <c r="J245" s="21" t="n"/>
      <c r="K245" s="21" t="n"/>
      <c r="L245" s="21" t="n"/>
      <c r="M245" s="37">
        <f>E245*F245+G245*H245+I245*J245+K245*L245</f>
        <v/>
      </c>
      <c r="N245" s="37">
        <f>Исходные!$B$13-M245</f>
        <v/>
      </c>
      <c r="O245" s="51" t="n">
        <v>1</v>
      </c>
      <c r="P245" s="49">
        <f>(F245+H245+J245+L245)*O245</f>
        <v/>
      </c>
      <c r="Q245" s="70">
        <f>M245*O245</f>
        <v/>
      </c>
      <c r="R245" s="70">
        <f>N245*O245</f>
        <v/>
      </c>
    </row>
    <row r="246">
      <c r="A246" s="49" t="n">
        <v>2</v>
      </c>
      <c r="B246" s="49" t="n">
        <v>22</v>
      </c>
      <c r="C246" s="72" t="inlineStr">
        <is>
          <t>А500С</t>
        </is>
      </c>
      <c r="D246" s="49" t="n">
        <v>9</v>
      </c>
      <c r="E246" s="69" t="n">
        <v>4.3</v>
      </c>
      <c r="F246" s="51" t="n">
        <v>2</v>
      </c>
      <c r="G246" s="69" t="n">
        <v>2.375</v>
      </c>
      <c r="H246" s="51" t="n">
        <v>1</v>
      </c>
      <c r="I246" s="21" t="n"/>
      <c r="J246" s="21" t="n"/>
      <c r="K246" s="21" t="n"/>
      <c r="L246" s="21" t="n"/>
      <c r="M246" s="37">
        <f>E246*F246+G246*H246+I246*J246+K246*L246</f>
        <v/>
      </c>
      <c r="N246" s="37">
        <f>Исходные!$B$13-M246</f>
        <v/>
      </c>
      <c r="O246" s="51" t="n">
        <v>1</v>
      </c>
      <c r="P246" s="49">
        <f>(F246+H246+J246+L246)*O246</f>
        <v/>
      </c>
      <c r="Q246" s="70">
        <f>M246*O246</f>
        <v/>
      </c>
      <c r="R246" s="70">
        <f>N246*O246</f>
        <v/>
      </c>
    </row>
    <row r="247">
      <c r="A247" s="49" t="n">
        <v>2</v>
      </c>
      <c r="B247" s="49" t="n">
        <v>22</v>
      </c>
      <c r="C247" s="72" t="inlineStr">
        <is>
          <t>А500С</t>
        </is>
      </c>
      <c r="D247" s="49" t="n">
        <v>10</v>
      </c>
      <c r="E247" s="69" t="n">
        <v>3.775</v>
      </c>
      <c r="F247" s="51" t="n">
        <v>1</v>
      </c>
      <c r="G247" s="69" t="n">
        <v>3.6</v>
      </c>
      <c r="H247" s="51" t="n">
        <v>2</v>
      </c>
      <c r="I247" s="21" t="n"/>
      <c r="J247" s="21" t="n"/>
      <c r="K247" s="21" t="n"/>
      <c r="L247" s="21" t="n"/>
      <c r="M247" s="37">
        <f>E247*F247+G247*H247+I247*J247+K247*L247</f>
        <v/>
      </c>
      <c r="N247" s="37">
        <f>Исходные!$B$13-M247</f>
        <v/>
      </c>
      <c r="O247" s="51" t="n">
        <v>1</v>
      </c>
      <c r="P247" s="49">
        <f>(F247+H247+J247+L247)*O247</f>
        <v/>
      </c>
      <c r="Q247" s="70">
        <f>M247*O247</f>
        <v/>
      </c>
      <c r="R247" s="70">
        <f>N247*O247</f>
        <v/>
      </c>
    </row>
    <row r="248">
      <c r="A248" s="49" t="n">
        <v>2</v>
      </c>
      <c r="B248" s="49" t="n">
        <v>22</v>
      </c>
      <c r="C248" s="72" t="inlineStr">
        <is>
          <t>А500С</t>
        </is>
      </c>
      <c r="D248" s="49" t="n">
        <v>11</v>
      </c>
      <c r="E248" s="69" t="n">
        <v>2.175</v>
      </c>
      <c r="F248" s="51" t="n">
        <v>5</v>
      </c>
      <c r="G248" s="21" t="n"/>
      <c r="H248" s="21" t="n"/>
      <c r="I248" s="21" t="n"/>
      <c r="J248" s="21" t="n"/>
      <c r="K248" s="21" t="n"/>
      <c r="L248" s="21" t="n"/>
      <c r="M248" s="37">
        <f>E248*F248+G248*H248+I248*J248+K248*L248</f>
        <v/>
      </c>
      <c r="N248" s="37">
        <f>Исходные!$B$13-M248</f>
        <v/>
      </c>
      <c r="O248" s="51" t="n">
        <v>2</v>
      </c>
      <c r="P248" s="49">
        <f>(F248+H248+J248+L248)*O248</f>
        <v/>
      </c>
      <c r="Q248" s="70">
        <f>M248*O248</f>
        <v/>
      </c>
      <c r="R248" s="70">
        <f>N248*O248</f>
        <v/>
      </c>
    </row>
    <row r="249">
      <c r="A249" s="49" t="n">
        <v>2</v>
      </c>
      <c r="B249" s="49" t="n">
        <v>22</v>
      </c>
      <c r="C249" s="72" t="inlineStr">
        <is>
          <t>А500С</t>
        </is>
      </c>
      <c r="D249" s="49" t="n">
        <v>12</v>
      </c>
      <c r="E249" s="69" t="n">
        <v>2.175</v>
      </c>
      <c r="F249" s="51" t="n">
        <v>2</v>
      </c>
      <c r="G249" s="69" t="n">
        <v>2.15</v>
      </c>
      <c r="H249" s="51" t="n">
        <v>3</v>
      </c>
      <c r="I249" s="21" t="n"/>
      <c r="J249" s="21" t="n"/>
      <c r="K249" s="21" t="n"/>
      <c r="L249" s="21" t="n"/>
      <c r="M249" s="37">
        <f>E249*F249+G249*H249+I249*J249+K249*L249</f>
        <v/>
      </c>
      <c r="N249" s="37">
        <f>Исходные!$B$13-M249</f>
        <v/>
      </c>
      <c r="O249" s="51" t="n">
        <v>1</v>
      </c>
      <c r="P249" s="49">
        <f>(F249+H249+J249+L249)*O249</f>
        <v/>
      </c>
      <c r="Q249" s="70">
        <f>M249*O249</f>
        <v/>
      </c>
      <c r="R249" s="70">
        <f>N249*O249</f>
        <v/>
      </c>
    </row>
    <row r="250">
      <c r="A250" s="49" t="n">
        <v>2</v>
      </c>
      <c r="B250" s="49" t="n">
        <v>22</v>
      </c>
      <c r="C250" s="72" t="inlineStr">
        <is>
          <t>А500С</t>
        </is>
      </c>
      <c r="D250" s="49" t="n">
        <v>13</v>
      </c>
      <c r="E250" s="69" t="n">
        <v>2.15</v>
      </c>
      <c r="F250" s="51" t="n">
        <v>5</v>
      </c>
      <c r="G250" s="21" t="n"/>
      <c r="H250" s="21" t="n"/>
      <c r="I250" s="21" t="n"/>
      <c r="J250" s="21" t="n"/>
      <c r="K250" s="21" t="n"/>
      <c r="L250" s="21" t="n"/>
      <c r="M250" s="37">
        <f>E250*F250+G250*H250+I250*J250+K250*L250</f>
        <v/>
      </c>
      <c r="N250" s="37">
        <f>Исходные!$B$13-M250</f>
        <v/>
      </c>
      <c r="O250" s="51" t="n">
        <v>2</v>
      </c>
      <c r="P250" s="49">
        <f>(F250+H250+J250+L250)*O250</f>
        <v/>
      </c>
      <c r="Q250" s="70">
        <f>M250*O250</f>
        <v/>
      </c>
      <c r="R250" s="70">
        <f>N250*O250</f>
        <v/>
      </c>
    </row>
    <row r="251">
      <c r="A251" s="49" t="n">
        <v>2</v>
      </c>
      <c r="B251" s="49" t="n">
        <v>22</v>
      </c>
      <c r="C251" s="72" t="inlineStr">
        <is>
          <t>А500С</t>
        </is>
      </c>
      <c r="D251" s="49" t="n">
        <v>14</v>
      </c>
      <c r="E251" s="69" t="n">
        <v>4.15</v>
      </c>
      <c r="F251" s="51" t="n">
        <v>2</v>
      </c>
      <c r="G251" s="69" t="n">
        <v>2.375</v>
      </c>
      <c r="H251" s="51" t="n">
        <v>1</v>
      </c>
      <c r="I251" s="21" t="n"/>
      <c r="J251" s="21" t="n"/>
      <c r="K251" s="21" t="n"/>
      <c r="L251" s="21" t="n"/>
      <c r="M251" s="37">
        <f>E251*F251+G251*H251+I251*J251+K251*L251</f>
        <v/>
      </c>
      <c r="N251" s="37">
        <f>Исходные!$B$13-M251</f>
        <v/>
      </c>
      <c r="O251" s="51" t="n">
        <v>1</v>
      </c>
      <c r="P251" s="49">
        <f>(F251+H251+J251+L251)*O251</f>
        <v/>
      </c>
      <c r="Q251" s="70">
        <f>M251*O251</f>
        <v/>
      </c>
      <c r="R251" s="70">
        <f>N251*O251</f>
        <v/>
      </c>
    </row>
    <row r="252">
      <c r="A252" s="49" t="n">
        <v>2</v>
      </c>
      <c r="B252" s="49" t="n">
        <v>22</v>
      </c>
      <c r="C252" s="72" t="inlineStr">
        <is>
          <t>А500С</t>
        </is>
      </c>
      <c r="D252" s="49" t="n">
        <v>15</v>
      </c>
      <c r="E252" s="69" t="n">
        <v>2.15</v>
      </c>
      <c r="F252" s="51" t="n">
        <v>3</v>
      </c>
      <c r="G252" s="69" t="n">
        <v>2.05</v>
      </c>
      <c r="H252" s="51" t="n">
        <v>1</v>
      </c>
      <c r="I252" s="21" t="n"/>
      <c r="J252" s="21" t="n"/>
      <c r="K252" s="21" t="n"/>
      <c r="L252" s="21" t="n"/>
      <c r="M252" s="37">
        <f>E252*F252+G252*H252+I252*J252+K252*L252</f>
        <v/>
      </c>
      <c r="N252" s="37">
        <f>Исходные!$B$13-M252</f>
        <v/>
      </c>
      <c r="O252" s="51" t="n">
        <v>1</v>
      </c>
      <c r="P252" s="49">
        <f>(F252+H252+J252+L252)*O252</f>
        <v/>
      </c>
      <c r="Q252" s="70">
        <f>M252*O252</f>
        <v/>
      </c>
      <c r="R252" s="70">
        <f>N252*O252</f>
        <v/>
      </c>
    </row>
    <row r="253">
      <c r="A253" s="49" t="n">
        <v>2</v>
      </c>
      <c r="B253" s="49" t="n">
        <v>20</v>
      </c>
      <c r="C253" s="72" t="inlineStr">
        <is>
          <t>А500С</t>
        </is>
      </c>
      <c r="D253" s="49" t="n">
        <v>1</v>
      </c>
      <c r="E253" s="69" t="n">
        <v>3.3</v>
      </c>
      <c r="F253" s="51" t="n">
        <v>1</v>
      </c>
      <c r="G253" s="69" t="n">
        <v>3.05</v>
      </c>
      <c r="H253" s="51" t="n">
        <v>2</v>
      </c>
      <c r="I253" s="69" t="n">
        <v>2.3</v>
      </c>
      <c r="J253" s="51" t="n">
        <v>1</v>
      </c>
      <c r="K253" s="21" t="n"/>
      <c r="L253" s="21" t="n"/>
      <c r="M253" s="37">
        <f>E253*F253+G253*H253+I253*J253+K253*L253</f>
        <v/>
      </c>
      <c r="N253" s="37">
        <f>Исходные!$B$13-M253</f>
        <v/>
      </c>
      <c r="O253" s="51" t="n">
        <v>1</v>
      </c>
      <c r="P253" s="49">
        <f>(F253+H253+J253+L253)*O253</f>
        <v/>
      </c>
      <c r="Q253" s="70">
        <f>M253*O253</f>
        <v/>
      </c>
      <c r="R253" s="70">
        <f>N253*O253</f>
        <v/>
      </c>
    </row>
    <row r="254">
      <c r="A254" s="49" t="n">
        <v>2</v>
      </c>
      <c r="B254" s="49" t="n">
        <v>20</v>
      </c>
      <c r="C254" s="72" t="inlineStr">
        <is>
          <t>А500С</t>
        </is>
      </c>
      <c r="D254" s="49" t="n">
        <v>2</v>
      </c>
      <c r="E254" s="69" t="n">
        <v>4.1</v>
      </c>
      <c r="F254" s="51" t="n">
        <v>1</v>
      </c>
      <c r="G254" s="69" t="n">
        <v>3.785</v>
      </c>
      <c r="H254" s="51" t="n">
        <v>2</v>
      </c>
      <c r="I254" s="21" t="n"/>
      <c r="J254" s="21" t="n"/>
      <c r="K254" s="21" t="n"/>
      <c r="L254" s="21" t="n"/>
      <c r="M254" s="37">
        <f>E254*F254+G254*H254+I254*J254+K254*L254</f>
        <v/>
      </c>
      <c r="N254" s="37">
        <f>Исходные!$B$13-M254</f>
        <v/>
      </c>
      <c r="O254" s="51" t="n">
        <v>1</v>
      </c>
      <c r="P254" s="49">
        <f>(F254+H254+J254+L254)*O254</f>
        <v/>
      </c>
      <c r="Q254" s="70">
        <f>M254*O254</f>
        <v/>
      </c>
      <c r="R254" s="70">
        <f>N254*O254</f>
        <v/>
      </c>
    </row>
    <row r="255">
      <c r="A255" s="49" t="n">
        <v>2</v>
      </c>
      <c r="B255" s="49" t="n">
        <v>20</v>
      </c>
      <c r="C255" s="72" t="inlineStr">
        <is>
          <t>А500С</t>
        </is>
      </c>
      <c r="D255" s="49" t="n">
        <v>3</v>
      </c>
      <c r="E255" s="69" t="n">
        <v>4.7</v>
      </c>
      <c r="F255" s="51" t="n">
        <v>1</v>
      </c>
      <c r="G255" s="69" t="n">
        <v>4.1</v>
      </c>
      <c r="H255" s="51" t="n">
        <v>1</v>
      </c>
      <c r="I255" s="69" t="n">
        <v>2.85</v>
      </c>
      <c r="J255" s="51" t="n">
        <v>1</v>
      </c>
      <c r="K255" s="21" t="n"/>
      <c r="L255" s="21" t="n"/>
      <c r="M255" s="37">
        <f>E255*F255+G255*H255+I255*J255+K255*L255</f>
        <v/>
      </c>
      <c r="N255" s="37">
        <f>Исходные!$B$13-M255</f>
        <v/>
      </c>
      <c r="O255" s="51" t="n">
        <v>1</v>
      </c>
      <c r="P255" s="49">
        <f>(F255+H255+J255+L255)*O255</f>
        <v/>
      </c>
      <c r="Q255" s="70">
        <f>M255*O255</f>
        <v/>
      </c>
      <c r="R255" s="70">
        <f>N255*O255</f>
        <v/>
      </c>
    </row>
    <row r="256">
      <c r="A256" s="49" t="n">
        <v>2</v>
      </c>
      <c r="B256" s="49" t="n">
        <v>20</v>
      </c>
      <c r="C256" s="72" t="inlineStr">
        <is>
          <t>А500С</t>
        </is>
      </c>
      <c r="D256" s="49" t="n">
        <v>4</v>
      </c>
      <c r="E256" s="69" t="n">
        <v>4.1</v>
      </c>
      <c r="F256" s="51" t="n">
        <v>2</v>
      </c>
      <c r="G256" s="69" t="n">
        <v>3.325</v>
      </c>
      <c r="H256" s="51" t="n">
        <v>1</v>
      </c>
      <c r="I256" s="21" t="n"/>
      <c r="J256" s="21" t="n"/>
      <c r="K256" s="21" t="n"/>
      <c r="L256" s="21" t="n"/>
      <c r="M256" s="37">
        <f>E256*F256+G256*H256+I256*J256+K256*L256</f>
        <v/>
      </c>
      <c r="N256" s="37">
        <f>Исходные!$B$13-M256</f>
        <v/>
      </c>
      <c r="O256" s="51" t="n">
        <v>1</v>
      </c>
      <c r="P256" s="49">
        <f>(F256+H256+J256+L256)*O256</f>
        <v/>
      </c>
      <c r="Q256" s="70">
        <f>M256*O256</f>
        <v/>
      </c>
      <c r="R256" s="70">
        <f>N256*O256</f>
        <v/>
      </c>
    </row>
    <row r="257">
      <c r="A257" s="49" t="n">
        <v>2</v>
      </c>
      <c r="B257" s="49" t="n">
        <v>20</v>
      </c>
      <c r="C257" s="72" t="inlineStr">
        <is>
          <t>А500С</t>
        </is>
      </c>
      <c r="D257" s="49" t="n">
        <v>5</v>
      </c>
      <c r="E257" s="69" t="n">
        <v>3.05</v>
      </c>
      <c r="F257" s="51" t="n">
        <v>2</v>
      </c>
      <c r="G257" s="69" t="n">
        <v>3</v>
      </c>
      <c r="H257" s="51" t="n">
        <v>1</v>
      </c>
      <c r="I257" s="69" t="n">
        <v>2.3</v>
      </c>
      <c r="J257" s="51" t="n">
        <v>1</v>
      </c>
      <c r="K257" s="21" t="n"/>
      <c r="L257" s="21" t="n"/>
      <c r="M257" s="37">
        <f>E257*F257+G257*H257+I257*J257+K257*L257</f>
        <v/>
      </c>
      <c r="N257" s="37">
        <f>Исходные!$B$13-M257</f>
        <v/>
      </c>
      <c r="O257" s="51" t="n">
        <v>1</v>
      </c>
      <c r="P257" s="49">
        <f>(F257+H257+J257+L257)*O257</f>
        <v/>
      </c>
      <c r="Q257" s="70">
        <f>M257*O257</f>
        <v/>
      </c>
      <c r="R257" s="70">
        <f>N257*O257</f>
        <v/>
      </c>
    </row>
    <row r="258">
      <c r="A258" s="49" t="n">
        <v>2</v>
      </c>
      <c r="B258" s="49" t="n">
        <v>20</v>
      </c>
      <c r="C258" s="72" t="inlineStr">
        <is>
          <t>А500С</t>
        </is>
      </c>
      <c r="D258" s="49" t="n">
        <v>6</v>
      </c>
      <c r="E258" s="69" t="n">
        <v>3.785</v>
      </c>
      <c r="F258" s="51" t="n">
        <v>2</v>
      </c>
      <c r="G258" s="69" t="n">
        <v>3.78</v>
      </c>
      <c r="H258" s="51" t="n">
        <v>1</v>
      </c>
      <c r="I258" s="21" t="n"/>
      <c r="J258" s="21" t="n"/>
      <c r="K258" s="21" t="n"/>
      <c r="L258" s="21" t="n"/>
      <c r="M258" s="37">
        <f>E258*F258+G258*H258+I258*J258+K258*L258</f>
        <v/>
      </c>
      <c r="N258" s="37">
        <f>Исходные!$B$13-M258</f>
        <v/>
      </c>
      <c r="O258" s="51" t="n">
        <v>1</v>
      </c>
      <c r="P258" s="49">
        <f>(F258+H258+J258+L258)*O258</f>
        <v/>
      </c>
      <c r="Q258" s="70">
        <f>M258*O258</f>
        <v/>
      </c>
      <c r="R258" s="70">
        <f>N258*O258</f>
        <v/>
      </c>
    </row>
    <row r="259">
      <c r="A259" s="49" t="n">
        <v>2</v>
      </c>
      <c r="B259" s="49" t="n">
        <v>20</v>
      </c>
      <c r="C259" s="72" t="inlineStr">
        <is>
          <t>А500С</t>
        </is>
      </c>
      <c r="D259" s="49" t="n">
        <v>7</v>
      </c>
      <c r="E259" s="69" t="n">
        <v>3.78</v>
      </c>
      <c r="F259" s="51" t="n">
        <v>3</v>
      </c>
      <c r="G259" s="21" t="n"/>
      <c r="H259" s="21" t="n"/>
      <c r="I259" s="21" t="n"/>
      <c r="J259" s="21" t="n"/>
      <c r="K259" s="21" t="n"/>
      <c r="L259" s="21" t="n"/>
      <c r="M259" s="37">
        <f>E259*F259+G259*H259+I259*J259+K259*L259</f>
        <v/>
      </c>
      <c r="N259" s="37">
        <f>Исходные!$B$13-M259</f>
        <v/>
      </c>
      <c r="O259" s="51" t="n">
        <v>1</v>
      </c>
      <c r="P259" s="49">
        <f>(F259+H259+J259+L259)*O259</f>
        <v/>
      </c>
      <c r="Q259" s="70">
        <f>M259*O259</f>
        <v/>
      </c>
      <c r="R259" s="70">
        <f>N259*O259</f>
        <v/>
      </c>
    </row>
    <row r="260">
      <c r="A260" s="49" t="n">
        <v>2</v>
      </c>
      <c r="B260" s="49" t="n">
        <v>20</v>
      </c>
      <c r="C260" s="72" t="inlineStr">
        <is>
          <t>А500С</t>
        </is>
      </c>
      <c r="D260" s="49" t="n">
        <v>8</v>
      </c>
      <c r="E260" s="69" t="n">
        <v>3.6</v>
      </c>
      <c r="F260" s="51" t="n">
        <v>3</v>
      </c>
      <c r="G260" s="21" t="n"/>
      <c r="H260" s="21" t="n"/>
      <c r="I260" s="21" t="n"/>
      <c r="J260" s="21" t="n"/>
      <c r="K260" s="21" t="n"/>
      <c r="L260" s="21" t="n"/>
      <c r="M260" s="37">
        <f>E260*F260+G260*H260+I260*J260+K260*L260</f>
        <v/>
      </c>
      <c r="N260" s="37">
        <f>Исходные!$B$13-M260</f>
        <v/>
      </c>
      <c r="O260" s="51" t="n">
        <v>54</v>
      </c>
      <c r="P260" s="49">
        <f>(F260+H260+J260+L260)*O260</f>
        <v/>
      </c>
      <c r="Q260" s="70">
        <f>M260*O260</f>
        <v/>
      </c>
      <c r="R260" s="70">
        <f>N260*O260</f>
        <v/>
      </c>
    </row>
    <row r="261">
      <c r="A261" s="49" t="n">
        <v>2</v>
      </c>
      <c r="B261" s="49" t="n">
        <v>20</v>
      </c>
      <c r="C261" s="72" t="inlineStr">
        <is>
          <t>А500С</t>
        </is>
      </c>
      <c r="D261" s="49" t="n">
        <v>9</v>
      </c>
      <c r="E261" s="69" t="n">
        <v>3.6</v>
      </c>
      <c r="F261" s="51" t="n">
        <v>2</v>
      </c>
      <c r="G261" s="69" t="n">
        <v>3.325</v>
      </c>
      <c r="H261" s="51" t="n">
        <v>1</v>
      </c>
      <c r="I261" s="21" t="n"/>
      <c r="J261" s="21" t="n"/>
      <c r="K261" s="21" t="n"/>
      <c r="L261" s="21" t="n"/>
      <c r="M261" s="37">
        <f>E261*F261+G261*H261+I261*J261+K261*L261</f>
        <v/>
      </c>
      <c r="N261" s="37">
        <f>Исходные!$B$13-M261</f>
        <v/>
      </c>
      <c r="O261" s="51" t="n">
        <v>1</v>
      </c>
      <c r="P261" s="49">
        <f>(F261+H261+J261+L261)*O261</f>
        <v/>
      </c>
      <c r="Q261" s="70">
        <f>M261*O261</f>
        <v/>
      </c>
      <c r="R261" s="70">
        <f>N261*O261</f>
        <v/>
      </c>
    </row>
    <row r="262">
      <c r="A262" s="49" t="n">
        <v>2</v>
      </c>
      <c r="B262" s="49" t="n">
        <v>20</v>
      </c>
      <c r="C262" s="72" t="inlineStr">
        <is>
          <t>А500С</t>
        </is>
      </c>
      <c r="D262" s="49" t="n">
        <v>10</v>
      </c>
      <c r="E262" s="69" t="n">
        <v>3.325</v>
      </c>
      <c r="F262" s="51" t="n">
        <v>2</v>
      </c>
      <c r="G262" s="69" t="n">
        <v>3.3</v>
      </c>
      <c r="H262" s="51" t="n">
        <v>1</v>
      </c>
      <c r="I262" s="21" t="n"/>
      <c r="J262" s="21" t="n"/>
      <c r="K262" s="21" t="n"/>
      <c r="L262" s="21" t="n"/>
      <c r="M262" s="37">
        <f>E262*F262+G262*H262+I262*J262+K262*L262</f>
        <v/>
      </c>
      <c r="N262" s="37">
        <f>Исходные!$B$13-M262</f>
        <v/>
      </c>
      <c r="O262" s="51" t="n">
        <v>1</v>
      </c>
      <c r="P262" s="49">
        <f>(F262+H262+J262+L262)*O262</f>
        <v/>
      </c>
      <c r="Q262" s="70">
        <f>M262*O262</f>
        <v/>
      </c>
      <c r="R262" s="70">
        <f>N262*O262</f>
        <v/>
      </c>
    </row>
    <row r="263">
      <c r="A263" s="49" t="n">
        <v>2</v>
      </c>
      <c r="B263" s="49" t="n">
        <v>20</v>
      </c>
      <c r="C263" s="72" t="inlineStr">
        <is>
          <t>А500С</t>
        </is>
      </c>
      <c r="D263" s="49" t="n">
        <v>11</v>
      </c>
      <c r="E263" s="69" t="n">
        <v>3</v>
      </c>
      <c r="F263" s="51" t="n">
        <v>3</v>
      </c>
      <c r="G263" s="21" t="n"/>
      <c r="H263" s="21" t="n"/>
      <c r="I263" s="21" t="n"/>
      <c r="J263" s="21" t="n"/>
      <c r="K263" s="21" t="n"/>
      <c r="L263" s="21" t="n"/>
      <c r="M263" s="37">
        <f>E263*F263+G263*H263+I263*J263+K263*L263</f>
        <v/>
      </c>
      <c r="N263" s="37">
        <f>Исходные!$B$13-M263</f>
        <v/>
      </c>
      <c r="O263" s="51" t="n">
        <v>3</v>
      </c>
      <c r="P263" s="49">
        <f>(F263+H263+J263+L263)*O263</f>
        <v/>
      </c>
      <c r="Q263" s="70">
        <f>M263*O263</f>
        <v/>
      </c>
      <c r="R263" s="70">
        <f>N263*O263</f>
        <v/>
      </c>
    </row>
    <row r="264">
      <c r="A264" s="49" t="n">
        <v>2</v>
      </c>
      <c r="B264" s="49" t="n">
        <v>20</v>
      </c>
      <c r="C264" s="72" t="inlineStr">
        <is>
          <t>А500С</t>
        </is>
      </c>
      <c r="D264" s="49" t="n">
        <v>12</v>
      </c>
      <c r="E264" s="69" t="n">
        <v>2.85</v>
      </c>
      <c r="F264" s="51" t="n">
        <v>1</v>
      </c>
      <c r="G264" s="21" t="n"/>
      <c r="H264" s="21" t="n"/>
      <c r="I264" s="21" t="n"/>
      <c r="J264" s="21" t="n"/>
      <c r="K264" s="21" t="n"/>
      <c r="L264" s="21" t="n"/>
      <c r="M264" s="37">
        <f>E264*F264+G264*H264+I264*J264+K264*L264</f>
        <v/>
      </c>
      <c r="N264" s="37">
        <f>Исходные!$B$13-M264</f>
        <v/>
      </c>
      <c r="O264" s="51" t="n">
        <v>1</v>
      </c>
      <c r="P264" s="49">
        <f>(F264+H264+J264+L264)*O264</f>
        <v/>
      </c>
      <c r="Q264" s="70">
        <f>M264*O264</f>
        <v/>
      </c>
      <c r="R264" s="70">
        <f>N264*O264</f>
        <v/>
      </c>
    </row>
    <row r="265">
      <c r="A265" s="49" t="n">
        <v>2</v>
      </c>
      <c r="B265" s="49" t="n">
        <v>18</v>
      </c>
      <c r="C265" s="72" t="inlineStr">
        <is>
          <t>А500С</t>
        </is>
      </c>
      <c r="D265" s="49" t="n">
        <v>1</v>
      </c>
      <c r="E265" s="69" t="n">
        <v>11.7</v>
      </c>
      <c r="F265" s="51" t="n">
        <v>1</v>
      </c>
      <c r="G265" s="21" t="n"/>
      <c r="H265" s="21" t="n"/>
      <c r="I265" s="21" t="n"/>
      <c r="J265" s="21" t="n"/>
      <c r="K265" s="21" t="n"/>
      <c r="L265" s="21" t="n"/>
      <c r="M265" s="37">
        <f>E265*F265+G265*H265+I265*J265+K265*L265</f>
        <v/>
      </c>
      <c r="N265" s="37">
        <f>Исходные!$B$13-M265</f>
        <v/>
      </c>
      <c r="O265" s="51" t="n">
        <v>26</v>
      </c>
      <c r="P265" s="49">
        <f>(F265+H265+J265+L265)*O265</f>
        <v/>
      </c>
      <c r="Q265" s="70">
        <f>M265*O265</f>
        <v/>
      </c>
      <c r="R265" s="70">
        <f>N265*O265</f>
        <v/>
      </c>
    </row>
    <row r="266">
      <c r="A266" s="49" t="n">
        <v>2</v>
      </c>
      <c r="B266" s="49" t="n">
        <v>18</v>
      </c>
      <c r="C266" s="72" t="inlineStr">
        <is>
          <t>А500С</t>
        </is>
      </c>
      <c r="D266" s="49" t="n">
        <v>2</v>
      </c>
      <c r="E266" s="69" t="n">
        <v>6.109</v>
      </c>
      <c r="F266" s="51" t="n">
        <v>1</v>
      </c>
      <c r="G266" s="69" t="n">
        <v>3.744</v>
      </c>
      <c r="H266" s="51" t="n">
        <v>1</v>
      </c>
      <c r="I266" s="69" t="n">
        <v>1.7</v>
      </c>
      <c r="J266" s="51" t="n">
        <v>1</v>
      </c>
      <c r="K266" s="21" t="n"/>
      <c r="L266" s="21" t="n"/>
      <c r="M266" s="37">
        <f>E266*F266+G266*H266+I266*J266+K266*L266</f>
        <v/>
      </c>
      <c r="N266" s="37">
        <f>Исходные!$B$13-M266</f>
        <v/>
      </c>
      <c r="O266" s="51" t="n">
        <v>1</v>
      </c>
      <c r="P266" s="49">
        <f>(F266+H266+J266+L266)*O266</f>
        <v/>
      </c>
      <c r="Q266" s="70">
        <f>M266*O266</f>
        <v/>
      </c>
      <c r="R266" s="70">
        <f>N266*O266</f>
        <v/>
      </c>
    </row>
    <row r="267">
      <c r="A267" s="49" t="n">
        <v>2</v>
      </c>
      <c r="B267" s="49" t="n">
        <v>18</v>
      </c>
      <c r="C267" s="72" t="inlineStr">
        <is>
          <t>А500С</t>
        </is>
      </c>
      <c r="D267" s="49" t="n">
        <v>3</v>
      </c>
      <c r="E267" s="69" t="n">
        <v>6.109</v>
      </c>
      <c r="F267" s="51" t="n">
        <v>1</v>
      </c>
      <c r="G267" s="69" t="n">
        <v>3</v>
      </c>
      <c r="H267" s="51" t="n">
        <v>1</v>
      </c>
      <c r="I267" s="69" t="n">
        <v>2.388</v>
      </c>
      <c r="J267" s="51" t="n">
        <v>1</v>
      </c>
      <c r="K267" s="21" t="n"/>
      <c r="L267" s="21" t="n"/>
      <c r="M267" s="37">
        <f>E267*F267+G267*H267+I267*J267+K267*L267</f>
        <v/>
      </c>
      <c r="N267" s="37">
        <f>Исходные!$B$13-M267</f>
        <v/>
      </c>
      <c r="O267" s="51" t="n">
        <v>1</v>
      </c>
      <c r="P267" s="49">
        <f>(F267+H267+J267+L267)*O267</f>
        <v/>
      </c>
      <c r="Q267" s="70">
        <f>M267*O267</f>
        <v/>
      </c>
      <c r="R267" s="70">
        <f>N267*O267</f>
        <v/>
      </c>
    </row>
    <row r="268">
      <c r="A268" s="49" t="n">
        <v>2</v>
      </c>
      <c r="B268" s="49" t="n">
        <v>18</v>
      </c>
      <c r="C268" s="72" t="inlineStr">
        <is>
          <t>А500С</t>
        </is>
      </c>
      <c r="D268" s="49" t="n">
        <v>4</v>
      </c>
      <c r="E268" s="69" t="n">
        <v>8.944000000000001</v>
      </c>
      <c r="F268" s="51" t="n">
        <v>1</v>
      </c>
      <c r="G268" s="69" t="n">
        <v>1.2</v>
      </c>
      <c r="H268" s="51" t="n">
        <v>2</v>
      </c>
      <c r="I268" s="21" t="n"/>
      <c r="J268" s="21" t="n"/>
      <c r="K268" s="21" t="n"/>
      <c r="L268" s="21" t="n"/>
      <c r="M268" s="37">
        <f>E268*F268+G268*H268+I268*J268+K268*L268</f>
        <v/>
      </c>
      <c r="N268" s="37">
        <f>Исходные!$B$13-M268</f>
        <v/>
      </c>
      <c r="O268" s="51" t="n">
        <v>3</v>
      </c>
      <c r="P268" s="49">
        <f>(F268+H268+J268+L268)*O268</f>
        <v/>
      </c>
      <c r="Q268" s="70">
        <f>M268*O268</f>
        <v/>
      </c>
      <c r="R268" s="70">
        <f>N268*O268</f>
        <v/>
      </c>
    </row>
    <row r="269">
      <c r="A269" s="49" t="n">
        <v>2</v>
      </c>
      <c r="B269" s="49" t="n">
        <v>18</v>
      </c>
      <c r="C269" s="72" t="inlineStr">
        <is>
          <t>А500С</t>
        </is>
      </c>
      <c r="D269" s="49" t="n">
        <v>5</v>
      </c>
      <c r="E269" s="69" t="n">
        <v>8.944000000000001</v>
      </c>
      <c r="F269" s="51" t="n">
        <v>1</v>
      </c>
      <c r="G269" s="69" t="n">
        <v>2.388</v>
      </c>
      <c r="H269" s="51" t="n">
        <v>1</v>
      </c>
      <c r="I269" s="21" t="n"/>
      <c r="J269" s="21" t="n"/>
      <c r="K269" s="21" t="n"/>
      <c r="L269" s="21" t="n"/>
      <c r="M269" s="37">
        <f>E269*F269+G269*H269+I269*J269+K269*L269</f>
        <v/>
      </c>
      <c r="N269" s="37">
        <f>Исходные!$B$13-M269</f>
        <v/>
      </c>
      <c r="O269" s="51" t="n">
        <v>7</v>
      </c>
      <c r="P269" s="49">
        <f>(F269+H269+J269+L269)*O269</f>
        <v/>
      </c>
      <c r="Q269" s="70">
        <f>M269*O269</f>
        <v/>
      </c>
      <c r="R269" s="70">
        <f>N269*O269</f>
        <v/>
      </c>
    </row>
    <row r="270">
      <c r="A270" s="49" t="n">
        <v>2</v>
      </c>
      <c r="B270" s="49" t="n">
        <v>18</v>
      </c>
      <c r="C270" s="72" t="inlineStr">
        <is>
          <t>А500С</t>
        </is>
      </c>
      <c r="D270" s="49" t="n">
        <v>6</v>
      </c>
      <c r="E270" s="69" t="n">
        <v>6.109</v>
      </c>
      <c r="F270" s="51" t="n">
        <v>1</v>
      </c>
      <c r="G270" s="69" t="n">
        <v>4.95</v>
      </c>
      <c r="H270" s="51" t="n">
        <v>1</v>
      </c>
      <c r="I270" s="21" t="n"/>
      <c r="J270" s="21" t="n"/>
      <c r="K270" s="21" t="n"/>
      <c r="L270" s="21" t="n"/>
      <c r="M270" s="37">
        <f>E270*F270+G270*H270+I270*J270+K270*L270</f>
        <v/>
      </c>
      <c r="N270" s="37">
        <f>Исходные!$B$13-M270</f>
        <v/>
      </c>
      <c r="O270" s="51" t="n">
        <v>2</v>
      </c>
      <c r="P270" s="49">
        <f>(F270+H270+J270+L270)*O270</f>
        <v/>
      </c>
      <c r="Q270" s="70">
        <f>M270*O270</f>
        <v/>
      </c>
      <c r="R270" s="70">
        <f>N270*O270</f>
        <v/>
      </c>
    </row>
    <row r="271">
      <c r="A271" s="49" t="n">
        <v>2</v>
      </c>
      <c r="B271" s="49" t="n">
        <v>18</v>
      </c>
      <c r="C271" s="72" t="inlineStr">
        <is>
          <t>А500С</t>
        </is>
      </c>
      <c r="D271" s="49" t="n">
        <v>7</v>
      </c>
      <c r="E271" s="69" t="n">
        <v>6.109</v>
      </c>
      <c r="F271" s="51" t="n">
        <v>1</v>
      </c>
      <c r="G271" s="69" t="n">
        <v>3.744</v>
      </c>
      <c r="H271" s="51" t="n">
        <v>1</v>
      </c>
      <c r="I271" s="69" t="n">
        <v>1.2</v>
      </c>
      <c r="J271" s="51" t="n">
        <v>1</v>
      </c>
      <c r="K271" s="21" t="n"/>
      <c r="L271" s="21" t="n"/>
      <c r="M271" s="37">
        <f>E271*F271+G271*H271+I271*J271+K271*L271</f>
        <v/>
      </c>
      <c r="N271" s="37">
        <f>Исходные!$B$13-M271</f>
        <v/>
      </c>
      <c r="O271" s="51" t="n">
        <v>31</v>
      </c>
      <c r="P271" s="49">
        <f>(F271+H271+J271+L271)*O271</f>
        <v/>
      </c>
      <c r="Q271" s="70">
        <f>M271*O271</f>
        <v/>
      </c>
      <c r="R271" s="70">
        <f>N271*O271</f>
        <v/>
      </c>
    </row>
    <row r="272">
      <c r="A272" s="49" t="n">
        <v>2</v>
      </c>
      <c r="B272" s="49" t="n">
        <v>18</v>
      </c>
      <c r="C272" s="72" t="inlineStr">
        <is>
          <t>А500С</t>
        </is>
      </c>
      <c r="D272" s="49" t="n">
        <v>8</v>
      </c>
      <c r="E272" s="69" t="n">
        <v>6.109</v>
      </c>
      <c r="F272" s="51" t="n">
        <v>1</v>
      </c>
      <c r="G272" s="69" t="n">
        <v>4.8</v>
      </c>
      <c r="H272" s="51" t="n">
        <v>1</v>
      </c>
      <c r="I272" s="21" t="n"/>
      <c r="J272" s="21" t="n"/>
      <c r="K272" s="21" t="n"/>
      <c r="L272" s="21" t="n"/>
      <c r="M272" s="37">
        <f>E272*F272+G272*H272+I272*J272+K272*L272</f>
        <v/>
      </c>
      <c r="N272" s="37">
        <f>Исходные!$B$13-M272</f>
        <v/>
      </c>
      <c r="O272" s="51" t="n">
        <v>1</v>
      </c>
      <c r="P272" s="49">
        <f>(F272+H272+J272+L272)*O272</f>
        <v/>
      </c>
      <c r="Q272" s="70">
        <f>M272*O272</f>
        <v/>
      </c>
      <c r="R272" s="70">
        <f>N272*O272</f>
        <v/>
      </c>
    </row>
    <row r="273">
      <c r="A273" s="49" t="n">
        <v>2</v>
      </c>
      <c r="B273" s="49" t="n">
        <v>18</v>
      </c>
      <c r="C273" s="72" t="inlineStr">
        <is>
          <t>А500С</t>
        </is>
      </c>
      <c r="D273" s="49" t="n">
        <v>9</v>
      </c>
      <c r="E273" s="69" t="n">
        <v>1.2</v>
      </c>
      <c r="F273" s="51" t="n">
        <v>5</v>
      </c>
      <c r="G273" s="21" t="n"/>
      <c r="H273" s="21" t="n"/>
      <c r="I273" s="21" t="n"/>
      <c r="J273" s="21" t="n"/>
      <c r="K273" s="21" t="n"/>
      <c r="L273" s="21" t="n"/>
      <c r="M273" s="37">
        <f>E273*F273+G273*H273+I273*J273+K273*L273</f>
        <v/>
      </c>
      <c r="N273" s="37">
        <f>Исходные!$B$13-M273</f>
        <v/>
      </c>
      <c r="O273" s="51" t="n">
        <v>1</v>
      </c>
      <c r="P273" s="49">
        <f>(F273+H273+J273+L273)*O273</f>
        <v/>
      </c>
      <c r="Q273" s="70">
        <f>M273*O273</f>
        <v/>
      </c>
      <c r="R273" s="70">
        <f>N273*O273</f>
        <v/>
      </c>
    </row>
    <row r="274">
      <c r="A274" s="49" t="n">
        <v>2</v>
      </c>
      <c r="B274" s="49" t="n">
        <v>16</v>
      </c>
      <c r="C274" s="72" t="inlineStr">
        <is>
          <t>А500С</t>
        </is>
      </c>
      <c r="D274" s="49" t="n">
        <v>1</v>
      </c>
      <c r="E274" s="69" t="n">
        <v>11.7</v>
      </c>
      <c r="F274" s="51" t="n">
        <v>1</v>
      </c>
      <c r="G274" s="21" t="n"/>
      <c r="H274" s="21" t="n"/>
      <c r="I274" s="21" t="n"/>
      <c r="J274" s="21" t="n"/>
      <c r="K274" s="21" t="n"/>
      <c r="L274" s="21" t="n"/>
      <c r="M274" s="37">
        <f>E274*F274+G274*H274+I274*J274+K274*L274</f>
        <v/>
      </c>
      <c r="N274" s="37">
        <f>Исходные!$B$13-M274</f>
        <v/>
      </c>
      <c r="O274" s="51" t="n">
        <v>26</v>
      </c>
      <c r="P274" s="49">
        <f>(F274+H274+J274+L274)*O274</f>
        <v/>
      </c>
      <c r="Q274" s="70">
        <f>M274*O274</f>
        <v/>
      </c>
      <c r="R274" s="70">
        <f>N274*O274</f>
        <v/>
      </c>
    </row>
    <row r="275">
      <c r="A275" s="49" t="n">
        <v>2</v>
      </c>
      <c r="B275" s="49" t="n">
        <v>16</v>
      </c>
      <c r="C275" s="72" t="inlineStr">
        <is>
          <t>А500С</t>
        </is>
      </c>
      <c r="D275" s="49" t="n">
        <v>2</v>
      </c>
      <c r="E275" s="69" t="n">
        <v>9.449999999999999</v>
      </c>
      <c r="F275" s="51" t="n">
        <v>1</v>
      </c>
      <c r="G275" s="69" t="n">
        <v>2.25</v>
      </c>
      <c r="H275" s="51" t="n">
        <v>1</v>
      </c>
      <c r="I275" s="21" t="n"/>
      <c r="J275" s="21" t="n"/>
      <c r="K275" s="21" t="n"/>
      <c r="L275" s="21" t="n"/>
      <c r="M275" s="37">
        <f>E275*F275+G275*H275+I275*J275+K275*L275</f>
        <v/>
      </c>
      <c r="N275" s="37">
        <f>Исходные!$B$13-M275</f>
        <v/>
      </c>
      <c r="O275" s="51" t="n">
        <v>2</v>
      </c>
      <c r="P275" s="49">
        <f>(F275+H275+J275+L275)*O275</f>
        <v/>
      </c>
      <c r="Q275" s="70">
        <f>M275*O275</f>
        <v/>
      </c>
      <c r="R275" s="70">
        <f>N275*O275</f>
        <v/>
      </c>
    </row>
    <row r="276">
      <c r="A276" s="49" t="n">
        <v>2</v>
      </c>
      <c r="B276" s="49" t="n">
        <v>16</v>
      </c>
      <c r="C276" s="72" t="inlineStr">
        <is>
          <t>А500С</t>
        </is>
      </c>
      <c r="D276" s="49" t="n">
        <v>3</v>
      </c>
      <c r="E276" s="69" t="n">
        <v>1.95</v>
      </c>
      <c r="F276" s="51" t="n">
        <v>6</v>
      </c>
      <c r="G276" s="21" t="n"/>
      <c r="H276" s="21" t="n"/>
      <c r="I276" s="21" t="n"/>
      <c r="J276" s="21" t="n"/>
      <c r="K276" s="21" t="n"/>
      <c r="L276" s="21" t="n"/>
      <c r="M276" s="37">
        <f>E276*F276+G276*H276+I276*J276+K276*L276</f>
        <v/>
      </c>
      <c r="N276" s="37">
        <f>Исходные!$B$13-M276</f>
        <v/>
      </c>
      <c r="O276" s="51" t="n">
        <v>1</v>
      </c>
      <c r="P276" s="49">
        <f>(F276+H276+J276+L276)*O276</f>
        <v/>
      </c>
      <c r="Q276" s="70">
        <f>M276*O276</f>
        <v/>
      </c>
      <c r="R276" s="70">
        <f>N276*O276</f>
        <v/>
      </c>
    </row>
    <row r="277">
      <c r="A277" s="49" t="n">
        <v>2</v>
      </c>
      <c r="B277" s="49" t="n">
        <v>16</v>
      </c>
      <c r="C277" s="72" t="inlineStr">
        <is>
          <t>А500С</t>
        </is>
      </c>
      <c r="D277" s="49" t="n">
        <v>4</v>
      </c>
      <c r="E277" s="69" t="n">
        <v>6.5</v>
      </c>
      <c r="F277" s="51" t="n">
        <v>1</v>
      </c>
      <c r="G277" s="69" t="n">
        <v>3.728</v>
      </c>
      <c r="H277" s="51" t="n">
        <v>1</v>
      </c>
      <c r="I277" s="69" t="n">
        <v>1.45</v>
      </c>
      <c r="J277" s="51" t="n">
        <v>1</v>
      </c>
      <c r="K277" s="21" t="n"/>
      <c r="L277" s="21" t="n"/>
      <c r="M277" s="37">
        <f>E277*F277+G277*H277+I277*J277+K277*L277</f>
        <v/>
      </c>
      <c r="N277" s="37">
        <f>Исходные!$B$13-M277</f>
        <v/>
      </c>
      <c r="O277" s="51" t="n">
        <v>4</v>
      </c>
      <c r="P277" s="49">
        <f>(F277+H277+J277+L277)*O277</f>
        <v/>
      </c>
      <c r="Q277" s="70">
        <f>M277*O277</f>
        <v/>
      </c>
      <c r="R277" s="70">
        <f>N277*O277</f>
        <v/>
      </c>
    </row>
    <row r="278">
      <c r="A278" s="49" t="n">
        <v>2</v>
      </c>
      <c r="B278" s="49" t="n">
        <v>16</v>
      </c>
      <c r="C278" s="72" t="inlineStr">
        <is>
          <t>А500С</t>
        </is>
      </c>
      <c r="D278" s="49" t="n">
        <v>5</v>
      </c>
      <c r="E278" s="69" t="n">
        <v>3.6</v>
      </c>
      <c r="F278" s="51" t="n">
        <v>2</v>
      </c>
      <c r="G278" s="69" t="n">
        <v>3</v>
      </c>
      <c r="H278" s="51" t="n">
        <v>1</v>
      </c>
      <c r="I278" s="69" t="n">
        <v>1.45</v>
      </c>
      <c r="J278" s="51" t="n">
        <v>1</v>
      </c>
      <c r="K278" s="21" t="n"/>
      <c r="L278" s="21" t="n"/>
      <c r="M278" s="37">
        <f>E278*F278+G278*H278+I278*J278+K278*L278</f>
        <v/>
      </c>
      <c r="N278" s="37">
        <f>Исходные!$B$13-M278</f>
        <v/>
      </c>
      <c r="O278" s="51" t="n">
        <v>1</v>
      </c>
      <c r="P278" s="49">
        <f>(F278+H278+J278+L278)*O278</f>
        <v/>
      </c>
      <c r="Q278" s="70">
        <f>M278*O278</f>
        <v/>
      </c>
      <c r="R278" s="70">
        <f>N278*O278</f>
        <v/>
      </c>
    </row>
    <row r="279">
      <c r="A279" s="49" t="n">
        <v>2</v>
      </c>
      <c r="B279" s="49" t="n">
        <v>16</v>
      </c>
      <c r="C279" s="72" t="inlineStr">
        <is>
          <t>А500С</t>
        </is>
      </c>
      <c r="D279" s="49" t="n">
        <v>6</v>
      </c>
      <c r="E279" s="69" t="n">
        <v>2.9</v>
      </c>
      <c r="F279" s="51" t="n">
        <v>4</v>
      </c>
      <c r="G279" s="21" t="n"/>
      <c r="H279" s="21" t="n"/>
      <c r="I279" s="21" t="n"/>
      <c r="J279" s="21" t="n"/>
      <c r="K279" s="21" t="n"/>
      <c r="L279" s="21" t="n"/>
      <c r="M279" s="37">
        <f>E279*F279+G279*H279+I279*J279+K279*L279</f>
        <v/>
      </c>
      <c r="N279" s="37">
        <f>Исходные!$B$13-M279</f>
        <v/>
      </c>
      <c r="O279" s="51" t="n">
        <v>2</v>
      </c>
      <c r="P279" s="49">
        <f>(F279+H279+J279+L279)*O279</f>
        <v/>
      </c>
      <c r="Q279" s="70">
        <f>M279*O279</f>
        <v/>
      </c>
      <c r="R279" s="70">
        <f>N279*O279</f>
        <v/>
      </c>
    </row>
    <row r="280">
      <c r="A280" s="49" t="n">
        <v>2</v>
      </c>
      <c r="B280" s="49" t="n">
        <v>16</v>
      </c>
      <c r="C280" s="72" t="inlineStr">
        <is>
          <t>А500С</t>
        </is>
      </c>
      <c r="D280" s="49" t="n">
        <v>7</v>
      </c>
      <c r="E280" s="69" t="n">
        <v>2.05</v>
      </c>
      <c r="F280" s="51" t="n">
        <v>3</v>
      </c>
      <c r="G280" s="69" t="n">
        <v>1.95</v>
      </c>
      <c r="H280" s="51" t="n">
        <v>2</v>
      </c>
      <c r="I280" s="69" t="n">
        <v>1.45</v>
      </c>
      <c r="J280" s="51" t="n">
        <v>1</v>
      </c>
      <c r="K280" s="21" t="n"/>
      <c r="L280" s="21" t="n"/>
      <c r="M280" s="37">
        <f>E280*F280+G280*H280+I280*J280+K280*L280</f>
        <v/>
      </c>
      <c r="N280" s="37">
        <f>Исходные!$B$13-M280</f>
        <v/>
      </c>
      <c r="O280" s="51" t="n">
        <v>1</v>
      </c>
      <c r="P280" s="49">
        <f>(F280+H280+J280+L280)*O280</f>
        <v/>
      </c>
      <c r="Q280" s="70">
        <f>M280*O280</f>
        <v/>
      </c>
      <c r="R280" s="70">
        <f>N280*O280</f>
        <v/>
      </c>
    </row>
    <row r="281">
      <c r="A281" s="49" t="n">
        <v>2</v>
      </c>
      <c r="B281" s="49" t="n">
        <v>16</v>
      </c>
      <c r="C281" s="72" t="inlineStr">
        <is>
          <t>А500С</t>
        </is>
      </c>
      <c r="D281" s="49" t="n">
        <v>8</v>
      </c>
      <c r="E281" s="69" t="n">
        <v>3</v>
      </c>
      <c r="F281" s="51" t="n">
        <v>3</v>
      </c>
      <c r="G281" s="69" t="n">
        <v>2.356</v>
      </c>
      <c r="H281" s="51" t="n">
        <v>1</v>
      </c>
      <c r="I281" s="21" t="n"/>
      <c r="J281" s="21" t="n"/>
      <c r="K281" s="21" t="n"/>
      <c r="L281" s="21" t="n"/>
      <c r="M281" s="37">
        <f>E281*F281+G281*H281+I281*J281+K281*L281</f>
        <v/>
      </c>
      <c r="N281" s="37">
        <f>Исходные!$B$13-M281</f>
        <v/>
      </c>
      <c r="O281" s="51" t="n">
        <v>1</v>
      </c>
      <c r="P281" s="49">
        <f>(F281+H281+J281+L281)*O281</f>
        <v/>
      </c>
      <c r="Q281" s="70">
        <f>M281*O281</f>
        <v/>
      </c>
      <c r="R281" s="70">
        <f>N281*O281</f>
        <v/>
      </c>
    </row>
    <row r="282">
      <c r="A282" s="49" t="n">
        <v>2</v>
      </c>
      <c r="B282" s="49" t="n">
        <v>16</v>
      </c>
      <c r="C282" s="72" t="inlineStr">
        <is>
          <t>А500С</t>
        </is>
      </c>
      <c r="D282" s="49" t="n">
        <v>9</v>
      </c>
      <c r="E282" s="69" t="n">
        <v>8.928000000000001</v>
      </c>
      <c r="F282" s="51" t="n">
        <v>1</v>
      </c>
      <c r="G282" s="69" t="n">
        <v>2.356</v>
      </c>
      <c r="H282" s="51" t="n">
        <v>1</v>
      </c>
      <c r="I282" s="21" t="n"/>
      <c r="J282" s="21" t="n"/>
      <c r="K282" s="21" t="n"/>
      <c r="L282" s="21" t="n"/>
      <c r="M282" s="37">
        <f>E282*F282+G282*H282+I282*J282+K282*L282</f>
        <v/>
      </c>
      <c r="N282" s="37">
        <f>Исходные!$B$13-M282</f>
        <v/>
      </c>
      <c r="O282" s="51" t="n">
        <v>7</v>
      </c>
      <c r="P282" s="49">
        <f>(F282+H282+J282+L282)*O282</f>
        <v/>
      </c>
      <c r="Q282" s="70">
        <f>M282*O282</f>
        <v/>
      </c>
      <c r="R282" s="70">
        <f>N282*O282</f>
        <v/>
      </c>
    </row>
    <row r="283">
      <c r="A283" s="49" t="n">
        <v>2</v>
      </c>
      <c r="B283" s="49" t="n">
        <v>16</v>
      </c>
      <c r="C283" s="72" t="inlineStr">
        <is>
          <t>А500С</t>
        </is>
      </c>
      <c r="D283" s="49" t="n">
        <v>10</v>
      </c>
      <c r="E283" s="69" t="n">
        <v>2.25</v>
      </c>
      <c r="F283" s="51" t="n">
        <v>5</v>
      </c>
      <c r="G283" s="21" t="n"/>
      <c r="H283" s="21" t="n"/>
      <c r="I283" s="21" t="n"/>
      <c r="J283" s="21" t="n"/>
      <c r="K283" s="21" t="n"/>
      <c r="L283" s="21" t="n"/>
      <c r="M283" s="37">
        <f>E283*F283+G283*H283+I283*J283+K283*L283</f>
        <v/>
      </c>
      <c r="N283" s="37">
        <f>Исходные!$B$13-M283</f>
        <v/>
      </c>
      <c r="O283" s="51" t="n">
        <v>11</v>
      </c>
      <c r="P283" s="49">
        <f>(F283+H283+J283+L283)*O283</f>
        <v/>
      </c>
      <c r="Q283" s="70">
        <f>M283*O283</f>
        <v/>
      </c>
      <c r="R283" s="70">
        <f>N283*O283</f>
        <v/>
      </c>
    </row>
    <row r="284">
      <c r="A284" s="49" t="n">
        <v>2</v>
      </c>
      <c r="B284" s="49" t="n">
        <v>16</v>
      </c>
      <c r="C284" s="72" t="inlineStr">
        <is>
          <t>А500С</t>
        </is>
      </c>
      <c r="D284" s="49" t="n">
        <v>11</v>
      </c>
      <c r="E284" s="69" t="n">
        <v>8.928000000000001</v>
      </c>
      <c r="F284" s="51" t="n">
        <v>1</v>
      </c>
      <c r="G284" s="69" t="n">
        <v>2.3</v>
      </c>
      <c r="H284" s="51" t="n">
        <v>1</v>
      </c>
      <c r="I284" s="21" t="n"/>
      <c r="J284" s="21" t="n"/>
      <c r="K284" s="21" t="n"/>
      <c r="L284" s="21" t="n"/>
      <c r="M284" s="37">
        <f>E284*F284+G284*H284+I284*J284+K284*L284</f>
        <v/>
      </c>
      <c r="N284" s="37">
        <f>Исходные!$B$13-M284</f>
        <v/>
      </c>
      <c r="O284" s="51" t="n">
        <v>2</v>
      </c>
      <c r="P284" s="49">
        <f>(F284+H284+J284+L284)*O284</f>
        <v/>
      </c>
      <c r="Q284" s="70">
        <f>M284*O284</f>
        <v/>
      </c>
      <c r="R284" s="70">
        <f>N284*O284</f>
        <v/>
      </c>
    </row>
    <row r="285">
      <c r="A285" s="49" t="n">
        <v>2</v>
      </c>
      <c r="B285" s="49" t="n">
        <v>16</v>
      </c>
      <c r="C285" s="72" t="inlineStr">
        <is>
          <t>А500С</t>
        </is>
      </c>
      <c r="D285" s="49" t="n">
        <v>12</v>
      </c>
      <c r="E285" s="69" t="n">
        <v>3.728</v>
      </c>
      <c r="F285" s="51" t="n">
        <v>3</v>
      </c>
      <c r="G285" s="21" t="n"/>
      <c r="H285" s="21" t="n"/>
      <c r="I285" s="21" t="n"/>
      <c r="J285" s="21" t="n"/>
      <c r="K285" s="21" t="n"/>
      <c r="L285" s="21" t="n"/>
      <c r="M285" s="37">
        <f>E285*F285+G285*H285+I285*J285+K285*L285</f>
        <v/>
      </c>
      <c r="N285" s="37">
        <f>Исходные!$B$13-M285</f>
        <v/>
      </c>
      <c r="O285" s="51" t="n">
        <v>6</v>
      </c>
      <c r="P285" s="49">
        <f>(F285+H285+J285+L285)*O285</f>
        <v/>
      </c>
      <c r="Q285" s="70">
        <f>M285*O285</f>
        <v/>
      </c>
      <c r="R285" s="70">
        <f>N285*O285</f>
        <v/>
      </c>
    </row>
    <row r="286">
      <c r="A286" s="49" t="n">
        <v>2</v>
      </c>
      <c r="B286" s="49" t="n">
        <v>16</v>
      </c>
      <c r="C286" s="72" t="inlineStr">
        <is>
          <t>А500С</t>
        </is>
      </c>
      <c r="D286" s="49" t="n">
        <v>13</v>
      </c>
      <c r="E286" s="69" t="n">
        <v>8.928000000000001</v>
      </c>
      <c r="F286" s="51" t="n">
        <v>1</v>
      </c>
      <c r="G286" s="69" t="n">
        <v>2.25</v>
      </c>
      <c r="H286" s="51" t="n">
        <v>1</v>
      </c>
      <c r="I286" s="21" t="n"/>
      <c r="J286" s="21" t="n"/>
      <c r="K286" s="21" t="n"/>
      <c r="L286" s="21" t="n"/>
      <c r="M286" s="37">
        <f>E286*F286+G286*H286+I286*J286+K286*L286</f>
        <v/>
      </c>
      <c r="N286" s="37">
        <f>Исходные!$B$13-M286</f>
        <v/>
      </c>
      <c r="O286" s="51" t="n">
        <v>1</v>
      </c>
      <c r="P286" s="49">
        <f>(F286+H286+J286+L286)*O286</f>
        <v/>
      </c>
      <c r="Q286" s="70">
        <f>M286*O286</f>
        <v/>
      </c>
      <c r="R286" s="70">
        <f>N286*O286</f>
        <v/>
      </c>
    </row>
    <row r="287">
      <c r="A287" s="49" t="n">
        <v>2</v>
      </c>
      <c r="B287" s="49" t="n">
        <v>16</v>
      </c>
      <c r="C287" s="72" t="inlineStr">
        <is>
          <t>А500С</t>
        </is>
      </c>
      <c r="D287" s="49" t="n">
        <v>14</v>
      </c>
      <c r="E287" s="69" t="n">
        <v>2.25</v>
      </c>
      <c r="F287" s="51" t="n">
        <v>4</v>
      </c>
      <c r="G287" s="69" t="n">
        <v>2.05</v>
      </c>
      <c r="H287" s="51" t="n">
        <v>1</v>
      </c>
      <c r="I287" s="21" t="n"/>
      <c r="J287" s="21" t="n"/>
      <c r="K287" s="21" t="n"/>
      <c r="L287" s="21" t="n"/>
      <c r="M287" s="37">
        <f>E287*F287+G287*H287+I287*J287+K287*L287</f>
        <v/>
      </c>
      <c r="N287" s="37">
        <f>Исходные!$B$13-M287</f>
        <v/>
      </c>
      <c r="O287" s="51" t="n">
        <v>1</v>
      </c>
      <c r="P287" s="49">
        <f>(F287+H287+J287+L287)*O287</f>
        <v/>
      </c>
      <c r="Q287" s="70">
        <f>M287*O287</f>
        <v/>
      </c>
      <c r="R287" s="70">
        <f>N287*O287</f>
        <v/>
      </c>
    </row>
    <row r="288">
      <c r="A288" s="49" t="n">
        <v>2</v>
      </c>
      <c r="B288" s="49" t="n">
        <v>16</v>
      </c>
      <c r="C288" s="72" t="inlineStr">
        <is>
          <t>А500С</t>
        </is>
      </c>
      <c r="D288" s="49" t="n">
        <v>15</v>
      </c>
      <c r="E288" s="69" t="n">
        <v>2.9</v>
      </c>
      <c r="F288" s="51" t="n">
        <v>2</v>
      </c>
      <c r="G288" s="69" t="n">
        <v>2.25</v>
      </c>
      <c r="H288" s="51" t="n">
        <v>2</v>
      </c>
      <c r="I288" s="21" t="n"/>
      <c r="J288" s="21" t="n"/>
      <c r="K288" s="21" t="n"/>
      <c r="L288" s="21" t="n"/>
      <c r="M288" s="37">
        <f>E288*F288+G288*H288+I288*J288+K288*L288</f>
        <v/>
      </c>
      <c r="N288" s="37">
        <f>Исходные!$B$13-M288</f>
        <v/>
      </c>
      <c r="O288" s="51" t="n">
        <v>1</v>
      </c>
      <c r="P288" s="49">
        <f>(F288+H288+J288+L288)*O288</f>
        <v/>
      </c>
      <c r="Q288" s="70">
        <f>M288*O288</f>
        <v/>
      </c>
      <c r="R288" s="70">
        <f>N288*O288</f>
        <v/>
      </c>
    </row>
    <row r="289">
      <c r="A289" s="49" t="n">
        <v>2</v>
      </c>
      <c r="B289" s="49" t="n">
        <v>16</v>
      </c>
      <c r="C289" s="72" t="inlineStr">
        <is>
          <t>А500С</t>
        </is>
      </c>
      <c r="D289" s="49" t="n">
        <v>16</v>
      </c>
      <c r="E289" s="69" t="n">
        <v>1.85</v>
      </c>
      <c r="F289" s="51" t="n">
        <v>2</v>
      </c>
      <c r="G289" s="69" t="n">
        <v>1.45</v>
      </c>
      <c r="H289" s="51" t="n">
        <v>4</v>
      </c>
      <c r="I289" s="21" t="n"/>
      <c r="J289" s="21" t="n"/>
      <c r="K289" s="21" t="n"/>
      <c r="L289" s="21" t="n"/>
      <c r="M289" s="37">
        <f>E289*F289+G289*H289+I289*J289+K289*L289</f>
        <v/>
      </c>
      <c r="N289" s="37">
        <f>Исходные!$B$13-M289</f>
        <v/>
      </c>
      <c r="O289" s="51" t="n">
        <v>1</v>
      </c>
      <c r="P289" s="49">
        <f>(F289+H289+J289+L289)*O289</f>
        <v/>
      </c>
      <c r="Q289" s="70">
        <f>M289*O289</f>
        <v/>
      </c>
      <c r="R289" s="70">
        <f>N289*O289</f>
        <v/>
      </c>
    </row>
    <row r="290">
      <c r="A290" s="49" t="n">
        <v>2</v>
      </c>
      <c r="B290" s="49" t="n">
        <v>14</v>
      </c>
      <c r="C290" s="72" t="inlineStr">
        <is>
          <t>А500С</t>
        </is>
      </c>
      <c r="D290" s="49" t="n">
        <v>1</v>
      </c>
      <c r="E290" s="69" t="n">
        <v>11.7</v>
      </c>
      <c r="F290" s="51" t="n">
        <v>1</v>
      </c>
      <c r="G290" s="21" t="n"/>
      <c r="H290" s="21" t="n"/>
      <c r="I290" s="21" t="n"/>
      <c r="J290" s="21" t="n"/>
      <c r="K290" s="21" t="n"/>
      <c r="L290" s="21" t="n"/>
      <c r="M290" s="37">
        <f>E290*F290+G290*H290+I290*J290+K290*L290</f>
        <v/>
      </c>
      <c r="N290" s="37">
        <f>Исходные!$B$13-M290</f>
        <v/>
      </c>
      <c r="O290" s="51" t="n">
        <v>6</v>
      </c>
      <c r="P290" s="49">
        <f>(F290+H290+J290+L290)*O290</f>
        <v/>
      </c>
      <c r="Q290" s="70">
        <f>M290*O290</f>
        <v/>
      </c>
      <c r="R290" s="70">
        <f>N290*O290</f>
        <v/>
      </c>
    </row>
    <row r="291">
      <c r="A291" s="49" t="n">
        <v>2</v>
      </c>
      <c r="B291" s="49" t="n">
        <v>14</v>
      </c>
      <c r="C291" s="72" t="inlineStr">
        <is>
          <t>А500С</t>
        </is>
      </c>
      <c r="D291" s="49" t="n">
        <v>2</v>
      </c>
      <c r="E291" s="69" t="n">
        <v>4</v>
      </c>
      <c r="F291" s="51" t="n">
        <v>2</v>
      </c>
      <c r="G291" s="69" t="n">
        <v>3.7</v>
      </c>
      <c r="H291" s="51" t="n">
        <v>1</v>
      </c>
      <c r="I291" s="21" t="n"/>
      <c r="J291" s="21" t="n"/>
      <c r="K291" s="21" t="n"/>
      <c r="L291" s="21" t="n"/>
      <c r="M291" s="37">
        <f>E291*F291+G291*H291+I291*J291+K291*L291</f>
        <v/>
      </c>
      <c r="N291" s="37">
        <f>Исходные!$B$13-M291</f>
        <v/>
      </c>
      <c r="O291" s="51" t="n">
        <v>1</v>
      </c>
      <c r="P291" s="49">
        <f>(F291+H291+J291+L291)*O291</f>
        <v/>
      </c>
      <c r="Q291" s="70">
        <f>M291*O291</f>
        <v/>
      </c>
      <c r="R291" s="70">
        <f>N291*O291</f>
        <v/>
      </c>
    </row>
    <row r="292">
      <c r="A292" s="49" t="n">
        <v>2</v>
      </c>
      <c r="B292" s="49" t="n">
        <v>14</v>
      </c>
      <c r="C292" s="72" t="inlineStr">
        <is>
          <t>А500С</t>
        </is>
      </c>
      <c r="D292" s="49" t="n">
        <v>3</v>
      </c>
      <c r="E292" s="69" t="n">
        <v>1.95</v>
      </c>
      <c r="F292" s="51" t="n">
        <v>6</v>
      </c>
      <c r="G292" s="21" t="n"/>
      <c r="H292" s="21" t="n"/>
      <c r="I292" s="21" t="n"/>
      <c r="J292" s="21" t="n"/>
      <c r="K292" s="21" t="n"/>
      <c r="L292" s="21" t="n"/>
      <c r="M292" s="37">
        <f>E292*F292+G292*H292+I292*J292+K292*L292</f>
        <v/>
      </c>
      <c r="N292" s="37">
        <f>Исходные!$B$13-M292</f>
        <v/>
      </c>
      <c r="O292" s="51" t="n">
        <v>11</v>
      </c>
      <c r="P292" s="49">
        <f>(F292+H292+J292+L292)*O292</f>
        <v/>
      </c>
      <c r="Q292" s="70">
        <f>M292*O292</f>
        <v/>
      </c>
      <c r="R292" s="70">
        <f>N292*O292</f>
        <v/>
      </c>
    </row>
    <row r="293">
      <c r="A293" s="49" t="n">
        <v>2</v>
      </c>
      <c r="B293" s="49" t="n">
        <v>14</v>
      </c>
      <c r="C293" s="72" t="inlineStr">
        <is>
          <t>А500С</t>
        </is>
      </c>
      <c r="D293" s="49" t="n">
        <v>4</v>
      </c>
      <c r="E293" s="69" t="n">
        <v>3.515</v>
      </c>
      <c r="F293" s="51" t="n">
        <v>2</v>
      </c>
      <c r="G293" s="69" t="n">
        <v>3.4</v>
      </c>
      <c r="H293" s="51" t="n">
        <v>1</v>
      </c>
      <c r="I293" s="69" t="n">
        <v>1.25</v>
      </c>
      <c r="J293" s="51" t="n">
        <v>1</v>
      </c>
      <c r="K293" s="21" t="n"/>
      <c r="L293" s="21" t="n"/>
      <c r="M293" s="37">
        <f>E293*F293+G293*H293+I293*J293+K293*L293</f>
        <v/>
      </c>
      <c r="N293" s="37">
        <f>Исходные!$B$13-M293</f>
        <v/>
      </c>
      <c r="O293" s="51" t="n">
        <v>1</v>
      </c>
      <c r="P293" s="49">
        <f>(F293+H293+J293+L293)*O293</f>
        <v/>
      </c>
      <c r="Q293" s="70">
        <f>M293*O293</f>
        <v/>
      </c>
      <c r="R293" s="70">
        <f>N293*O293</f>
        <v/>
      </c>
    </row>
    <row r="294">
      <c r="A294" s="49" t="n">
        <v>2</v>
      </c>
      <c r="B294" s="49" t="n">
        <v>14</v>
      </c>
      <c r="C294" s="72" t="inlineStr">
        <is>
          <t>А500С</t>
        </is>
      </c>
      <c r="D294" s="49" t="n">
        <v>5</v>
      </c>
      <c r="E294" s="69" t="n">
        <v>3.4</v>
      </c>
      <c r="F294" s="51" t="n">
        <v>1</v>
      </c>
      <c r="G294" s="69" t="n">
        <v>2.85</v>
      </c>
      <c r="H294" s="51" t="n">
        <v>1</v>
      </c>
      <c r="I294" s="69" t="n">
        <v>2.7</v>
      </c>
      <c r="J294" s="51" t="n">
        <v>2</v>
      </c>
      <c r="K294" s="21" t="n"/>
      <c r="L294" s="21" t="n"/>
      <c r="M294" s="37">
        <f>E294*F294+G294*H294+I294*J294+K294*L294</f>
        <v/>
      </c>
      <c r="N294" s="37">
        <f>Исходные!$B$13-M294</f>
        <v/>
      </c>
      <c r="O294" s="51" t="n">
        <v>1</v>
      </c>
      <c r="P294" s="49">
        <f>(F294+H294+J294+L294)*O294</f>
        <v/>
      </c>
      <c r="Q294" s="70">
        <f>M294*O294</f>
        <v/>
      </c>
      <c r="R294" s="70">
        <f>N294*O294</f>
        <v/>
      </c>
    </row>
    <row r="295">
      <c r="A295" s="49" t="n">
        <v>2</v>
      </c>
      <c r="B295" s="49" t="n">
        <v>14</v>
      </c>
      <c r="C295" s="72" t="inlineStr">
        <is>
          <t>А500С</t>
        </is>
      </c>
      <c r="D295" s="49" t="n">
        <v>6</v>
      </c>
      <c r="E295" s="69" t="n">
        <v>1.45</v>
      </c>
      <c r="F295" s="51" t="n">
        <v>8</v>
      </c>
      <c r="G295" s="21" t="n"/>
      <c r="H295" s="21" t="n"/>
      <c r="I295" s="21" t="n"/>
      <c r="J295" s="21" t="n"/>
      <c r="K295" s="21" t="n"/>
      <c r="L295" s="21" t="n"/>
      <c r="M295" s="37">
        <f>E295*F295+G295*H295+I295*J295+K295*L295</f>
        <v/>
      </c>
      <c r="N295" s="37">
        <f>Исходные!$B$13-M295</f>
        <v/>
      </c>
      <c r="O295" s="51" t="n">
        <v>14</v>
      </c>
      <c r="P295" s="49">
        <f>(F295+H295+J295+L295)*O295</f>
        <v/>
      </c>
      <c r="Q295" s="70">
        <f>M295*O295</f>
        <v/>
      </c>
      <c r="R295" s="70">
        <f>N295*O295</f>
        <v/>
      </c>
    </row>
    <row r="296">
      <c r="A296" s="49" t="n">
        <v>2</v>
      </c>
      <c r="B296" s="49" t="n">
        <v>14</v>
      </c>
      <c r="C296" s="72" t="inlineStr">
        <is>
          <t>А500С</t>
        </is>
      </c>
      <c r="D296" s="49" t="n">
        <v>7</v>
      </c>
      <c r="E296" s="69" t="n">
        <v>3.9</v>
      </c>
      <c r="F296" s="51" t="n">
        <v>2</v>
      </c>
      <c r="G296" s="69" t="n">
        <v>3.712</v>
      </c>
      <c r="H296" s="51" t="n">
        <v>1</v>
      </c>
      <c r="I296" s="21" t="n"/>
      <c r="J296" s="21" t="n"/>
      <c r="K296" s="21" t="n"/>
      <c r="L296" s="21" t="n"/>
      <c r="M296" s="37">
        <f>E296*F296+G296*H296+I296*J296+K296*L296</f>
        <v/>
      </c>
      <c r="N296" s="37">
        <f>Исходные!$B$13-M296</f>
        <v/>
      </c>
      <c r="O296" s="51" t="n">
        <v>1</v>
      </c>
      <c r="P296" s="49">
        <f>(F296+H296+J296+L296)*O296</f>
        <v/>
      </c>
      <c r="Q296" s="70">
        <f>M296*O296</f>
        <v/>
      </c>
      <c r="R296" s="70">
        <f>N296*O296</f>
        <v/>
      </c>
    </row>
    <row r="297">
      <c r="A297" s="49" t="n">
        <v>2</v>
      </c>
      <c r="B297" s="49" t="n">
        <v>14</v>
      </c>
      <c r="C297" s="72" t="inlineStr">
        <is>
          <t>А500С</t>
        </is>
      </c>
      <c r="D297" s="49" t="n">
        <v>8</v>
      </c>
      <c r="E297" s="69" t="n">
        <v>9.1</v>
      </c>
      <c r="F297" s="51" t="n">
        <v>1</v>
      </c>
      <c r="G297" s="69" t="n">
        <v>2.4</v>
      </c>
      <c r="H297" s="51" t="n">
        <v>1</v>
      </c>
      <c r="I297" s="21" t="n"/>
      <c r="J297" s="21" t="n"/>
      <c r="K297" s="21" t="n"/>
      <c r="L297" s="21" t="n"/>
      <c r="M297" s="37">
        <f>E297*F297+G297*H297+I297*J297+K297*L297</f>
        <v/>
      </c>
      <c r="N297" s="37">
        <f>Исходные!$B$13-M297</f>
        <v/>
      </c>
      <c r="O297" s="51" t="n">
        <v>2</v>
      </c>
      <c r="P297" s="49">
        <f>(F297+H297+J297+L297)*O297</f>
        <v/>
      </c>
      <c r="Q297" s="70">
        <f>M297*O297</f>
        <v/>
      </c>
      <c r="R297" s="70">
        <f>N297*O297</f>
        <v/>
      </c>
    </row>
    <row r="298">
      <c r="A298" s="49" t="n">
        <v>2</v>
      </c>
      <c r="B298" s="49" t="n">
        <v>14</v>
      </c>
      <c r="C298" s="72" t="inlineStr">
        <is>
          <t>А500С</t>
        </is>
      </c>
      <c r="D298" s="49" t="n">
        <v>9</v>
      </c>
      <c r="E298" s="69" t="n">
        <v>9.355</v>
      </c>
      <c r="F298" s="51" t="n">
        <v>1</v>
      </c>
      <c r="G298" s="69" t="n">
        <v>1.95</v>
      </c>
      <c r="H298" s="51" t="n">
        <v>1</v>
      </c>
      <c r="I298" s="21" t="n"/>
      <c r="J298" s="21" t="n"/>
      <c r="K298" s="21" t="n"/>
      <c r="L298" s="21" t="n"/>
      <c r="M298" s="37">
        <f>E298*F298+G298*H298+I298*J298+K298*L298</f>
        <v/>
      </c>
      <c r="N298" s="37">
        <f>Исходные!$B$13-M298</f>
        <v/>
      </c>
      <c r="O298" s="51" t="n">
        <v>2</v>
      </c>
      <c r="P298" s="49">
        <f>(F298+H298+J298+L298)*O298</f>
        <v/>
      </c>
      <c r="Q298" s="70">
        <f>M298*O298</f>
        <v/>
      </c>
      <c r="R298" s="70">
        <f>N298*O298</f>
        <v/>
      </c>
    </row>
    <row r="299">
      <c r="A299" s="49" t="n">
        <v>2</v>
      </c>
      <c r="B299" s="49" t="n">
        <v>14</v>
      </c>
      <c r="C299" s="72" t="inlineStr">
        <is>
          <t>А500С</t>
        </is>
      </c>
      <c r="D299" s="49" t="n">
        <v>10</v>
      </c>
      <c r="E299" s="69" t="n">
        <v>4.2</v>
      </c>
      <c r="F299" s="51" t="n">
        <v>2</v>
      </c>
      <c r="G299" s="69" t="n">
        <v>2.85</v>
      </c>
      <c r="H299" s="51" t="n">
        <v>1</v>
      </c>
      <c r="I299" s="21" t="n"/>
      <c r="J299" s="21" t="n"/>
      <c r="K299" s="21" t="n"/>
      <c r="L299" s="21" t="n"/>
      <c r="M299" s="37">
        <f>E299*F299+G299*H299+I299*J299+K299*L299</f>
        <v/>
      </c>
      <c r="N299" s="37">
        <f>Исходные!$B$13-M299</f>
        <v/>
      </c>
      <c r="O299" s="51" t="n">
        <v>1</v>
      </c>
      <c r="P299" s="49">
        <f>(F299+H299+J299+L299)*O299</f>
        <v/>
      </c>
      <c r="Q299" s="70">
        <f>M299*O299</f>
        <v/>
      </c>
      <c r="R299" s="70">
        <f>N299*O299</f>
        <v/>
      </c>
    </row>
    <row r="300">
      <c r="A300" s="49" t="n">
        <v>2</v>
      </c>
      <c r="B300" s="49" t="n">
        <v>14</v>
      </c>
      <c r="C300" s="72" t="inlineStr">
        <is>
          <t>А500С</t>
        </is>
      </c>
      <c r="D300" s="49" t="n">
        <v>11</v>
      </c>
      <c r="E300" s="69" t="n">
        <v>1.25</v>
      </c>
      <c r="F300" s="51" t="n">
        <v>9</v>
      </c>
      <c r="G300" s="21" t="n"/>
      <c r="H300" s="21" t="n"/>
      <c r="I300" s="21" t="n"/>
      <c r="J300" s="21" t="n"/>
      <c r="K300" s="21" t="n"/>
      <c r="L300" s="21" t="n"/>
      <c r="M300" s="37">
        <f>E300*F300+G300*H300+I300*J300+K300*L300</f>
        <v/>
      </c>
      <c r="N300" s="37">
        <f>Исходные!$B$13-M300</f>
        <v/>
      </c>
      <c r="O300" s="51" t="n">
        <v>3</v>
      </c>
      <c r="P300" s="49">
        <f>(F300+H300+J300+L300)*O300</f>
        <v/>
      </c>
      <c r="Q300" s="70">
        <f>M300*O300</f>
        <v/>
      </c>
      <c r="R300" s="70">
        <f>N300*O300</f>
        <v/>
      </c>
    </row>
    <row r="301">
      <c r="A301" s="49" t="n">
        <v>2</v>
      </c>
      <c r="B301" s="49" t="n">
        <v>14</v>
      </c>
      <c r="C301" s="72" t="inlineStr">
        <is>
          <t>А500С</t>
        </is>
      </c>
      <c r="D301" s="49" t="n">
        <v>12</v>
      </c>
      <c r="E301" s="69" t="n">
        <v>1.45</v>
      </c>
      <c r="F301" s="51" t="n">
        <v>6</v>
      </c>
      <c r="G301" s="69" t="n">
        <v>1.25</v>
      </c>
      <c r="H301" s="51" t="n">
        <v>2</v>
      </c>
      <c r="I301" s="21" t="n"/>
      <c r="J301" s="21" t="n"/>
      <c r="K301" s="21" t="n"/>
      <c r="L301" s="21" t="n"/>
      <c r="M301" s="37">
        <f>E301*F301+G301*H301+I301*J301+K301*L301</f>
        <v/>
      </c>
      <c r="N301" s="37">
        <f>Исходные!$B$13-M301</f>
        <v/>
      </c>
      <c r="O301" s="51" t="n">
        <v>1</v>
      </c>
      <c r="P301" s="49">
        <f>(F301+H301+J301+L301)*O301</f>
        <v/>
      </c>
      <c r="Q301" s="70">
        <f>M301*O301</f>
        <v/>
      </c>
      <c r="R301" s="70">
        <f>N301*O301</f>
        <v/>
      </c>
    </row>
    <row r="302">
      <c r="A302" s="49" t="n">
        <v>2</v>
      </c>
      <c r="B302" s="49" t="n">
        <v>14</v>
      </c>
      <c r="C302" s="72" t="inlineStr">
        <is>
          <t>А500С</t>
        </is>
      </c>
      <c r="D302" s="49" t="n">
        <v>13</v>
      </c>
      <c r="E302" s="69" t="n">
        <v>3.712</v>
      </c>
      <c r="F302" s="51" t="n">
        <v>3</v>
      </c>
      <c r="G302" s="21" t="n"/>
      <c r="H302" s="21" t="n"/>
      <c r="I302" s="21" t="n"/>
      <c r="J302" s="21" t="n"/>
      <c r="K302" s="21" t="n"/>
      <c r="L302" s="21" t="n"/>
      <c r="M302" s="37">
        <f>E302*F302+G302*H302+I302*J302+K302*L302</f>
        <v/>
      </c>
      <c r="N302" s="37">
        <f>Исходные!$B$13-M302</f>
        <v/>
      </c>
      <c r="O302" s="51" t="n">
        <v>2</v>
      </c>
      <c r="P302" s="49">
        <f>(F302+H302+J302+L302)*O302</f>
        <v/>
      </c>
      <c r="Q302" s="70">
        <f>M302*O302</f>
        <v/>
      </c>
      <c r="R302" s="70">
        <f>N302*O302</f>
        <v/>
      </c>
    </row>
    <row r="303">
      <c r="A303" s="49" t="n">
        <v>2</v>
      </c>
      <c r="B303" s="49" t="n">
        <v>14</v>
      </c>
      <c r="C303" s="72" t="inlineStr">
        <is>
          <t>А500С</t>
        </is>
      </c>
      <c r="D303" s="49" t="n">
        <v>14</v>
      </c>
      <c r="E303" s="69" t="n">
        <v>3.712</v>
      </c>
      <c r="F303" s="51" t="n">
        <v>1</v>
      </c>
      <c r="G303" s="69" t="n">
        <v>3.7</v>
      </c>
      <c r="H303" s="51" t="n">
        <v>2</v>
      </c>
      <c r="I303" s="21" t="n"/>
      <c r="J303" s="21" t="n"/>
      <c r="K303" s="21" t="n"/>
      <c r="L303" s="21" t="n"/>
      <c r="M303" s="37">
        <f>E303*F303+G303*H303+I303*J303+K303*L303</f>
        <v/>
      </c>
      <c r="N303" s="37">
        <f>Исходные!$B$13-M303</f>
        <v/>
      </c>
      <c r="O303" s="51" t="n">
        <v>1</v>
      </c>
      <c r="P303" s="49">
        <f>(F303+H303+J303+L303)*O303</f>
        <v/>
      </c>
      <c r="Q303" s="70">
        <f>M303*O303</f>
        <v/>
      </c>
      <c r="R303" s="70">
        <f>N303*O303</f>
        <v/>
      </c>
    </row>
    <row r="304">
      <c r="A304" s="49" t="n">
        <v>2</v>
      </c>
      <c r="B304" s="49" t="n">
        <v>14</v>
      </c>
      <c r="C304" s="72" t="inlineStr">
        <is>
          <t>А500С</t>
        </is>
      </c>
      <c r="D304" s="49" t="n">
        <v>15</v>
      </c>
      <c r="E304" s="69" t="n">
        <v>3.7</v>
      </c>
      <c r="F304" s="51" t="n">
        <v>3</v>
      </c>
      <c r="G304" s="21" t="n"/>
      <c r="H304" s="21" t="n"/>
      <c r="I304" s="21" t="n"/>
      <c r="J304" s="21" t="n"/>
      <c r="K304" s="21" t="n"/>
      <c r="L304" s="21" t="n"/>
      <c r="M304" s="37">
        <f>E304*F304+G304*H304+I304*J304+K304*L304</f>
        <v/>
      </c>
      <c r="N304" s="37">
        <f>Исходные!$B$13-M304</f>
        <v/>
      </c>
      <c r="O304" s="51" t="n">
        <v>1</v>
      </c>
      <c r="P304" s="49">
        <f>(F304+H304+J304+L304)*O304</f>
        <v/>
      </c>
      <c r="Q304" s="70">
        <f>M304*O304</f>
        <v/>
      </c>
      <c r="R304" s="70">
        <f>N304*O304</f>
        <v/>
      </c>
    </row>
    <row r="305">
      <c r="A305" s="49" t="n">
        <v>2</v>
      </c>
      <c r="B305" s="49" t="n">
        <v>14</v>
      </c>
      <c r="C305" s="72" t="inlineStr">
        <is>
          <t>А500С</t>
        </is>
      </c>
      <c r="D305" s="49" t="n">
        <v>16</v>
      </c>
      <c r="E305" s="69" t="n">
        <v>9.1</v>
      </c>
      <c r="F305" s="51" t="n">
        <v>1</v>
      </c>
      <c r="G305" s="69" t="n">
        <v>1.95</v>
      </c>
      <c r="H305" s="51" t="n">
        <v>1</v>
      </c>
      <c r="I305" s="21" t="n"/>
      <c r="J305" s="21" t="n"/>
      <c r="K305" s="21" t="n"/>
      <c r="L305" s="21" t="n"/>
      <c r="M305" s="37">
        <f>E305*F305+G305*H305+I305*J305+K305*L305</f>
        <v/>
      </c>
      <c r="N305" s="37">
        <f>Исходные!$B$13-M305</f>
        <v/>
      </c>
      <c r="O305" s="51" t="n">
        <v>2</v>
      </c>
      <c r="P305" s="49">
        <f>(F305+H305+J305+L305)*O305</f>
        <v/>
      </c>
      <c r="Q305" s="70">
        <f>M305*O305</f>
        <v/>
      </c>
      <c r="R305" s="70">
        <f>N305*O305</f>
        <v/>
      </c>
    </row>
    <row r="306">
      <c r="A306" s="49" t="n">
        <v>2</v>
      </c>
      <c r="B306" s="49" t="n">
        <v>14</v>
      </c>
      <c r="C306" s="72" t="inlineStr">
        <is>
          <t>А500С</t>
        </is>
      </c>
      <c r="D306" s="49" t="n">
        <v>17</v>
      </c>
      <c r="E306" s="69" t="n">
        <v>1.25</v>
      </c>
      <c r="F306" s="51" t="n">
        <v>2</v>
      </c>
      <c r="G306" s="69" t="n">
        <v>1.2</v>
      </c>
      <c r="H306" s="51" t="n">
        <v>7</v>
      </c>
      <c r="I306" s="21" t="n"/>
      <c r="J306" s="21" t="n"/>
      <c r="K306" s="21" t="n"/>
      <c r="L306" s="21" t="n"/>
      <c r="M306" s="37">
        <f>E306*F306+G306*H306+I306*J306+K306*L306</f>
        <v/>
      </c>
      <c r="N306" s="37">
        <f>Исходные!$B$13-M306</f>
        <v/>
      </c>
      <c r="O306" s="51" t="n">
        <v>1</v>
      </c>
      <c r="P306" s="49">
        <f>(F306+H306+J306+L306)*O306</f>
        <v/>
      </c>
      <c r="Q306" s="70">
        <f>M306*O306</f>
        <v/>
      </c>
      <c r="R306" s="70">
        <f>N306*O306</f>
        <v/>
      </c>
    </row>
    <row r="307">
      <c r="A307" s="49" t="n">
        <v>2</v>
      </c>
      <c r="B307" s="49" t="n">
        <v>14</v>
      </c>
      <c r="C307" s="72" t="inlineStr">
        <is>
          <t>А500С</t>
        </is>
      </c>
      <c r="D307" s="49" t="n">
        <v>18</v>
      </c>
      <c r="E307" s="69" t="n">
        <v>1.2</v>
      </c>
      <c r="F307" s="51" t="n">
        <v>9</v>
      </c>
      <c r="G307" s="21" t="n"/>
      <c r="H307" s="21" t="n"/>
      <c r="I307" s="21" t="n"/>
      <c r="J307" s="21" t="n"/>
      <c r="K307" s="21" t="n"/>
      <c r="L307" s="21" t="n"/>
      <c r="M307" s="37">
        <f>E307*F307+G307*H307+I307*J307+K307*L307</f>
        <v/>
      </c>
      <c r="N307" s="37">
        <f>Исходные!$B$13-M307</f>
        <v/>
      </c>
      <c r="O307" s="51" t="n">
        <v>1</v>
      </c>
      <c r="P307" s="49">
        <f>(F307+H307+J307+L307)*O307</f>
        <v/>
      </c>
      <c r="Q307" s="70">
        <f>M307*O307</f>
        <v/>
      </c>
      <c r="R307" s="70">
        <f>N307*O307</f>
        <v/>
      </c>
    </row>
    <row r="308">
      <c r="A308" s="49" t="n">
        <v>2</v>
      </c>
      <c r="B308" s="49" t="n">
        <v>14</v>
      </c>
      <c r="C308" s="72" t="inlineStr">
        <is>
          <t>А500С</t>
        </is>
      </c>
      <c r="D308" s="49" t="n">
        <v>19</v>
      </c>
      <c r="E308" s="69" t="n">
        <v>1.95</v>
      </c>
      <c r="F308" s="51" t="n">
        <v>4</v>
      </c>
      <c r="G308" s="69" t="n">
        <v>1.45</v>
      </c>
      <c r="H308" s="51" t="n">
        <v>2</v>
      </c>
      <c r="I308" s="21" t="n"/>
      <c r="J308" s="21" t="n"/>
      <c r="K308" s="21" t="n"/>
      <c r="L308" s="21" t="n"/>
      <c r="M308" s="37">
        <f>E308*F308+G308*H308+I308*J308+K308*L308</f>
        <v/>
      </c>
      <c r="N308" s="37">
        <f>Исходные!$B$13-M308</f>
        <v/>
      </c>
      <c r="O308" s="51" t="n">
        <v>1</v>
      </c>
      <c r="P308" s="49">
        <f>(F308+H308+J308+L308)*O308</f>
        <v/>
      </c>
      <c r="Q308" s="70">
        <f>M308*O308</f>
        <v/>
      </c>
      <c r="R308" s="70">
        <f>N308*O308</f>
        <v/>
      </c>
    </row>
    <row r="309">
      <c r="A309" s="49" t="n">
        <v>2</v>
      </c>
      <c r="B309" s="49" t="n">
        <v>14</v>
      </c>
      <c r="C309" s="72" t="inlineStr">
        <is>
          <t>А500С</t>
        </is>
      </c>
      <c r="D309" s="49" t="n">
        <v>20</v>
      </c>
      <c r="E309" s="69" t="n">
        <v>1.2</v>
      </c>
      <c r="F309" s="51" t="n">
        <v>2</v>
      </c>
      <c r="G309" s="21" t="n"/>
      <c r="H309" s="21" t="n"/>
      <c r="I309" s="21" t="n"/>
      <c r="J309" s="21" t="n"/>
      <c r="K309" s="21" t="n"/>
      <c r="L309" s="21" t="n"/>
      <c r="M309" s="37">
        <f>E309*F309+G309*H309+I309*J309+K309*L309</f>
        <v/>
      </c>
      <c r="N309" s="37">
        <f>Исходные!$B$13-M309</f>
        <v/>
      </c>
      <c r="O309" s="51" t="n">
        <v>1</v>
      </c>
      <c r="P309" s="49">
        <f>(F309+H309+J309+L309)*O309</f>
        <v/>
      </c>
      <c r="Q309" s="70">
        <f>M309*O309</f>
        <v/>
      </c>
      <c r="R309" s="70">
        <f>N309*O309</f>
        <v/>
      </c>
    </row>
    <row r="310">
      <c r="A310" s="49" t="n">
        <v>2</v>
      </c>
      <c r="B310" s="49" t="n">
        <v>12</v>
      </c>
      <c r="C310" s="72" t="inlineStr">
        <is>
          <t>А500С</t>
        </is>
      </c>
      <c r="D310" s="49" t="n">
        <v>1</v>
      </c>
      <c r="E310" s="69" t="n">
        <v>11.7</v>
      </c>
      <c r="F310" s="51" t="n">
        <v>1</v>
      </c>
      <c r="G310" s="21" t="n"/>
      <c r="H310" s="21" t="n"/>
      <c r="I310" s="21" t="n"/>
      <c r="J310" s="21" t="n"/>
      <c r="K310" s="21" t="n"/>
      <c r="L310" s="21" t="n"/>
      <c r="M310" s="37">
        <f>E310*F310+G310*H310+I310*J310+K310*L310</f>
        <v/>
      </c>
      <c r="N310" s="37">
        <f>Исходные!$B$13-M310</f>
        <v/>
      </c>
      <c r="O310" s="51" t="n">
        <v>8</v>
      </c>
      <c r="P310" s="49">
        <f>(F310+H310+J310+L310)*O310</f>
        <v/>
      </c>
      <c r="Q310" s="70">
        <f>M310*O310</f>
        <v/>
      </c>
      <c r="R310" s="70">
        <f>N310*O310</f>
        <v/>
      </c>
    </row>
    <row r="311">
      <c r="A311" s="49" t="n">
        <v>2</v>
      </c>
      <c r="B311" s="49" t="n">
        <v>12</v>
      </c>
      <c r="C311" s="72" t="inlineStr">
        <is>
          <t>А500С</t>
        </is>
      </c>
      <c r="D311" s="49" t="n">
        <v>2</v>
      </c>
      <c r="E311" s="69" t="n">
        <v>1.95</v>
      </c>
      <c r="F311" s="51" t="n">
        <v>6</v>
      </c>
      <c r="G311" s="21" t="n"/>
      <c r="H311" s="21" t="n"/>
      <c r="I311" s="21" t="n"/>
      <c r="J311" s="21" t="n"/>
      <c r="K311" s="21" t="n"/>
      <c r="L311" s="21" t="n"/>
      <c r="M311" s="37">
        <f>E311*F311+G311*H311+I311*J311+K311*L311</f>
        <v/>
      </c>
      <c r="N311" s="37">
        <f>Исходные!$B$13-M311</f>
        <v/>
      </c>
      <c r="O311" s="51" t="n">
        <v>2</v>
      </c>
      <c r="P311" s="49">
        <f>(F311+H311+J311+L311)*O311</f>
        <v/>
      </c>
      <c r="Q311" s="70">
        <f>M311*O311</f>
        <v/>
      </c>
      <c r="R311" s="70">
        <f>N311*O311</f>
        <v/>
      </c>
    </row>
    <row r="312">
      <c r="A312" s="49" t="n">
        <v>2</v>
      </c>
      <c r="B312" s="49" t="n">
        <v>12</v>
      </c>
      <c r="C312" s="72" t="inlineStr">
        <is>
          <t>А500С</t>
        </is>
      </c>
      <c r="D312" s="49" t="n">
        <v>3</v>
      </c>
      <c r="E312" s="69" t="n">
        <v>1.4</v>
      </c>
      <c r="F312" s="51" t="n">
        <v>3</v>
      </c>
      <c r="G312" s="69" t="n">
        <v>1.25</v>
      </c>
      <c r="H312" s="51" t="n">
        <v>6</v>
      </c>
      <c r="I312" s="21" t="n"/>
      <c r="J312" s="21" t="n"/>
      <c r="K312" s="21" t="n"/>
      <c r="L312" s="21" t="n"/>
      <c r="M312" s="37">
        <f>E312*F312+G312*H312+I312*J312+K312*L312</f>
        <v/>
      </c>
      <c r="N312" s="37">
        <f>Исходные!$B$13-M312</f>
        <v/>
      </c>
      <c r="O312" s="51" t="n">
        <v>1</v>
      </c>
      <c r="P312" s="49">
        <f>(F312+H312+J312+L312)*O312</f>
        <v/>
      </c>
      <c r="Q312" s="70">
        <f>M312*O312</f>
        <v/>
      </c>
      <c r="R312" s="70">
        <f>N312*O312</f>
        <v/>
      </c>
    </row>
    <row r="313">
      <c r="A313" s="49" t="n">
        <v>2</v>
      </c>
      <c r="B313" s="49" t="n">
        <v>12</v>
      </c>
      <c r="C313" s="72" t="inlineStr">
        <is>
          <t>А500С</t>
        </is>
      </c>
      <c r="D313" s="49" t="n">
        <v>4</v>
      </c>
      <c r="E313" s="69" t="n">
        <v>2.05</v>
      </c>
      <c r="F313" s="51" t="n">
        <v>5</v>
      </c>
      <c r="G313" s="69" t="n">
        <v>1.4</v>
      </c>
      <c r="H313" s="51" t="n">
        <v>1</v>
      </c>
      <c r="I313" s="21" t="n"/>
      <c r="J313" s="21" t="n"/>
      <c r="K313" s="21" t="n"/>
      <c r="L313" s="21" t="n"/>
      <c r="M313" s="37">
        <f>E313*F313+G313*H313+I313*J313+K313*L313</f>
        <v/>
      </c>
      <c r="N313" s="37">
        <f>Исходные!$B$13-M313</f>
        <v/>
      </c>
      <c r="O313" s="51" t="n">
        <v>1</v>
      </c>
      <c r="P313" s="49">
        <f>(F313+H313+J313+L313)*O313</f>
        <v/>
      </c>
      <c r="Q313" s="70">
        <f>M313*O313</f>
        <v/>
      </c>
      <c r="R313" s="70">
        <f>N313*O313</f>
        <v/>
      </c>
    </row>
    <row r="314">
      <c r="A314" s="49" t="n">
        <v>2</v>
      </c>
      <c r="B314" s="49" t="n">
        <v>12</v>
      </c>
      <c r="C314" s="72" t="inlineStr">
        <is>
          <t>А500С</t>
        </is>
      </c>
      <c r="D314" s="49" t="n">
        <v>5</v>
      </c>
      <c r="E314" s="69" t="n">
        <v>3.4</v>
      </c>
      <c r="F314" s="51" t="n">
        <v>3</v>
      </c>
      <c r="G314" s="69" t="n">
        <v>1.4</v>
      </c>
      <c r="H314" s="51" t="n">
        <v>1</v>
      </c>
      <c r="I314" s="21" t="n"/>
      <c r="J314" s="21" t="n"/>
      <c r="K314" s="21" t="n"/>
      <c r="L314" s="21" t="n"/>
      <c r="M314" s="37">
        <f>E314*F314+G314*H314+I314*J314+K314*L314</f>
        <v/>
      </c>
      <c r="N314" s="37">
        <f>Исходные!$B$13-M314</f>
        <v/>
      </c>
      <c r="O314" s="51" t="n">
        <v>1</v>
      </c>
      <c r="P314" s="49">
        <f>(F314+H314+J314+L314)*O314</f>
        <v/>
      </c>
      <c r="Q314" s="70">
        <f>M314*O314</f>
        <v/>
      </c>
      <c r="R314" s="70">
        <f>N314*O314</f>
        <v/>
      </c>
    </row>
    <row r="315">
      <c r="A315" s="49" t="n">
        <v>2</v>
      </c>
      <c r="B315" s="49" t="n">
        <v>12</v>
      </c>
      <c r="C315" s="72" t="inlineStr">
        <is>
          <t>А500С</t>
        </is>
      </c>
      <c r="D315" s="49" t="n">
        <v>6</v>
      </c>
      <c r="E315" s="69" t="n">
        <v>2.4</v>
      </c>
      <c r="F315" s="51" t="n">
        <v>1</v>
      </c>
      <c r="G315" s="69" t="n">
        <v>2.3</v>
      </c>
      <c r="H315" s="51" t="n">
        <v>4</v>
      </c>
      <c r="I315" s="21" t="n"/>
      <c r="J315" s="21" t="n"/>
      <c r="K315" s="21" t="n"/>
      <c r="L315" s="21" t="n"/>
      <c r="M315" s="37">
        <f>E315*F315+G315*H315+I315*J315+K315*L315</f>
        <v/>
      </c>
      <c r="N315" s="37">
        <f>Исходные!$B$13-M315</f>
        <v/>
      </c>
      <c r="O315" s="51" t="n">
        <v>1</v>
      </c>
      <c r="P315" s="49">
        <f>(F315+H315+J315+L315)*O315</f>
        <v/>
      </c>
      <c r="Q315" s="70">
        <f>M315*O315</f>
        <v/>
      </c>
      <c r="R315" s="70">
        <f>N315*O315</f>
        <v/>
      </c>
    </row>
    <row r="316">
      <c r="A316" s="49" t="n">
        <v>2</v>
      </c>
      <c r="B316" s="49" t="n">
        <v>12</v>
      </c>
      <c r="C316" s="72" t="inlineStr">
        <is>
          <t>А500С</t>
        </is>
      </c>
      <c r="D316" s="49" t="n">
        <v>7</v>
      </c>
      <c r="E316" s="69" t="n">
        <v>1.95</v>
      </c>
      <c r="F316" s="51" t="n">
        <v>1</v>
      </c>
      <c r="G316" s="69" t="n">
        <v>1.4</v>
      </c>
      <c r="H316" s="51" t="n">
        <v>6</v>
      </c>
      <c r="I316" s="69" t="n">
        <v>1.25</v>
      </c>
      <c r="J316" s="51" t="n">
        <v>1</v>
      </c>
      <c r="K316" s="21" t="n"/>
      <c r="L316" s="21" t="n"/>
      <c r="M316" s="37">
        <f>E316*F316+G316*H316+I316*J316+K316*L316</f>
        <v/>
      </c>
      <c r="N316" s="37">
        <f>Исходные!$B$13-M316</f>
        <v/>
      </c>
      <c r="O316" s="51" t="n">
        <v>1</v>
      </c>
      <c r="P316" s="49">
        <f>(F316+H316+J316+L316)*O316</f>
        <v/>
      </c>
      <c r="Q316" s="70">
        <f>M316*O316</f>
        <v/>
      </c>
      <c r="R316" s="70">
        <f>N316*O316</f>
        <v/>
      </c>
    </row>
    <row r="317">
      <c r="A317" s="49" t="n">
        <v>2</v>
      </c>
      <c r="B317" s="49" t="n">
        <v>12</v>
      </c>
      <c r="C317" s="72" t="inlineStr">
        <is>
          <t>А500С</t>
        </is>
      </c>
      <c r="D317" s="49" t="n">
        <v>8</v>
      </c>
      <c r="E317" s="69" t="n">
        <v>2.05</v>
      </c>
      <c r="F317" s="51" t="n">
        <v>4</v>
      </c>
      <c r="G317" s="69" t="n">
        <v>1.95</v>
      </c>
      <c r="H317" s="51" t="n">
        <v>1</v>
      </c>
      <c r="I317" s="69" t="n">
        <v>1.4</v>
      </c>
      <c r="J317" s="51" t="n">
        <v>1</v>
      </c>
      <c r="K317" s="21" t="n"/>
      <c r="L317" s="21" t="n"/>
      <c r="M317" s="37">
        <f>E317*F317+G317*H317+I317*J317+K317*L317</f>
        <v/>
      </c>
      <c r="N317" s="37">
        <f>Исходные!$B$13-M317</f>
        <v/>
      </c>
      <c r="O317" s="51" t="n">
        <v>1</v>
      </c>
      <c r="P317" s="49">
        <f>(F317+H317+J317+L317)*O317</f>
        <v/>
      </c>
      <c r="Q317" s="70">
        <f>M317*O317</f>
        <v/>
      </c>
      <c r="R317" s="70">
        <f>N317*O317</f>
        <v/>
      </c>
    </row>
    <row r="318">
      <c r="A318" s="49" t="n">
        <v>2</v>
      </c>
      <c r="B318" s="49" t="n">
        <v>12</v>
      </c>
      <c r="C318" s="72" t="inlineStr">
        <is>
          <t>А500С</t>
        </is>
      </c>
      <c r="D318" s="49" t="n">
        <v>9</v>
      </c>
      <c r="E318" s="69" t="n">
        <v>3.8</v>
      </c>
      <c r="F318" s="51" t="n">
        <v>3</v>
      </c>
      <c r="G318" s="21" t="n"/>
      <c r="H318" s="21" t="n"/>
      <c r="I318" s="21" t="n"/>
      <c r="J318" s="21" t="n"/>
      <c r="K318" s="21" t="n"/>
      <c r="L318" s="21" t="n"/>
      <c r="M318" s="37">
        <f>E318*F318+G318*H318+I318*J318+K318*L318</f>
        <v/>
      </c>
      <c r="N318" s="37">
        <f>Исходные!$B$13-M318</f>
        <v/>
      </c>
      <c r="O318" s="51" t="n">
        <v>2</v>
      </c>
      <c r="P318" s="49">
        <f>(F318+H318+J318+L318)*O318</f>
        <v/>
      </c>
      <c r="Q318" s="70">
        <f>M318*O318</f>
        <v/>
      </c>
      <c r="R318" s="70">
        <f>N318*O318</f>
        <v/>
      </c>
    </row>
    <row r="319">
      <c r="A319" s="49" t="n">
        <v>2</v>
      </c>
      <c r="B319" s="49" t="n">
        <v>12</v>
      </c>
      <c r="C319" s="72" t="inlineStr">
        <is>
          <t>А500С</t>
        </is>
      </c>
      <c r="D319" s="49" t="n">
        <v>10</v>
      </c>
      <c r="E319" s="69" t="n">
        <v>1.25</v>
      </c>
      <c r="F319" s="51" t="n">
        <v>9</v>
      </c>
      <c r="G319" s="21" t="n"/>
      <c r="H319" s="21" t="n"/>
      <c r="I319" s="21" t="n"/>
      <c r="J319" s="21" t="n"/>
      <c r="K319" s="21" t="n"/>
      <c r="L319" s="21" t="n"/>
      <c r="M319" s="37">
        <f>E319*F319+G319*H319+I319*J319+K319*L319</f>
        <v/>
      </c>
      <c r="N319" s="37">
        <f>Исходные!$B$13-M319</f>
        <v/>
      </c>
      <c r="O319" s="51" t="n">
        <v>5</v>
      </c>
      <c r="P319" s="49">
        <f>(F319+H319+J319+L319)*O319</f>
        <v/>
      </c>
      <c r="Q319" s="70">
        <f>M319*O319</f>
        <v/>
      </c>
      <c r="R319" s="70">
        <f>N319*O319</f>
        <v/>
      </c>
    </row>
    <row r="320">
      <c r="A320" s="49" t="n">
        <v>2</v>
      </c>
      <c r="B320" s="49" t="n">
        <v>12</v>
      </c>
      <c r="C320" s="72" t="inlineStr">
        <is>
          <t>А500С</t>
        </is>
      </c>
      <c r="D320" s="49" t="n">
        <v>11</v>
      </c>
      <c r="E320" s="69" t="n">
        <v>3.8</v>
      </c>
      <c r="F320" s="51" t="n">
        <v>2</v>
      </c>
      <c r="G320" s="69" t="n">
        <v>3.6</v>
      </c>
      <c r="H320" s="51" t="n">
        <v>1</v>
      </c>
      <c r="I320" s="21" t="n"/>
      <c r="J320" s="21" t="n"/>
      <c r="K320" s="21" t="n"/>
      <c r="L320" s="21" t="n"/>
      <c r="M320" s="37">
        <f>E320*F320+G320*H320+I320*J320+K320*L320</f>
        <v/>
      </c>
      <c r="N320" s="37">
        <f>Исходные!$B$13-M320</f>
        <v/>
      </c>
      <c r="O320" s="51" t="n">
        <v>1</v>
      </c>
      <c r="P320" s="49">
        <f>(F320+H320+J320+L320)*O320</f>
        <v/>
      </c>
      <c r="Q320" s="70">
        <f>M320*O320</f>
        <v/>
      </c>
      <c r="R320" s="70">
        <f>N320*O320</f>
        <v/>
      </c>
    </row>
    <row r="321">
      <c r="A321" s="49" t="n">
        <v>2</v>
      </c>
      <c r="B321" s="49" t="n">
        <v>12</v>
      </c>
      <c r="C321" s="72" t="inlineStr">
        <is>
          <t>А500С</t>
        </is>
      </c>
      <c r="D321" s="49" t="n">
        <v>12</v>
      </c>
      <c r="E321" s="69" t="n">
        <v>1.25</v>
      </c>
      <c r="F321" s="51" t="n">
        <v>6</v>
      </c>
      <c r="G321" s="69" t="n">
        <v>1.2</v>
      </c>
      <c r="H321" s="51" t="n">
        <v>3</v>
      </c>
      <c r="I321" s="21" t="n"/>
      <c r="J321" s="21" t="n"/>
      <c r="K321" s="21" t="n"/>
      <c r="L321" s="21" t="n"/>
      <c r="M321" s="37">
        <f>E321*F321+G321*H321+I321*J321+K321*L321</f>
        <v/>
      </c>
      <c r="N321" s="37">
        <f>Исходные!$B$13-M321</f>
        <v/>
      </c>
      <c r="O321" s="51" t="n">
        <v>1</v>
      </c>
      <c r="P321" s="49">
        <f>(F321+H321+J321+L321)*O321</f>
        <v/>
      </c>
      <c r="Q321" s="70">
        <f>M321*O321</f>
        <v/>
      </c>
      <c r="R321" s="70">
        <f>N321*O321</f>
        <v/>
      </c>
    </row>
    <row r="322">
      <c r="A322" s="49" t="n">
        <v>2</v>
      </c>
      <c r="B322" s="49" t="n">
        <v>12</v>
      </c>
      <c r="C322" s="72" t="inlineStr">
        <is>
          <t>А500С</t>
        </is>
      </c>
      <c r="D322" s="49" t="n">
        <v>13</v>
      </c>
      <c r="E322" s="69" t="n">
        <v>5.5</v>
      </c>
      <c r="F322" s="51" t="n">
        <v>2</v>
      </c>
      <c r="G322" s="21" t="n"/>
      <c r="H322" s="21" t="n"/>
      <c r="I322" s="21" t="n"/>
      <c r="J322" s="21" t="n"/>
      <c r="K322" s="21" t="n"/>
      <c r="L322" s="21" t="n"/>
      <c r="M322" s="37">
        <f>E322*F322+G322*H322+I322*J322+K322*L322</f>
        <v/>
      </c>
      <c r="N322" s="37">
        <f>Исходные!$B$13-M322</f>
        <v/>
      </c>
      <c r="O322" s="51" t="n">
        <v>1</v>
      </c>
      <c r="P322" s="49">
        <f>(F322+H322+J322+L322)*O322</f>
        <v/>
      </c>
      <c r="Q322" s="70">
        <f>M322*O322</f>
        <v/>
      </c>
      <c r="R322" s="70">
        <f>N322*O322</f>
        <v/>
      </c>
    </row>
    <row r="323">
      <c r="A323" s="49" t="n">
        <v>2</v>
      </c>
      <c r="B323" s="49" t="n">
        <v>12</v>
      </c>
      <c r="C323" s="72" t="inlineStr">
        <is>
          <t>А500С</t>
        </is>
      </c>
      <c r="D323" s="49" t="n">
        <v>14</v>
      </c>
      <c r="E323" s="69" t="n">
        <v>2.2</v>
      </c>
      <c r="F323" s="51" t="n">
        <v>5</v>
      </c>
      <c r="G323" s="21" t="n"/>
      <c r="H323" s="21" t="n"/>
      <c r="I323" s="21" t="n"/>
      <c r="J323" s="21" t="n"/>
      <c r="K323" s="21" t="n"/>
      <c r="L323" s="21" t="n"/>
      <c r="M323" s="37">
        <f>E323*F323+G323*H323+I323*J323+K323*L323</f>
        <v/>
      </c>
      <c r="N323" s="37">
        <f>Исходные!$B$13-M323</f>
        <v/>
      </c>
      <c r="O323" s="51" t="n">
        <v>2</v>
      </c>
      <c r="P323" s="49">
        <f>(F323+H323+J323+L323)*O323</f>
        <v/>
      </c>
      <c r="Q323" s="70">
        <f>M323*O323</f>
        <v/>
      </c>
      <c r="R323" s="70">
        <f>N323*O323</f>
        <v/>
      </c>
    </row>
    <row r="324">
      <c r="A324" s="49" t="n">
        <v>2</v>
      </c>
      <c r="B324" s="49" t="n">
        <v>12</v>
      </c>
      <c r="C324" s="72" t="inlineStr">
        <is>
          <t>А500С</t>
        </is>
      </c>
      <c r="D324" s="49" t="n">
        <v>15</v>
      </c>
      <c r="E324" s="69" t="n">
        <v>5.496</v>
      </c>
      <c r="F324" s="51" t="n">
        <v>2</v>
      </c>
      <c r="G324" s="21" t="n"/>
      <c r="H324" s="21" t="n"/>
      <c r="I324" s="21" t="n"/>
      <c r="J324" s="21" t="n"/>
      <c r="K324" s="21" t="n"/>
      <c r="L324" s="21" t="n"/>
      <c r="M324" s="37">
        <f>E324*F324+G324*H324+I324*J324+K324*L324</f>
        <v/>
      </c>
      <c r="N324" s="37">
        <f>Исходные!$B$13-M324</f>
        <v/>
      </c>
      <c r="O324" s="51" t="n">
        <v>4</v>
      </c>
      <c r="P324" s="49">
        <f>(F324+H324+J324+L324)*O324</f>
        <v/>
      </c>
      <c r="Q324" s="70">
        <f>M324*O324</f>
        <v/>
      </c>
      <c r="R324" s="70">
        <f>N324*O324</f>
        <v/>
      </c>
    </row>
    <row r="325">
      <c r="A325" s="49" t="n">
        <v>2</v>
      </c>
      <c r="B325" s="49" t="n">
        <v>12</v>
      </c>
      <c r="C325" s="72" t="inlineStr">
        <is>
          <t>А500С</t>
        </is>
      </c>
      <c r="D325" s="49" t="n">
        <v>16</v>
      </c>
      <c r="E325" s="69" t="n">
        <v>3.6</v>
      </c>
      <c r="F325" s="51" t="n">
        <v>3</v>
      </c>
      <c r="G325" s="21" t="n"/>
      <c r="H325" s="21" t="n"/>
      <c r="I325" s="21" t="n"/>
      <c r="J325" s="21" t="n"/>
      <c r="K325" s="21" t="n"/>
      <c r="L325" s="21" t="n"/>
      <c r="M325" s="37">
        <f>E325*F325+G325*H325+I325*J325+K325*L325</f>
        <v/>
      </c>
      <c r="N325" s="37">
        <f>Исходные!$B$13-M325</f>
        <v/>
      </c>
      <c r="O325" s="51" t="n">
        <v>1</v>
      </c>
      <c r="P325" s="49">
        <f>(F325+H325+J325+L325)*O325</f>
        <v/>
      </c>
      <c r="Q325" s="70">
        <f>M325*O325</f>
        <v/>
      </c>
      <c r="R325" s="70">
        <f>N325*O325</f>
        <v/>
      </c>
    </row>
    <row r="326">
      <c r="A326" s="49" t="n">
        <v>2</v>
      </c>
      <c r="B326" s="49" t="n">
        <v>12</v>
      </c>
      <c r="C326" s="72" t="inlineStr">
        <is>
          <t>А500С</t>
        </is>
      </c>
      <c r="D326" s="49" t="n">
        <v>17</v>
      </c>
      <c r="E326" s="69" t="n">
        <v>3.4</v>
      </c>
      <c r="F326" s="51" t="n">
        <v>1</v>
      </c>
      <c r="G326" s="69" t="n">
        <v>2.4</v>
      </c>
      <c r="H326" s="51" t="n">
        <v>3</v>
      </c>
      <c r="I326" s="21" t="n"/>
      <c r="J326" s="21" t="n"/>
      <c r="K326" s="21" t="n"/>
      <c r="L326" s="21" t="n"/>
      <c r="M326" s="37">
        <f>E326*F326+G326*H326+I326*J326+K326*L326</f>
        <v/>
      </c>
      <c r="N326" s="37">
        <f>Исходные!$B$13-M326</f>
        <v/>
      </c>
      <c r="O326" s="51" t="n">
        <v>1</v>
      </c>
      <c r="P326" s="49">
        <f>(F326+H326+J326+L326)*O326</f>
        <v/>
      </c>
      <c r="Q326" s="70">
        <f>M326*O326</f>
        <v/>
      </c>
      <c r="R326" s="70">
        <f>N326*O326</f>
        <v/>
      </c>
    </row>
    <row r="327">
      <c r="A327" s="49" t="n">
        <v>2</v>
      </c>
      <c r="B327" s="49" t="n">
        <v>12</v>
      </c>
      <c r="C327" s="72" t="inlineStr">
        <is>
          <t>А500С</t>
        </is>
      </c>
      <c r="D327" s="49" t="n">
        <v>18</v>
      </c>
      <c r="E327" s="69" t="n">
        <v>2.2</v>
      </c>
      <c r="F327" s="51" t="n">
        <v>2</v>
      </c>
      <c r="G327" s="69" t="n">
        <v>2.05</v>
      </c>
      <c r="H327" s="51" t="n">
        <v>3</v>
      </c>
      <c r="I327" s="21" t="n"/>
      <c r="J327" s="21" t="n"/>
      <c r="K327" s="21" t="n"/>
      <c r="L327" s="21" t="n"/>
      <c r="M327" s="37">
        <f>E327*F327+G327*H327+I327*J327+K327*L327</f>
        <v/>
      </c>
      <c r="N327" s="37">
        <f>Исходные!$B$13-M327</f>
        <v/>
      </c>
      <c r="O327" s="51" t="n">
        <v>1</v>
      </c>
      <c r="P327" s="49">
        <f>(F327+H327+J327+L327)*O327</f>
        <v/>
      </c>
      <c r="Q327" s="70">
        <f>M327*O327</f>
        <v/>
      </c>
      <c r="R327" s="70">
        <f>N327*O327</f>
        <v/>
      </c>
    </row>
    <row r="328">
      <c r="A328" s="49" t="n">
        <v>2</v>
      </c>
      <c r="B328" s="49" t="n">
        <v>12</v>
      </c>
      <c r="C328" s="72" t="inlineStr">
        <is>
          <t>А500С</t>
        </is>
      </c>
      <c r="D328" s="49" t="n">
        <v>19</v>
      </c>
      <c r="E328" s="69" t="n">
        <v>1.2</v>
      </c>
      <c r="F328" s="51" t="n">
        <v>3</v>
      </c>
      <c r="G328" s="21" t="n"/>
      <c r="H328" s="21" t="n"/>
      <c r="I328" s="21" t="n"/>
      <c r="J328" s="21" t="n"/>
      <c r="K328" s="21" t="n"/>
      <c r="L328" s="21" t="n"/>
      <c r="M328" s="37">
        <f>E328*F328+G328*H328+I328*J328+K328*L328</f>
        <v/>
      </c>
      <c r="N328" s="37">
        <f>Исходные!$B$13-M328</f>
        <v/>
      </c>
      <c r="O328" s="51" t="n">
        <v>1</v>
      </c>
      <c r="P328" s="49">
        <f>(F328+H328+J328+L328)*O328</f>
        <v/>
      </c>
      <c r="Q328" s="70">
        <f>M328*O328</f>
        <v/>
      </c>
      <c r="R328" s="70">
        <f>N328*O328</f>
        <v/>
      </c>
    </row>
    <row r="329">
      <c r="A329" s="49" t="n">
        <v>2</v>
      </c>
      <c r="B329" s="49" t="n">
        <v>10</v>
      </c>
      <c r="C329" s="72" t="inlineStr">
        <is>
          <t>А500С</t>
        </is>
      </c>
      <c r="D329" s="49" t="n">
        <v>1</v>
      </c>
      <c r="E329" s="69" t="n">
        <v>11.7</v>
      </c>
      <c r="F329" s="51" t="n">
        <v>1</v>
      </c>
      <c r="G329" s="21" t="n"/>
      <c r="H329" s="21" t="n"/>
      <c r="I329" s="21" t="n"/>
      <c r="J329" s="21" t="n"/>
      <c r="K329" s="21" t="n"/>
      <c r="L329" s="21" t="n"/>
      <c r="M329" s="37">
        <f>E329*F329+G329*H329+I329*J329+K329*L329</f>
        <v/>
      </c>
      <c r="N329" s="37">
        <f>Исходные!$B$13-M329</f>
        <v/>
      </c>
      <c r="O329" s="51" t="n">
        <v>616</v>
      </c>
      <c r="P329" s="49">
        <f>(F329+H329+J329+L329)*O329</f>
        <v/>
      </c>
      <c r="Q329" s="70">
        <f>M329*O329</f>
        <v/>
      </c>
      <c r="R329" s="70">
        <f>N329*O329</f>
        <v/>
      </c>
    </row>
    <row r="330">
      <c r="A330" s="49" t="n">
        <v>2</v>
      </c>
      <c r="B330" s="49" t="n">
        <v>10</v>
      </c>
      <c r="C330" s="72" t="inlineStr">
        <is>
          <t>А500С</t>
        </is>
      </c>
      <c r="D330" s="49" t="n">
        <v>2</v>
      </c>
      <c r="E330" s="69" t="n">
        <v>9.18</v>
      </c>
      <c r="F330" s="51" t="n">
        <v>1</v>
      </c>
      <c r="G330" s="69" t="n">
        <v>1.95</v>
      </c>
      <c r="H330" s="51" t="n">
        <v>1</v>
      </c>
      <c r="I330" s="69" t="n">
        <v>0.57</v>
      </c>
      <c r="J330" s="51" t="n">
        <v>1</v>
      </c>
      <c r="K330" s="21" t="n"/>
      <c r="L330" s="21" t="n"/>
      <c r="M330" s="37">
        <f>E330*F330+G330*H330+I330*J330+K330*L330</f>
        <v/>
      </c>
      <c r="N330" s="37">
        <f>Исходные!$B$13-M330</f>
        <v/>
      </c>
      <c r="O330" s="51" t="n">
        <v>6</v>
      </c>
      <c r="P330" s="49">
        <f>(F330+H330+J330+L330)*O330</f>
        <v/>
      </c>
      <c r="Q330" s="70">
        <f>M330*O330</f>
        <v/>
      </c>
      <c r="R330" s="70">
        <f>N330*O330</f>
        <v/>
      </c>
    </row>
    <row r="331">
      <c r="A331" s="49" t="n">
        <v>2</v>
      </c>
      <c r="B331" s="49" t="n">
        <v>10</v>
      </c>
      <c r="C331" s="72" t="inlineStr">
        <is>
          <t>А500С</t>
        </is>
      </c>
      <c r="D331" s="49" t="n">
        <v>3</v>
      </c>
      <c r="E331" s="69" t="n">
        <v>3.78</v>
      </c>
      <c r="F331" s="51" t="n">
        <v>2</v>
      </c>
      <c r="G331" s="69" t="n">
        <v>3</v>
      </c>
      <c r="H331" s="51" t="n">
        <v>1</v>
      </c>
      <c r="I331" s="69" t="n">
        <v>0.57</v>
      </c>
      <c r="J331" s="51" t="n">
        <v>2</v>
      </c>
      <c r="K331" s="21" t="n"/>
      <c r="L331" s="21" t="n"/>
      <c r="M331" s="37">
        <f>E331*F331+G331*H331+I331*J331+K331*L331</f>
        <v/>
      </c>
      <c r="N331" s="37">
        <f>Исходные!$B$13-M331</f>
        <v/>
      </c>
      <c r="O331" s="51" t="n">
        <v>1</v>
      </c>
      <c r="P331" s="49">
        <f>(F331+H331+J331+L331)*O331</f>
        <v/>
      </c>
      <c r="Q331" s="70">
        <f>M331*O331</f>
        <v/>
      </c>
      <c r="R331" s="70">
        <f>N331*O331</f>
        <v/>
      </c>
    </row>
    <row r="332">
      <c r="A332" s="49" t="n">
        <v>2</v>
      </c>
      <c r="B332" s="49" t="n">
        <v>10</v>
      </c>
      <c r="C332" s="72" t="inlineStr">
        <is>
          <t>А500С</t>
        </is>
      </c>
      <c r="D332" s="49" t="n">
        <v>4</v>
      </c>
      <c r="E332" s="69" t="n">
        <v>3</v>
      </c>
      <c r="F332" s="51" t="n">
        <v>2</v>
      </c>
      <c r="G332" s="69" t="n">
        <v>2.6</v>
      </c>
      <c r="H332" s="51" t="n">
        <v>2</v>
      </c>
      <c r="I332" s="69" t="n">
        <v>0.48</v>
      </c>
      <c r="J332" s="51" t="n">
        <v>1</v>
      </c>
      <c r="K332" s="21" t="n"/>
      <c r="L332" s="21" t="n"/>
      <c r="M332" s="37">
        <f>E332*F332+G332*H332+I332*J332+K332*L332</f>
        <v/>
      </c>
      <c r="N332" s="37">
        <f>Исходные!$B$13-M332</f>
        <v/>
      </c>
      <c r="O332" s="51" t="n">
        <v>1</v>
      </c>
      <c r="P332" s="49">
        <f>(F332+H332+J332+L332)*O332</f>
        <v/>
      </c>
      <c r="Q332" s="70">
        <f>M332*O332</f>
        <v/>
      </c>
      <c r="R332" s="70">
        <f>N332*O332</f>
        <v/>
      </c>
    </row>
    <row r="333">
      <c r="A333" s="49" t="n">
        <v>2</v>
      </c>
      <c r="B333" s="49" t="n">
        <v>10</v>
      </c>
      <c r="C333" s="72" t="inlineStr">
        <is>
          <t>А500С</t>
        </is>
      </c>
      <c r="D333" s="49" t="n">
        <v>5</v>
      </c>
      <c r="E333" s="69" t="n">
        <v>1.4</v>
      </c>
      <c r="F333" s="51" t="n">
        <v>8</v>
      </c>
      <c r="G333" s="69" t="n">
        <v>0.48</v>
      </c>
      <c r="H333" s="51" t="n">
        <v>1</v>
      </c>
      <c r="I333" s="21" t="n"/>
      <c r="J333" s="21" t="n"/>
      <c r="K333" s="21" t="n"/>
      <c r="L333" s="21" t="n"/>
      <c r="M333" s="37">
        <f>E333*F333+G333*H333+I333*J333+K333*L333</f>
        <v/>
      </c>
      <c r="N333" s="37">
        <f>Исходные!$B$13-M333</f>
        <v/>
      </c>
      <c r="O333" s="51" t="n">
        <v>3</v>
      </c>
      <c r="P333" s="49">
        <f>(F333+H333+J333+L333)*O333</f>
        <v/>
      </c>
      <c r="Q333" s="70">
        <f>M333*O333</f>
        <v/>
      </c>
      <c r="R333" s="70">
        <f>N333*O333</f>
        <v/>
      </c>
    </row>
    <row r="334">
      <c r="A334" s="49" t="n">
        <v>2</v>
      </c>
      <c r="B334" s="49" t="n">
        <v>10</v>
      </c>
      <c r="C334" s="72" t="inlineStr">
        <is>
          <t>А500С</t>
        </is>
      </c>
      <c r="D334" s="49" t="n">
        <v>6</v>
      </c>
      <c r="E334" s="69" t="n">
        <v>7.17</v>
      </c>
      <c r="F334" s="51" t="n">
        <v>1</v>
      </c>
      <c r="G334" s="69" t="n">
        <v>4.5</v>
      </c>
      <c r="H334" s="51" t="n">
        <v>1</v>
      </c>
      <c r="I334" s="21" t="n"/>
      <c r="J334" s="21" t="n"/>
      <c r="K334" s="21" t="n"/>
      <c r="L334" s="21" t="n"/>
      <c r="M334" s="37">
        <f>E334*F334+G334*H334+I334*J334+K334*L334</f>
        <v/>
      </c>
      <c r="N334" s="37">
        <f>Исходные!$B$13-M334</f>
        <v/>
      </c>
      <c r="O334" s="51" t="n">
        <v>26</v>
      </c>
      <c r="P334" s="49">
        <f>(F334+H334+J334+L334)*O334</f>
        <v/>
      </c>
      <c r="Q334" s="70">
        <f>M334*O334</f>
        <v/>
      </c>
      <c r="R334" s="70">
        <f>N334*O334</f>
        <v/>
      </c>
    </row>
    <row r="335">
      <c r="A335" s="49" t="n">
        <v>2</v>
      </c>
      <c r="B335" s="49" t="n">
        <v>10</v>
      </c>
      <c r="C335" s="72" t="inlineStr">
        <is>
          <t>А500С</t>
        </is>
      </c>
      <c r="D335" s="49" t="n">
        <v>7</v>
      </c>
      <c r="E335" s="69" t="n">
        <v>9.18</v>
      </c>
      <c r="F335" s="51" t="n">
        <v>1</v>
      </c>
      <c r="G335" s="69" t="n">
        <v>2</v>
      </c>
      <c r="H335" s="51" t="n">
        <v>1</v>
      </c>
      <c r="I335" s="69" t="n">
        <v>0.48</v>
      </c>
      <c r="J335" s="51" t="n">
        <v>1</v>
      </c>
      <c r="K335" s="21" t="n"/>
      <c r="L335" s="21" t="n"/>
      <c r="M335" s="37">
        <f>E335*F335+G335*H335+I335*J335+K335*L335</f>
        <v/>
      </c>
      <c r="N335" s="37">
        <f>Исходные!$B$13-M335</f>
        <v/>
      </c>
      <c r="O335" s="51" t="n">
        <v>4</v>
      </c>
      <c r="P335" s="49">
        <f>(F335+H335+J335+L335)*O335</f>
        <v/>
      </c>
      <c r="Q335" s="70">
        <f>M335*O335</f>
        <v/>
      </c>
      <c r="R335" s="70">
        <f>N335*O335</f>
        <v/>
      </c>
    </row>
    <row r="336">
      <c r="A336" s="49" t="n">
        <v>2</v>
      </c>
      <c r="B336" s="49" t="n">
        <v>10</v>
      </c>
      <c r="C336" s="72" t="inlineStr">
        <is>
          <t>А500С</t>
        </is>
      </c>
      <c r="D336" s="49" t="n">
        <v>8</v>
      </c>
      <c r="E336" s="69" t="n">
        <v>4.72</v>
      </c>
      <c r="F336" s="51" t="n">
        <v>2</v>
      </c>
      <c r="G336" s="69" t="n">
        <v>2.2</v>
      </c>
      <c r="H336" s="51" t="n">
        <v>1</v>
      </c>
      <c r="I336" s="21" t="n"/>
      <c r="J336" s="21" t="n"/>
      <c r="K336" s="21" t="n"/>
      <c r="L336" s="21" t="n"/>
      <c r="M336" s="37">
        <f>E336*F336+G336*H336+I336*J336+K336*L336</f>
        <v/>
      </c>
      <c r="N336" s="37">
        <f>Исходные!$B$13-M336</f>
        <v/>
      </c>
      <c r="O336" s="51" t="n">
        <v>26</v>
      </c>
      <c r="P336" s="49">
        <f>(F336+H336+J336+L336)*O336</f>
        <v/>
      </c>
      <c r="Q336" s="70">
        <f>M336*O336</f>
        <v/>
      </c>
      <c r="R336" s="70">
        <f>N336*O336</f>
        <v/>
      </c>
    </row>
    <row r="337">
      <c r="A337" s="49" t="n">
        <v>2</v>
      </c>
      <c r="B337" s="49" t="n">
        <v>10</v>
      </c>
      <c r="C337" s="72" t="inlineStr">
        <is>
          <t>А500С</t>
        </is>
      </c>
      <c r="D337" s="49" t="n">
        <v>9</v>
      </c>
      <c r="E337" s="69" t="n">
        <v>4.32</v>
      </c>
      <c r="F337" s="51" t="n">
        <v>2</v>
      </c>
      <c r="G337" s="69" t="n">
        <v>3</v>
      </c>
      <c r="H337" s="51" t="n">
        <v>1</v>
      </c>
      <c r="I337" s="21" t="n"/>
      <c r="J337" s="21" t="n"/>
      <c r="K337" s="21" t="n"/>
      <c r="L337" s="21" t="n"/>
      <c r="M337" s="37">
        <f>E337*F337+G337*H337+I337*J337+K337*L337</f>
        <v/>
      </c>
      <c r="N337" s="37">
        <f>Исходные!$B$13-M337</f>
        <v/>
      </c>
      <c r="O337" s="51" t="n">
        <v>16</v>
      </c>
      <c r="P337" s="49">
        <f>(F337+H337+J337+L337)*O337</f>
        <v/>
      </c>
      <c r="Q337" s="70">
        <f>M337*O337</f>
        <v/>
      </c>
      <c r="R337" s="70">
        <f>N337*O337</f>
        <v/>
      </c>
    </row>
    <row r="338">
      <c r="A338" s="49" t="n">
        <v>2</v>
      </c>
      <c r="B338" s="49" t="n">
        <v>10</v>
      </c>
      <c r="C338" s="72" t="inlineStr">
        <is>
          <t>А500С</t>
        </is>
      </c>
      <c r="D338" s="49" t="n">
        <v>10</v>
      </c>
      <c r="E338" s="69" t="n">
        <v>5.98</v>
      </c>
      <c r="F338" s="51" t="n">
        <v>1</v>
      </c>
      <c r="G338" s="69" t="n">
        <v>5.05</v>
      </c>
      <c r="H338" s="51" t="n">
        <v>1</v>
      </c>
      <c r="I338" s="69" t="n">
        <v>0.6</v>
      </c>
      <c r="J338" s="51" t="n">
        <v>1</v>
      </c>
      <c r="K338" s="21" t="n"/>
      <c r="L338" s="21" t="n"/>
      <c r="M338" s="37">
        <f>E338*F338+G338*H338+I338*J338+K338*L338</f>
        <v/>
      </c>
      <c r="N338" s="37">
        <f>Исходные!$B$13-M338</f>
        <v/>
      </c>
      <c r="O338" s="51" t="n">
        <v>6</v>
      </c>
      <c r="P338" s="49">
        <f>(F338+H338+J338+L338)*O338</f>
        <v/>
      </c>
      <c r="Q338" s="70">
        <f>M338*O338</f>
        <v/>
      </c>
      <c r="R338" s="70">
        <f>N338*O338</f>
        <v/>
      </c>
    </row>
    <row r="339">
      <c r="A339" s="49" t="n">
        <v>2</v>
      </c>
      <c r="B339" s="49" t="n">
        <v>10</v>
      </c>
      <c r="C339" s="72" t="inlineStr">
        <is>
          <t>А500С</t>
        </is>
      </c>
      <c r="D339" s="49" t="n">
        <v>11</v>
      </c>
      <c r="E339" s="69" t="n">
        <v>11.02</v>
      </c>
      <c r="F339" s="51" t="n">
        <v>1</v>
      </c>
      <c r="G339" s="69" t="n">
        <v>0.6</v>
      </c>
      <c r="H339" s="51" t="n">
        <v>1</v>
      </c>
      <c r="I339" s="21" t="n"/>
      <c r="J339" s="21" t="n"/>
      <c r="K339" s="21" t="n"/>
      <c r="L339" s="21" t="n"/>
      <c r="M339" s="37">
        <f>E339*F339+G339*H339+I339*J339+K339*L339</f>
        <v/>
      </c>
      <c r="N339" s="37">
        <f>Исходные!$B$13-M339</f>
        <v/>
      </c>
      <c r="O339" s="51" t="n">
        <v>66</v>
      </c>
      <c r="P339" s="49">
        <f>(F339+H339+J339+L339)*O339</f>
        <v/>
      </c>
      <c r="Q339" s="70">
        <f>M339*O339</f>
        <v/>
      </c>
      <c r="R339" s="70">
        <f>N339*O339</f>
        <v/>
      </c>
    </row>
    <row r="340">
      <c r="A340" s="49" t="n">
        <v>2</v>
      </c>
      <c r="B340" s="49" t="n">
        <v>10</v>
      </c>
      <c r="C340" s="72" t="inlineStr">
        <is>
          <t>А500С</t>
        </is>
      </c>
      <c r="D340" s="49" t="n">
        <v>12</v>
      </c>
      <c r="E340" s="69" t="n">
        <v>4.5</v>
      </c>
      <c r="F340" s="51" t="n">
        <v>2</v>
      </c>
      <c r="G340" s="69" t="n">
        <v>2.6</v>
      </c>
      <c r="H340" s="51" t="n">
        <v>1</v>
      </c>
      <c r="I340" s="21" t="n"/>
      <c r="J340" s="21" t="n"/>
      <c r="K340" s="21" t="n"/>
      <c r="L340" s="21" t="n"/>
      <c r="M340" s="37">
        <f>E340*F340+G340*H340+I340*J340+K340*L340</f>
        <v/>
      </c>
      <c r="N340" s="37">
        <f>Исходные!$B$13-M340</f>
        <v/>
      </c>
      <c r="O340" s="51" t="n">
        <v>8</v>
      </c>
      <c r="P340" s="49">
        <f>(F340+H340+J340+L340)*O340</f>
        <v/>
      </c>
      <c r="Q340" s="70">
        <f>M340*O340</f>
        <v/>
      </c>
      <c r="R340" s="70">
        <f>N340*O340</f>
        <v/>
      </c>
    </row>
    <row r="341">
      <c r="A341" s="49" t="n">
        <v>2</v>
      </c>
      <c r="B341" s="49" t="n">
        <v>10</v>
      </c>
      <c r="C341" s="72" t="inlineStr">
        <is>
          <t>А500С</t>
        </is>
      </c>
      <c r="D341" s="49" t="n">
        <v>13</v>
      </c>
      <c r="E341" s="69" t="n">
        <v>4.3</v>
      </c>
      <c r="F341" s="51" t="n">
        <v>2</v>
      </c>
      <c r="G341" s="69" t="n">
        <v>3</v>
      </c>
      <c r="H341" s="51" t="n">
        <v>1</v>
      </c>
      <c r="I341" s="21" t="n"/>
      <c r="J341" s="21" t="n"/>
      <c r="K341" s="21" t="n"/>
      <c r="L341" s="21" t="n"/>
      <c r="M341" s="37">
        <f>E341*F341+G341*H341+I341*J341+K341*L341</f>
        <v/>
      </c>
      <c r="N341" s="37">
        <f>Исходные!$B$13-M341</f>
        <v/>
      </c>
      <c r="O341" s="51" t="n">
        <v>17</v>
      </c>
      <c r="P341" s="49">
        <f>(F341+H341+J341+L341)*O341</f>
        <v/>
      </c>
      <c r="Q341" s="70">
        <f>M341*O341</f>
        <v/>
      </c>
      <c r="R341" s="70">
        <f>N341*O341</f>
        <v/>
      </c>
    </row>
    <row r="342">
      <c r="A342" s="49" t="n">
        <v>2</v>
      </c>
      <c r="B342" s="49" t="n">
        <v>10</v>
      </c>
      <c r="C342" s="72" t="inlineStr">
        <is>
          <t>А500С</t>
        </is>
      </c>
      <c r="D342" s="49" t="n">
        <v>14</v>
      </c>
      <c r="E342" s="69" t="n">
        <v>3</v>
      </c>
      <c r="F342" s="51" t="n">
        <v>3</v>
      </c>
      <c r="G342" s="69" t="n">
        <v>2.6</v>
      </c>
      <c r="H342" s="51" t="n">
        <v>1</v>
      </c>
      <c r="I342" s="21" t="n"/>
      <c r="J342" s="21" t="n"/>
      <c r="K342" s="21" t="n"/>
      <c r="L342" s="21" t="n"/>
      <c r="M342" s="37">
        <f>E342*F342+G342*H342+I342*J342+K342*L342</f>
        <v/>
      </c>
      <c r="N342" s="37">
        <f>Исходные!$B$13-M342</f>
        <v/>
      </c>
      <c r="O342" s="51" t="n">
        <v>6</v>
      </c>
      <c r="P342" s="49">
        <f>(F342+H342+J342+L342)*O342</f>
        <v/>
      </c>
      <c r="Q342" s="70">
        <f>M342*O342</f>
        <v/>
      </c>
      <c r="R342" s="70">
        <f>N342*O342</f>
        <v/>
      </c>
    </row>
    <row r="343">
      <c r="A343" s="49" t="n">
        <v>2</v>
      </c>
      <c r="B343" s="49" t="n">
        <v>10</v>
      </c>
      <c r="C343" s="72" t="inlineStr">
        <is>
          <t>А500С</t>
        </is>
      </c>
      <c r="D343" s="49" t="n">
        <v>15</v>
      </c>
      <c r="E343" s="69" t="n">
        <v>2.6</v>
      </c>
      <c r="F343" s="51" t="n">
        <v>4</v>
      </c>
      <c r="G343" s="69" t="n">
        <v>1.2</v>
      </c>
      <c r="H343" s="51" t="n">
        <v>1</v>
      </c>
      <c r="I343" s="21" t="n"/>
      <c r="J343" s="21" t="n"/>
      <c r="K343" s="21" t="n"/>
      <c r="L343" s="21" t="n"/>
      <c r="M343" s="37">
        <f>E343*F343+G343*H343+I343*J343+K343*L343</f>
        <v/>
      </c>
      <c r="N343" s="37">
        <f>Исходные!$B$13-M343</f>
        <v/>
      </c>
      <c r="O343" s="51" t="n">
        <v>2</v>
      </c>
      <c r="P343" s="49">
        <f>(F343+H343+J343+L343)*O343</f>
        <v/>
      </c>
      <c r="Q343" s="70">
        <f>M343*O343</f>
        <v/>
      </c>
      <c r="R343" s="70">
        <f>N343*O343</f>
        <v/>
      </c>
    </row>
    <row r="344">
      <c r="A344" s="49" t="n">
        <v>2</v>
      </c>
      <c r="B344" s="49" t="n">
        <v>10</v>
      </c>
      <c r="C344" s="72" t="inlineStr">
        <is>
          <t>А500С</t>
        </is>
      </c>
      <c r="D344" s="49" t="n">
        <v>16</v>
      </c>
      <c r="E344" s="69" t="n">
        <v>1.4</v>
      </c>
      <c r="F344" s="51" t="n">
        <v>4</v>
      </c>
      <c r="G344" s="69" t="n">
        <v>1.2</v>
      </c>
      <c r="H344" s="51" t="n">
        <v>5</v>
      </c>
      <c r="I344" s="21" t="n"/>
      <c r="J344" s="21" t="n"/>
      <c r="K344" s="21" t="n"/>
      <c r="L344" s="21" t="n"/>
      <c r="M344" s="37">
        <f>E344*F344+G344*H344+I344*J344+K344*L344</f>
        <v/>
      </c>
      <c r="N344" s="37">
        <f>Исходные!$B$13-M344</f>
        <v/>
      </c>
      <c r="O344" s="51" t="n">
        <v>1</v>
      </c>
      <c r="P344" s="49">
        <f>(F344+H344+J344+L344)*O344</f>
        <v/>
      </c>
      <c r="Q344" s="70">
        <f>M344*O344</f>
        <v/>
      </c>
      <c r="R344" s="70">
        <f>N344*O344</f>
        <v/>
      </c>
    </row>
    <row r="345">
      <c r="A345" s="49" t="n">
        <v>2</v>
      </c>
      <c r="B345" s="49" t="n">
        <v>10</v>
      </c>
      <c r="C345" s="72" t="inlineStr">
        <is>
          <t>А500С</t>
        </is>
      </c>
      <c r="D345" s="49" t="n">
        <v>17</v>
      </c>
      <c r="E345" s="69" t="n">
        <v>7.97</v>
      </c>
      <c r="F345" s="51" t="n">
        <v>1</v>
      </c>
      <c r="G345" s="69" t="n">
        <v>3.625</v>
      </c>
      <c r="H345" s="51" t="n">
        <v>1</v>
      </c>
      <c r="I345" s="21" t="n"/>
      <c r="J345" s="21" t="n"/>
      <c r="K345" s="21" t="n"/>
      <c r="L345" s="21" t="n"/>
      <c r="M345" s="37">
        <f>E345*F345+G345*H345+I345*J345+K345*L345</f>
        <v/>
      </c>
      <c r="N345" s="37">
        <f>Исходные!$B$13-M345</f>
        <v/>
      </c>
      <c r="O345" s="51" t="n">
        <v>20</v>
      </c>
      <c r="P345" s="49">
        <f>(F345+H345+J345+L345)*O345</f>
        <v/>
      </c>
      <c r="Q345" s="70">
        <f>M345*O345</f>
        <v/>
      </c>
      <c r="R345" s="70">
        <f>N345*O345</f>
        <v/>
      </c>
    </row>
    <row r="346">
      <c r="A346" s="49" t="n">
        <v>2</v>
      </c>
      <c r="B346" s="49" t="n">
        <v>10</v>
      </c>
      <c r="C346" s="72" t="inlineStr">
        <is>
          <t>А500С</t>
        </is>
      </c>
      <c r="D346" s="49" t="n">
        <v>18</v>
      </c>
      <c r="E346" s="69" t="n">
        <v>11.02</v>
      </c>
      <c r="F346" s="51" t="n">
        <v>1</v>
      </c>
      <c r="G346" s="69" t="n">
        <v>0.57</v>
      </c>
      <c r="H346" s="51" t="n">
        <v>1</v>
      </c>
      <c r="I346" s="21" t="n"/>
      <c r="J346" s="21" t="n"/>
      <c r="K346" s="21" t="n"/>
      <c r="L346" s="21" t="n"/>
      <c r="M346" s="37">
        <f>E346*F346+G346*H346+I346*J346+K346*L346</f>
        <v/>
      </c>
      <c r="N346" s="37">
        <f>Исходные!$B$13-M346</f>
        <v/>
      </c>
      <c r="O346" s="51" t="n">
        <v>14</v>
      </c>
      <c r="P346" s="49">
        <f>(F346+H346+J346+L346)*O346</f>
        <v/>
      </c>
      <c r="Q346" s="70">
        <f>M346*O346</f>
        <v/>
      </c>
      <c r="R346" s="70">
        <f>N346*O346</f>
        <v/>
      </c>
    </row>
    <row r="347">
      <c r="A347" s="49" t="n">
        <v>2</v>
      </c>
      <c r="B347" s="49" t="n">
        <v>10</v>
      </c>
      <c r="C347" s="72" t="inlineStr">
        <is>
          <t>А500С</t>
        </is>
      </c>
      <c r="D347" s="49" t="n">
        <v>19</v>
      </c>
      <c r="E347" s="69" t="n">
        <v>5.05</v>
      </c>
      <c r="F347" s="51" t="n">
        <v>2</v>
      </c>
      <c r="G347" s="69" t="n">
        <v>1.45</v>
      </c>
      <c r="H347" s="51" t="n">
        <v>1</v>
      </c>
      <c r="I347" s="21" t="n"/>
      <c r="J347" s="21" t="n"/>
      <c r="K347" s="21" t="n"/>
      <c r="L347" s="21" t="n"/>
      <c r="M347" s="37">
        <f>E347*F347+G347*H347+I347*J347+K347*L347</f>
        <v/>
      </c>
      <c r="N347" s="37">
        <f>Исходные!$B$13-M347</f>
        <v/>
      </c>
      <c r="O347" s="51" t="n">
        <v>6</v>
      </c>
      <c r="P347" s="49">
        <f>(F347+H347+J347+L347)*O347</f>
        <v/>
      </c>
      <c r="Q347" s="70">
        <f>M347*O347</f>
        <v/>
      </c>
      <c r="R347" s="70">
        <f>N347*O347</f>
        <v/>
      </c>
    </row>
    <row r="348">
      <c r="A348" s="49" t="n">
        <v>2</v>
      </c>
      <c r="B348" s="49" t="n">
        <v>10</v>
      </c>
      <c r="C348" s="72" t="inlineStr">
        <is>
          <t>А500С</t>
        </is>
      </c>
      <c r="D348" s="49" t="n">
        <v>20</v>
      </c>
      <c r="E348" s="69" t="n">
        <v>7.97</v>
      </c>
      <c r="F348" s="51" t="n">
        <v>1</v>
      </c>
      <c r="G348" s="69" t="n">
        <v>3</v>
      </c>
      <c r="H348" s="51" t="n">
        <v>1</v>
      </c>
      <c r="I348" s="69" t="n">
        <v>0.57</v>
      </c>
      <c r="J348" s="51" t="n">
        <v>1</v>
      </c>
      <c r="K348" s="21" t="n"/>
      <c r="L348" s="21" t="n"/>
      <c r="M348" s="37">
        <f>E348*F348+G348*H348+I348*J348+K348*L348</f>
        <v/>
      </c>
      <c r="N348" s="37">
        <f>Исходные!$B$13-M348</f>
        <v/>
      </c>
      <c r="O348" s="51" t="n">
        <v>8</v>
      </c>
      <c r="P348" s="49">
        <f>(F348+H348+J348+L348)*O348</f>
        <v/>
      </c>
      <c r="Q348" s="70">
        <f>M348*O348</f>
        <v/>
      </c>
      <c r="R348" s="70">
        <f>N348*O348</f>
        <v/>
      </c>
    </row>
    <row r="349">
      <c r="A349" s="49" t="n">
        <v>2</v>
      </c>
      <c r="B349" s="49" t="n">
        <v>10</v>
      </c>
      <c r="C349" s="72" t="inlineStr">
        <is>
          <t>А500С</t>
        </is>
      </c>
      <c r="D349" s="49" t="n">
        <v>21</v>
      </c>
      <c r="E349" s="69" t="n">
        <v>7.95</v>
      </c>
      <c r="F349" s="51" t="n">
        <v>1</v>
      </c>
      <c r="G349" s="69" t="n">
        <v>3</v>
      </c>
      <c r="H349" s="51" t="n">
        <v>1</v>
      </c>
      <c r="I349" s="69" t="n">
        <v>0.57</v>
      </c>
      <c r="J349" s="51" t="n">
        <v>1</v>
      </c>
      <c r="K349" s="21" t="n"/>
      <c r="L349" s="21" t="n"/>
      <c r="M349" s="37">
        <f>E349*F349+G349*H349+I349*J349+K349*L349</f>
        <v/>
      </c>
      <c r="N349" s="37">
        <f>Исходные!$B$13-M349</f>
        <v/>
      </c>
      <c r="O349" s="51" t="n">
        <v>18</v>
      </c>
      <c r="P349" s="49">
        <f>(F349+H349+J349+L349)*O349</f>
        <v/>
      </c>
      <c r="Q349" s="70">
        <f>M349*O349</f>
        <v/>
      </c>
      <c r="R349" s="70">
        <f>N349*O349</f>
        <v/>
      </c>
    </row>
    <row r="350">
      <c r="A350" s="49" t="n">
        <v>2</v>
      </c>
      <c r="B350" s="49" t="n">
        <v>10</v>
      </c>
      <c r="C350" s="72" t="inlineStr">
        <is>
          <t>А500С</t>
        </is>
      </c>
      <c r="D350" s="49" t="n">
        <v>22</v>
      </c>
      <c r="E350" s="69" t="n">
        <v>9.300000000000001</v>
      </c>
      <c r="F350" s="51" t="n">
        <v>1</v>
      </c>
      <c r="G350" s="69" t="n">
        <v>2.2</v>
      </c>
      <c r="H350" s="51" t="n">
        <v>1</v>
      </c>
      <c r="I350" s="21" t="n"/>
      <c r="J350" s="21" t="n"/>
      <c r="K350" s="21" t="n"/>
      <c r="L350" s="21" t="n"/>
      <c r="M350" s="37">
        <f>E350*F350+G350*H350+I350*J350+K350*L350</f>
        <v/>
      </c>
      <c r="N350" s="37">
        <f>Исходные!$B$13-M350</f>
        <v/>
      </c>
      <c r="O350" s="51" t="n">
        <v>71</v>
      </c>
      <c r="P350" s="49">
        <f>(F350+H350+J350+L350)*O350</f>
        <v/>
      </c>
      <c r="Q350" s="70">
        <f>M350*O350</f>
        <v/>
      </c>
      <c r="R350" s="70">
        <f>N350*O350</f>
        <v/>
      </c>
    </row>
    <row r="351">
      <c r="A351" s="49" t="n">
        <v>2</v>
      </c>
      <c r="B351" s="49" t="n">
        <v>10</v>
      </c>
      <c r="C351" s="72" t="inlineStr">
        <is>
          <t>А500С</t>
        </is>
      </c>
      <c r="D351" s="49" t="n">
        <v>23</v>
      </c>
      <c r="E351" s="69" t="n">
        <v>5.05</v>
      </c>
      <c r="F351" s="51" t="n">
        <v>2</v>
      </c>
      <c r="G351" s="69" t="n">
        <v>1.4</v>
      </c>
      <c r="H351" s="51" t="n">
        <v>1</v>
      </c>
      <c r="I351" s="21" t="n"/>
      <c r="J351" s="21" t="n"/>
      <c r="K351" s="21" t="n"/>
      <c r="L351" s="21" t="n"/>
      <c r="M351" s="37">
        <f>E351*F351+G351*H351+I351*J351+K351*L351</f>
        <v/>
      </c>
      <c r="N351" s="37">
        <f>Исходные!$B$13-M351</f>
        <v/>
      </c>
      <c r="O351" s="51" t="n">
        <v>2</v>
      </c>
      <c r="P351" s="49">
        <f>(F351+H351+J351+L351)*O351</f>
        <v/>
      </c>
      <c r="Q351" s="70">
        <f>M351*O351</f>
        <v/>
      </c>
      <c r="R351" s="70">
        <f>N351*O351</f>
        <v/>
      </c>
    </row>
    <row r="352">
      <c r="A352" s="49" t="n">
        <v>2</v>
      </c>
      <c r="B352" s="49" t="n">
        <v>10</v>
      </c>
      <c r="C352" s="72" t="inlineStr">
        <is>
          <t>А500С</t>
        </is>
      </c>
      <c r="D352" s="49" t="n">
        <v>24</v>
      </c>
      <c r="E352" s="69" t="n">
        <v>1.19</v>
      </c>
      <c r="F352" s="51" t="n">
        <v>2</v>
      </c>
      <c r="G352" s="69" t="n">
        <v>0.57</v>
      </c>
      <c r="H352" s="51" t="n">
        <v>16</v>
      </c>
      <c r="I352" s="21" t="n"/>
      <c r="J352" s="21" t="n"/>
      <c r="K352" s="21" t="n"/>
      <c r="L352" s="21" t="n"/>
      <c r="M352" s="37">
        <f>E352*F352+G352*H352+I352*J352+K352*L352</f>
        <v/>
      </c>
      <c r="N352" s="37">
        <f>Исходные!$B$13-M352</f>
        <v/>
      </c>
      <c r="O352" s="51" t="n">
        <v>1</v>
      </c>
      <c r="P352" s="49">
        <f>(F352+H352+J352+L352)*O352</f>
        <v/>
      </c>
      <c r="Q352" s="70">
        <f>M352*O352</f>
        <v/>
      </c>
      <c r="R352" s="70">
        <f>N352*O352</f>
        <v/>
      </c>
    </row>
    <row r="353">
      <c r="A353" s="49" t="n">
        <v>2</v>
      </c>
      <c r="B353" s="49" t="n">
        <v>10</v>
      </c>
      <c r="C353" s="72" t="inlineStr">
        <is>
          <t>А500С</t>
        </is>
      </c>
      <c r="D353" s="49" t="n">
        <v>25</v>
      </c>
      <c r="E353" s="69" t="n">
        <v>7.71</v>
      </c>
      <c r="F353" s="51" t="n">
        <v>1</v>
      </c>
      <c r="G353" s="69" t="n">
        <v>3.78</v>
      </c>
      <c r="H353" s="51" t="n">
        <v>1</v>
      </c>
      <c r="I353" s="21" t="n"/>
      <c r="J353" s="21" t="n"/>
      <c r="K353" s="21" t="n"/>
      <c r="L353" s="21" t="n"/>
      <c r="M353" s="37">
        <f>E353*F353+G353*H353+I353*J353+K353*L353</f>
        <v/>
      </c>
      <c r="N353" s="37">
        <f>Исходные!$B$13-M353</f>
        <v/>
      </c>
      <c r="O353" s="51" t="n">
        <v>4</v>
      </c>
      <c r="P353" s="49">
        <f>(F353+H353+J353+L353)*O353</f>
        <v/>
      </c>
      <c r="Q353" s="70">
        <f>M353*O353</f>
        <v/>
      </c>
      <c r="R353" s="70">
        <f>N353*O353</f>
        <v/>
      </c>
    </row>
    <row r="354">
      <c r="A354" s="49" t="n">
        <v>2</v>
      </c>
      <c r="B354" s="49" t="n">
        <v>10</v>
      </c>
      <c r="C354" s="72" t="inlineStr">
        <is>
          <t>А500С</t>
        </is>
      </c>
      <c r="D354" s="49" t="n">
        <v>26</v>
      </c>
      <c r="E354" s="69" t="n">
        <v>10.9</v>
      </c>
      <c r="F354" s="51" t="n">
        <v>1</v>
      </c>
      <c r="G354" s="69" t="n">
        <v>0.57</v>
      </c>
      <c r="H354" s="51" t="n">
        <v>1</v>
      </c>
      <c r="I354" s="21" t="n"/>
      <c r="J354" s="21" t="n"/>
      <c r="K354" s="21" t="n"/>
      <c r="L354" s="21" t="n"/>
      <c r="M354" s="37">
        <f>E354*F354+G354*H354+I354*J354+K354*L354</f>
        <v/>
      </c>
      <c r="N354" s="37">
        <f>Исходные!$B$13-M354</f>
        <v/>
      </c>
      <c r="O354" s="51" t="n">
        <v>2</v>
      </c>
      <c r="P354" s="49">
        <f>(F354+H354+J354+L354)*O354</f>
        <v/>
      </c>
      <c r="Q354" s="70">
        <f>M354*O354</f>
        <v/>
      </c>
      <c r="R354" s="70">
        <f>N354*O354</f>
        <v/>
      </c>
    </row>
    <row r="355">
      <c r="A355" s="49" t="n">
        <v>2</v>
      </c>
      <c r="B355" s="49" t="n">
        <v>10</v>
      </c>
      <c r="C355" s="72" t="inlineStr">
        <is>
          <t>А500С</t>
        </is>
      </c>
      <c r="D355" s="49" t="n">
        <v>27</v>
      </c>
      <c r="E355" s="69" t="n">
        <v>0.57</v>
      </c>
      <c r="F355" s="51" t="n">
        <v>20</v>
      </c>
      <c r="G355" s="21" t="n"/>
      <c r="H355" s="21" t="n"/>
      <c r="I355" s="21" t="n"/>
      <c r="J355" s="21" t="n"/>
      <c r="K355" s="21" t="n"/>
      <c r="L355" s="21" t="n"/>
      <c r="M355" s="37">
        <f>E355*F355+G355*H355+I355*J355+K355*L355</f>
        <v/>
      </c>
      <c r="N355" s="37">
        <f>Исходные!$B$13-M355</f>
        <v/>
      </c>
      <c r="O355" s="51" t="n">
        <v>63</v>
      </c>
      <c r="P355" s="49">
        <f>(F355+H355+J355+L355)*O355</f>
        <v/>
      </c>
      <c r="Q355" s="70">
        <f>M355*O355</f>
        <v/>
      </c>
      <c r="R355" s="70">
        <f>N355*O355</f>
        <v/>
      </c>
    </row>
    <row r="356">
      <c r="A356" s="49" t="n">
        <v>2</v>
      </c>
      <c r="B356" s="49" t="n">
        <v>10</v>
      </c>
      <c r="C356" s="72" t="inlineStr">
        <is>
          <t>А500С</t>
        </is>
      </c>
      <c r="D356" s="49" t="n">
        <v>28</v>
      </c>
      <c r="E356" s="69" t="n">
        <v>1.2</v>
      </c>
      <c r="F356" s="51" t="n">
        <v>9</v>
      </c>
      <c r="G356" s="69" t="n">
        <v>0.57</v>
      </c>
      <c r="H356" s="51" t="n">
        <v>1</v>
      </c>
      <c r="I356" s="21" t="n"/>
      <c r="J356" s="21" t="n"/>
      <c r="K356" s="21" t="n"/>
      <c r="L356" s="21" t="n"/>
      <c r="M356" s="37">
        <f>E356*F356+G356*H356+I356*J356+K356*L356</f>
        <v/>
      </c>
      <c r="N356" s="37">
        <f>Исходные!$B$13-M356</f>
        <v/>
      </c>
      <c r="O356" s="51" t="n">
        <v>17</v>
      </c>
      <c r="P356" s="49">
        <f>(F356+H356+J356+L356)*O356</f>
        <v/>
      </c>
      <c r="Q356" s="70">
        <f>M356*O356</f>
        <v/>
      </c>
      <c r="R356" s="70">
        <f>N356*O356</f>
        <v/>
      </c>
    </row>
    <row r="357">
      <c r="A357" s="49" t="n">
        <v>2</v>
      </c>
      <c r="B357" s="49" t="n">
        <v>10</v>
      </c>
      <c r="C357" s="72" t="inlineStr">
        <is>
          <t>А500С</t>
        </is>
      </c>
      <c r="D357" s="49" t="n">
        <v>29</v>
      </c>
      <c r="E357" s="69" t="n">
        <v>10.77</v>
      </c>
      <c r="F357" s="51" t="n">
        <v>1</v>
      </c>
      <c r="G357" s="69" t="n">
        <v>0.57</v>
      </c>
      <c r="H357" s="51" t="n">
        <v>1</v>
      </c>
      <c r="I357" s="21" t="n"/>
      <c r="J357" s="21" t="n"/>
      <c r="K357" s="21" t="n"/>
      <c r="L357" s="21" t="n"/>
      <c r="M357" s="37">
        <f>E357*F357+G357*H357+I357*J357+K357*L357</f>
        <v/>
      </c>
      <c r="N357" s="37">
        <f>Исходные!$B$13-M357</f>
        <v/>
      </c>
      <c r="O357" s="51" t="n">
        <v>2</v>
      </c>
      <c r="P357" s="49">
        <f>(F357+H357+J357+L357)*O357</f>
        <v/>
      </c>
      <c r="Q357" s="70">
        <f>M357*O357</f>
        <v/>
      </c>
      <c r="R357" s="70">
        <f>N357*O357</f>
        <v/>
      </c>
    </row>
    <row r="358">
      <c r="A358" s="49" t="n">
        <v>2</v>
      </c>
      <c r="B358" s="49" t="n">
        <v>10</v>
      </c>
      <c r="C358" s="72" t="inlineStr">
        <is>
          <t>А500С</t>
        </is>
      </c>
      <c r="D358" s="49" t="n">
        <v>30</v>
      </c>
      <c r="E358" s="69" t="n">
        <v>3.78</v>
      </c>
      <c r="F358" s="51" t="n">
        <v>3</v>
      </c>
      <c r="G358" s="21" t="n"/>
      <c r="H358" s="21" t="n"/>
      <c r="I358" s="21" t="n"/>
      <c r="J358" s="21" t="n"/>
      <c r="K358" s="21" t="n"/>
      <c r="L358" s="21" t="n"/>
      <c r="M358" s="37">
        <f>E358*F358+G358*H358+I358*J358+K358*L358</f>
        <v/>
      </c>
      <c r="N358" s="37">
        <f>Исходные!$B$13-M358</f>
        <v/>
      </c>
      <c r="O358" s="51" t="n">
        <v>4</v>
      </c>
      <c r="P358" s="49">
        <f>(F358+H358+J358+L358)*O358</f>
        <v/>
      </c>
      <c r="Q358" s="70">
        <f>M358*O358</f>
        <v/>
      </c>
      <c r="R358" s="70">
        <f>N358*O358</f>
        <v/>
      </c>
    </row>
    <row r="359">
      <c r="A359" s="49" t="n">
        <v>2</v>
      </c>
      <c r="B359" s="49" t="n">
        <v>10</v>
      </c>
      <c r="C359" s="72" t="inlineStr">
        <is>
          <t>А500С</t>
        </is>
      </c>
      <c r="D359" s="49" t="n">
        <v>31</v>
      </c>
      <c r="E359" s="69" t="n">
        <v>1.2</v>
      </c>
      <c r="F359" s="51" t="n">
        <v>6</v>
      </c>
      <c r="G359" s="69" t="n">
        <v>1.19</v>
      </c>
      <c r="H359" s="51" t="n">
        <v>3</v>
      </c>
      <c r="I359" s="69" t="n">
        <v>0.57</v>
      </c>
      <c r="J359" s="51" t="n">
        <v>1</v>
      </c>
      <c r="K359" s="21" t="n"/>
      <c r="L359" s="21" t="n"/>
      <c r="M359" s="37">
        <f>E359*F359+G359*H359+I359*J359+K359*L359</f>
        <v/>
      </c>
      <c r="N359" s="37">
        <f>Исходные!$B$13-M359</f>
        <v/>
      </c>
      <c r="O359" s="51" t="n">
        <v>1</v>
      </c>
      <c r="P359" s="49">
        <f>(F359+H359+J359+L359)*O359</f>
        <v/>
      </c>
      <c r="Q359" s="70">
        <f>M359*O359</f>
        <v/>
      </c>
      <c r="R359" s="70">
        <f>N359*O359</f>
        <v/>
      </c>
    </row>
    <row r="360">
      <c r="A360" s="49" t="n">
        <v>2</v>
      </c>
      <c r="B360" s="49" t="n">
        <v>10</v>
      </c>
      <c r="C360" s="72" t="inlineStr">
        <is>
          <t>А500С</t>
        </is>
      </c>
      <c r="D360" s="49" t="n">
        <v>32</v>
      </c>
      <c r="E360" s="69" t="n">
        <v>9.300000000000001</v>
      </c>
      <c r="F360" s="51" t="n">
        <v>1</v>
      </c>
      <c r="G360" s="69" t="n">
        <v>2</v>
      </c>
      <c r="H360" s="51" t="n">
        <v>1</v>
      </c>
      <c r="I360" s="21" t="n"/>
      <c r="J360" s="21" t="n"/>
      <c r="K360" s="21" t="n"/>
      <c r="L360" s="21" t="n"/>
      <c r="M360" s="37">
        <f>E360*F360+G360*H360+I360*J360+K360*L360</f>
        <v/>
      </c>
      <c r="N360" s="37">
        <f>Исходные!$B$13-M360</f>
        <v/>
      </c>
      <c r="O360" s="51" t="n">
        <v>11</v>
      </c>
      <c r="P360" s="49">
        <f>(F360+H360+J360+L360)*O360</f>
        <v/>
      </c>
      <c r="Q360" s="70">
        <f>M360*O360</f>
        <v/>
      </c>
      <c r="R360" s="70">
        <f>N360*O360</f>
        <v/>
      </c>
    </row>
    <row r="361">
      <c r="A361" s="49" t="n">
        <v>2</v>
      </c>
      <c r="B361" s="49" t="n">
        <v>10</v>
      </c>
      <c r="C361" s="72" t="inlineStr">
        <is>
          <t>А500С</t>
        </is>
      </c>
      <c r="D361" s="49" t="n">
        <v>33</v>
      </c>
      <c r="E361" s="69" t="n">
        <v>4.15</v>
      </c>
      <c r="F361" s="51" t="n">
        <v>2</v>
      </c>
      <c r="G361" s="69" t="n">
        <v>3</v>
      </c>
      <c r="H361" s="51" t="n">
        <v>1</v>
      </c>
      <c r="I361" s="21" t="n"/>
      <c r="J361" s="21" t="n"/>
      <c r="K361" s="21" t="n"/>
      <c r="L361" s="21" t="n"/>
      <c r="M361" s="37">
        <f>E361*F361+G361*H361+I361*J361+K361*L361</f>
        <v/>
      </c>
      <c r="N361" s="37">
        <f>Исходные!$B$13-M361</f>
        <v/>
      </c>
      <c r="O361" s="51" t="n">
        <v>18</v>
      </c>
      <c r="P361" s="49">
        <f>(F361+H361+J361+L361)*O361</f>
        <v/>
      </c>
      <c r="Q361" s="70">
        <f>M361*O361</f>
        <v/>
      </c>
      <c r="R361" s="70">
        <f>N361*O361</f>
        <v/>
      </c>
    </row>
    <row r="362">
      <c r="A362" s="49" t="n">
        <v>2</v>
      </c>
      <c r="B362" s="49" t="n">
        <v>10</v>
      </c>
      <c r="C362" s="72" t="inlineStr">
        <is>
          <t>А500С</t>
        </is>
      </c>
      <c r="D362" s="49" t="n">
        <v>34</v>
      </c>
      <c r="E362" s="69" t="n">
        <v>1.19</v>
      </c>
      <c r="F362" s="51" t="n">
        <v>9</v>
      </c>
      <c r="G362" s="69" t="n">
        <v>0.57</v>
      </c>
      <c r="H362" s="51" t="n">
        <v>1</v>
      </c>
      <c r="I362" s="21" t="n"/>
      <c r="J362" s="21" t="n"/>
      <c r="K362" s="21" t="n"/>
      <c r="L362" s="21" t="n"/>
      <c r="M362" s="37">
        <f>E362*F362+G362*H362+I362*J362+K362*L362</f>
        <v/>
      </c>
      <c r="N362" s="37">
        <f>Исходные!$B$13-M362</f>
        <v/>
      </c>
      <c r="O362" s="51" t="n">
        <v>19</v>
      </c>
      <c r="P362" s="49">
        <f>(F362+H362+J362+L362)*O362</f>
        <v/>
      </c>
      <c r="Q362" s="70">
        <f>M362*O362</f>
        <v/>
      </c>
      <c r="R362" s="70">
        <f>N362*O362</f>
        <v/>
      </c>
    </row>
    <row r="363">
      <c r="A363" s="49" t="n">
        <v>2</v>
      </c>
      <c r="B363" s="49" t="n">
        <v>10</v>
      </c>
      <c r="C363" s="72" t="inlineStr">
        <is>
          <t>А500С</t>
        </is>
      </c>
      <c r="D363" s="49" t="n">
        <v>35</v>
      </c>
      <c r="E363" s="69" t="n">
        <v>9.18</v>
      </c>
      <c r="F363" s="51" t="n">
        <v>1</v>
      </c>
      <c r="G363" s="69" t="n">
        <v>2</v>
      </c>
      <c r="H363" s="51" t="n">
        <v>1</v>
      </c>
      <c r="I363" s="21" t="n"/>
      <c r="J363" s="21" t="n"/>
      <c r="K363" s="21" t="n"/>
      <c r="L363" s="21" t="n"/>
      <c r="M363" s="37">
        <f>E363*F363+G363*H363+I363*J363+K363*L363</f>
        <v/>
      </c>
      <c r="N363" s="37">
        <f>Исходные!$B$13-M363</f>
        <v/>
      </c>
      <c r="O363" s="51" t="n">
        <v>10</v>
      </c>
      <c r="P363" s="49">
        <f>(F363+H363+J363+L363)*O363</f>
        <v/>
      </c>
      <c r="Q363" s="70">
        <f>M363*O363</f>
        <v/>
      </c>
      <c r="R363" s="70">
        <f>N363*O363</f>
        <v/>
      </c>
    </row>
    <row r="364">
      <c r="A364" s="49" t="n">
        <v>2</v>
      </c>
      <c r="B364" s="49" t="n">
        <v>10</v>
      </c>
      <c r="C364" s="72" t="inlineStr">
        <is>
          <t>А500С</t>
        </is>
      </c>
      <c r="D364" s="49" t="n">
        <v>36</v>
      </c>
      <c r="E364" s="69" t="n">
        <v>9.18</v>
      </c>
      <c r="F364" s="51" t="n">
        <v>1</v>
      </c>
      <c r="G364" s="69" t="n">
        <v>1.4</v>
      </c>
      <c r="H364" s="51" t="n">
        <v>1</v>
      </c>
      <c r="I364" s="69" t="n">
        <v>0.57</v>
      </c>
      <c r="J364" s="51" t="n">
        <v>1</v>
      </c>
      <c r="K364" s="21" t="n"/>
      <c r="L364" s="21" t="n"/>
      <c r="M364" s="37">
        <f>E364*F364+G364*H364+I364*J364+K364*L364</f>
        <v/>
      </c>
      <c r="N364" s="37">
        <f>Исходные!$B$13-M364</f>
        <v/>
      </c>
      <c r="O364" s="51" t="n">
        <v>32</v>
      </c>
      <c r="P364" s="49">
        <f>(F364+H364+J364+L364)*O364</f>
        <v/>
      </c>
      <c r="Q364" s="70">
        <f>M364*O364</f>
        <v/>
      </c>
      <c r="R364" s="70">
        <f>N364*O364</f>
        <v/>
      </c>
    </row>
    <row r="365">
      <c r="A365" s="49" t="n">
        <v>2</v>
      </c>
      <c r="B365" s="49" t="n">
        <v>10</v>
      </c>
      <c r="C365" s="72" t="inlineStr">
        <is>
          <t>А500С</t>
        </is>
      </c>
      <c r="D365" s="49" t="n">
        <v>37</v>
      </c>
      <c r="E365" s="69" t="n">
        <v>0.57</v>
      </c>
      <c r="F365" s="51" t="n">
        <v>3</v>
      </c>
      <c r="G365" s="21" t="n"/>
      <c r="H365" s="21" t="n"/>
      <c r="I365" s="21" t="n"/>
      <c r="J365" s="21" t="n"/>
      <c r="K365" s="21" t="n"/>
      <c r="L365" s="21" t="n"/>
      <c r="M365" s="37">
        <f>E365*F365+G365*H365+I365*J365+K365*L365</f>
        <v/>
      </c>
      <c r="N365" s="37">
        <f>Исходные!$B$13-M365</f>
        <v/>
      </c>
      <c r="O365" s="51" t="n">
        <v>1</v>
      </c>
      <c r="P365" s="49">
        <f>(F365+H365+J365+L365)*O365</f>
        <v/>
      </c>
      <c r="Q365" s="70">
        <f>M365*O365</f>
        <v/>
      </c>
      <c r="R365" s="70">
        <f>N365*O365</f>
        <v/>
      </c>
    </row>
    <row r="366">
      <c r="A366" s="49" t="n">
        <v>2</v>
      </c>
      <c r="B366" s="49" t="n">
        <v>16</v>
      </c>
      <c r="C366" s="72" t="inlineStr">
        <is>
          <t>А240</t>
        </is>
      </c>
      <c r="D366" s="49" t="n">
        <v>1</v>
      </c>
      <c r="E366" s="69" t="n">
        <v>0.42</v>
      </c>
      <c r="F366" s="51" t="n">
        <v>2</v>
      </c>
      <c r="G366" s="21" t="n"/>
      <c r="H366" s="21" t="n"/>
      <c r="I366" s="21" t="n"/>
      <c r="J366" s="21" t="n"/>
      <c r="K366" s="21" t="n"/>
      <c r="L366" s="21" t="n"/>
      <c r="M366" s="37">
        <f>E366*F366+G366*H366+I366*J366+K366*L366</f>
        <v/>
      </c>
      <c r="N366" s="37">
        <f>Исходные!$B$13-M366</f>
        <v/>
      </c>
      <c r="O366" s="51" t="n">
        <v>1</v>
      </c>
      <c r="P366" s="49">
        <f>(F366+H366+J366+L366)*O366</f>
        <v/>
      </c>
      <c r="Q366" s="70">
        <f>M366*O366</f>
        <v/>
      </c>
      <c r="R366" s="70">
        <f>N366*O366</f>
        <v/>
      </c>
    </row>
    <row r="367">
      <c r="A367" s="49" t="n">
        <v>2</v>
      </c>
      <c r="B367" s="49" t="n">
        <v>10</v>
      </c>
      <c r="C367" s="72" t="inlineStr">
        <is>
          <t>А240</t>
        </is>
      </c>
      <c r="D367" s="49" t="n">
        <v>1</v>
      </c>
      <c r="E367" s="69" t="n">
        <v>2.06</v>
      </c>
      <c r="F367" s="51" t="n">
        <v>1</v>
      </c>
      <c r="G367" s="69" t="n">
        <v>1.6</v>
      </c>
      <c r="H367" s="51" t="n">
        <v>6</v>
      </c>
      <c r="I367" s="21" t="n"/>
      <c r="J367" s="21" t="n"/>
      <c r="K367" s="21" t="n"/>
      <c r="L367" s="21" t="n"/>
      <c r="M367" s="37">
        <f>E367*F367+G367*H367+I367*J367+K367*L367</f>
        <v/>
      </c>
      <c r="N367" s="37">
        <f>Исходные!$B$13-M367</f>
        <v/>
      </c>
      <c r="O367" s="51" t="n">
        <v>1</v>
      </c>
      <c r="P367" s="49">
        <f>(F367+H367+J367+L367)*O367</f>
        <v/>
      </c>
      <c r="Q367" s="70">
        <f>M367*O367</f>
        <v/>
      </c>
      <c r="R367" s="70">
        <f>N367*O367</f>
        <v/>
      </c>
    </row>
    <row r="368">
      <c r="A368" s="49" t="n">
        <v>2</v>
      </c>
      <c r="B368" s="49" t="n">
        <v>10</v>
      </c>
      <c r="C368" s="72" t="inlineStr">
        <is>
          <t>А240</t>
        </is>
      </c>
      <c r="D368" s="49" t="n">
        <v>2</v>
      </c>
      <c r="E368" s="69" t="n">
        <v>2.06</v>
      </c>
      <c r="F368" s="51" t="n">
        <v>5</v>
      </c>
      <c r="G368" s="69" t="n">
        <v>1.33</v>
      </c>
      <c r="H368" s="51" t="n">
        <v>1</v>
      </c>
      <c r="I368" s="21" t="n"/>
      <c r="J368" s="21" t="n"/>
      <c r="K368" s="21" t="n"/>
      <c r="L368" s="21" t="n"/>
      <c r="M368" s="37">
        <f>E368*F368+G368*H368+I368*J368+K368*L368</f>
        <v/>
      </c>
      <c r="N368" s="37">
        <f>Исходные!$B$13-M368</f>
        <v/>
      </c>
      <c r="O368" s="51" t="n">
        <v>144</v>
      </c>
      <c r="P368" s="49">
        <f>(F368+H368+J368+L368)*O368</f>
        <v/>
      </c>
      <c r="Q368" s="70">
        <f>M368*O368</f>
        <v/>
      </c>
      <c r="R368" s="70">
        <f>N368*O368</f>
        <v/>
      </c>
    </row>
    <row r="369">
      <c r="A369" s="49" t="n">
        <v>2</v>
      </c>
      <c r="B369" s="49" t="n">
        <v>10</v>
      </c>
      <c r="C369" s="72" t="inlineStr">
        <is>
          <t>А240</t>
        </is>
      </c>
      <c r="D369" s="49" t="n">
        <v>3</v>
      </c>
      <c r="E369" s="69" t="n">
        <v>1.6</v>
      </c>
      <c r="F369" s="51" t="n">
        <v>7</v>
      </c>
      <c r="G369" s="69" t="n">
        <v>0.42</v>
      </c>
      <c r="H369" s="51" t="n">
        <v>1</v>
      </c>
      <c r="I369" s="21" t="n"/>
      <c r="J369" s="21" t="n"/>
      <c r="K369" s="21" t="n"/>
      <c r="L369" s="21" t="n"/>
      <c r="M369" s="37">
        <f>E369*F369+G369*H369+I369*J369+K369*L369</f>
        <v/>
      </c>
      <c r="N369" s="37">
        <f>Исходные!$B$13-M369</f>
        <v/>
      </c>
      <c r="O369" s="51" t="n">
        <v>49</v>
      </c>
      <c r="P369" s="49">
        <f>(F369+H369+J369+L369)*O369</f>
        <v/>
      </c>
      <c r="Q369" s="70">
        <f>M369*O369</f>
        <v/>
      </c>
      <c r="R369" s="70">
        <f>N369*O369</f>
        <v/>
      </c>
    </row>
    <row r="370">
      <c r="A370" s="49" t="n">
        <v>2</v>
      </c>
      <c r="B370" s="49" t="n">
        <v>10</v>
      </c>
      <c r="C370" s="72" t="inlineStr">
        <is>
          <t>А240</t>
        </is>
      </c>
      <c r="D370" s="49" t="n">
        <v>4</v>
      </c>
      <c r="E370" s="69" t="n">
        <v>0.7</v>
      </c>
      <c r="F370" s="51" t="n">
        <v>16</v>
      </c>
      <c r="G370" s="69" t="n">
        <v>0.42</v>
      </c>
      <c r="H370" s="51" t="n">
        <v>1</v>
      </c>
      <c r="I370" s="21" t="n"/>
      <c r="J370" s="21" t="n"/>
      <c r="K370" s="21" t="n"/>
      <c r="L370" s="21" t="n"/>
      <c r="M370" s="37">
        <f>E370*F370+G370*H370+I370*J370+K370*L370</f>
        <v/>
      </c>
      <c r="N370" s="37">
        <f>Исходные!$B$13-M370</f>
        <v/>
      </c>
      <c r="O370" s="51" t="n">
        <v>7</v>
      </c>
      <c r="P370" s="49">
        <f>(F370+H370+J370+L370)*O370</f>
        <v/>
      </c>
      <c r="Q370" s="70">
        <f>M370*O370</f>
        <v/>
      </c>
      <c r="R370" s="70">
        <f>N370*O370</f>
        <v/>
      </c>
    </row>
    <row r="371">
      <c r="A371" s="49" t="n">
        <v>2</v>
      </c>
      <c r="B371" s="49" t="n">
        <v>10</v>
      </c>
      <c r="C371" s="72" t="inlineStr">
        <is>
          <t>А240</t>
        </is>
      </c>
      <c r="D371" s="49" t="n">
        <v>5</v>
      </c>
      <c r="E371" s="69" t="n">
        <v>0.7</v>
      </c>
      <c r="F371" s="51" t="n">
        <v>3</v>
      </c>
      <c r="G371" s="69" t="n">
        <v>0.52</v>
      </c>
      <c r="H371" s="51" t="n">
        <v>18</v>
      </c>
      <c r="I371" s="21" t="n"/>
      <c r="J371" s="21" t="n"/>
      <c r="K371" s="21" t="n"/>
      <c r="L371" s="21" t="n"/>
      <c r="M371" s="37">
        <f>E371*F371+G371*H371+I371*J371+K371*L371</f>
        <v/>
      </c>
      <c r="N371" s="37">
        <f>Исходные!$B$13-M371</f>
        <v/>
      </c>
      <c r="O371" s="51" t="n">
        <v>1</v>
      </c>
      <c r="P371" s="49">
        <f>(F371+H371+J371+L371)*O371</f>
        <v/>
      </c>
      <c r="Q371" s="70">
        <f>M371*O371</f>
        <v/>
      </c>
      <c r="R371" s="70">
        <f>N371*O371</f>
        <v/>
      </c>
    </row>
    <row r="372">
      <c r="A372" s="49" t="n">
        <v>2</v>
      </c>
      <c r="B372" s="49" t="n">
        <v>10</v>
      </c>
      <c r="C372" s="72" t="inlineStr">
        <is>
          <t>А240</t>
        </is>
      </c>
      <c r="D372" s="49" t="n">
        <v>6</v>
      </c>
      <c r="E372" s="69" t="n">
        <v>0.52</v>
      </c>
      <c r="F372" s="51" t="n">
        <v>22</v>
      </c>
      <c r="G372" s="21" t="n"/>
      <c r="H372" s="21" t="n"/>
      <c r="I372" s="21" t="n"/>
      <c r="J372" s="21" t="n"/>
      <c r="K372" s="21" t="n"/>
      <c r="L372" s="21" t="n"/>
      <c r="M372" s="37">
        <f>E372*F372+G372*H372+I372*J372+K372*L372</f>
        <v/>
      </c>
      <c r="N372" s="37">
        <f>Исходные!$B$13-M372</f>
        <v/>
      </c>
      <c r="O372" s="51" t="n">
        <v>7</v>
      </c>
      <c r="P372" s="49">
        <f>(F372+H372+J372+L372)*O372</f>
        <v/>
      </c>
      <c r="Q372" s="70">
        <f>M372*O372</f>
        <v/>
      </c>
      <c r="R372" s="70">
        <f>N372*O372</f>
        <v/>
      </c>
    </row>
    <row r="373">
      <c r="A373" s="49" t="n">
        <v>2</v>
      </c>
      <c r="B373" s="49" t="n">
        <v>10</v>
      </c>
      <c r="C373" s="72" t="inlineStr">
        <is>
          <t>А240</t>
        </is>
      </c>
      <c r="D373" s="49" t="n">
        <v>7</v>
      </c>
      <c r="E373" s="69" t="n">
        <v>1.33</v>
      </c>
      <c r="F373" s="51" t="n">
        <v>8</v>
      </c>
      <c r="G373" s="69" t="n">
        <v>0.7</v>
      </c>
      <c r="H373" s="51" t="n">
        <v>1</v>
      </c>
      <c r="I373" s="21" t="n"/>
      <c r="J373" s="21" t="n"/>
      <c r="K373" s="21" t="n"/>
      <c r="L373" s="21" t="n"/>
      <c r="M373" s="37">
        <f>E373*F373+G373*H373+I373*J373+K373*L373</f>
        <v/>
      </c>
      <c r="N373" s="37">
        <f>Исходные!$B$13-M373</f>
        <v/>
      </c>
      <c r="O373" s="51" t="n">
        <v>4</v>
      </c>
      <c r="P373" s="49">
        <f>(F373+H373+J373+L373)*O373</f>
        <v/>
      </c>
      <c r="Q373" s="70">
        <f>M373*O373</f>
        <v/>
      </c>
      <c r="R373" s="70">
        <f>N373*O373</f>
        <v/>
      </c>
    </row>
    <row r="374">
      <c r="A374" s="49" t="n">
        <v>2</v>
      </c>
      <c r="B374" s="49" t="n">
        <v>10</v>
      </c>
      <c r="C374" s="72" t="inlineStr">
        <is>
          <t>А240</t>
        </is>
      </c>
      <c r="D374" s="49" t="n">
        <v>8</v>
      </c>
      <c r="E374" s="69" t="n">
        <v>0.42</v>
      </c>
      <c r="F374" s="51" t="n">
        <v>27</v>
      </c>
      <c r="G374" s="21" t="n"/>
      <c r="H374" s="21" t="n"/>
      <c r="I374" s="21" t="n"/>
      <c r="J374" s="21" t="n"/>
      <c r="K374" s="21" t="n"/>
      <c r="L374" s="21" t="n"/>
      <c r="M374" s="37">
        <f>E374*F374+G374*H374+I374*J374+K374*L374</f>
        <v/>
      </c>
      <c r="N374" s="37">
        <f>Исходные!$B$13-M374</f>
        <v/>
      </c>
      <c r="O374" s="51" t="n">
        <v>28</v>
      </c>
      <c r="P374" s="49">
        <f>(F374+H374+J374+L374)*O374</f>
        <v/>
      </c>
      <c r="Q374" s="70">
        <f>M374*O374</f>
        <v/>
      </c>
      <c r="R374" s="70">
        <f>N374*O374</f>
        <v/>
      </c>
    </row>
    <row r="375">
      <c r="A375" s="49" t="n">
        <v>2</v>
      </c>
      <c r="B375" s="49" t="n">
        <v>10</v>
      </c>
      <c r="C375" s="72" t="inlineStr">
        <is>
          <t>А240</t>
        </is>
      </c>
      <c r="D375" s="49" t="n">
        <v>9</v>
      </c>
      <c r="E375" s="69" t="n">
        <v>0.52</v>
      </c>
      <c r="F375" s="51" t="n">
        <v>4</v>
      </c>
      <c r="G375" s="69" t="n">
        <v>0.42</v>
      </c>
      <c r="H375" s="51" t="n">
        <v>22</v>
      </c>
      <c r="I375" s="21" t="n"/>
      <c r="J375" s="21" t="n"/>
      <c r="K375" s="21" t="n"/>
      <c r="L375" s="21" t="n"/>
      <c r="M375" s="37">
        <f>E375*F375+G375*H375+I375*J375+K375*L375</f>
        <v/>
      </c>
      <c r="N375" s="37">
        <f>Исходные!$B$13-M375</f>
        <v/>
      </c>
      <c r="O375" s="51" t="n">
        <v>1</v>
      </c>
      <c r="P375" s="49">
        <f>(F375+H375+J375+L375)*O375</f>
        <v/>
      </c>
      <c r="Q375" s="70">
        <f>M375*O375</f>
        <v/>
      </c>
      <c r="R375" s="70">
        <f>N375*O375</f>
        <v/>
      </c>
    </row>
    <row r="376">
      <c r="A376" s="49" t="n">
        <v>2</v>
      </c>
      <c r="B376" s="49" t="n">
        <v>10</v>
      </c>
      <c r="C376" s="72" t="inlineStr">
        <is>
          <t>А240</t>
        </is>
      </c>
      <c r="D376" s="49" t="n">
        <v>10</v>
      </c>
      <c r="E376" s="69" t="n">
        <v>0.42</v>
      </c>
      <c r="F376" s="51" t="n">
        <v>13</v>
      </c>
      <c r="G376" s="21" t="n"/>
      <c r="H376" s="21" t="n"/>
      <c r="I376" s="21" t="n"/>
      <c r="J376" s="21" t="n"/>
      <c r="K376" s="21" t="n"/>
      <c r="L376" s="21" t="n"/>
      <c r="M376" s="37">
        <f>E376*F376+G376*H376+I376*J376+K376*L376</f>
        <v/>
      </c>
      <c r="N376" s="37">
        <f>Исходные!$B$13-M376</f>
        <v/>
      </c>
      <c r="O376" s="51" t="n">
        <v>1</v>
      </c>
      <c r="P376" s="49">
        <f>(F376+H376+J376+L376)*O376</f>
        <v/>
      </c>
      <c r="Q376" s="70">
        <f>M376*O376</f>
        <v/>
      </c>
      <c r="R376" s="70">
        <f>N376*O376</f>
        <v/>
      </c>
    </row>
    <row r="377">
      <c r="A377" s="49" t="n">
        <v>2</v>
      </c>
      <c r="B377" s="49" t="n">
        <v>8</v>
      </c>
      <c r="C377" s="72" t="inlineStr">
        <is>
          <t>А240</t>
        </is>
      </c>
      <c r="D377" s="49" t="n">
        <v>1</v>
      </c>
      <c r="E377" s="69" t="n">
        <v>1.24</v>
      </c>
      <c r="F377" s="51" t="n">
        <v>9</v>
      </c>
      <c r="G377" s="69" t="n">
        <v>0.53</v>
      </c>
      <c r="H377" s="51" t="n">
        <v>1</v>
      </c>
      <c r="I377" s="21" t="n"/>
      <c r="J377" s="21" t="n"/>
      <c r="K377" s="21" t="n"/>
      <c r="L377" s="21" t="n"/>
      <c r="M377" s="37">
        <f>E377*F377+G377*H377+I377*J377+K377*L377</f>
        <v/>
      </c>
      <c r="N377" s="37">
        <f>Исходные!$B$13-M377</f>
        <v/>
      </c>
      <c r="O377" s="51" t="n">
        <v>87</v>
      </c>
      <c r="P377" s="49">
        <f>(F377+H377+J377+L377)*O377</f>
        <v/>
      </c>
      <c r="Q377" s="70">
        <f>M377*O377</f>
        <v/>
      </c>
      <c r="R377" s="70">
        <f>N377*O377</f>
        <v/>
      </c>
    </row>
    <row r="378">
      <c r="A378" s="49" t="n">
        <v>2</v>
      </c>
      <c r="B378" s="49" t="n">
        <v>8</v>
      </c>
      <c r="C378" s="72" t="inlineStr">
        <is>
          <t>А240</t>
        </is>
      </c>
      <c r="D378" s="49" t="n">
        <v>2</v>
      </c>
      <c r="E378" s="69" t="n">
        <v>0.75</v>
      </c>
      <c r="F378" s="51" t="n">
        <v>15</v>
      </c>
      <c r="G378" s="69" t="n">
        <v>0.22</v>
      </c>
      <c r="H378" s="51" t="n">
        <v>2</v>
      </c>
      <c r="I378" s="21" t="n"/>
      <c r="J378" s="21" t="n"/>
      <c r="K378" s="21" t="n"/>
      <c r="L378" s="21" t="n"/>
      <c r="M378" s="37">
        <f>E378*F378+G378*H378+I378*J378+K378*L378</f>
        <v/>
      </c>
      <c r="N378" s="37">
        <f>Исходные!$B$13-M378</f>
        <v/>
      </c>
      <c r="O378" s="51" t="n">
        <v>48</v>
      </c>
      <c r="P378" s="49">
        <f>(F378+H378+J378+L378)*O378</f>
        <v/>
      </c>
      <c r="Q378" s="70">
        <f>M378*O378</f>
        <v/>
      </c>
      <c r="R378" s="70">
        <f>N378*O378</f>
        <v/>
      </c>
    </row>
    <row r="379">
      <c r="A379" s="49" t="n">
        <v>2</v>
      </c>
      <c r="B379" s="49" t="n">
        <v>8</v>
      </c>
      <c r="C379" s="72" t="inlineStr">
        <is>
          <t>А240</t>
        </is>
      </c>
      <c r="D379" s="49" t="n">
        <v>3</v>
      </c>
      <c r="E379" s="69" t="n">
        <v>1.04</v>
      </c>
      <c r="F379" s="51" t="n">
        <v>10</v>
      </c>
      <c r="G379" s="69" t="n">
        <v>0.75</v>
      </c>
      <c r="H379" s="51" t="n">
        <v>1</v>
      </c>
      <c r="I379" s="69" t="n">
        <v>0.53</v>
      </c>
      <c r="J379" s="51" t="n">
        <v>1</v>
      </c>
      <c r="K379" s="21" t="n"/>
      <c r="L379" s="21" t="n"/>
      <c r="M379" s="37">
        <f>E379*F379+G379*H379+I379*J379+K379*L379</f>
        <v/>
      </c>
      <c r="N379" s="37">
        <f>Исходные!$B$13-M379</f>
        <v/>
      </c>
      <c r="O379" s="51" t="n">
        <v>1</v>
      </c>
      <c r="P379" s="49">
        <f>(F379+H379+J379+L379)*O379</f>
        <v/>
      </c>
      <c r="Q379" s="70">
        <f>M379*O379</f>
        <v/>
      </c>
      <c r="R379" s="70">
        <f>N379*O379</f>
        <v/>
      </c>
    </row>
    <row r="380">
      <c r="A380" s="49" t="n">
        <v>2</v>
      </c>
      <c r="B380" s="49" t="n">
        <v>8</v>
      </c>
      <c r="C380" s="72" t="inlineStr">
        <is>
          <t>А240</t>
        </is>
      </c>
      <c r="D380" s="49" t="n">
        <v>4</v>
      </c>
      <c r="E380" s="69" t="n">
        <v>1.04</v>
      </c>
      <c r="F380" s="51" t="n">
        <v>11</v>
      </c>
      <c r="G380" s="69" t="n">
        <v>0.22</v>
      </c>
      <c r="H380" s="51" t="n">
        <v>1</v>
      </c>
      <c r="I380" s="21" t="n"/>
      <c r="J380" s="21" t="n"/>
      <c r="K380" s="21" t="n"/>
      <c r="L380" s="21" t="n"/>
      <c r="M380" s="37">
        <f>E380*F380+G380*H380+I380*J380+K380*L380</f>
        <v/>
      </c>
      <c r="N380" s="37">
        <f>Исходные!$B$13-M380</f>
        <v/>
      </c>
      <c r="O380" s="51" t="n">
        <v>9</v>
      </c>
      <c r="P380" s="49">
        <f>(F380+H380+J380+L380)*O380</f>
        <v/>
      </c>
      <c r="Q380" s="70">
        <f>M380*O380</f>
        <v/>
      </c>
      <c r="R380" s="70">
        <f>N380*O380</f>
        <v/>
      </c>
    </row>
    <row r="381">
      <c r="A381" s="49" t="n">
        <v>2</v>
      </c>
      <c r="B381" s="49" t="n">
        <v>8</v>
      </c>
      <c r="C381" s="72" t="inlineStr">
        <is>
          <t>А240</t>
        </is>
      </c>
      <c r="D381" s="49" t="n">
        <v>5</v>
      </c>
      <c r="E381" s="69" t="n">
        <v>0.53</v>
      </c>
      <c r="F381" s="51" t="n">
        <v>22</v>
      </c>
      <c r="G381" s="21" t="n"/>
      <c r="H381" s="21" t="n"/>
      <c r="I381" s="21" t="n"/>
      <c r="J381" s="21" t="n"/>
      <c r="K381" s="21" t="n"/>
      <c r="L381" s="21" t="n"/>
      <c r="M381" s="37">
        <f>E381*F381+G381*H381+I381*J381+K381*L381</f>
        <v/>
      </c>
      <c r="N381" s="37">
        <f>Исходные!$B$13-M381</f>
        <v/>
      </c>
      <c r="O381" s="51" t="n">
        <v>6</v>
      </c>
      <c r="P381" s="49">
        <f>(F381+H381+J381+L381)*O381</f>
        <v/>
      </c>
      <c r="Q381" s="70">
        <f>M381*O381</f>
        <v/>
      </c>
      <c r="R381" s="70">
        <f>N381*O381</f>
        <v/>
      </c>
    </row>
    <row r="382">
      <c r="A382" s="49" t="n">
        <v>2</v>
      </c>
      <c r="B382" s="49" t="n">
        <v>8</v>
      </c>
      <c r="C382" s="72" t="inlineStr">
        <is>
          <t>А240</t>
        </is>
      </c>
      <c r="D382" s="49" t="n">
        <v>6</v>
      </c>
      <c r="E382" s="69" t="n">
        <v>0.22</v>
      </c>
      <c r="F382" s="51" t="n">
        <v>53</v>
      </c>
      <c r="G382" s="21" t="n"/>
      <c r="H382" s="21" t="n"/>
      <c r="I382" s="21" t="n"/>
      <c r="J382" s="21" t="n"/>
      <c r="K382" s="21" t="n"/>
      <c r="L382" s="21" t="n"/>
      <c r="M382" s="37">
        <f>E382*F382+G382*H382+I382*J382+K382*L382</f>
        <v/>
      </c>
      <c r="N382" s="37">
        <f>Исходные!$B$13-M382</f>
        <v/>
      </c>
      <c r="O382" s="51" t="n">
        <v>9</v>
      </c>
      <c r="P382" s="49">
        <f>(F382+H382+J382+L382)*O382</f>
        <v/>
      </c>
      <c r="Q382" s="70">
        <f>M382*O382</f>
        <v/>
      </c>
      <c r="R382" s="70">
        <f>N382*O382</f>
        <v/>
      </c>
    </row>
    <row r="383">
      <c r="A383" s="49" t="n">
        <v>2</v>
      </c>
      <c r="B383" s="49" t="n">
        <v>8</v>
      </c>
      <c r="C383" s="72" t="inlineStr">
        <is>
          <t>А240</t>
        </is>
      </c>
      <c r="D383" s="49" t="n">
        <v>7</v>
      </c>
      <c r="E383" s="69" t="n">
        <v>1.24</v>
      </c>
      <c r="F383" s="51" t="n">
        <v>3</v>
      </c>
      <c r="G383" s="69" t="n">
        <v>1.16</v>
      </c>
      <c r="H383" s="51" t="n">
        <v>6</v>
      </c>
      <c r="I383" s="69" t="n">
        <v>0.75</v>
      </c>
      <c r="J383" s="51" t="n">
        <v>1</v>
      </c>
      <c r="K383" s="69" t="n">
        <v>0.22</v>
      </c>
      <c r="L383" s="51" t="n">
        <v>1</v>
      </c>
      <c r="M383" s="37">
        <f>E383*F383+G383*H383+I383*J383+K383*L383</f>
        <v/>
      </c>
      <c r="N383" s="37">
        <f>Исходные!$B$13-M383</f>
        <v/>
      </c>
      <c r="O383" s="51" t="n">
        <v>1</v>
      </c>
      <c r="P383" s="49">
        <f>(F383+H383+J383+L383)*O383</f>
        <v/>
      </c>
      <c r="Q383" s="70">
        <f>M383*O383</f>
        <v/>
      </c>
      <c r="R383" s="70">
        <f>N383*O383</f>
        <v/>
      </c>
    </row>
    <row r="384">
      <c r="A384" s="49" t="n">
        <v>2</v>
      </c>
      <c r="B384" s="49" t="n">
        <v>8</v>
      </c>
      <c r="C384" s="72" t="inlineStr">
        <is>
          <t>А240</t>
        </is>
      </c>
      <c r="D384" s="49" t="n">
        <v>8</v>
      </c>
      <c r="E384" s="69" t="n">
        <v>2.44</v>
      </c>
      <c r="F384" s="51" t="n">
        <v>4</v>
      </c>
      <c r="G384" s="69" t="n">
        <v>1.44</v>
      </c>
      <c r="H384" s="51" t="n">
        <v>1</v>
      </c>
      <c r="I384" s="69" t="n">
        <v>0.22</v>
      </c>
      <c r="J384" s="51" t="n">
        <v>2</v>
      </c>
      <c r="K384" s="21" t="n"/>
      <c r="L384" s="21" t="n"/>
      <c r="M384" s="37">
        <f>E384*F384+G384*H384+I384*J384+K384*L384</f>
        <v/>
      </c>
      <c r="N384" s="37">
        <f>Исходные!$B$13-M384</f>
        <v/>
      </c>
      <c r="O384" s="51" t="n">
        <v>44</v>
      </c>
      <c r="P384" s="49">
        <f>(F384+H384+J384+L384)*O384</f>
        <v/>
      </c>
      <c r="Q384" s="70">
        <f>M384*O384</f>
        <v/>
      </c>
      <c r="R384" s="70">
        <f>N384*O384</f>
        <v/>
      </c>
    </row>
    <row r="385">
      <c r="A385" s="49" t="n">
        <v>2</v>
      </c>
      <c r="B385" s="49" t="n">
        <v>8</v>
      </c>
      <c r="C385" s="72" t="inlineStr">
        <is>
          <t>А240</t>
        </is>
      </c>
      <c r="D385" s="49" t="n">
        <v>9</v>
      </c>
      <c r="E385" s="69" t="n">
        <v>1.14</v>
      </c>
      <c r="F385" s="51" t="n">
        <v>8</v>
      </c>
      <c r="G385" s="69" t="n">
        <v>1.04</v>
      </c>
      <c r="H385" s="51" t="n">
        <v>2</v>
      </c>
      <c r="I385" s="69" t="n">
        <v>0.22</v>
      </c>
      <c r="J385" s="51" t="n">
        <v>2</v>
      </c>
      <c r="K385" s="21" t="n"/>
      <c r="L385" s="21" t="n"/>
      <c r="M385" s="37">
        <f>E385*F385+G385*H385+I385*J385+K385*L385</f>
        <v/>
      </c>
      <c r="N385" s="37">
        <f>Исходные!$B$13-M385</f>
        <v/>
      </c>
      <c r="O385" s="51" t="n">
        <v>1</v>
      </c>
      <c r="P385" s="49">
        <f>(F385+H385+J385+L385)*O385</f>
        <v/>
      </c>
      <c r="Q385" s="70">
        <f>M385*O385</f>
        <v/>
      </c>
      <c r="R385" s="70">
        <f>N385*O385</f>
        <v/>
      </c>
    </row>
    <row r="386">
      <c r="A386" s="49" t="n">
        <v>2</v>
      </c>
      <c r="B386" s="49" t="n">
        <v>8</v>
      </c>
      <c r="C386" s="72" t="inlineStr">
        <is>
          <t>А240</t>
        </is>
      </c>
      <c r="D386" s="49" t="n">
        <v>10</v>
      </c>
      <c r="E386" s="69" t="n">
        <v>1.14</v>
      </c>
      <c r="F386" s="51" t="n">
        <v>10</v>
      </c>
      <c r="G386" s="69" t="n">
        <v>0.22</v>
      </c>
      <c r="H386" s="51" t="n">
        <v>1</v>
      </c>
      <c r="I386" s="21" t="n"/>
      <c r="J386" s="21" t="n"/>
      <c r="K386" s="21" t="n"/>
      <c r="L386" s="21" t="n"/>
      <c r="M386" s="37">
        <f>E386*F386+G386*H386+I386*J386+K386*L386</f>
        <v/>
      </c>
      <c r="N386" s="37">
        <f>Исходные!$B$13-M386</f>
        <v/>
      </c>
      <c r="O386" s="51" t="n">
        <v>26</v>
      </c>
      <c r="P386" s="49">
        <f>(F386+H386+J386+L386)*O386</f>
        <v/>
      </c>
      <c r="Q386" s="70">
        <f>M386*O386</f>
        <v/>
      </c>
      <c r="R386" s="70">
        <f>N386*O386</f>
        <v/>
      </c>
    </row>
    <row r="387">
      <c r="A387" s="49" t="n">
        <v>2</v>
      </c>
      <c r="B387" s="49" t="n">
        <v>8</v>
      </c>
      <c r="C387" s="72" t="inlineStr">
        <is>
          <t>А240</t>
        </is>
      </c>
      <c r="D387" s="49" t="n">
        <v>11</v>
      </c>
      <c r="E387" s="69" t="n">
        <v>0.75</v>
      </c>
      <c r="F387" s="51" t="n">
        <v>9</v>
      </c>
      <c r="G387" s="69" t="n">
        <v>0.58</v>
      </c>
      <c r="H387" s="51" t="n">
        <v>8</v>
      </c>
      <c r="I387" s="69" t="n">
        <v>0.22</v>
      </c>
      <c r="J387" s="51" t="n">
        <v>1</v>
      </c>
      <c r="K387" s="21" t="n"/>
      <c r="L387" s="21" t="n"/>
      <c r="M387" s="37">
        <f>E387*F387+G387*H387+I387*J387+K387*L387</f>
        <v/>
      </c>
      <c r="N387" s="37">
        <f>Исходные!$B$13-M387</f>
        <v/>
      </c>
      <c r="O387" s="51" t="n">
        <v>1</v>
      </c>
      <c r="P387" s="49">
        <f>(F387+H387+J387+L387)*O387</f>
        <v/>
      </c>
      <c r="Q387" s="70">
        <f>M387*O387</f>
        <v/>
      </c>
      <c r="R387" s="70">
        <f>N387*O387</f>
        <v/>
      </c>
    </row>
    <row r="388">
      <c r="A388" s="49" t="n">
        <v>2</v>
      </c>
      <c r="B388" s="49" t="n">
        <v>8</v>
      </c>
      <c r="C388" s="72" t="inlineStr">
        <is>
          <t>А240</t>
        </is>
      </c>
      <c r="D388" s="49" t="n">
        <v>12</v>
      </c>
      <c r="E388" s="69" t="n">
        <v>1.16</v>
      </c>
      <c r="F388" s="51" t="n">
        <v>10</v>
      </c>
      <c r="G388" s="21" t="n"/>
      <c r="H388" s="21" t="n"/>
      <c r="I388" s="21" t="n"/>
      <c r="J388" s="21" t="n"/>
      <c r="K388" s="21" t="n"/>
      <c r="L388" s="21" t="n"/>
      <c r="M388" s="37">
        <f>E388*F388+G388*H388+I388*J388+K388*L388</f>
        <v/>
      </c>
      <c r="N388" s="37">
        <f>Исходные!$B$13-M388</f>
        <v/>
      </c>
      <c r="O388" s="51" t="n">
        <v>1</v>
      </c>
      <c r="P388" s="49">
        <f>(F388+H388+J388+L388)*O388</f>
        <v/>
      </c>
      <c r="Q388" s="70">
        <f>M388*O388</f>
        <v/>
      </c>
      <c r="R388" s="70">
        <f>N388*O388</f>
        <v/>
      </c>
    </row>
    <row r="389">
      <c r="A389" s="49" t="n">
        <v>2</v>
      </c>
      <c r="B389" s="49" t="n">
        <v>8</v>
      </c>
      <c r="C389" s="72" t="inlineStr">
        <is>
          <t>А240</t>
        </is>
      </c>
      <c r="D389" s="49" t="n">
        <v>13</v>
      </c>
      <c r="E389" s="69" t="n">
        <v>0.58</v>
      </c>
      <c r="F389" s="51" t="n">
        <v>20</v>
      </c>
      <c r="G389" s="21" t="n"/>
      <c r="H389" s="21" t="n"/>
      <c r="I389" s="21" t="n"/>
      <c r="J389" s="21" t="n"/>
      <c r="K389" s="21" t="n"/>
      <c r="L389" s="21" t="n"/>
      <c r="M389" s="37">
        <f>E389*F389+G389*H389+I389*J389+K389*L389</f>
        <v/>
      </c>
      <c r="N389" s="37">
        <f>Исходные!$B$13-M389</f>
        <v/>
      </c>
      <c r="O389" s="51" t="n">
        <v>26</v>
      </c>
      <c r="P389" s="49">
        <f>(F389+H389+J389+L389)*O389</f>
        <v/>
      </c>
      <c r="Q389" s="70">
        <f>M389*O389</f>
        <v/>
      </c>
      <c r="R389" s="70">
        <f>N389*O389</f>
        <v/>
      </c>
    </row>
    <row r="390">
      <c r="A390" s="49" t="n">
        <v>2</v>
      </c>
      <c r="B390" s="49" t="n">
        <v>8</v>
      </c>
      <c r="C390" s="72" t="inlineStr">
        <is>
          <t>А240</t>
        </is>
      </c>
      <c r="D390" s="49" t="n">
        <v>14</v>
      </c>
      <c r="E390" s="69" t="n">
        <v>2.44</v>
      </c>
      <c r="F390" s="51" t="n">
        <v>4</v>
      </c>
      <c r="G390" s="69" t="n">
        <v>1.24</v>
      </c>
      <c r="H390" s="51" t="n">
        <v>1</v>
      </c>
      <c r="I390" s="69" t="n">
        <v>0.58</v>
      </c>
      <c r="J390" s="51" t="n">
        <v>1</v>
      </c>
      <c r="K390" s="21" t="n"/>
      <c r="L390" s="21" t="n"/>
      <c r="M390" s="37">
        <f>E390*F390+G390*H390+I390*J390+K390*L390</f>
        <v/>
      </c>
      <c r="N390" s="37">
        <f>Исходные!$B$13-M390</f>
        <v/>
      </c>
      <c r="O390" s="51" t="n">
        <v>48</v>
      </c>
      <c r="P390" s="49">
        <f>(F390+H390+J390+L390)*O390</f>
        <v/>
      </c>
      <c r="Q390" s="70">
        <f>M390*O390</f>
        <v/>
      </c>
      <c r="R390" s="70">
        <f>N390*O390</f>
        <v/>
      </c>
    </row>
    <row r="391">
      <c r="A391" s="49" t="n">
        <v>2</v>
      </c>
      <c r="B391" s="49" t="n">
        <v>8</v>
      </c>
      <c r="C391" s="72" t="inlineStr">
        <is>
          <t>А240</t>
        </is>
      </c>
      <c r="D391" s="49" t="n">
        <v>15</v>
      </c>
      <c r="E391" s="69" t="n">
        <v>2.06</v>
      </c>
      <c r="F391" s="51" t="n">
        <v>5</v>
      </c>
      <c r="G391" s="69" t="n">
        <v>1.28</v>
      </c>
      <c r="H391" s="51" t="n">
        <v>1</v>
      </c>
      <c r="I391" s="21" t="n"/>
      <c r="J391" s="21" t="n"/>
      <c r="K391" s="21" t="n"/>
      <c r="L391" s="21" t="n"/>
      <c r="M391" s="37">
        <f>E391*F391+G391*H391+I391*J391+K391*L391</f>
        <v/>
      </c>
      <c r="N391" s="37">
        <f>Исходные!$B$13-M391</f>
        <v/>
      </c>
      <c r="O391" s="51" t="n">
        <v>14</v>
      </c>
      <c r="P391" s="49">
        <f>(F391+H391+J391+L391)*O391</f>
        <v/>
      </c>
      <c r="Q391" s="70">
        <f>M391*O391</f>
        <v/>
      </c>
      <c r="R391" s="70">
        <f>N391*O391</f>
        <v/>
      </c>
    </row>
    <row r="392">
      <c r="A392" s="49" t="n">
        <v>2</v>
      </c>
      <c r="B392" s="49" t="n">
        <v>8</v>
      </c>
      <c r="C392" s="72" t="inlineStr">
        <is>
          <t>А240</t>
        </is>
      </c>
      <c r="D392" s="49" t="n">
        <v>16</v>
      </c>
      <c r="E392" s="69" t="n">
        <v>1.96</v>
      </c>
      <c r="F392" s="51" t="n">
        <v>5</v>
      </c>
      <c r="G392" s="69" t="n">
        <v>1.56</v>
      </c>
      <c r="H392" s="51" t="n">
        <v>1</v>
      </c>
      <c r="I392" s="69" t="n">
        <v>0.22</v>
      </c>
      <c r="J392" s="51" t="n">
        <v>1</v>
      </c>
      <c r="K392" s="21" t="n"/>
      <c r="L392" s="21" t="n"/>
      <c r="M392" s="37">
        <f>E392*F392+G392*H392+I392*J392+K392*L392</f>
        <v/>
      </c>
      <c r="N392" s="37">
        <f>Исходные!$B$13-M392</f>
        <v/>
      </c>
      <c r="O392" s="51" t="n">
        <v>48</v>
      </c>
      <c r="P392" s="49">
        <f>(F392+H392+J392+L392)*O392</f>
        <v/>
      </c>
      <c r="Q392" s="70">
        <f>M392*O392</f>
        <v/>
      </c>
      <c r="R392" s="70">
        <f>N392*O392</f>
        <v/>
      </c>
    </row>
    <row r="393">
      <c r="A393" s="49" t="n">
        <v>2</v>
      </c>
      <c r="B393" s="49" t="n">
        <v>8</v>
      </c>
      <c r="C393" s="72" t="inlineStr">
        <is>
          <t>А240</t>
        </is>
      </c>
      <c r="D393" s="49" t="n">
        <v>17</v>
      </c>
      <c r="E393" s="69" t="n">
        <v>0.58</v>
      </c>
      <c r="F393" s="51" t="n">
        <v>9</v>
      </c>
      <c r="G393" s="69" t="n">
        <v>0.53</v>
      </c>
      <c r="H393" s="51" t="n">
        <v>12</v>
      </c>
      <c r="I393" s="21" t="n"/>
      <c r="J393" s="21" t="n"/>
      <c r="K393" s="21" t="n"/>
      <c r="L393" s="21" t="n"/>
      <c r="M393" s="37">
        <f>E393*F393+G393*H393+I393*J393+K393*L393</f>
        <v/>
      </c>
      <c r="N393" s="37">
        <f>Исходные!$B$13-M393</f>
        <v/>
      </c>
      <c r="O393" s="51" t="n">
        <v>1</v>
      </c>
      <c r="P393" s="49">
        <f>(F393+H393+J393+L393)*O393</f>
        <v/>
      </c>
      <c r="Q393" s="70">
        <f>M393*O393</f>
        <v/>
      </c>
      <c r="R393" s="70">
        <f>N393*O393</f>
        <v/>
      </c>
    </row>
    <row r="394">
      <c r="A394" s="49" t="n">
        <v>2</v>
      </c>
      <c r="B394" s="49" t="n">
        <v>8</v>
      </c>
      <c r="C394" s="72" t="inlineStr">
        <is>
          <t>А240</t>
        </is>
      </c>
      <c r="D394" s="49" t="n">
        <v>18</v>
      </c>
      <c r="E394" s="69" t="n">
        <v>1.96</v>
      </c>
      <c r="F394" s="51" t="n">
        <v>5</v>
      </c>
      <c r="G394" s="69" t="n">
        <v>1.76</v>
      </c>
      <c r="H394" s="51" t="n">
        <v>1</v>
      </c>
      <c r="I394" s="21" t="n"/>
      <c r="J394" s="21" t="n"/>
      <c r="K394" s="21" t="n"/>
      <c r="L394" s="21" t="n"/>
      <c r="M394" s="37">
        <f>E394*F394+G394*H394+I394*J394+K394*L394</f>
        <v/>
      </c>
      <c r="N394" s="37">
        <f>Исходные!$B$13-M394</f>
        <v/>
      </c>
      <c r="O394" s="51" t="n">
        <v>80</v>
      </c>
      <c r="P394" s="49">
        <f>(F394+H394+J394+L394)*O394</f>
        <v/>
      </c>
      <c r="Q394" s="70">
        <f>M394*O394</f>
        <v/>
      </c>
      <c r="R394" s="70">
        <f>N394*O394</f>
        <v/>
      </c>
    </row>
    <row r="395">
      <c r="A395" s="49" t="n">
        <v>2</v>
      </c>
      <c r="B395" s="49" t="n">
        <v>8</v>
      </c>
      <c r="C395" s="72" t="inlineStr">
        <is>
          <t>А240</t>
        </is>
      </c>
      <c r="D395" s="49" t="n">
        <v>19</v>
      </c>
      <c r="E395" s="69" t="n">
        <v>0.53</v>
      </c>
      <c r="F395" s="51" t="n">
        <v>16</v>
      </c>
      <c r="G395" s="69" t="n">
        <v>0.22</v>
      </c>
      <c r="H395" s="51" t="n">
        <v>14</v>
      </c>
      <c r="I395" s="21" t="n"/>
      <c r="J395" s="21" t="n"/>
      <c r="K395" s="21" t="n"/>
      <c r="L395" s="21" t="n"/>
      <c r="M395" s="37">
        <f>E395*F395+G395*H395+I395*J395+K395*L395</f>
        <v/>
      </c>
      <c r="N395" s="37">
        <f>Исходные!$B$13-M395</f>
        <v/>
      </c>
      <c r="O395" s="51" t="n">
        <v>1</v>
      </c>
      <c r="P395" s="49">
        <f>(F395+H395+J395+L395)*O395</f>
        <v/>
      </c>
      <c r="Q395" s="70">
        <f>M395*O395</f>
        <v/>
      </c>
      <c r="R395" s="70">
        <f>N395*O395</f>
        <v/>
      </c>
    </row>
    <row r="396">
      <c r="A396" s="49" t="n">
        <v>2</v>
      </c>
      <c r="B396" s="49" t="n">
        <v>8</v>
      </c>
      <c r="C396" s="72" t="inlineStr">
        <is>
          <t>А240</t>
        </is>
      </c>
      <c r="D396" s="49" t="n">
        <v>20</v>
      </c>
      <c r="E396" s="69" t="n">
        <v>2.06</v>
      </c>
      <c r="F396" s="51" t="n">
        <v>5</v>
      </c>
      <c r="G396" s="69" t="n">
        <v>1.24</v>
      </c>
      <c r="H396" s="51" t="n">
        <v>1</v>
      </c>
      <c r="I396" s="21" t="n"/>
      <c r="J396" s="21" t="n"/>
      <c r="K396" s="21" t="n"/>
      <c r="L396" s="21" t="n"/>
      <c r="M396" s="37">
        <f>E396*F396+G396*H396+I396*J396+K396*L396</f>
        <v/>
      </c>
      <c r="N396" s="37">
        <f>Исходные!$B$13-M396</f>
        <v/>
      </c>
      <c r="O396" s="51" t="n">
        <v>135</v>
      </c>
      <c r="P396" s="49">
        <f>(F396+H396+J396+L396)*O396</f>
        <v/>
      </c>
      <c r="Q396" s="70">
        <f>M396*O396</f>
        <v/>
      </c>
      <c r="R396" s="70">
        <f>N396*O396</f>
        <v/>
      </c>
    </row>
    <row r="397">
      <c r="A397" s="49" t="n">
        <v>2</v>
      </c>
      <c r="B397" s="49" t="n">
        <v>8</v>
      </c>
      <c r="C397" s="72" t="inlineStr">
        <is>
          <t>А240</t>
        </is>
      </c>
      <c r="D397" s="49" t="n">
        <v>21</v>
      </c>
      <c r="E397" s="69" t="n">
        <v>2.44</v>
      </c>
      <c r="F397" s="51" t="n">
        <v>4</v>
      </c>
      <c r="G397" s="69" t="n">
        <v>1.56</v>
      </c>
      <c r="H397" s="51" t="n">
        <v>1</v>
      </c>
      <c r="I397" s="69" t="n">
        <v>0.22</v>
      </c>
      <c r="J397" s="51" t="n">
        <v>1</v>
      </c>
      <c r="K397" s="21" t="n"/>
      <c r="L397" s="21" t="n"/>
      <c r="M397" s="37">
        <f>E397*F397+G397*H397+I397*J397+K397*L397</f>
        <v/>
      </c>
      <c r="N397" s="37">
        <f>Исходные!$B$13-M397</f>
        <v/>
      </c>
      <c r="O397" s="51" t="n">
        <v>48</v>
      </c>
      <c r="P397" s="49">
        <f>(F397+H397+J397+L397)*O397</f>
        <v/>
      </c>
      <c r="Q397" s="70">
        <f>M397*O397</f>
        <v/>
      </c>
      <c r="R397" s="70">
        <f>N397*O397</f>
        <v/>
      </c>
    </row>
    <row r="398">
      <c r="A398" s="49" t="n">
        <v>2</v>
      </c>
      <c r="B398" s="49" t="n">
        <v>8</v>
      </c>
      <c r="C398" s="72" t="inlineStr">
        <is>
          <t>А240</t>
        </is>
      </c>
      <c r="D398" s="49" t="n">
        <v>22</v>
      </c>
      <c r="E398" s="69" t="n">
        <v>1.16</v>
      </c>
      <c r="F398" s="51" t="n">
        <v>6</v>
      </c>
      <c r="G398" s="69" t="n">
        <v>1.14</v>
      </c>
      <c r="H398" s="51" t="n">
        <v>4</v>
      </c>
      <c r="I398" s="21" t="n"/>
      <c r="J398" s="21" t="n"/>
      <c r="K398" s="21" t="n"/>
      <c r="L398" s="21" t="n"/>
      <c r="M398" s="37">
        <f>E398*F398+G398*H398+I398*J398+K398*L398</f>
        <v/>
      </c>
      <c r="N398" s="37">
        <f>Исходные!$B$13-M398</f>
        <v/>
      </c>
      <c r="O398" s="51" t="n">
        <v>1</v>
      </c>
      <c r="P398" s="49">
        <f>(F398+H398+J398+L398)*O398</f>
        <v/>
      </c>
      <c r="Q398" s="70">
        <f>M398*O398</f>
        <v/>
      </c>
      <c r="R398" s="70">
        <f>N398*O398</f>
        <v/>
      </c>
    </row>
    <row r="399">
      <c r="A399" s="49" t="n">
        <v>2</v>
      </c>
      <c r="B399" s="49" t="n">
        <v>8</v>
      </c>
      <c r="C399" s="72" t="inlineStr">
        <is>
          <t>А240</t>
        </is>
      </c>
      <c r="D399" s="49" t="n">
        <v>23</v>
      </c>
      <c r="E399" s="69" t="n">
        <v>0.22</v>
      </c>
      <c r="F399" s="51" t="n">
        <v>37</v>
      </c>
      <c r="G399" s="21" t="n"/>
      <c r="H399" s="21" t="n"/>
      <c r="I399" s="21" t="n"/>
      <c r="J399" s="21" t="n"/>
      <c r="K399" s="21" t="n"/>
      <c r="L399" s="21" t="n"/>
      <c r="M399" s="37">
        <f>E399*F399+G399*H399+I399*J399+K399*L399</f>
        <v/>
      </c>
      <c r="N399" s="37">
        <f>Исходные!$B$13-M399</f>
        <v/>
      </c>
      <c r="O399" s="51" t="n">
        <v>1</v>
      </c>
      <c r="P399" s="49">
        <f>(F399+H399+J399+L399)*O399</f>
        <v/>
      </c>
      <c r="Q399" s="70">
        <f>M399*O399</f>
        <v/>
      </c>
      <c r="R399" s="70">
        <f>N399*O399</f>
        <v/>
      </c>
    </row>
    <row r="400">
      <c r="A400" s="49" t="n">
        <v>2</v>
      </c>
      <c r="B400" s="49" t="n">
        <v>6</v>
      </c>
      <c r="C400" s="72" t="inlineStr">
        <is>
          <t>А240</t>
        </is>
      </c>
      <c r="D400" s="49" t="n">
        <v>1</v>
      </c>
      <c r="E400" s="69" t="n">
        <v>0.28</v>
      </c>
      <c r="F400" s="51" t="n">
        <v>41</v>
      </c>
      <c r="G400" s="21" t="n"/>
      <c r="H400" s="21" t="n"/>
      <c r="I400" s="21" t="n"/>
      <c r="J400" s="21" t="n"/>
      <c r="K400" s="21" t="n"/>
      <c r="L400" s="21" t="n"/>
      <c r="M400" s="37">
        <f>E400*F400+G400*H400+I400*J400+K400*L400</f>
        <v/>
      </c>
      <c r="N400" s="37">
        <f>Исходные!$B$13-M400</f>
        <v/>
      </c>
      <c r="O400" s="51" t="n">
        <v>2</v>
      </c>
      <c r="P400" s="49">
        <f>(F400+H400+J400+L400)*O400</f>
        <v/>
      </c>
      <c r="Q400" s="70">
        <f>M400*O400</f>
        <v/>
      </c>
      <c r="R400" s="70">
        <f>N400*O400</f>
        <v/>
      </c>
    </row>
    <row r="401">
      <c r="A401" s="49" t="n">
        <v>2</v>
      </c>
      <c r="B401" s="49" t="n">
        <v>6</v>
      </c>
      <c r="C401" s="72" t="inlineStr">
        <is>
          <t>А240</t>
        </is>
      </c>
      <c r="D401" s="49" t="n">
        <v>2</v>
      </c>
      <c r="E401" s="69" t="n">
        <v>0.28</v>
      </c>
      <c r="F401" s="51" t="n">
        <v>22</v>
      </c>
      <c r="G401" s="21" t="n"/>
      <c r="H401" s="21" t="n"/>
      <c r="I401" s="21" t="n"/>
      <c r="J401" s="21" t="n"/>
      <c r="K401" s="21" t="n"/>
      <c r="L401" s="21" t="n"/>
      <c r="M401" s="37">
        <f>E401*F401+G401*H401+I401*J401+K401*L401</f>
        <v/>
      </c>
      <c r="N401" s="37">
        <f>Исходные!$B$13-M401</f>
        <v/>
      </c>
      <c r="O401" s="51" t="n">
        <v>1</v>
      </c>
      <c r="P401" s="49">
        <f>(F401+H401+J401+L401)*O401</f>
        <v/>
      </c>
      <c r="Q401" s="70">
        <f>M401*O401</f>
        <v/>
      </c>
      <c r="R401" s="70">
        <f>N401*O401</f>
        <v/>
      </c>
    </row>
    <row r="402">
      <c r="A402" s="49" t="n">
        <v>3</v>
      </c>
      <c r="B402" s="49" t="n">
        <v>32</v>
      </c>
      <c r="C402" s="72" t="inlineStr">
        <is>
          <t>А500С</t>
        </is>
      </c>
      <c r="D402" s="49" t="n">
        <v>1</v>
      </c>
      <c r="E402" s="69" t="n">
        <v>7.85</v>
      </c>
      <c r="F402" s="51" t="n">
        <v>1</v>
      </c>
      <c r="G402" s="69" t="n">
        <v>3.7</v>
      </c>
      <c r="H402" s="51" t="n">
        <v>1</v>
      </c>
      <c r="I402" s="21" t="n"/>
      <c r="J402" s="21" t="n"/>
      <c r="K402" s="21" t="n"/>
      <c r="L402" s="21" t="n"/>
      <c r="M402" s="37">
        <f>E402*F402+G402*H402+I402*J402+K402*L402</f>
        <v/>
      </c>
      <c r="N402" s="37">
        <f>Исходные!$B$13-M402</f>
        <v/>
      </c>
      <c r="O402" s="51" t="n">
        <v>2</v>
      </c>
      <c r="P402" s="49">
        <f>(F402+H402+J402+L402)*O402</f>
        <v/>
      </c>
      <c r="Q402" s="70">
        <f>M402*O402</f>
        <v/>
      </c>
      <c r="R402" s="70">
        <f>N402*O402</f>
        <v/>
      </c>
    </row>
    <row r="403">
      <c r="A403" s="49" t="n">
        <v>3</v>
      </c>
      <c r="B403" s="49" t="n">
        <v>32</v>
      </c>
      <c r="C403" s="72" t="inlineStr">
        <is>
          <t>А500С</t>
        </is>
      </c>
      <c r="D403" s="49" t="n">
        <v>2</v>
      </c>
      <c r="E403" s="69" t="n">
        <v>4.7</v>
      </c>
      <c r="F403" s="51" t="n">
        <v>2</v>
      </c>
      <c r="G403" s="69" t="n">
        <v>2.05</v>
      </c>
      <c r="H403" s="51" t="n">
        <v>1</v>
      </c>
      <c r="I403" s="21" t="n"/>
      <c r="J403" s="21" t="n"/>
      <c r="K403" s="21" t="n"/>
      <c r="L403" s="21" t="n"/>
      <c r="M403" s="37">
        <f>E403*F403+G403*H403+I403*J403+K403*L403</f>
        <v/>
      </c>
      <c r="N403" s="37">
        <f>Исходные!$B$13-M403</f>
        <v/>
      </c>
      <c r="O403" s="51" t="n">
        <v>1</v>
      </c>
      <c r="P403" s="49">
        <f>(F403+H403+J403+L403)*O403</f>
        <v/>
      </c>
      <c r="Q403" s="70">
        <f>M403*O403</f>
        <v/>
      </c>
      <c r="R403" s="70">
        <f>N403*O403</f>
        <v/>
      </c>
    </row>
    <row r="404">
      <c r="A404" s="49" t="n">
        <v>3</v>
      </c>
      <c r="B404" s="49" t="n">
        <v>32</v>
      </c>
      <c r="C404" s="72" t="inlineStr">
        <is>
          <t>А500С</t>
        </is>
      </c>
      <c r="D404" s="49" t="n">
        <v>3</v>
      </c>
      <c r="E404" s="69" t="n">
        <v>4.3</v>
      </c>
      <c r="F404" s="51" t="n">
        <v>2</v>
      </c>
      <c r="G404" s="69" t="n">
        <v>2.85</v>
      </c>
      <c r="H404" s="51" t="n">
        <v>1</v>
      </c>
      <c r="I404" s="21" t="n"/>
      <c r="J404" s="21" t="n"/>
      <c r="K404" s="21" t="n"/>
      <c r="L404" s="21" t="n"/>
      <c r="M404" s="37">
        <f>E404*F404+G404*H404+I404*J404+K404*L404</f>
        <v/>
      </c>
      <c r="N404" s="37">
        <f>Исходные!$B$13-M404</f>
        <v/>
      </c>
      <c r="O404" s="51" t="n">
        <v>1</v>
      </c>
      <c r="P404" s="49">
        <f>(F404+H404+J404+L404)*O404</f>
        <v/>
      </c>
      <c r="Q404" s="70">
        <f>M404*O404</f>
        <v/>
      </c>
      <c r="R404" s="70">
        <f>N404*O404</f>
        <v/>
      </c>
    </row>
    <row r="405">
      <c r="A405" s="49" t="n">
        <v>3</v>
      </c>
      <c r="B405" s="49" t="n">
        <v>32</v>
      </c>
      <c r="C405" s="72" t="inlineStr">
        <is>
          <t>А500С</t>
        </is>
      </c>
      <c r="D405" s="49" t="n">
        <v>4</v>
      </c>
      <c r="E405" s="69" t="n">
        <v>3.6</v>
      </c>
      <c r="F405" s="51" t="n">
        <v>1</v>
      </c>
      <c r="G405" s="69" t="n">
        <v>2.85</v>
      </c>
      <c r="H405" s="51" t="n">
        <v>2</v>
      </c>
      <c r="I405" s="69" t="n">
        <v>2.05</v>
      </c>
      <c r="J405" s="51" t="n">
        <v>1</v>
      </c>
      <c r="K405" s="21" t="n"/>
      <c r="L405" s="21" t="n"/>
      <c r="M405" s="37">
        <f>E405*F405+G405*H405+I405*J405+K405*L405</f>
        <v/>
      </c>
      <c r="N405" s="37">
        <f>Исходные!$B$13-M405</f>
        <v/>
      </c>
      <c r="O405" s="51" t="n">
        <v>1</v>
      </c>
      <c r="P405" s="49">
        <f>(F405+H405+J405+L405)*O405</f>
        <v/>
      </c>
      <c r="Q405" s="70">
        <f>M405*O405</f>
        <v/>
      </c>
      <c r="R405" s="70">
        <f>N405*O405</f>
        <v/>
      </c>
    </row>
    <row r="406">
      <c r="A406" s="49" t="n">
        <v>3</v>
      </c>
      <c r="B406" s="49" t="n">
        <v>32</v>
      </c>
      <c r="C406" s="72" t="inlineStr">
        <is>
          <t>А500С</t>
        </is>
      </c>
      <c r="D406" s="49" t="n">
        <v>5</v>
      </c>
      <c r="E406" s="69" t="n">
        <v>7.5</v>
      </c>
      <c r="F406" s="51" t="n">
        <v>1</v>
      </c>
      <c r="G406" s="69" t="n">
        <v>3.6</v>
      </c>
      <c r="H406" s="51" t="n">
        <v>1</v>
      </c>
      <c r="I406" s="21" t="n"/>
      <c r="J406" s="21" t="n"/>
      <c r="K406" s="21" t="n"/>
      <c r="L406" s="21" t="n"/>
      <c r="M406" s="37">
        <f>E406*F406+G406*H406+I406*J406+K406*L406</f>
        <v/>
      </c>
      <c r="N406" s="37">
        <f>Исходные!$B$13-M406</f>
        <v/>
      </c>
      <c r="O406" s="51" t="n">
        <v>2</v>
      </c>
      <c r="P406" s="49">
        <f>(F406+H406+J406+L406)*O406</f>
        <v/>
      </c>
      <c r="Q406" s="70">
        <f>M406*O406</f>
        <v/>
      </c>
      <c r="R406" s="70">
        <f>N406*O406</f>
        <v/>
      </c>
    </row>
    <row r="407">
      <c r="A407" s="49" t="n">
        <v>3</v>
      </c>
      <c r="B407" s="49" t="n">
        <v>32</v>
      </c>
      <c r="C407" s="72" t="inlineStr">
        <is>
          <t>А500С</t>
        </is>
      </c>
      <c r="D407" s="49" t="n">
        <v>6</v>
      </c>
      <c r="E407" s="69" t="n">
        <v>3.6</v>
      </c>
      <c r="F407" s="51" t="n">
        <v>3</v>
      </c>
      <c r="G407" s="21" t="n"/>
      <c r="H407" s="21" t="n"/>
      <c r="I407" s="21" t="n"/>
      <c r="J407" s="21" t="n"/>
      <c r="K407" s="21" t="n"/>
      <c r="L407" s="21" t="n"/>
      <c r="M407" s="37">
        <f>E407*F407+G407*H407+I407*J407+K407*L407</f>
        <v/>
      </c>
      <c r="N407" s="37">
        <f>Исходные!$B$13-M407</f>
        <v/>
      </c>
      <c r="O407" s="51" t="n">
        <v>1</v>
      </c>
      <c r="P407" s="49">
        <f>(F407+H407+J407+L407)*O407</f>
        <v/>
      </c>
      <c r="Q407" s="70">
        <f>M407*O407</f>
        <v/>
      </c>
      <c r="R407" s="70">
        <f>N407*O407</f>
        <v/>
      </c>
    </row>
    <row r="408">
      <c r="A408" s="49" t="n">
        <v>3</v>
      </c>
      <c r="B408" s="49" t="n">
        <v>32</v>
      </c>
      <c r="C408" s="72" t="inlineStr">
        <is>
          <t>А500С</t>
        </is>
      </c>
      <c r="D408" s="49" t="n">
        <v>7</v>
      </c>
      <c r="E408" s="69" t="n">
        <v>4.5</v>
      </c>
      <c r="F408" s="51" t="n">
        <v>2</v>
      </c>
      <c r="G408" s="21" t="n"/>
      <c r="H408" s="21" t="n"/>
      <c r="I408" s="21" t="n"/>
      <c r="J408" s="21" t="n"/>
      <c r="K408" s="21" t="n"/>
      <c r="L408" s="21" t="n"/>
      <c r="M408" s="37">
        <f>E408*F408+G408*H408+I408*J408+K408*L408</f>
        <v/>
      </c>
      <c r="N408" s="37">
        <f>Исходные!$B$13-M408</f>
        <v/>
      </c>
      <c r="O408" s="51" t="n">
        <v>1</v>
      </c>
      <c r="P408" s="49">
        <f>(F408+H408+J408+L408)*O408</f>
        <v/>
      </c>
      <c r="Q408" s="70">
        <f>M408*O408</f>
        <v/>
      </c>
      <c r="R408" s="70">
        <f>N408*O408</f>
        <v/>
      </c>
    </row>
    <row r="409">
      <c r="A409" s="49" t="n">
        <v>3</v>
      </c>
      <c r="B409" s="49" t="n">
        <v>32</v>
      </c>
      <c r="C409" s="72" t="inlineStr">
        <is>
          <t>А500С</t>
        </is>
      </c>
      <c r="D409" s="49" t="n">
        <v>8</v>
      </c>
      <c r="E409" s="69" t="n">
        <v>2.85</v>
      </c>
      <c r="F409" s="51" t="n">
        <v>1</v>
      </c>
      <c r="G409" s="21" t="n"/>
      <c r="H409" s="21" t="n"/>
      <c r="I409" s="21" t="n"/>
      <c r="J409" s="21" t="n"/>
      <c r="K409" s="21" t="n"/>
      <c r="L409" s="21" t="n"/>
      <c r="M409" s="37">
        <f>E409*F409+G409*H409+I409*J409+K409*L409</f>
        <v/>
      </c>
      <c r="N409" s="37">
        <f>Исходные!$B$13-M409</f>
        <v/>
      </c>
      <c r="O409" s="51" t="n">
        <v>1</v>
      </c>
      <c r="P409" s="49">
        <f>(F409+H409+J409+L409)*O409</f>
        <v/>
      </c>
      <c r="Q409" s="70">
        <f>M409*O409</f>
        <v/>
      </c>
      <c r="R409" s="70">
        <f>N409*O409</f>
        <v/>
      </c>
    </row>
    <row r="410">
      <c r="A410" s="49" t="n">
        <v>3</v>
      </c>
      <c r="B410" s="49" t="n">
        <v>28</v>
      </c>
      <c r="C410" s="72" t="inlineStr">
        <is>
          <t>А500С</t>
        </is>
      </c>
      <c r="D410" s="49" t="n">
        <v>1</v>
      </c>
      <c r="E410" s="69" t="n">
        <v>11.7</v>
      </c>
      <c r="F410" s="51" t="n">
        <v>1</v>
      </c>
      <c r="G410" s="21" t="n"/>
      <c r="H410" s="21" t="n"/>
      <c r="I410" s="21" t="n"/>
      <c r="J410" s="21" t="n"/>
      <c r="K410" s="21" t="n"/>
      <c r="L410" s="21" t="n"/>
      <c r="M410" s="37">
        <f>E410*F410+G410*H410+I410*J410+K410*L410</f>
        <v/>
      </c>
      <c r="N410" s="37">
        <f>Исходные!$B$13-M410</f>
        <v/>
      </c>
      <c r="O410" s="51" t="n">
        <v>52</v>
      </c>
      <c r="P410" s="49">
        <f>(F410+H410+J410+L410)*O410</f>
        <v/>
      </c>
      <c r="Q410" s="70">
        <f>M410*O410</f>
        <v/>
      </c>
      <c r="R410" s="70">
        <f>N410*O410</f>
        <v/>
      </c>
    </row>
    <row r="411">
      <c r="A411" s="49" t="n">
        <v>3</v>
      </c>
      <c r="B411" s="49" t="n">
        <v>28</v>
      </c>
      <c r="C411" s="72" t="inlineStr">
        <is>
          <t>А500С</t>
        </is>
      </c>
      <c r="D411" s="49" t="n">
        <v>2</v>
      </c>
      <c r="E411" s="69" t="n">
        <v>7.85</v>
      </c>
      <c r="F411" s="51" t="n">
        <v>1</v>
      </c>
      <c r="G411" s="69" t="n">
        <v>3.8</v>
      </c>
      <c r="H411" s="51" t="n">
        <v>1</v>
      </c>
      <c r="I411" s="21" t="n"/>
      <c r="J411" s="21" t="n"/>
      <c r="K411" s="21" t="n"/>
      <c r="L411" s="21" t="n"/>
      <c r="M411" s="37">
        <f>E411*F411+G411*H411+I411*J411+K411*L411</f>
        <v/>
      </c>
      <c r="N411" s="37">
        <f>Исходные!$B$13-M411</f>
        <v/>
      </c>
      <c r="O411" s="51" t="n">
        <v>2</v>
      </c>
      <c r="P411" s="49">
        <f>(F411+H411+J411+L411)*O411</f>
        <v/>
      </c>
      <c r="Q411" s="70">
        <f>M411*O411</f>
        <v/>
      </c>
      <c r="R411" s="70">
        <f>N411*O411</f>
        <v/>
      </c>
    </row>
    <row r="412">
      <c r="A412" s="49" t="n">
        <v>3</v>
      </c>
      <c r="B412" s="49" t="n">
        <v>28</v>
      </c>
      <c r="C412" s="72" t="inlineStr">
        <is>
          <t>А500С</t>
        </is>
      </c>
      <c r="D412" s="49" t="n">
        <v>3</v>
      </c>
      <c r="E412" s="69" t="n">
        <v>4.7</v>
      </c>
      <c r="F412" s="51" t="n">
        <v>2</v>
      </c>
      <c r="G412" s="69" t="n">
        <v>2.1</v>
      </c>
      <c r="H412" s="51" t="n">
        <v>1</v>
      </c>
      <c r="I412" s="21" t="n"/>
      <c r="J412" s="21" t="n"/>
      <c r="K412" s="21" t="n"/>
      <c r="L412" s="21" t="n"/>
      <c r="M412" s="37">
        <f>E412*F412+G412*H412+I412*J412+K412*L412</f>
        <v/>
      </c>
      <c r="N412" s="37">
        <f>Исходные!$B$13-M412</f>
        <v/>
      </c>
      <c r="O412" s="51" t="n">
        <v>1</v>
      </c>
      <c r="P412" s="49">
        <f>(F412+H412+J412+L412)*O412</f>
        <v/>
      </c>
      <c r="Q412" s="70">
        <f>M412*O412</f>
        <v/>
      </c>
      <c r="R412" s="70">
        <f>N412*O412</f>
        <v/>
      </c>
    </row>
    <row r="413">
      <c r="A413" s="49" t="n">
        <v>3</v>
      </c>
      <c r="B413" s="49" t="n">
        <v>28</v>
      </c>
      <c r="C413" s="72" t="inlineStr">
        <is>
          <t>А500С</t>
        </is>
      </c>
      <c r="D413" s="49" t="n">
        <v>4</v>
      </c>
      <c r="E413" s="69" t="n">
        <v>3.3</v>
      </c>
      <c r="F413" s="51" t="n">
        <v>1</v>
      </c>
      <c r="G413" s="69" t="n">
        <v>3</v>
      </c>
      <c r="H413" s="51" t="n">
        <v>2</v>
      </c>
      <c r="I413" s="69" t="n">
        <v>2.1</v>
      </c>
      <c r="J413" s="51" t="n">
        <v>1</v>
      </c>
      <c r="K413" s="21" t="n"/>
      <c r="L413" s="21" t="n"/>
      <c r="M413" s="37">
        <f>E413*F413+G413*H413+I413*J413+K413*L413</f>
        <v/>
      </c>
      <c r="N413" s="37">
        <f>Исходные!$B$13-M413</f>
        <v/>
      </c>
      <c r="O413" s="51" t="n">
        <v>1</v>
      </c>
      <c r="P413" s="49">
        <f>(F413+H413+J413+L413)*O413</f>
        <v/>
      </c>
      <c r="Q413" s="70">
        <f>M413*O413</f>
        <v/>
      </c>
      <c r="R413" s="70">
        <f>N413*O413</f>
        <v/>
      </c>
    </row>
    <row r="414">
      <c r="A414" s="49" t="n">
        <v>3</v>
      </c>
      <c r="B414" s="49" t="n">
        <v>28</v>
      </c>
      <c r="C414" s="72" t="inlineStr">
        <is>
          <t>А500С</t>
        </is>
      </c>
      <c r="D414" s="49" t="n">
        <v>5</v>
      </c>
      <c r="E414" s="69" t="n">
        <v>3.8</v>
      </c>
      <c r="F414" s="51" t="n">
        <v>3</v>
      </c>
      <c r="G414" s="21" t="n"/>
      <c r="H414" s="21" t="n"/>
      <c r="I414" s="21" t="n"/>
      <c r="J414" s="21" t="n"/>
      <c r="K414" s="21" t="n"/>
      <c r="L414" s="21" t="n"/>
      <c r="M414" s="37">
        <f>E414*F414+G414*H414+I414*J414+K414*L414</f>
        <v/>
      </c>
      <c r="N414" s="37">
        <f>Исходные!$B$13-M414</f>
        <v/>
      </c>
      <c r="O414" s="51" t="n">
        <v>2</v>
      </c>
      <c r="P414" s="49">
        <f>(F414+H414+J414+L414)*O414</f>
        <v/>
      </c>
      <c r="Q414" s="70">
        <f>M414*O414</f>
        <v/>
      </c>
      <c r="R414" s="70">
        <f>N414*O414</f>
        <v/>
      </c>
    </row>
    <row r="415">
      <c r="A415" s="49" t="n">
        <v>3</v>
      </c>
      <c r="B415" s="49" t="n">
        <v>28</v>
      </c>
      <c r="C415" s="72" t="inlineStr">
        <is>
          <t>А500С</t>
        </is>
      </c>
      <c r="D415" s="49" t="n">
        <v>6</v>
      </c>
      <c r="E415" s="69" t="n">
        <v>3.8</v>
      </c>
      <c r="F415" s="51" t="n">
        <v>2</v>
      </c>
      <c r="G415" s="69" t="n">
        <v>3.7</v>
      </c>
      <c r="H415" s="51" t="n">
        <v>1</v>
      </c>
      <c r="I415" s="21" t="n"/>
      <c r="J415" s="21" t="n"/>
      <c r="K415" s="21" t="n"/>
      <c r="L415" s="21" t="n"/>
      <c r="M415" s="37">
        <f>E415*F415+G415*H415+I415*J415+K415*L415</f>
        <v/>
      </c>
      <c r="N415" s="37">
        <f>Исходные!$B$13-M415</f>
        <v/>
      </c>
      <c r="O415" s="51" t="n">
        <v>1</v>
      </c>
      <c r="P415" s="49">
        <f>(F415+H415+J415+L415)*O415</f>
        <v/>
      </c>
      <c r="Q415" s="70">
        <f>M415*O415</f>
        <v/>
      </c>
      <c r="R415" s="70">
        <f>N415*O415</f>
        <v/>
      </c>
    </row>
    <row r="416">
      <c r="A416" s="49" t="n">
        <v>3</v>
      </c>
      <c r="B416" s="49" t="n">
        <v>28</v>
      </c>
      <c r="C416" s="72" t="inlineStr">
        <is>
          <t>А500С</t>
        </is>
      </c>
      <c r="D416" s="49" t="n">
        <v>7</v>
      </c>
      <c r="E416" s="69" t="n">
        <v>3.7</v>
      </c>
      <c r="F416" s="51" t="n">
        <v>3</v>
      </c>
      <c r="G416" s="21" t="n"/>
      <c r="H416" s="21" t="n"/>
      <c r="I416" s="21" t="n"/>
      <c r="J416" s="21" t="n"/>
      <c r="K416" s="21" t="n"/>
      <c r="L416" s="21" t="n"/>
      <c r="M416" s="37">
        <f>E416*F416+G416*H416+I416*J416+K416*L416</f>
        <v/>
      </c>
      <c r="N416" s="37">
        <f>Исходные!$B$13-M416</f>
        <v/>
      </c>
      <c r="O416" s="51" t="n">
        <v>1</v>
      </c>
      <c r="P416" s="49">
        <f>(F416+H416+J416+L416)*O416</f>
        <v/>
      </c>
      <c r="Q416" s="70">
        <f>M416*O416</f>
        <v/>
      </c>
      <c r="R416" s="70">
        <f>N416*O416</f>
        <v/>
      </c>
    </row>
    <row r="417">
      <c r="A417" s="49" t="n">
        <v>3</v>
      </c>
      <c r="B417" s="49" t="n">
        <v>28</v>
      </c>
      <c r="C417" s="72" t="inlineStr">
        <is>
          <t>А500С</t>
        </is>
      </c>
      <c r="D417" s="49" t="n">
        <v>8</v>
      </c>
      <c r="E417" s="69" t="n">
        <v>5.5</v>
      </c>
      <c r="F417" s="51" t="n">
        <v>2</v>
      </c>
      <c r="G417" s="21" t="n"/>
      <c r="H417" s="21" t="n"/>
      <c r="I417" s="21" t="n"/>
      <c r="J417" s="21" t="n"/>
      <c r="K417" s="21" t="n"/>
      <c r="L417" s="21" t="n"/>
      <c r="M417" s="37">
        <f>E417*F417+G417*H417+I417*J417+K417*L417</f>
        <v/>
      </c>
      <c r="N417" s="37">
        <f>Исходные!$B$13-M417</f>
        <v/>
      </c>
      <c r="O417" s="51" t="n">
        <v>1</v>
      </c>
      <c r="P417" s="49">
        <f>(F417+H417+J417+L417)*O417</f>
        <v/>
      </c>
      <c r="Q417" s="70">
        <f>M417*O417</f>
        <v/>
      </c>
      <c r="R417" s="70">
        <f>N417*O417</f>
        <v/>
      </c>
    </row>
    <row r="418">
      <c r="A418" s="49" t="n">
        <v>3</v>
      </c>
      <c r="B418" s="49" t="n">
        <v>28</v>
      </c>
      <c r="C418" s="72" t="inlineStr">
        <is>
          <t>А500С</t>
        </is>
      </c>
      <c r="D418" s="49" t="n">
        <v>9</v>
      </c>
      <c r="E418" s="69" t="n">
        <v>3.7</v>
      </c>
      <c r="F418" s="51" t="n">
        <v>2</v>
      </c>
      <c r="G418" s="69" t="n">
        <v>3.6</v>
      </c>
      <c r="H418" s="51" t="n">
        <v>1</v>
      </c>
      <c r="I418" s="21" t="n"/>
      <c r="J418" s="21" t="n"/>
      <c r="K418" s="21" t="n"/>
      <c r="L418" s="21" t="n"/>
      <c r="M418" s="37">
        <f>E418*F418+G418*H418+I418*J418+K418*L418</f>
        <v/>
      </c>
      <c r="N418" s="37">
        <f>Исходные!$B$13-M418</f>
        <v/>
      </c>
      <c r="O418" s="51" t="n">
        <v>1</v>
      </c>
      <c r="P418" s="49">
        <f>(F418+H418+J418+L418)*O418</f>
        <v/>
      </c>
      <c r="Q418" s="70">
        <f>M418*O418</f>
        <v/>
      </c>
      <c r="R418" s="70">
        <f>N418*O418</f>
        <v/>
      </c>
    </row>
    <row r="419">
      <c r="A419" s="49" t="n">
        <v>3</v>
      </c>
      <c r="B419" s="49" t="n">
        <v>28</v>
      </c>
      <c r="C419" s="72" t="inlineStr">
        <is>
          <t>А500С</t>
        </is>
      </c>
      <c r="D419" s="49" t="n">
        <v>10</v>
      </c>
      <c r="E419" s="69" t="n">
        <v>8.800000000000001</v>
      </c>
      <c r="F419" s="51" t="n">
        <v>1</v>
      </c>
      <c r="G419" s="69" t="n">
        <v>2.1</v>
      </c>
      <c r="H419" s="51" t="n">
        <v>1</v>
      </c>
      <c r="I419" s="21" t="n"/>
      <c r="J419" s="21" t="n"/>
      <c r="K419" s="21" t="n"/>
      <c r="L419" s="21" t="n"/>
      <c r="M419" s="37">
        <f>E419*F419+G419*H419+I419*J419+K419*L419</f>
        <v/>
      </c>
      <c r="N419" s="37">
        <f>Исходные!$B$13-M419</f>
        <v/>
      </c>
      <c r="O419" s="51" t="n">
        <v>14</v>
      </c>
      <c r="P419" s="49">
        <f>(F419+H419+J419+L419)*O419</f>
        <v/>
      </c>
      <c r="Q419" s="70">
        <f>M419*O419</f>
        <v/>
      </c>
      <c r="R419" s="70">
        <f>N419*O419</f>
        <v/>
      </c>
    </row>
    <row r="420">
      <c r="A420" s="49" t="n">
        <v>3</v>
      </c>
      <c r="B420" s="49" t="n">
        <v>28</v>
      </c>
      <c r="C420" s="72" t="inlineStr">
        <is>
          <t>А500С</t>
        </is>
      </c>
      <c r="D420" s="49" t="n">
        <v>11</v>
      </c>
      <c r="E420" s="69" t="n">
        <v>8.800000000000001</v>
      </c>
      <c r="F420" s="51" t="n">
        <v>1</v>
      </c>
      <c r="G420" s="69" t="n">
        <v>2.05</v>
      </c>
      <c r="H420" s="51" t="n">
        <v>1</v>
      </c>
      <c r="I420" s="21" t="n"/>
      <c r="J420" s="21" t="n"/>
      <c r="K420" s="21" t="n"/>
      <c r="L420" s="21" t="n"/>
      <c r="M420" s="37">
        <f>E420*F420+G420*H420+I420*J420+K420*L420</f>
        <v/>
      </c>
      <c r="N420" s="37">
        <f>Исходные!$B$13-M420</f>
        <v/>
      </c>
      <c r="O420" s="51" t="n">
        <v>6</v>
      </c>
      <c r="P420" s="49">
        <f>(F420+H420+J420+L420)*O420</f>
        <v/>
      </c>
      <c r="Q420" s="70">
        <f>M420*O420</f>
        <v/>
      </c>
      <c r="R420" s="70">
        <f>N420*O420</f>
        <v/>
      </c>
    </row>
    <row r="421">
      <c r="A421" s="49" t="n">
        <v>3</v>
      </c>
      <c r="B421" s="49" t="n">
        <v>28</v>
      </c>
      <c r="C421" s="72" t="inlineStr">
        <is>
          <t>А500С</t>
        </is>
      </c>
      <c r="D421" s="49" t="n">
        <v>12</v>
      </c>
      <c r="E421" s="69" t="n">
        <v>3.6</v>
      </c>
      <c r="F421" s="51" t="n">
        <v>3</v>
      </c>
      <c r="G421" s="21" t="n"/>
      <c r="H421" s="21" t="n"/>
      <c r="I421" s="21" t="n"/>
      <c r="J421" s="21" t="n"/>
      <c r="K421" s="21" t="n"/>
      <c r="L421" s="21" t="n"/>
      <c r="M421" s="37">
        <f>E421*F421+G421*H421+I421*J421+K421*L421</f>
        <v/>
      </c>
      <c r="N421" s="37">
        <f>Исходные!$B$13-M421</f>
        <v/>
      </c>
      <c r="O421" s="51" t="n">
        <v>27</v>
      </c>
      <c r="P421" s="49">
        <f>(F421+H421+J421+L421)*O421</f>
        <v/>
      </c>
      <c r="Q421" s="70">
        <f>M421*O421</f>
        <v/>
      </c>
      <c r="R421" s="70">
        <f>N421*O421</f>
        <v/>
      </c>
    </row>
    <row r="422">
      <c r="A422" s="49" t="n">
        <v>3</v>
      </c>
      <c r="B422" s="49" t="n">
        <v>28</v>
      </c>
      <c r="C422" s="72" t="inlineStr">
        <is>
          <t>А500С</t>
        </is>
      </c>
      <c r="D422" s="49" t="n">
        <v>13</v>
      </c>
      <c r="E422" s="69" t="n">
        <v>3.4</v>
      </c>
      <c r="F422" s="51" t="n">
        <v>2</v>
      </c>
      <c r="G422" s="69" t="n">
        <v>3.3</v>
      </c>
      <c r="H422" s="51" t="n">
        <v>1</v>
      </c>
      <c r="I422" s="21" t="n"/>
      <c r="J422" s="21" t="n"/>
      <c r="K422" s="21" t="n"/>
      <c r="L422" s="21" t="n"/>
      <c r="M422" s="37">
        <f>E422*F422+G422*H422+I422*J422+K422*L422</f>
        <v/>
      </c>
      <c r="N422" s="37">
        <f>Исходные!$B$13-M422</f>
        <v/>
      </c>
      <c r="O422" s="51" t="n">
        <v>1</v>
      </c>
      <c r="P422" s="49">
        <f>(F422+H422+J422+L422)*O422</f>
        <v/>
      </c>
      <c r="Q422" s="70">
        <f>M422*O422</f>
        <v/>
      </c>
      <c r="R422" s="70">
        <f>N422*O422</f>
        <v/>
      </c>
    </row>
    <row r="423">
      <c r="A423" s="49" t="n">
        <v>3</v>
      </c>
      <c r="B423" s="49" t="n">
        <v>28</v>
      </c>
      <c r="C423" s="72" t="inlineStr">
        <is>
          <t>А500С</t>
        </is>
      </c>
      <c r="D423" s="49" t="n">
        <v>14</v>
      </c>
      <c r="E423" s="69" t="n">
        <v>2.05</v>
      </c>
      <c r="F423" s="51" t="n">
        <v>4</v>
      </c>
      <c r="G423" s="21" t="n"/>
      <c r="H423" s="21" t="n"/>
      <c r="I423" s="21" t="n"/>
      <c r="J423" s="21" t="n"/>
      <c r="K423" s="21" t="n"/>
      <c r="L423" s="21" t="n"/>
      <c r="M423" s="37">
        <f>E423*F423+G423*H423+I423*J423+K423*L423</f>
        <v/>
      </c>
      <c r="N423" s="37">
        <f>Исходные!$B$13-M423</f>
        <v/>
      </c>
      <c r="O423" s="51" t="n">
        <v>1</v>
      </c>
      <c r="P423" s="49">
        <f>(F423+H423+J423+L423)*O423</f>
        <v/>
      </c>
      <c r="Q423" s="70">
        <f>M423*O423</f>
        <v/>
      </c>
      <c r="R423" s="70">
        <f>N423*O423</f>
        <v/>
      </c>
    </row>
    <row r="424">
      <c r="A424" s="49" t="n">
        <v>3</v>
      </c>
      <c r="B424" s="49" t="n">
        <v>25</v>
      </c>
      <c r="C424" s="72" t="inlineStr">
        <is>
          <t>А500С</t>
        </is>
      </c>
      <c r="D424" s="49" t="n">
        <v>1</v>
      </c>
      <c r="E424" s="69" t="n">
        <v>11.7</v>
      </c>
      <c r="F424" s="51" t="n">
        <v>1</v>
      </c>
      <c r="G424" s="21" t="n"/>
      <c r="H424" s="21" t="n"/>
      <c r="I424" s="21" t="n"/>
      <c r="J424" s="21" t="n"/>
      <c r="K424" s="21" t="n"/>
      <c r="L424" s="21" t="n"/>
      <c r="M424" s="37">
        <f>E424*F424+G424*H424+I424*J424+K424*L424</f>
        <v/>
      </c>
      <c r="N424" s="37">
        <f>Исходные!$B$13-M424</f>
        <v/>
      </c>
      <c r="O424" s="51" t="n">
        <v>40</v>
      </c>
      <c r="P424" s="49">
        <f>(F424+H424+J424+L424)*O424</f>
        <v/>
      </c>
      <c r="Q424" s="70">
        <f>M424*O424</f>
        <v/>
      </c>
      <c r="R424" s="70">
        <f>N424*O424</f>
        <v/>
      </c>
    </row>
    <row r="425">
      <c r="A425" s="49" t="n">
        <v>3</v>
      </c>
      <c r="B425" s="49" t="n">
        <v>25</v>
      </c>
      <c r="C425" s="72" t="inlineStr">
        <is>
          <t>А500С</t>
        </is>
      </c>
      <c r="D425" s="49" t="n">
        <v>2</v>
      </c>
      <c r="E425" s="69" t="n">
        <v>6.2</v>
      </c>
      <c r="F425" s="51" t="n">
        <v>1</v>
      </c>
      <c r="G425" s="69" t="n">
        <v>5.5</v>
      </c>
      <c r="H425" s="51" t="n">
        <v>1</v>
      </c>
      <c r="I425" s="21" t="n"/>
      <c r="J425" s="21" t="n"/>
      <c r="K425" s="21" t="n"/>
      <c r="L425" s="21" t="n"/>
      <c r="M425" s="37">
        <f>E425*F425+G425*H425+I425*J425+K425*L425</f>
        <v/>
      </c>
      <c r="N425" s="37">
        <f>Исходные!$B$13-M425</f>
        <v/>
      </c>
      <c r="O425" s="51" t="n">
        <v>2</v>
      </c>
      <c r="P425" s="49">
        <f>(F425+H425+J425+L425)*O425</f>
        <v/>
      </c>
      <c r="Q425" s="70">
        <f>M425*O425</f>
        <v/>
      </c>
      <c r="R425" s="70">
        <f>N425*O425</f>
        <v/>
      </c>
    </row>
    <row r="426">
      <c r="A426" s="49" t="n">
        <v>3</v>
      </c>
      <c r="B426" s="49" t="n">
        <v>25</v>
      </c>
      <c r="C426" s="72" t="inlineStr">
        <is>
          <t>А500С</t>
        </is>
      </c>
      <c r="D426" s="49" t="n">
        <v>3</v>
      </c>
      <c r="E426" s="69" t="n">
        <v>2</v>
      </c>
      <c r="F426" s="51" t="n">
        <v>4</v>
      </c>
      <c r="G426" s="69" t="n">
        <v>1.85</v>
      </c>
      <c r="H426" s="51" t="n">
        <v>2</v>
      </c>
      <c r="I426" s="21" t="n"/>
      <c r="J426" s="21" t="n"/>
      <c r="K426" s="21" t="n"/>
      <c r="L426" s="21" t="n"/>
      <c r="M426" s="37">
        <f>E426*F426+G426*H426+I426*J426+K426*L426</f>
        <v/>
      </c>
      <c r="N426" s="37">
        <f>Исходные!$B$13-M426</f>
        <v/>
      </c>
      <c r="O426" s="51" t="n">
        <v>1</v>
      </c>
      <c r="P426" s="49">
        <f>(F426+H426+J426+L426)*O426</f>
        <v/>
      </c>
      <c r="Q426" s="70">
        <f>M426*O426</f>
        <v/>
      </c>
      <c r="R426" s="70">
        <f>N426*O426</f>
        <v/>
      </c>
    </row>
    <row r="427">
      <c r="A427" s="49" t="n">
        <v>3</v>
      </c>
      <c r="B427" s="49" t="n">
        <v>25</v>
      </c>
      <c r="C427" s="72" t="inlineStr">
        <is>
          <t>А500С</t>
        </is>
      </c>
      <c r="D427" s="49" t="n">
        <v>4</v>
      </c>
      <c r="E427" s="69" t="n">
        <v>3.365</v>
      </c>
      <c r="F427" s="51" t="n">
        <v>1</v>
      </c>
      <c r="G427" s="69" t="n">
        <v>3.065</v>
      </c>
      <c r="H427" s="51" t="n">
        <v>2</v>
      </c>
      <c r="I427" s="69" t="n">
        <v>2.2</v>
      </c>
      <c r="J427" s="51" t="n">
        <v>1</v>
      </c>
      <c r="K427" s="21" t="n"/>
      <c r="L427" s="21" t="n"/>
      <c r="M427" s="37">
        <f>E427*F427+G427*H427+I427*J427+K427*L427</f>
        <v/>
      </c>
      <c r="N427" s="37">
        <f>Исходные!$B$13-M427</f>
        <v/>
      </c>
      <c r="O427" s="51" t="n">
        <v>1</v>
      </c>
      <c r="P427" s="49">
        <f>(F427+H427+J427+L427)*O427</f>
        <v/>
      </c>
      <c r="Q427" s="70">
        <f>M427*O427</f>
        <v/>
      </c>
      <c r="R427" s="70">
        <f>N427*O427</f>
        <v/>
      </c>
    </row>
    <row r="428">
      <c r="A428" s="49" t="n">
        <v>3</v>
      </c>
      <c r="B428" s="49" t="n">
        <v>25</v>
      </c>
      <c r="C428" s="72" t="inlineStr">
        <is>
          <t>А500С</t>
        </is>
      </c>
      <c r="D428" s="49" t="n">
        <v>5</v>
      </c>
      <c r="E428" s="69" t="n">
        <v>3.065</v>
      </c>
      <c r="F428" s="51" t="n">
        <v>1</v>
      </c>
      <c r="G428" s="69" t="n">
        <v>2.2</v>
      </c>
      <c r="H428" s="51" t="n">
        <v>3</v>
      </c>
      <c r="I428" s="69" t="n">
        <v>2</v>
      </c>
      <c r="J428" s="51" t="n">
        <v>1</v>
      </c>
      <c r="K428" s="21" t="n"/>
      <c r="L428" s="21" t="n"/>
      <c r="M428" s="37">
        <f>E428*F428+G428*H428+I428*J428+K428*L428</f>
        <v/>
      </c>
      <c r="N428" s="37">
        <f>Исходные!$B$13-M428</f>
        <v/>
      </c>
      <c r="O428" s="51" t="n">
        <v>1</v>
      </c>
      <c r="P428" s="49">
        <f>(F428+H428+J428+L428)*O428</f>
        <v/>
      </c>
      <c r="Q428" s="70">
        <f>M428*O428</f>
        <v/>
      </c>
      <c r="R428" s="70">
        <f>N428*O428</f>
        <v/>
      </c>
    </row>
    <row r="429">
      <c r="A429" s="49" t="n">
        <v>3</v>
      </c>
      <c r="B429" s="49" t="n">
        <v>25</v>
      </c>
      <c r="C429" s="72" t="inlineStr">
        <is>
          <t>А500С</t>
        </is>
      </c>
      <c r="D429" s="49" t="n">
        <v>6</v>
      </c>
      <c r="E429" s="69" t="n">
        <v>4.3</v>
      </c>
      <c r="F429" s="51" t="n">
        <v>2</v>
      </c>
      <c r="G429" s="69" t="n">
        <v>3.065</v>
      </c>
      <c r="H429" s="51" t="n">
        <v>1</v>
      </c>
      <c r="I429" s="21" t="n"/>
      <c r="J429" s="21" t="n"/>
      <c r="K429" s="21" t="n"/>
      <c r="L429" s="21" t="n"/>
      <c r="M429" s="37">
        <f>E429*F429+G429*H429+I429*J429+K429*L429</f>
        <v/>
      </c>
      <c r="N429" s="37">
        <f>Исходные!$B$13-M429</f>
        <v/>
      </c>
      <c r="O429" s="51" t="n">
        <v>1</v>
      </c>
      <c r="P429" s="49">
        <f>(F429+H429+J429+L429)*O429</f>
        <v/>
      </c>
      <c r="Q429" s="70">
        <f>M429*O429</f>
        <v/>
      </c>
      <c r="R429" s="70">
        <f>N429*O429</f>
        <v/>
      </c>
    </row>
    <row r="430">
      <c r="A430" s="49" t="n">
        <v>3</v>
      </c>
      <c r="B430" s="49" t="n">
        <v>25</v>
      </c>
      <c r="C430" s="72" t="inlineStr">
        <is>
          <t>А500С</t>
        </is>
      </c>
      <c r="D430" s="49" t="n">
        <v>7</v>
      </c>
      <c r="E430" s="69" t="n">
        <v>3.8</v>
      </c>
      <c r="F430" s="51" t="n">
        <v>3</v>
      </c>
      <c r="G430" s="69" t="n">
        <v>0.2</v>
      </c>
      <c r="H430" s="51" t="n">
        <v>1</v>
      </c>
      <c r="I430" s="21" t="n"/>
      <c r="J430" s="21" t="n"/>
      <c r="K430" s="21" t="n"/>
      <c r="L430" s="21" t="n"/>
      <c r="M430" s="37">
        <f>E430*F430+G430*H430+I430*J430+K430*L430</f>
        <v/>
      </c>
      <c r="N430" s="37">
        <f>Исходные!$B$13-M430</f>
        <v/>
      </c>
      <c r="O430" s="51" t="n">
        <v>2</v>
      </c>
      <c r="P430" s="49">
        <f>(F430+H430+J430+L430)*O430</f>
        <v/>
      </c>
      <c r="Q430" s="70">
        <f>M430*O430</f>
        <v/>
      </c>
      <c r="R430" s="70">
        <f>N430*O430</f>
        <v/>
      </c>
    </row>
    <row r="431">
      <c r="A431" s="49" t="n">
        <v>3</v>
      </c>
      <c r="B431" s="49" t="n">
        <v>25</v>
      </c>
      <c r="C431" s="72" t="inlineStr">
        <is>
          <t>А500С</t>
        </is>
      </c>
      <c r="D431" s="49" t="n">
        <v>8</v>
      </c>
      <c r="E431" s="69" t="n">
        <v>3.785</v>
      </c>
      <c r="F431" s="51" t="n">
        <v>3</v>
      </c>
      <c r="G431" s="69" t="n">
        <v>0.2</v>
      </c>
      <c r="H431" s="51" t="n">
        <v>1</v>
      </c>
      <c r="I431" s="21" t="n"/>
      <c r="J431" s="21" t="n"/>
      <c r="K431" s="21" t="n"/>
      <c r="L431" s="21" t="n"/>
      <c r="M431" s="37">
        <f>E431*F431+G431*H431+I431*J431+K431*L431</f>
        <v/>
      </c>
      <c r="N431" s="37">
        <f>Исходные!$B$13-M431</f>
        <v/>
      </c>
      <c r="O431" s="51" t="n">
        <v>1</v>
      </c>
      <c r="P431" s="49">
        <f>(F431+H431+J431+L431)*O431</f>
        <v/>
      </c>
      <c r="Q431" s="70">
        <f>M431*O431</f>
        <v/>
      </c>
      <c r="R431" s="70">
        <f>N431*O431</f>
        <v/>
      </c>
    </row>
    <row r="432">
      <c r="A432" s="49" t="n">
        <v>3</v>
      </c>
      <c r="B432" s="49" t="n">
        <v>25</v>
      </c>
      <c r="C432" s="72" t="inlineStr">
        <is>
          <t>А500С</t>
        </is>
      </c>
      <c r="D432" s="49" t="n">
        <v>9</v>
      </c>
      <c r="E432" s="69" t="n">
        <v>3.785</v>
      </c>
      <c r="F432" s="51" t="n">
        <v>1</v>
      </c>
      <c r="G432" s="69" t="n">
        <v>3.7</v>
      </c>
      <c r="H432" s="51" t="n">
        <v>2</v>
      </c>
      <c r="I432" s="69" t="n">
        <v>0.2</v>
      </c>
      <c r="J432" s="51" t="n">
        <v>1</v>
      </c>
      <c r="K432" s="21" t="n"/>
      <c r="L432" s="21" t="n"/>
      <c r="M432" s="37">
        <f>E432*F432+G432*H432+I432*J432+K432*L432</f>
        <v/>
      </c>
      <c r="N432" s="37">
        <f>Исходные!$B$13-M432</f>
        <v/>
      </c>
      <c r="O432" s="51" t="n">
        <v>1</v>
      </c>
      <c r="P432" s="49">
        <f>(F432+H432+J432+L432)*O432</f>
        <v/>
      </c>
      <c r="Q432" s="70">
        <f>M432*O432</f>
        <v/>
      </c>
      <c r="R432" s="70">
        <f>N432*O432</f>
        <v/>
      </c>
    </row>
    <row r="433">
      <c r="A433" s="49" t="n">
        <v>3</v>
      </c>
      <c r="B433" s="49" t="n">
        <v>25</v>
      </c>
      <c r="C433" s="72" t="inlineStr">
        <is>
          <t>А500С</t>
        </is>
      </c>
      <c r="D433" s="49" t="n">
        <v>10</v>
      </c>
      <c r="E433" s="69" t="n">
        <v>8.699999999999999</v>
      </c>
      <c r="F433" s="51" t="n">
        <v>1</v>
      </c>
      <c r="G433" s="69" t="n">
        <v>2.4</v>
      </c>
      <c r="H433" s="51" t="n">
        <v>1</v>
      </c>
      <c r="I433" s="21" t="n"/>
      <c r="J433" s="21" t="n"/>
      <c r="K433" s="21" t="n"/>
      <c r="L433" s="21" t="n"/>
      <c r="M433" s="37">
        <f>E433*F433+G433*H433+I433*J433+K433*L433</f>
        <v/>
      </c>
      <c r="N433" s="37">
        <f>Исходные!$B$13-M433</f>
        <v/>
      </c>
      <c r="O433" s="51" t="n">
        <v>4</v>
      </c>
      <c r="P433" s="49">
        <f>(F433+H433+J433+L433)*O433</f>
        <v/>
      </c>
      <c r="Q433" s="70">
        <f>M433*O433</f>
        <v/>
      </c>
      <c r="R433" s="70">
        <f>N433*O433</f>
        <v/>
      </c>
    </row>
    <row r="434">
      <c r="A434" s="49" t="n">
        <v>3</v>
      </c>
      <c r="B434" s="49" t="n">
        <v>25</v>
      </c>
      <c r="C434" s="72" t="inlineStr">
        <is>
          <t>А500С</t>
        </is>
      </c>
      <c r="D434" s="49" t="n">
        <v>11</v>
      </c>
      <c r="E434" s="69" t="n">
        <v>8.699999999999999</v>
      </c>
      <c r="F434" s="51" t="n">
        <v>1</v>
      </c>
      <c r="G434" s="69" t="n">
        <v>2.21</v>
      </c>
      <c r="H434" s="51" t="n">
        <v>1</v>
      </c>
      <c r="I434" s="21" t="n"/>
      <c r="J434" s="21" t="n"/>
      <c r="K434" s="21" t="n"/>
      <c r="L434" s="21" t="n"/>
      <c r="M434" s="37">
        <f>E434*F434+G434*H434+I434*J434+K434*L434</f>
        <v/>
      </c>
      <c r="N434" s="37">
        <f>Исходные!$B$13-M434</f>
        <v/>
      </c>
      <c r="O434" s="51" t="n">
        <v>4</v>
      </c>
      <c r="P434" s="49">
        <f>(F434+H434+J434+L434)*O434</f>
        <v/>
      </c>
      <c r="Q434" s="70">
        <f>M434*O434</f>
        <v/>
      </c>
      <c r="R434" s="70">
        <f>N434*O434</f>
        <v/>
      </c>
    </row>
    <row r="435">
      <c r="A435" s="49" t="n">
        <v>3</v>
      </c>
      <c r="B435" s="49" t="n">
        <v>25</v>
      </c>
      <c r="C435" s="72" t="inlineStr">
        <is>
          <t>А500С</t>
        </is>
      </c>
      <c r="D435" s="49" t="n">
        <v>12</v>
      </c>
      <c r="E435" s="69" t="n">
        <v>8.699999999999999</v>
      </c>
      <c r="F435" s="51" t="n">
        <v>1</v>
      </c>
      <c r="G435" s="69" t="n">
        <v>2.2</v>
      </c>
      <c r="H435" s="51" t="n">
        <v>1</v>
      </c>
      <c r="I435" s="21" t="n"/>
      <c r="J435" s="21" t="n"/>
      <c r="K435" s="21" t="n"/>
      <c r="L435" s="21" t="n"/>
      <c r="M435" s="37">
        <f>E435*F435+G435*H435+I435*J435+K435*L435</f>
        <v/>
      </c>
      <c r="N435" s="37">
        <f>Исходные!$B$13-M435</f>
        <v/>
      </c>
      <c r="O435" s="51" t="n">
        <v>4</v>
      </c>
      <c r="P435" s="49">
        <f>(F435+H435+J435+L435)*O435</f>
        <v/>
      </c>
      <c r="Q435" s="70">
        <f>M435*O435</f>
        <v/>
      </c>
      <c r="R435" s="70">
        <f>N435*O435</f>
        <v/>
      </c>
    </row>
    <row r="436">
      <c r="A436" s="49" t="n">
        <v>3</v>
      </c>
      <c r="B436" s="49" t="n">
        <v>25</v>
      </c>
      <c r="C436" s="72" t="inlineStr">
        <is>
          <t>А500С</t>
        </is>
      </c>
      <c r="D436" s="49" t="n">
        <v>13</v>
      </c>
      <c r="E436" s="69" t="n">
        <v>3.6</v>
      </c>
      <c r="F436" s="51" t="n">
        <v>3</v>
      </c>
      <c r="G436" s="21" t="n"/>
      <c r="H436" s="21" t="n"/>
      <c r="I436" s="21" t="n"/>
      <c r="J436" s="21" t="n"/>
      <c r="K436" s="21" t="n"/>
      <c r="L436" s="21" t="n"/>
      <c r="M436" s="37">
        <f>E436*F436+G436*H436+I436*J436+K436*L436</f>
        <v/>
      </c>
      <c r="N436" s="37">
        <f>Исходные!$B$13-M436</f>
        <v/>
      </c>
      <c r="O436" s="51" t="n">
        <v>10</v>
      </c>
      <c r="P436" s="49">
        <f>(F436+H436+J436+L436)*O436</f>
        <v/>
      </c>
      <c r="Q436" s="70">
        <f>M436*O436</f>
        <v/>
      </c>
      <c r="R436" s="70">
        <f>N436*O436</f>
        <v/>
      </c>
    </row>
    <row r="437">
      <c r="A437" s="49" t="n">
        <v>3</v>
      </c>
      <c r="B437" s="49" t="n">
        <v>25</v>
      </c>
      <c r="C437" s="72" t="inlineStr">
        <is>
          <t>А500С</t>
        </is>
      </c>
      <c r="D437" s="49" t="n">
        <v>14</v>
      </c>
      <c r="E437" s="69" t="n">
        <v>10.5</v>
      </c>
      <c r="F437" s="51" t="n">
        <v>1</v>
      </c>
      <c r="G437" s="21" t="n"/>
      <c r="H437" s="21" t="n"/>
      <c r="I437" s="21" t="n"/>
      <c r="J437" s="21" t="n"/>
      <c r="K437" s="21" t="n"/>
      <c r="L437" s="21" t="n"/>
      <c r="M437" s="37">
        <f>E437*F437+G437*H437+I437*J437+K437*L437</f>
        <v/>
      </c>
      <c r="N437" s="37">
        <f>Исходные!$B$13-M437</f>
        <v/>
      </c>
      <c r="O437" s="51" t="n">
        <v>2</v>
      </c>
      <c r="P437" s="49">
        <f>(F437+H437+J437+L437)*O437</f>
        <v/>
      </c>
      <c r="Q437" s="70">
        <f>M437*O437</f>
        <v/>
      </c>
      <c r="R437" s="70">
        <f>N437*O437</f>
        <v/>
      </c>
    </row>
    <row r="438">
      <c r="A438" s="49" t="n">
        <v>3</v>
      </c>
      <c r="B438" s="49" t="n">
        <v>25</v>
      </c>
      <c r="C438" s="72" t="inlineStr">
        <is>
          <t>А500С</t>
        </is>
      </c>
      <c r="D438" s="49" t="n">
        <v>15</v>
      </c>
      <c r="E438" s="69" t="n">
        <v>2.05</v>
      </c>
      <c r="F438" s="51" t="n">
        <v>5</v>
      </c>
      <c r="G438" s="21" t="n"/>
      <c r="H438" s="21" t="n"/>
      <c r="I438" s="21" t="n"/>
      <c r="J438" s="21" t="n"/>
      <c r="K438" s="21" t="n"/>
      <c r="L438" s="21" t="n"/>
      <c r="M438" s="37">
        <f>E438*F438+G438*H438+I438*J438+K438*L438</f>
        <v/>
      </c>
      <c r="N438" s="37">
        <f>Исходные!$B$13-M438</f>
        <v/>
      </c>
      <c r="O438" s="51" t="n">
        <v>2</v>
      </c>
      <c r="P438" s="49">
        <f>(F438+H438+J438+L438)*O438</f>
        <v/>
      </c>
      <c r="Q438" s="70">
        <f>M438*O438</f>
        <v/>
      </c>
      <c r="R438" s="70">
        <f>N438*O438</f>
        <v/>
      </c>
    </row>
    <row r="439">
      <c r="A439" s="49" t="n">
        <v>3</v>
      </c>
      <c r="B439" s="49" t="n">
        <v>25</v>
      </c>
      <c r="C439" s="72" t="inlineStr">
        <is>
          <t>А500С</t>
        </is>
      </c>
      <c r="D439" s="49" t="n">
        <v>16</v>
      </c>
      <c r="E439" s="69" t="n">
        <v>2.05</v>
      </c>
      <c r="F439" s="51" t="n">
        <v>2</v>
      </c>
      <c r="G439" s="69" t="n">
        <v>2</v>
      </c>
      <c r="H439" s="51" t="n">
        <v>3</v>
      </c>
      <c r="I439" s="21" t="n"/>
      <c r="J439" s="21" t="n"/>
      <c r="K439" s="21" t="n"/>
      <c r="L439" s="21" t="n"/>
      <c r="M439" s="37">
        <f>E439*F439+G439*H439+I439*J439+K439*L439</f>
        <v/>
      </c>
      <c r="N439" s="37">
        <f>Исходные!$B$13-M439</f>
        <v/>
      </c>
      <c r="O439" s="51" t="n">
        <v>1</v>
      </c>
      <c r="P439" s="49">
        <f>(F439+H439+J439+L439)*O439</f>
        <v/>
      </c>
      <c r="Q439" s="70">
        <f>M439*O439</f>
        <v/>
      </c>
      <c r="R439" s="70">
        <f>N439*O439</f>
        <v/>
      </c>
    </row>
    <row r="440">
      <c r="A440" s="49" t="n">
        <v>3</v>
      </c>
      <c r="B440" s="49" t="n">
        <v>25</v>
      </c>
      <c r="C440" s="72" t="inlineStr">
        <is>
          <t>А500С</t>
        </is>
      </c>
      <c r="D440" s="49" t="n">
        <v>17</v>
      </c>
      <c r="E440" s="69" t="n">
        <v>3.365</v>
      </c>
      <c r="F440" s="51" t="n">
        <v>3</v>
      </c>
      <c r="G440" s="21" t="n"/>
      <c r="H440" s="21" t="n"/>
      <c r="I440" s="21" t="n"/>
      <c r="J440" s="21" t="n"/>
      <c r="K440" s="21" t="n"/>
      <c r="L440" s="21" t="n"/>
      <c r="M440" s="37">
        <f>E440*F440+G440*H440+I440*J440+K440*L440</f>
        <v/>
      </c>
      <c r="N440" s="37">
        <f>Исходные!$B$13-M440</f>
        <v/>
      </c>
      <c r="O440" s="51" t="n">
        <v>1</v>
      </c>
      <c r="P440" s="49">
        <f>(F440+H440+J440+L440)*O440</f>
        <v/>
      </c>
      <c r="Q440" s="70">
        <f>M440*O440</f>
        <v/>
      </c>
      <c r="R440" s="70">
        <f>N440*O440</f>
        <v/>
      </c>
    </row>
    <row r="441">
      <c r="A441" s="49" t="n">
        <v>3</v>
      </c>
      <c r="B441" s="49" t="n">
        <v>22</v>
      </c>
      <c r="C441" s="72" t="inlineStr">
        <is>
          <t>А500С</t>
        </is>
      </c>
      <c r="D441" s="49" t="n">
        <v>1</v>
      </c>
      <c r="E441" s="69" t="n">
        <v>2.4</v>
      </c>
      <c r="F441" s="51" t="n">
        <v>1</v>
      </c>
      <c r="G441" s="69" t="n">
        <v>2.375</v>
      </c>
      <c r="H441" s="51" t="n">
        <v>3</v>
      </c>
      <c r="I441" s="69" t="n">
        <v>2.175</v>
      </c>
      <c r="J441" s="51" t="n">
        <v>1</v>
      </c>
      <c r="K441" s="21" t="n"/>
      <c r="L441" s="21" t="n"/>
      <c r="M441" s="37">
        <f>E441*F441+G441*H441+I441*J441+K441*L441</f>
        <v/>
      </c>
      <c r="N441" s="37">
        <f>Исходные!$B$13-M441</f>
        <v/>
      </c>
      <c r="O441" s="51" t="n">
        <v>1</v>
      </c>
      <c r="P441" s="49">
        <f>(F441+H441+J441+L441)*O441</f>
        <v/>
      </c>
      <c r="Q441" s="70">
        <f>M441*O441</f>
        <v/>
      </c>
      <c r="R441" s="70">
        <f>N441*O441</f>
        <v/>
      </c>
    </row>
    <row r="442">
      <c r="A442" s="49" t="n">
        <v>3</v>
      </c>
      <c r="B442" s="49" t="n">
        <v>22</v>
      </c>
      <c r="C442" s="72" t="inlineStr">
        <is>
          <t>А500С</t>
        </is>
      </c>
      <c r="D442" s="49" t="n">
        <v>2</v>
      </c>
      <c r="E442" s="69" t="n">
        <v>7.95</v>
      </c>
      <c r="F442" s="51" t="n">
        <v>1</v>
      </c>
      <c r="G442" s="69" t="n">
        <v>3.6</v>
      </c>
      <c r="H442" s="51" t="n">
        <v>1</v>
      </c>
      <c r="I442" s="21" t="n"/>
      <c r="J442" s="21" t="n"/>
      <c r="K442" s="21" t="n"/>
      <c r="L442" s="21" t="n"/>
      <c r="M442" s="37">
        <f>E442*F442+G442*H442+I442*J442+K442*L442</f>
        <v/>
      </c>
      <c r="N442" s="37">
        <f>Исходные!$B$13-M442</f>
        <v/>
      </c>
      <c r="O442" s="51" t="n">
        <v>4</v>
      </c>
      <c r="P442" s="49">
        <f>(F442+H442+J442+L442)*O442</f>
        <v/>
      </c>
      <c r="Q442" s="70">
        <f>M442*O442</f>
        <v/>
      </c>
      <c r="R442" s="70">
        <f>N442*O442</f>
        <v/>
      </c>
    </row>
    <row r="443">
      <c r="A443" s="49" t="n">
        <v>3</v>
      </c>
      <c r="B443" s="49" t="n">
        <v>22</v>
      </c>
      <c r="C443" s="72" t="inlineStr">
        <is>
          <t>А500С</t>
        </is>
      </c>
      <c r="D443" s="49" t="n">
        <v>3</v>
      </c>
      <c r="E443" s="69" t="n">
        <v>4.15</v>
      </c>
      <c r="F443" s="51" t="n">
        <v>2</v>
      </c>
      <c r="G443" s="69" t="n">
        <v>3.2</v>
      </c>
      <c r="H443" s="51" t="n">
        <v>1</v>
      </c>
      <c r="I443" s="21" t="n"/>
      <c r="J443" s="21" t="n"/>
      <c r="K443" s="21" t="n"/>
      <c r="L443" s="21" t="n"/>
      <c r="M443" s="37">
        <f>E443*F443+G443*H443+I443*J443+K443*L443</f>
        <v/>
      </c>
      <c r="N443" s="37">
        <f>Исходные!$B$13-M443</f>
        <v/>
      </c>
      <c r="O443" s="51" t="n">
        <v>4</v>
      </c>
      <c r="P443" s="49">
        <f>(F443+H443+J443+L443)*O443</f>
        <v/>
      </c>
      <c r="Q443" s="70">
        <f>M443*O443</f>
        <v/>
      </c>
      <c r="R443" s="70">
        <f>N443*O443</f>
        <v/>
      </c>
    </row>
    <row r="444">
      <c r="A444" s="49" t="n">
        <v>3</v>
      </c>
      <c r="B444" s="49" t="n">
        <v>22</v>
      </c>
      <c r="C444" s="72" t="inlineStr">
        <is>
          <t>А500С</t>
        </is>
      </c>
      <c r="D444" s="49" t="n">
        <v>4</v>
      </c>
      <c r="E444" s="69" t="n">
        <v>3.775</v>
      </c>
      <c r="F444" s="51" t="n">
        <v>3</v>
      </c>
      <c r="G444" s="21" t="n"/>
      <c r="H444" s="21" t="n"/>
      <c r="I444" s="21" t="n"/>
      <c r="J444" s="21" t="n"/>
      <c r="K444" s="21" t="n"/>
      <c r="L444" s="21" t="n"/>
      <c r="M444" s="37">
        <f>E444*F444+G444*H444+I444*J444+K444*L444</f>
        <v/>
      </c>
      <c r="N444" s="37">
        <f>Исходные!$B$13-M444</f>
        <v/>
      </c>
      <c r="O444" s="51" t="n">
        <v>1</v>
      </c>
      <c r="P444" s="49">
        <f>(F444+H444+J444+L444)*O444</f>
        <v/>
      </c>
      <c r="Q444" s="70">
        <f>M444*O444</f>
        <v/>
      </c>
      <c r="R444" s="70">
        <f>N444*O444</f>
        <v/>
      </c>
    </row>
    <row r="445">
      <c r="A445" s="49" t="n">
        <v>3</v>
      </c>
      <c r="B445" s="49" t="n">
        <v>22</v>
      </c>
      <c r="C445" s="72" t="inlineStr">
        <is>
          <t>А500С</t>
        </is>
      </c>
      <c r="D445" s="49" t="n">
        <v>5</v>
      </c>
      <c r="E445" s="69" t="n">
        <v>2.375</v>
      </c>
      <c r="F445" s="51" t="n">
        <v>1</v>
      </c>
      <c r="G445" s="69" t="n">
        <v>2.175</v>
      </c>
      <c r="H445" s="51" t="n">
        <v>4</v>
      </c>
      <c r="I445" s="21" t="n"/>
      <c r="J445" s="21" t="n"/>
      <c r="K445" s="21" t="n"/>
      <c r="L445" s="21" t="n"/>
      <c r="M445" s="37">
        <f>E445*F445+G445*H445+I445*J445+K445*L445</f>
        <v/>
      </c>
      <c r="N445" s="37">
        <f>Исходные!$B$13-M445</f>
        <v/>
      </c>
      <c r="O445" s="51" t="n">
        <v>1</v>
      </c>
      <c r="P445" s="49">
        <f>(F445+H445+J445+L445)*O445</f>
        <v/>
      </c>
      <c r="Q445" s="70">
        <f>M445*O445</f>
        <v/>
      </c>
      <c r="R445" s="70">
        <f>N445*O445</f>
        <v/>
      </c>
    </row>
    <row r="446">
      <c r="A446" s="49" t="n">
        <v>3</v>
      </c>
      <c r="B446" s="49" t="n">
        <v>22</v>
      </c>
      <c r="C446" s="72" t="inlineStr">
        <is>
          <t>А500С</t>
        </is>
      </c>
      <c r="D446" s="49" t="n">
        <v>6</v>
      </c>
      <c r="E446" s="69" t="n">
        <v>5.5</v>
      </c>
      <c r="F446" s="51" t="n">
        <v>2</v>
      </c>
      <c r="G446" s="21" t="n"/>
      <c r="H446" s="21" t="n"/>
      <c r="I446" s="21" t="n"/>
      <c r="J446" s="21" t="n"/>
      <c r="K446" s="21" t="n"/>
      <c r="L446" s="21" t="n"/>
      <c r="M446" s="37">
        <f>E446*F446+G446*H446+I446*J446+K446*L446</f>
        <v/>
      </c>
      <c r="N446" s="37">
        <f>Исходные!$B$13-M446</f>
        <v/>
      </c>
      <c r="O446" s="51" t="n">
        <v>1</v>
      </c>
      <c r="P446" s="49">
        <f>(F446+H446+J446+L446)*O446</f>
        <v/>
      </c>
      <c r="Q446" s="70">
        <f>M446*O446</f>
        <v/>
      </c>
      <c r="R446" s="70">
        <f>N446*O446</f>
        <v/>
      </c>
    </row>
    <row r="447">
      <c r="A447" s="49" t="n">
        <v>3</v>
      </c>
      <c r="B447" s="49" t="n">
        <v>22</v>
      </c>
      <c r="C447" s="72" t="inlineStr">
        <is>
          <t>А500С</t>
        </is>
      </c>
      <c r="D447" s="49" t="n">
        <v>7</v>
      </c>
      <c r="E447" s="69" t="n">
        <v>3.775</v>
      </c>
      <c r="F447" s="51" t="n">
        <v>1</v>
      </c>
      <c r="G447" s="69" t="n">
        <v>3.6</v>
      </c>
      <c r="H447" s="51" t="n">
        <v>2</v>
      </c>
      <c r="I447" s="21" t="n"/>
      <c r="J447" s="21" t="n"/>
      <c r="K447" s="21" t="n"/>
      <c r="L447" s="21" t="n"/>
      <c r="M447" s="37">
        <f>E447*F447+G447*H447+I447*J447+K447*L447</f>
        <v/>
      </c>
      <c r="N447" s="37">
        <f>Исходные!$B$13-M447</f>
        <v/>
      </c>
      <c r="O447" s="51" t="n">
        <v>1</v>
      </c>
      <c r="P447" s="49">
        <f>(F447+H447+J447+L447)*O447</f>
        <v/>
      </c>
      <c r="Q447" s="70">
        <f>M447*O447</f>
        <v/>
      </c>
      <c r="R447" s="70">
        <f>N447*O447</f>
        <v/>
      </c>
    </row>
    <row r="448">
      <c r="A448" s="49" t="n">
        <v>3</v>
      </c>
      <c r="B448" s="49" t="n">
        <v>22</v>
      </c>
      <c r="C448" s="72" t="inlineStr">
        <is>
          <t>А500С</t>
        </is>
      </c>
      <c r="D448" s="49" t="n">
        <v>8</v>
      </c>
      <c r="E448" s="69" t="n">
        <v>2.175</v>
      </c>
      <c r="F448" s="51" t="n">
        <v>5</v>
      </c>
      <c r="G448" s="21" t="n"/>
      <c r="H448" s="21" t="n"/>
      <c r="I448" s="21" t="n"/>
      <c r="J448" s="21" t="n"/>
      <c r="K448" s="21" t="n"/>
      <c r="L448" s="21" t="n"/>
      <c r="M448" s="37">
        <f>E448*F448+G448*H448+I448*J448+K448*L448</f>
        <v/>
      </c>
      <c r="N448" s="37">
        <f>Исходные!$B$13-M448</f>
        <v/>
      </c>
      <c r="O448" s="51" t="n">
        <v>2</v>
      </c>
      <c r="P448" s="49">
        <f>(F448+H448+J448+L448)*O448</f>
        <v/>
      </c>
      <c r="Q448" s="70">
        <f>M448*O448</f>
        <v/>
      </c>
      <c r="R448" s="70">
        <f>N448*O448</f>
        <v/>
      </c>
    </row>
    <row r="449">
      <c r="A449" s="49" t="n">
        <v>3</v>
      </c>
      <c r="B449" s="49" t="n">
        <v>22</v>
      </c>
      <c r="C449" s="72" t="inlineStr">
        <is>
          <t>А500С</t>
        </is>
      </c>
      <c r="D449" s="49" t="n">
        <v>9</v>
      </c>
      <c r="E449" s="69" t="n">
        <v>3.6</v>
      </c>
      <c r="F449" s="51" t="n">
        <v>3</v>
      </c>
      <c r="G449" s="21" t="n"/>
      <c r="H449" s="21" t="n"/>
      <c r="I449" s="21" t="n"/>
      <c r="J449" s="21" t="n"/>
      <c r="K449" s="21" t="n"/>
      <c r="L449" s="21" t="n"/>
      <c r="M449" s="37">
        <f>E449*F449+G449*H449+I449*J449+K449*L449</f>
        <v/>
      </c>
      <c r="N449" s="37">
        <f>Исходные!$B$13-M449</f>
        <v/>
      </c>
      <c r="O449" s="51" t="n">
        <v>10</v>
      </c>
      <c r="P449" s="49">
        <f>(F449+H449+J449+L449)*O449</f>
        <v/>
      </c>
      <c r="Q449" s="70">
        <f>M449*O449</f>
        <v/>
      </c>
      <c r="R449" s="70">
        <f>N449*O449</f>
        <v/>
      </c>
    </row>
    <row r="450">
      <c r="A450" s="49" t="n">
        <v>3</v>
      </c>
      <c r="B450" s="49" t="n">
        <v>22</v>
      </c>
      <c r="C450" s="72" t="inlineStr">
        <is>
          <t>А500С</t>
        </is>
      </c>
      <c r="D450" s="49" t="n">
        <v>10</v>
      </c>
      <c r="E450" s="69" t="n">
        <v>2.175</v>
      </c>
      <c r="F450" s="51" t="n">
        <v>1</v>
      </c>
      <c r="G450" s="69" t="n">
        <v>2.15</v>
      </c>
      <c r="H450" s="51" t="n">
        <v>4</v>
      </c>
      <c r="I450" s="21" t="n"/>
      <c r="J450" s="21" t="n"/>
      <c r="K450" s="21" t="n"/>
      <c r="L450" s="21" t="n"/>
      <c r="M450" s="37">
        <f>E450*F450+G450*H450+I450*J450+K450*L450</f>
        <v/>
      </c>
      <c r="N450" s="37">
        <f>Исходные!$B$13-M450</f>
        <v/>
      </c>
      <c r="O450" s="51" t="n">
        <v>1</v>
      </c>
      <c r="P450" s="49">
        <f>(F450+H450+J450+L450)*O450</f>
        <v/>
      </c>
      <c r="Q450" s="70">
        <f>M450*O450</f>
        <v/>
      </c>
      <c r="R450" s="70">
        <f>N450*O450</f>
        <v/>
      </c>
    </row>
    <row r="451">
      <c r="A451" s="49" t="n">
        <v>3</v>
      </c>
      <c r="B451" s="49" t="n">
        <v>22</v>
      </c>
      <c r="C451" s="72" t="inlineStr">
        <is>
          <t>А500С</t>
        </is>
      </c>
      <c r="D451" s="49" t="n">
        <v>11</v>
      </c>
      <c r="E451" s="69" t="n">
        <v>2.15</v>
      </c>
      <c r="F451" s="51" t="n">
        <v>5</v>
      </c>
      <c r="G451" s="21" t="n"/>
      <c r="H451" s="21" t="n"/>
      <c r="I451" s="21" t="n"/>
      <c r="J451" s="21" t="n"/>
      <c r="K451" s="21" t="n"/>
      <c r="L451" s="21" t="n"/>
      <c r="M451" s="37">
        <f>E451*F451+G451*H451+I451*J451+K451*L451</f>
        <v/>
      </c>
      <c r="N451" s="37">
        <f>Исходные!$B$13-M451</f>
        <v/>
      </c>
      <c r="O451" s="51" t="n">
        <v>2</v>
      </c>
      <c r="P451" s="49">
        <f>(F451+H451+J451+L451)*O451</f>
        <v/>
      </c>
      <c r="Q451" s="70">
        <f>M451*O451</f>
        <v/>
      </c>
      <c r="R451" s="70">
        <f>N451*O451</f>
        <v/>
      </c>
    </row>
    <row r="452">
      <c r="A452" s="49" t="n">
        <v>3</v>
      </c>
      <c r="B452" s="49" t="n">
        <v>22</v>
      </c>
      <c r="C452" s="72" t="inlineStr">
        <is>
          <t>А500С</t>
        </is>
      </c>
      <c r="D452" s="49" t="n">
        <v>12</v>
      </c>
      <c r="E452" s="69" t="n">
        <v>2.15</v>
      </c>
      <c r="F452" s="51" t="n">
        <v>2</v>
      </c>
      <c r="G452" s="69" t="n">
        <v>2.05</v>
      </c>
      <c r="H452" s="51" t="n">
        <v>2</v>
      </c>
      <c r="I452" s="21" t="n"/>
      <c r="J452" s="21" t="n"/>
      <c r="K452" s="21" t="n"/>
      <c r="L452" s="21" t="n"/>
      <c r="M452" s="37">
        <f>E452*F452+G452*H452+I452*J452+K452*L452</f>
        <v/>
      </c>
      <c r="N452" s="37">
        <f>Исходные!$B$13-M452</f>
        <v/>
      </c>
      <c r="O452" s="51" t="n">
        <v>1</v>
      </c>
      <c r="P452" s="49">
        <f>(F452+H452+J452+L452)*O452</f>
        <v/>
      </c>
      <c r="Q452" s="70">
        <f>M452*O452</f>
        <v/>
      </c>
      <c r="R452" s="70">
        <f>N452*O452</f>
        <v/>
      </c>
    </row>
    <row r="453">
      <c r="A453" s="49" t="n">
        <v>3</v>
      </c>
      <c r="B453" s="49" t="n">
        <v>20</v>
      </c>
      <c r="C453" s="72" t="inlineStr">
        <is>
          <t>А500С</t>
        </is>
      </c>
      <c r="D453" s="49" t="n">
        <v>1</v>
      </c>
      <c r="E453" s="69" t="n">
        <v>4.1</v>
      </c>
      <c r="F453" s="51" t="n">
        <v>2</v>
      </c>
      <c r="G453" s="69" t="n">
        <v>3.325</v>
      </c>
      <c r="H453" s="51" t="n">
        <v>1</v>
      </c>
      <c r="I453" s="21" t="n"/>
      <c r="J453" s="21" t="n"/>
      <c r="K453" s="21" t="n"/>
      <c r="L453" s="21" t="n"/>
      <c r="M453" s="37">
        <f>E453*F453+G453*H453+I453*J453+K453*L453</f>
        <v/>
      </c>
      <c r="N453" s="37">
        <f>Исходные!$B$13-M453</f>
        <v/>
      </c>
      <c r="O453" s="51" t="n">
        <v>2</v>
      </c>
      <c r="P453" s="49">
        <f>(F453+H453+J453+L453)*O453</f>
        <v/>
      </c>
      <c r="Q453" s="70">
        <f>M453*O453</f>
        <v/>
      </c>
      <c r="R453" s="70">
        <f>N453*O453</f>
        <v/>
      </c>
    </row>
    <row r="454">
      <c r="A454" s="49" t="n">
        <v>3</v>
      </c>
      <c r="B454" s="49" t="n">
        <v>20</v>
      </c>
      <c r="C454" s="72" t="inlineStr">
        <is>
          <t>А500С</t>
        </is>
      </c>
      <c r="D454" s="49" t="n">
        <v>2</v>
      </c>
      <c r="E454" s="69" t="n">
        <v>3.05</v>
      </c>
      <c r="F454" s="51" t="n">
        <v>2</v>
      </c>
      <c r="G454" s="69" t="n">
        <v>3</v>
      </c>
      <c r="H454" s="51" t="n">
        <v>1</v>
      </c>
      <c r="I454" s="69" t="n">
        <v>2.3</v>
      </c>
      <c r="J454" s="51" t="n">
        <v>1</v>
      </c>
      <c r="K454" s="21" t="n"/>
      <c r="L454" s="21" t="n"/>
      <c r="M454" s="37">
        <f>E454*F454+G454*H454+I454*J454+K454*L454</f>
        <v/>
      </c>
      <c r="N454" s="37">
        <f>Исходные!$B$13-M454</f>
        <v/>
      </c>
      <c r="O454" s="51" t="n">
        <v>1</v>
      </c>
      <c r="P454" s="49">
        <f>(F454+H454+J454+L454)*O454</f>
        <v/>
      </c>
      <c r="Q454" s="70">
        <f>M454*O454</f>
        <v/>
      </c>
      <c r="R454" s="70">
        <f>N454*O454</f>
        <v/>
      </c>
    </row>
    <row r="455">
      <c r="A455" s="49" t="n">
        <v>3</v>
      </c>
      <c r="B455" s="49" t="n">
        <v>20</v>
      </c>
      <c r="C455" s="72" t="inlineStr">
        <is>
          <t>А500С</t>
        </is>
      </c>
      <c r="D455" s="49" t="n">
        <v>3</v>
      </c>
      <c r="E455" s="69" t="n">
        <v>3.785</v>
      </c>
      <c r="F455" s="51" t="n">
        <v>3</v>
      </c>
      <c r="G455" s="21" t="n"/>
      <c r="H455" s="21" t="n"/>
      <c r="I455" s="21" t="n"/>
      <c r="J455" s="21" t="n"/>
      <c r="K455" s="21" t="n"/>
      <c r="L455" s="21" t="n"/>
      <c r="M455" s="37">
        <f>E455*F455+G455*H455+I455*J455+K455*L455</f>
        <v/>
      </c>
      <c r="N455" s="37">
        <f>Исходные!$B$13-M455</f>
        <v/>
      </c>
      <c r="O455" s="51" t="n">
        <v>1</v>
      </c>
      <c r="P455" s="49">
        <f>(F455+H455+J455+L455)*O455</f>
        <v/>
      </c>
      <c r="Q455" s="70">
        <f>M455*O455</f>
        <v/>
      </c>
      <c r="R455" s="70">
        <f>N455*O455</f>
        <v/>
      </c>
    </row>
    <row r="456">
      <c r="A456" s="49" t="n">
        <v>3</v>
      </c>
      <c r="B456" s="49" t="n">
        <v>20</v>
      </c>
      <c r="C456" s="72" t="inlineStr">
        <is>
          <t>А500С</t>
        </is>
      </c>
      <c r="D456" s="49" t="n">
        <v>4</v>
      </c>
      <c r="E456" s="69" t="n">
        <v>3.785</v>
      </c>
      <c r="F456" s="51" t="n">
        <v>1</v>
      </c>
      <c r="G456" s="69" t="n">
        <v>3.78</v>
      </c>
      <c r="H456" s="51" t="n">
        <v>2</v>
      </c>
      <c r="I456" s="21" t="n"/>
      <c r="J456" s="21" t="n"/>
      <c r="K456" s="21" t="n"/>
      <c r="L456" s="21" t="n"/>
      <c r="M456" s="37">
        <f>E456*F456+G456*H456+I456*J456+K456*L456</f>
        <v/>
      </c>
      <c r="N456" s="37">
        <f>Исходные!$B$13-M456</f>
        <v/>
      </c>
      <c r="O456" s="51" t="n">
        <v>1</v>
      </c>
      <c r="P456" s="49">
        <f>(F456+H456+J456+L456)*O456</f>
        <v/>
      </c>
      <c r="Q456" s="70">
        <f>M456*O456</f>
        <v/>
      </c>
      <c r="R456" s="70">
        <f>N456*O456</f>
        <v/>
      </c>
    </row>
    <row r="457">
      <c r="A457" s="49" t="n">
        <v>3</v>
      </c>
      <c r="B457" s="49" t="n">
        <v>20</v>
      </c>
      <c r="C457" s="72" t="inlineStr">
        <is>
          <t>А500С</t>
        </is>
      </c>
      <c r="D457" s="49" t="n">
        <v>5</v>
      </c>
      <c r="E457" s="69" t="n">
        <v>3</v>
      </c>
      <c r="F457" s="51" t="n">
        <v>3</v>
      </c>
      <c r="G457" s="69" t="n">
        <v>2.3</v>
      </c>
      <c r="H457" s="51" t="n">
        <v>1</v>
      </c>
      <c r="I457" s="21" t="n"/>
      <c r="J457" s="21" t="n"/>
      <c r="K457" s="21" t="n"/>
      <c r="L457" s="21" t="n"/>
      <c r="M457" s="37">
        <f>E457*F457+G457*H457+I457*J457+K457*L457</f>
        <v/>
      </c>
      <c r="N457" s="37">
        <f>Исходные!$B$13-M457</f>
        <v/>
      </c>
      <c r="O457" s="51" t="n">
        <v>1</v>
      </c>
      <c r="P457" s="49">
        <f>(F457+H457+J457+L457)*O457</f>
        <v/>
      </c>
      <c r="Q457" s="70">
        <f>M457*O457</f>
        <v/>
      </c>
      <c r="R457" s="70">
        <f>N457*O457</f>
        <v/>
      </c>
    </row>
    <row r="458">
      <c r="A458" s="49" t="n">
        <v>3</v>
      </c>
      <c r="B458" s="49" t="n">
        <v>20</v>
      </c>
      <c r="C458" s="72" t="inlineStr">
        <is>
          <t>А500С</t>
        </is>
      </c>
      <c r="D458" s="49" t="n">
        <v>6</v>
      </c>
      <c r="E458" s="69" t="n">
        <v>3.78</v>
      </c>
      <c r="F458" s="51" t="n">
        <v>2</v>
      </c>
      <c r="G458" s="69" t="n">
        <v>3.7</v>
      </c>
      <c r="H458" s="51" t="n">
        <v>1</v>
      </c>
      <c r="I458" s="21" t="n"/>
      <c r="J458" s="21" t="n"/>
      <c r="K458" s="21" t="n"/>
      <c r="L458" s="21" t="n"/>
      <c r="M458" s="37">
        <f>E458*F458+G458*H458+I458*J458+K458*L458</f>
        <v/>
      </c>
      <c r="N458" s="37">
        <f>Исходные!$B$13-M458</f>
        <v/>
      </c>
      <c r="O458" s="51" t="n">
        <v>1</v>
      </c>
      <c r="P458" s="49">
        <f>(F458+H458+J458+L458)*O458</f>
        <v/>
      </c>
      <c r="Q458" s="70">
        <f>M458*O458</f>
        <v/>
      </c>
      <c r="R458" s="70">
        <f>N458*O458</f>
        <v/>
      </c>
    </row>
    <row r="459">
      <c r="A459" s="49" t="n">
        <v>3</v>
      </c>
      <c r="B459" s="49" t="n">
        <v>20</v>
      </c>
      <c r="C459" s="72" t="inlineStr">
        <is>
          <t>А500С</t>
        </is>
      </c>
      <c r="D459" s="49" t="n">
        <v>7</v>
      </c>
      <c r="E459" s="69" t="n">
        <v>3.7</v>
      </c>
      <c r="F459" s="51" t="n">
        <v>1</v>
      </c>
      <c r="G459" s="69" t="n">
        <v>3.6</v>
      </c>
      <c r="H459" s="51" t="n">
        <v>2</v>
      </c>
      <c r="I459" s="21" t="n"/>
      <c r="J459" s="21" t="n"/>
      <c r="K459" s="21" t="n"/>
      <c r="L459" s="21" t="n"/>
      <c r="M459" s="37">
        <f>E459*F459+G459*H459+I459*J459+K459*L459</f>
        <v/>
      </c>
      <c r="N459" s="37">
        <f>Исходные!$B$13-M459</f>
        <v/>
      </c>
      <c r="O459" s="51" t="n">
        <v>1</v>
      </c>
      <c r="P459" s="49">
        <f>(F459+H459+J459+L459)*O459</f>
        <v/>
      </c>
      <c r="Q459" s="70">
        <f>M459*O459</f>
        <v/>
      </c>
      <c r="R459" s="70">
        <f>N459*O459</f>
        <v/>
      </c>
    </row>
    <row r="460">
      <c r="A460" s="49" t="n">
        <v>3</v>
      </c>
      <c r="B460" s="49" t="n">
        <v>20</v>
      </c>
      <c r="C460" s="72" t="inlineStr">
        <is>
          <t>А500С</t>
        </is>
      </c>
      <c r="D460" s="49" t="n">
        <v>8</v>
      </c>
      <c r="E460" s="69" t="n">
        <v>3.6</v>
      </c>
      <c r="F460" s="51" t="n">
        <v>3</v>
      </c>
      <c r="G460" s="21" t="n"/>
      <c r="H460" s="21" t="n"/>
      <c r="I460" s="21" t="n"/>
      <c r="J460" s="21" t="n"/>
      <c r="K460" s="21" t="n"/>
      <c r="L460" s="21" t="n"/>
      <c r="M460" s="37">
        <f>E460*F460+G460*H460+I460*J460+K460*L460</f>
        <v/>
      </c>
      <c r="N460" s="37">
        <f>Исходные!$B$13-M460</f>
        <v/>
      </c>
      <c r="O460" s="51" t="n">
        <v>52</v>
      </c>
      <c r="P460" s="49">
        <f>(F460+H460+J460+L460)*O460</f>
        <v/>
      </c>
      <c r="Q460" s="70">
        <f>M460*O460</f>
        <v/>
      </c>
      <c r="R460" s="70">
        <f>N460*O460</f>
        <v/>
      </c>
    </row>
    <row r="461">
      <c r="A461" s="49" t="n">
        <v>3</v>
      </c>
      <c r="B461" s="49" t="n">
        <v>20</v>
      </c>
      <c r="C461" s="72" t="inlineStr">
        <is>
          <t>А500С</t>
        </is>
      </c>
      <c r="D461" s="49" t="n">
        <v>9</v>
      </c>
      <c r="E461" s="69" t="n">
        <v>3.6</v>
      </c>
      <c r="F461" s="51" t="n">
        <v>2</v>
      </c>
      <c r="G461" s="69" t="n">
        <v>3.325</v>
      </c>
      <c r="H461" s="51" t="n">
        <v>1</v>
      </c>
      <c r="I461" s="21" t="n"/>
      <c r="J461" s="21" t="n"/>
      <c r="K461" s="21" t="n"/>
      <c r="L461" s="21" t="n"/>
      <c r="M461" s="37">
        <f>E461*F461+G461*H461+I461*J461+K461*L461</f>
        <v/>
      </c>
      <c r="N461" s="37">
        <f>Исходные!$B$13-M461</f>
        <v/>
      </c>
      <c r="O461" s="51" t="n">
        <v>1</v>
      </c>
      <c r="P461" s="49">
        <f>(F461+H461+J461+L461)*O461</f>
        <v/>
      </c>
      <c r="Q461" s="70">
        <f>M461*O461</f>
        <v/>
      </c>
      <c r="R461" s="70">
        <f>N461*O461</f>
        <v/>
      </c>
    </row>
    <row r="462">
      <c r="A462" s="49" t="n">
        <v>3</v>
      </c>
      <c r="B462" s="49" t="n">
        <v>20</v>
      </c>
      <c r="C462" s="72" t="inlineStr">
        <is>
          <t>А500С</t>
        </is>
      </c>
      <c r="D462" s="49" t="n">
        <v>10</v>
      </c>
      <c r="E462" s="69" t="n">
        <v>3.325</v>
      </c>
      <c r="F462" s="51" t="n">
        <v>1</v>
      </c>
      <c r="G462" s="69" t="n">
        <v>3.05</v>
      </c>
      <c r="H462" s="51" t="n">
        <v>2</v>
      </c>
      <c r="I462" s="21" t="n"/>
      <c r="J462" s="21" t="n"/>
      <c r="K462" s="21" t="n"/>
      <c r="L462" s="21" t="n"/>
      <c r="M462" s="37">
        <f>E462*F462+G462*H462+I462*J462+K462*L462</f>
        <v/>
      </c>
      <c r="N462" s="37">
        <f>Исходные!$B$13-M462</f>
        <v/>
      </c>
      <c r="O462" s="51" t="n">
        <v>1</v>
      </c>
      <c r="P462" s="49">
        <f>(F462+H462+J462+L462)*O462</f>
        <v/>
      </c>
      <c r="Q462" s="70">
        <f>M462*O462</f>
        <v/>
      </c>
      <c r="R462" s="70">
        <f>N462*O462</f>
        <v/>
      </c>
    </row>
    <row r="463">
      <c r="A463" s="49" t="n">
        <v>3</v>
      </c>
      <c r="B463" s="49" t="n">
        <v>20</v>
      </c>
      <c r="C463" s="72" t="inlineStr">
        <is>
          <t>А500С</t>
        </is>
      </c>
      <c r="D463" s="49" t="n">
        <v>11</v>
      </c>
      <c r="E463" s="69" t="n">
        <v>3</v>
      </c>
      <c r="F463" s="51" t="n">
        <v>3</v>
      </c>
      <c r="G463" s="21" t="n"/>
      <c r="H463" s="21" t="n"/>
      <c r="I463" s="21" t="n"/>
      <c r="J463" s="21" t="n"/>
      <c r="K463" s="21" t="n"/>
      <c r="L463" s="21" t="n"/>
      <c r="M463" s="37">
        <f>E463*F463+G463*H463+I463*J463+K463*L463</f>
        <v/>
      </c>
      <c r="N463" s="37">
        <f>Исходные!$B$13-M463</f>
        <v/>
      </c>
      <c r="O463" s="51" t="n">
        <v>2</v>
      </c>
      <c r="P463" s="49">
        <f>(F463+H463+J463+L463)*O463</f>
        <v/>
      </c>
      <c r="Q463" s="70">
        <f>M463*O463</f>
        <v/>
      </c>
      <c r="R463" s="70">
        <f>N463*O463</f>
        <v/>
      </c>
    </row>
    <row r="464">
      <c r="A464" s="49" t="n">
        <v>3</v>
      </c>
      <c r="B464" s="49" t="n">
        <v>20</v>
      </c>
      <c r="C464" s="72" t="inlineStr">
        <is>
          <t>А500С</t>
        </is>
      </c>
      <c r="D464" s="49" t="n">
        <v>12</v>
      </c>
      <c r="E464" s="69" t="n">
        <v>2.85</v>
      </c>
      <c r="F464" s="51" t="n">
        <v>2</v>
      </c>
      <c r="G464" s="21" t="n"/>
      <c r="H464" s="21" t="n"/>
      <c r="I464" s="21" t="n"/>
      <c r="J464" s="21" t="n"/>
      <c r="K464" s="21" t="n"/>
      <c r="L464" s="21" t="n"/>
      <c r="M464" s="37">
        <f>E464*F464+G464*H464+I464*J464+K464*L464</f>
        <v/>
      </c>
      <c r="N464" s="37">
        <f>Исходные!$B$13-M464</f>
        <v/>
      </c>
      <c r="O464" s="51" t="n">
        <v>1</v>
      </c>
      <c r="P464" s="49">
        <f>(F464+H464+J464+L464)*O464</f>
        <v/>
      </c>
      <c r="Q464" s="70">
        <f>M464*O464</f>
        <v/>
      </c>
      <c r="R464" s="70">
        <f>N464*O464</f>
        <v/>
      </c>
    </row>
    <row r="465">
      <c r="A465" s="49" t="n">
        <v>3</v>
      </c>
      <c r="B465" s="49" t="n">
        <v>18</v>
      </c>
      <c r="C465" s="72" t="inlineStr">
        <is>
          <t>А500С</t>
        </is>
      </c>
      <c r="D465" s="49" t="n">
        <v>1</v>
      </c>
      <c r="E465" s="69" t="n">
        <v>11.7</v>
      </c>
      <c r="F465" s="51" t="n">
        <v>1</v>
      </c>
      <c r="G465" s="21" t="n"/>
      <c r="H465" s="21" t="n"/>
      <c r="I465" s="21" t="n"/>
      <c r="J465" s="21" t="n"/>
      <c r="K465" s="21" t="n"/>
      <c r="L465" s="21" t="n"/>
      <c r="M465" s="37">
        <f>E465*F465+G465*H465+I465*J465+K465*L465</f>
        <v/>
      </c>
      <c r="N465" s="37">
        <f>Исходные!$B$13-M465</f>
        <v/>
      </c>
      <c r="O465" s="51" t="n">
        <v>26</v>
      </c>
      <c r="P465" s="49">
        <f>(F465+H465+J465+L465)*O465</f>
        <v/>
      </c>
      <c r="Q465" s="70">
        <f>M465*O465</f>
        <v/>
      </c>
      <c r="R465" s="70">
        <f>N465*O465</f>
        <v/>
      </c>
    </row>
    <row r="466">
      <c r="A466" s="49" t="n">
        <v>3</v>
      </c>
      <c r="B466" s="49" t="n">
        <v>18</v>
      </c>
      <c r="C466" s="72" t="inlineStr">
        <is>
          <t>А500С</t>
        </is>
      </c>
      <c r="D466" s="49" t="n">
        <v>2</v>
      </c>
      <c r="E466" s="69" t="n">
        <v>6.109</v>
      </c>
      <c r="F466" s="51" t="n">
        <v>1</v>
      </c>
      <c r="G466" s="69" t="n">
        <v>3.744</v>
      </c>
      <c r="H466" s="51" t="n">
        <v>1</v>
      </c>
      <c r="I466" s="69" t="n">
        <v>1.7</v>
      </c>
      <c r="J466" s="51" t="n">
        <v>1</v>
      </c>
      <c r="K466" s="21" t="n"/>
      <c r="L466" s="21" t="n"/>
      <c r="M466" s="37">
        <f>E466*F466+G466*H466+I466*J466+K466*L466</f>
        <v/>
      </c>
      <c r="N466" s="37">
        <f>Исходные!$B$13-M466</f>
        <v/>
      </c>
      <c r="O466" s="51" t="n">
        <v>1</v>
      </c>
      <c r="P466" s="49">
        <f>(F466+H466+J466+L466)*O466</f>
        <v/>
      </c>
      <c r="Q466" s="70">
        <f>M466*O466</f>
        <v/>
      </c>
      <c r="R466" s="70">
        <f>N466*O466</f>
        <v/>
      </c>
    </row>
    <row r="467">
      <c r="A467" s="49" t="n">
        <v>3</v>
      </c>
      <c r="B467" s="49" t="n">
        <v>18</v>
      </c>
      <c r="C467" s="72" t="inlineStr">
        <is>
          <t>А500С</t>
        </is>
      </c>
      <c r="D467" s="49" t="n">
        <v>3</v>
      </c>
      <c r="E467" s="69" t="n">
        <v>6.109</v>
      </c>
      <c r="F467" s="51" t="n">
        <v>1</v>
      </c>
      <c r="G467" s="69" t="n">
        <v>3</v>
      </c>
      <c r="H467" s="51" t="n">
        <v>1</v>
      </c>
      <c r="I467" s="69" t="n">
        <v>2.388</v>
      </c>
      <c r="J467" s="51" t="n">
        <v>1</v>
      </c>
      <c r="K467" s="21" t="n"/>
      <c r="L467" s="21" t="n"/>
      <c r="M467" s="37">
        <f>E467*F467+G467*H467+I467*J467+K467*L467</f>
        <v/>
      </c>
      <c r="N467" s="37">
        <f>Исходные!$B$13-M467</f>
        <v/>
      </c>
      <c r="O467" s="51" t="n">
        <v>1</v>
      </c>
      <c r="P467" s="49">
        <f>(F467+H467+J467+L467)*O467</f>
        <v/>
      </c>
      <c r="Q467" s="70">
        <f>M467*O467</f>
        <v/>
      </c>
      <c r="R467" s="70">
        <f>N467*O467</f>
        <v/>
      </c>
    </row>
    <row r="468">
      <c r="A468" s="49" t="n">
        <v>3</v>
      </c>
      <c r="B468" s="49" t="n">
        <v>18</v>
      </c>
      <c r="C468" s="72" t="inlineStr">
        <is>
          <t>А500С</t>
        </is>
      </c>
      <c r="D468" s="49" t="n">
        <v>4</v>
      </c>
      <c r="E468" s="69" t="n">
        <v>8.944000000000001</v>
      </c>
      <c r="F468" s="51" t="n">
        <v>1</v>
      </c>
      <c r="G468" s="69" t="n">
        <v>1.2</v>
      </c>
      <c r="H468" s="51" t="n">
        <v>2</v>
      </c>
      <c r="I468" s="21" t="n"/>
      <c r="J468" s="21" t="n"/>
      <c r="K468" s="21" t="n"/>
      <c r="L468" s="21" t="n"/>
      <c r="M468" s="37">
        <f>E468*F468+G468*H468+I468*J468+K468*L468</f>
        <v/>
      </c>
      <c r="N468" s="37">
        <f>Исходные!$B$13-M468</f>
        <v/>
      </c>
      <c r="O468" s="51" t="n">
        <v>3</v>
      </c>
      <c r="P468" s="49">
        <f>(F468+H468+J468+L468)*O468</f>
        <v/>
      </c>
      <c r="Q468" s="70">
        <f>M468*O468</f>
        <v/>
      </c>
      <c r="R468" s="70">
        <f>N468*O468</f>
        <v/>
      </c>
    </row>
    <row r="469">
      <c r="A469" s="49" t="n">
        <v>3</v>
      </c>
      <c r="B469" s="49" t="n">
        <v>18</v>
      </c>
      <c r="C469" s="72" t="inlineStr">
        <is>
          <t>А500С</t>
        </is>
      </c>
      <c r="D469" s="49" t="n">
        <v>5</v>
      </c>
      <c r="E469" s="69" t="n">
        <v>8.944000000000001</v>
      </c>
      <c r="F469" s="51" t="n">
        <v>1</v>
      </c>
      <c r="G469" s="69" t="n">
        <v>2.388</v>
      </c>
      <c r="H469" s="51" t="n">
        <v>1</v>
      </c>
      <c r="I469" s="21" t="n"/>
      <c r="J469" s="21" t="n"/>
      <c r="K469" s="21" t="n"/>
      <c r="L469" s="21" t="n"/>
      <c r="M469" s="37">
        <f>E469*F469+G469*H469+I469*J469+K469*L469</f>
        <v/>
      </c>
      <c r="N469" s="37">
        <f>Исходные!$B$13-M469</f>
        <v/>
      </c>
      <c r="O469" s="51" t="n">
        <v>7</v>
      </c>
      <c r="P469" s="49">
        <f>(F469+H469+J469+L469)*O469</f>
        <v/>
      </c>
      <c r="Q469" s="70">
        <f>M469*O469</f>
        <v/>
      </c>
      <c r="R469" s="70">
        <f>N469*O469</f>
        <v/>
      </c>
    </row>
    <row r="470">
      <c r="A470" s="49" t="n">
        <v>3</v>
      </c>
      <c r="B470" s="49" t="n">
        <v>18</v>
      </c>
      <c r="C470" s="72" t="inlineStr">
        <is>
          <t>А500С</t>
        </is>
      </c>
      <c r="D470" s="49" t="n">
        <v>6</v>
      </c>
      <c r="E470" s="69" t="n">
        <v>6.109</v>
      </c>
      <c r="F470" s="51" t="n">
        <v>1</v>
      </c>
      <c r="G470" s="69" t="n">
        <v>4.95</v>
      </c>
      <c r="H470" s="51" t="n">
        <v>1</v>
      </c>
      <c r="I470" s="21" t="n"/>
      <c r="J470" s="21" t="n"/>
      <c r="K470" s="21" t="n"/>
      <c r="L470" s="21" t="n"/>
      <c r="M470" s="37">
        <f>E470*F470+G470*H470+I470*J470+K470*L470</f>
        <v/>
      </c>
      <c r="N470" s="37">
        <f>Исходные!$B$13-M470</f>
        <v/>
      </c>
      <c r="O470" s="51" t="n">
        <v>2</v>
      </c>
      <c r="P470" s="49">
        <f>(F470+H470+J470+L470)*O470</f>
        <v/>
      </c>
      <c r="Q470" s="70">
        <f>M470*O470</f>
        <v/>
      </c>
      <c r="R470" s="70">
        <f>N470*O470</f>
        <v/>
      </c>
    </row>
    <row r="471">
      <c r="A471" s="49" t="n">
        <v>3</v>
      </c>
      <c r="B471" s="49" t="n">
        <v>18</v>
      </c>
      <c r="C471" s="72" t="inlineStr">
        <is>
          <t>А500С</t>
        </is>
      </c>
      <c r="D471" s="49" t="n">
        <v>7</v>
      </c>
      <c r="E471" s="69" t="n">
        <v>6.109</v>
      </c>
      <c r="F471" s="51" t="n">
        <v>1</v>
      </c>
      <c r="G471" s="69" t="n">
        <v>3.744</v>
      </c>
      <c r="H471" s="51" t="n">
        <v>1</v>
      </c>
      <c r="I471" s="69" t="n">
        <v>1.2</v>
      </c>
      <c r="J471" s="51" t="n">
        <v>1</v>
      </c>
      <c r="K471" s="21" t="n"/>
      <c r="L471" s="21" t="n"/>
      <c r="M471" s="37">
        <f>E471*F471+G471*H471+I471*J471+K471*L471</f>
        <v/>
      </c>
      <c r="N471" s="37">
        <f>Исходные!$B$13-M471</f>
        <v/>
      </c>
      <c r="O471" s="51" t="n">
        <v>21</v>
      </c>
      <c r="P471" s="49">
        <f>(F471+H471+J471+L471)*O471</f>
        <v/>
      </c>
      <c r="Q471" s="70">
        <f>M471*O471</f>
        <v/>
      </c>
      <c r="R471" s="70">
        <f>N471*O471</f>
        <v/>
      </c>
    </row>
    <row r="472">
      <c r="A472" s="49" t="n">
        <v>3</v>
      </c>
      <c r="B472" s="49" t="n">
        <v>18</v>
      </c>
      <c r="C472" s="72" t="inlineStr">
        <is>
          <t>А500С</t>
        </is>
      </c>
      <c r="D472" s="49" t="n">
        <v>8</v>
      </c>
      <c r="E472" s="69" t="n">
        <v>6.109</v>
      </c>
      <c r="F472" s="51" t="n">
        <v>1</v>
      </c>
      <c r="G472" s="69" t="n">
        <v>1.2</v>
      </c>
      <c r="H472" s="51" t="n">
        <v>4</v>
      </c>
      <c r="I472" s="21" t="n"/>
      <c r="J472" s="21" t="n"/>
      <c r="K472" s="21" t="n"/>
      <c r="L472" s="21" t="n"/>
      <c r="M472" s="37">
        <f>E472*F472+G472*H472+I472*J472+K472*L472</f>
        <v/>
      </c>
      <c r="N472" s="37">
        <f>Исходные!$B$13-M472</f>
        <v/>
      </c>
      <c r="O472" s="51" t="n">
        <v>3</v>
      </c>
      <c r="P472" s="49">
        <f>(F472+H472+J472+L472)*O472</f>
        <v/>
      </c>
      <c r="Q472" s="70">
        <f>M472*O472</f>
        <v/>
      </c>
      <c r="R472" s="70">
        <f>N472*O472</f>
        <v/>
      </c>
    </row>
    <row r="473">
      <c r="A473" s="49" t="n">
        <v>3</v>
      </c>
      <c r="B473" s="49" t="n">
        <v>18</v>
      </c>
      <c r="C473" s="72" t="inlineStr">
        <is>
          <t>А500С</t>
        </is>
      </c>
      <c r="D473" s="49" t="n">
        <v>9</v>
      </c>
      <c r="E473" s="69" t="n">
        <v>6.109</v>
      </c>
      <c r="F473" s="51" t="n">
        <v>1</v>
      </c>
      <c r="G473" s="69" t="n">
        <v>1.2</v>
      </c>
      <c r="H473" s="51" t="n">
        <v>3</v>
      </c>
      <c r="I473" s="21" t="n"/>
      <c r="J473" s="21" t="n"/>
      <c r="K473" s="21" t="n"/>
      <c r="L473" s="21" t="n"/>
      <c r="M473" s="37">
        <f>E473*F473+G473*H473+I473*J473+K473*L473</f>
        <v/>
      </c>
      <c r="N473" s="37">
        <f>Исходные!$B$13-M473</f>
        <v/>
      </c>
      <c r="O473" s="51" t="n">
        <v>1</v>
      </c>
      <c r="P473" s="49">
        <f>(F473+H473+J473+L473)*O473</f>
        <v/>
      </c>
      <c r="Q473" s="70">
        <f>M473*O473</f>
        <v/>
      </c>
      <c r="R473" s="70">
        <f>N473*O473</f>
        <v/>
      </c>
    </row>
    <row r="474">
      <c r="A474" s="49" t="n">
        <v>3</v>
      </c>
      <c r="B474" s="49" t="n">
        <v>18</v>
      </c>
      <c r="C474" s="72" t="inlineStr">
        <is>
          <t>А500С</t>
        </is>
      </c>
      <c r="D474" s="49" t="n">
        <v>10</v>
      </c>
      <c r="E474" s="69" t="n">
        <v>6.109</v>
      </c>
      <c r="F474" s="51" t="n">
        <v>1</v>
      </c>
      <c r="G474" s="21" t="n"/>
      <c r="H474" s="21" t="n"/>
      <c r="I474" s="21" t="n"/>
      <c r="J474" s="21" t="n"/>
      <c r="K474" s="21" t="n"/>
      <c r="L474" s="21" t="n"/>
      <c r="M474" s="37">
        <f>E474*F474+G474*H474+I474*J474+K474*L474</f>
        <v/>
      </c>
      <c r="N474" s="37">
        <f>Исходные!$B$13-M474</f>
        <v/>
      </c>
      <c r="O474" s="51" t="n">
        <v>7</v>
      </c>
      <c r="P474" s="49">
        <f>(F474+H474+J474+L474)*O474</f>
        <v/>
      </c>
      <c r="Q474" s="70">
        <f>M474*O474</f>
        <v/>
      </c>
      <c r="R474" s="70">
        <f>N474*O474</f>
        <v/>
      </c>
    </row>
    <row r="475">
      <c r="A475" s="49" t="n">
        <v>3</v>
      </c>
      <c r="B475" s="49" t="n">
        <v>16</v>
      </c>
      <c r="C475" s="72" t="inlineStr">
        <is>
          <t>А500С</t>
        </is>
      </c>
      <c r="D475" s="49" t="n">
        <v>1</v>
      </c>
      <c r="E475" s="69" t="n">
        <v>11.7</v>
      </c>
      <c r="F475" s="51" t="n">
        <v>1</v>
      </c>
      <c r="G475" s="21" t="n"/>
      <c r="H475" s="21" t="n"/>
      <c r="I475" s="21" t="n"/>
      <c r="J475" s="21" t="n"/>
      <c r="K475" s="21" t="n"/>
      <c r="L475" s="21" t="n"/>
      <c r="M475" s="37">
        <f>E475*F475+G475*H475+I475*J475+K475*L475</f>
        <v/>
      </c>
      <c r="N475" s="37">
        <f>Исходные!$B$13-M475</f>
        <v/>
      </c>
      <c r="O475" s="51" t="n">
        <v>26</v>
      </c>
      <c r="P475" s="49">
        <f>(F475+H475+J475+L475)*O475</f>
        <v/>
      </c>
      <c r="Q475" s="70">
        <f>M475*O475</f>
        <v/>
      </c>
      <c r="R475" s="70">
        <f>N475*O475</f>
        <v/>
      </c>
    </row>
    <row r="476">
      <c r="A476" s="49" t="n">
        <v>3</v>
      </c>
      <c r="B476" s="49" t="n">
        <v>16</v>
      </c>
      <c r="C476" s="72" t="inlineStr">
        <is>
          <t>А500С</t>
        </is>
      </c>
      <c r="D476" s="49" t="n">
        <v>2</v>
      </c>
      <c r="E476" s="69" t="n">
        <v>3.3</v>
      </c>
      <c r="F476" s="51" t="n">
        <v>1</v>
      </c>
      <c r="G476" s="69" t="n">
        <v>3</v>
      </c>
      <c r="H476" s="51" t="n">
        <v>2</v>
      </c>
      <c r="I476" s="69" t="n">
        <v>2.356</v>
      </c>
      <c r="J476" s="51" t="n">
        <v>1</v>
      </c>
      <c r="K476" s="21" t="n"/>
      <c r="L476" s="21" t="n"/>
      <c r="M476" s="37">
        <f>E476*F476+G476*H476+I476*J476+K476*L476</f>
        <v/>
      </c>
      <c r="N476" s="37">
        <f>Исходные!$B$13-M476</f>
        <v/>
      </c>
      <c r="O476" s="51" t="n">
        <v>1</v>
      </c>
      <c r="P476" s="49">
        <f>(F476+H476+J476+L476)*O476</f>
        <v/>
      </c>
      <c r="Q476" s="70">
        <f>M476*O476</f>
        <v/>
      </c>
      <c r="R476" s="70">
        <f>N476*O476</f>
        <v/>
      </c>
    </row>
    <row r="477">
      <c r="A477" s="49" t="n">
        <v>3</v>
      </c>
      <c r="B477" s="49" t="n">
        <v>16</v>
      </c>
      <c r="C477" s="72" t="inlineStr">
        <is>
          <t>А500С</t>
        </is>
      </c>
      <c r="D477" s="49" t="n">
        <v>3</v>
      </c>
      <c r="E477" s="69" t="n">
        <v>2.9</v>
      </c>
      <c r="F477" s="51" t="n">
        <v>4</v>
      </c>
      <c r="G477" s="21" t="n"/>
      <c r="H477" s="21" t="n"/>
      <c r="I477" s="21" t="n"/>
      <c r="J477" s="21" t="n"/>
      <c r="K477" s="21" t="n"/>
      <c r="L477" s="21" t="n"/>
      <c r="M477" s="37">
        <f>E477*F477+G477*H477+I477*J477+K477*L477</f>
        <v/>
      </c>
      <c r="N477" s="37">
        <f>Исходные!$B$13-M477</f>
        <v/>
      </c>
      <c r="O477" s="51" t="n">
        <v>2</v>
      </c>
      <c r="P477" s="49">
        <f>(F477+H477+J477+L477)*O477</f>
        <v/>
      </c>
      <c r="Q477" s="70">
        <f>M477*O477</f>
        <v/>
      </c>
      <c r="R477" s="70">
        <f>N477*O477</f>
        <v/>
      </c>
    </row>
    <row r="478">
      <c r="A478" s="49" t="n">
        <v>3</v>
      </c>
      <c r="B478" s="49" t="n">
        <v>16</v>
      </c>
      <c r="C478" s="72" t="inlineStr">
        <is>
          <t>А500С</t>
        </is>
      </c>
      <c r="D478" s="49" t="n">
        <v>4</v>
      </c>
      <c r="E478" s="69" t="n">
        <v>8.928000000000001</v>
      </c>
      <c r="F478" s="51" t="n">
        <v>1</v>
      </c>
      <c r="G478" s="69" t="n">
        <v>2.356</v>
      </c>
      <c r="H478" s="51" t="n">
        <v>1</v>
      </c>
      <c r="I478" s="21" t="n"/>
      <c r="J478" s="21" t="n"/>
      <c r="K478" s="21" t="n"/>
      <c r="L478" s="21" t="n"/>
      <c r="M478" s="37">
        <f>E478*F478+G478*H478+I478*J478+K478*L478</f>
        <v/>
      </c>
      <c r="N478" s="37">
        <f>Исходные!$B$13-M478</f>
        <v/>
      </c>
      <c r="O478" s="51" t="n">
        <v>7</v>
      </c>
      <c r="P478" s="49">
        <f>(F478+H478+J478+L478)*O478</f>
        <v/>
      </c>
      <c r="Q478" s="70">
        <f>M478*O478</f>
        <v/>
      </c>
      <c r="R478" s="70">
        <f>N478*O478</f>
        <v/>
      </c>
    </row>
    <row r="479">
      <c r="A479" s="49" t="n">
        <v>3</v>
      </c>
      <c r="B479" s="49" t="n">
        <v>16</v>
      </c>
      <c r="C479" s="72" t="inlineStr">
        <is>
          <t>А500С</t>
        </is>
      </c>
      <c r="D479" s="49" t="n">
        <v>5</v>
      </c>
      <c r="E479" s="69" t="n">
        <v>1.6</v>
      </c>
      <c r="F479" s="51" t="n">
        <v>7</v>
      </c>
      <c r="G479" s="21" t="n"/>
      <c r="H479" s="21" t="n"/>
      <c r="I479" s="21" t="n"/>
      <c r="J479" s="21" t="n"/>
      <c r="K479" s="21" t="n"/>
      <c r="L479" s="21" t="n"/>
      <c r="M479" s="37">
        <f>E479*F479+G479*H479+I479*J479+K479*L479</f>
        <v/>
      </c>
      <c r="N479" s="37">
        <f>Исходные!$B$13-M479</f>
        <v/>
      </c>
      <c r="O479" s="51" t="n">
        <v>2</v>
      </c>
      <c r="P479" s="49">
        <f>(F479+H479+J479+L479)*O479</f>
        <v/>
      </c>
      <c r="Q479" s="70">
        <f>M479*O479</f>
        <v/>
      </c>
      <c r="R479" s="70">
        <f>N479*O479</f>
        <v/>
      </c>
    </row>
    <row r="480">
      <c r="A480" s="49" t="n">
        <v>3</v>
      </c>
      <c r="B480" s="49" t="n">
        <v>16</v>
      </c>
      <c r="C480" s="72" t="inlineStr">
        <is>
          <t>А500С</t>
        </is>
      </c>
      <c r="D480" s="49" t="n">
        <v>6</v>
      </c>
      <c r="E480" s="69" t="n">
        <v>3.728</v>
      </c>
      <c r="F480" s="51" t="n">
        <v>3</v>
      </c>
      <c r="G480" s="21" t="n"/>
      <c r="H480" s="21" t="n"/>
      <c r="I480" s="21" t="n"/>
      <c r="J480" s="21" t="n"/>
      <c r="K480" s="21" t="n"/>
      <c r="L480" s="21" t="n"/>
      <c r="M480" s="37">
        <f>E480*F480+G480*H480+I480*J480+K480*L480</f>
        <v/>
      </c>
      <c r="N480" s="37">
        <f>Исходные!$B$13-M480</f>
        <v/>
      </c>
      <c r="O480" s="51" t="n">
        <v>2</v>
      </c>
      <c r="P480" s="49">
        <f>(F480+H480+J480+L480)*O480</f>
        <v/>
      </c>
      <c r="Q480" s="70">
        <f>M480*O480</f>
        <v/>
      </c>
      <c r="R480" s="70">
        <f>N480*O480</f>
        <v/>
      </c>
    </row>
    <row r="481">
      <c r="A481" s="49" t="n">
        <v>3</v>
      </c>
      <c r="B481" s="49" t="n">
        <v>16</v>
      </c>
      <c r="C481" s="72" t="inlineStr">
        <is>
          <t>А500С</t>
        </is>
      </c>
      <c r="D481" s="49" t="n">
        <v>7</v>
      </c>
      <c r="E481" s="69" t="n">
        <v>8.928000000000001</v>
      </c>
      <c r="F481" s="51" t="n">
        <v>1</v>
      </c>
      <c r="G481" s="69" t="n">
        <v>1.85</v>
      </c>
      <c r="H481" s="51" t="n">
        <v>1</v>
      </c>
      <c r="I481" s="21" t="n"/>
      <c r="J481" s="21" t="n"/>
      <c r="K481" s="21" t="n"/>
      <c r="L481" s="21" t="n"/>
      <c r="M481" s="37">
        <f>E481*F481+G481*H481+I481*J481+K481*L481</f>
        <v/>
      </c>
      <c r="N481" s="37">
        <f>Исходные!$B$13-M481</f>
        <v/>
      </c>
      <c r="O481" s="51" t="n">
        <v>2</v>
      </c>
      <c r="P481" s="49">
        <f>(F481+H481+J481+L481)*O481</f>
        <v/>
      </c>
      <c r="Q481" s="70">
        <f>M481*O481</f>
        <v/>
      </c>
      <c r="R481" s="70">
        <f>N481*O481</f>
        <v/>
      </c>
    </row>
    <row r="482">
      <c r="A482" s="49" t="n">
        <v>3</v>
      </c>
      <c r="B482" s="49" t="n">
        <v>16</v>
      </c>
      <c r="C482" s="72" t="inlineStr">
        <is>
          <t>А500С</t>
        </is>
      </c>
      <c r="D482" s="49" t="n">
        <v>8</v>
      </c>
      <c r="E482" s="69" t="n">
        <v>8.928000000000001</v>
      </c>
      <c r="F482" s="51" t="n">
        <v>1</v>
      </c>
      <c r="G482" s="69" t="n">
        <v>1.6</v>
      </c>
      <c r="H482" s="51" t="n">
        <v>1</v>
      </c>
      <c r="I482" s="21" t="n"/>
      <c r="J482" s="21" t="n"/>
      <c r="K482" s="21" t="n"/>
      <c r="L482" s="21" t="n"/>
      <c r="M482" s="37">
        <f>E482*F482+G482*H482+I482*J482+K482*L482</f>
        <v/>
      </c>
      <c r="N482" s="37">
        <f>Исходные!$B$13-M482</f>
        <v/>
      </c>
      <c r="O482" s="51" t="n">
        <v>1</v>
      </c>
      <c r="P482" s="49">
        <f>(F482+H482+J482+L482)*O482</f>
        <v/>
      </c>
      <c r="Q482" s="70">
        <f>M482*O482</f>
        <v/>
      </c>
      <c r="R482" s="70">
        <f>N482*O482</f>
        <v/>
      </c>
    </row>
    <row r="483">
      <c r="A483" s="49" t="n">
        <v>3</v>
      </c>
      <c r="B483" s="49" t="n">
        <v>16</v>
      </c>
      <c r="C483" s="72" t="inlineStr">
        <is>
          <t>А500С</t>
        </is>
      </c>
      <c r="D483" s="49" t="n">
        <v>9</v>
      </c>
      <c r="E483" s="69" t="n">
        <v>3.6</v>
      </c>
      <c r="F483" s="51" t="n">
        <v>2</v>
      </c>
      <c r="G483" s="69" t="n">
        <v>3.3</v>
      </c>
      <c r="H483" s="51" t="n">
        <v>1</v>
      </c>
      <c r="I483" s="21" t="n"/>
      <c r="J483" s="21" t="n"/>
      <c r="K483" s="21" t="n"/>
      <c r="L483" s="21" t="n"/>
      <c r="M483" s="37">
        <f>E483*F483+G483*H483+I483*J483+K483*L483</f>
        <v/>
      </c>
      <c r="N483" s="37">
        <f>Исходные!$B$13-M483</f>
        <v/>
      </c>
      <c r="O483" s="51" t="n">
        <v>1</v>
      </c>
      <c r="P483" s="49">
        <f>(F483+H483+J483+L483)*O483</f>
        <v/>
      </c>
      <c r="Q483" s="70">
        <f>M483*O483</f>
        <v/>
      </c>
      <c r="R483" s="70">
        <f>N483*O483</f>
        <v/>
      </c>
    </row>
    <row r="484">
      <c r="A484" s="49" t="n">
        <v>3</v>
      </c>
      <c r="B484" s="49" t="n">
        <v>16</v>
      </c>
      <c r="C484" s="72" t="inlineStr">
        <is>
          <t>А500С</t>
        </is>
      </c>
      <c r="D484" s="49" t="n">
        <v>10</v>
      </c>
      <c r="E484" s="69" t="n">
        <v>3</v>
      </c>
      <c r="F484" s="51" t="n">
        <v>2</v>
      </c>
      <c r="G484" s="69" t="n">
        <v>2.9</v>
      </c>
      <c r="H484" s="51" t="n">
        <v>1</v>
      </c>
      <c r="I484" s="69" t="n">
        <v>1.6</v>
      </c>
      <c r="J484" s="51" t="n">
        <v>1</v>
      </c>
      <c r="K484" s="21" t="n"/>
      <c r="L484" s="21" t="n"/>
      <c r="M484" s="37">
        <f>E484*F484+G484*H484+I484*J484+K484*L484</f>
        <v/>
      </c>
      <c r="N484" s="37">
        <f>Исходные!$B$13-M484</f>
        <v/>
      </c>
      <c r="O484" s="51" t="n">
        <v>1</v>
      </c>
      <c r="P484" s="49">
        <f>(F484+H484+J484+L484)*O484</f>
        <v/>
      </c>
      <c r="Q484" s="70">
        <f>M484*O484</f>
        <v/>
      </c>
      <c r="R484" s="70">
        <f>N484*O484</f>
        <v/>
      </c>
    </row>
    <row r="485">
      <c r="A485" s="49" t="n">
        <v>3</v>
      </c>
      <c r="B485" s="49" t="n">
        <v>16</v>
      </c>
      <c r="C485" s="72" t="inlineStr">
        <is>
          <t>А500С</t>
        </is>
      </c>
      <c r="D485" s="49" t="n">
        <v>11</v>
      </c>
      <c r="E485" s="69" t="n">
        <v>2.9</v>
      </c>
      <c r="F485" s="51" t="n">
        <v>3</v>
      </c>
      <c r="G485" s="69" t="n">
        <v>1.6</v>
      </c>
      <c r="H485" s="51" t="n">
        <v>1</v>
      </c>
      <c r="I485" s="21" t="n"/>
      <c r="J485" s="21" t="n"/>
      <c r="K485" s="21" t="n"/>
      <c r="L485" s="21" t="n"/>
      <c r="M485" s="37">
        <f>E485*F485+G485*H485+I485*J485+K485*L485</f>
        <v/>
      </c>
      <c r="N485" s="37">
        <f>Исходные!$B$13-M485</f>
        <v/>
      </c>
      <c r="O485" s="51" t="n">
        <v>1</v>
      </c>
      <c r="P485" s="49">
        <f>(F485+H485+J485+L485)*O485</f>
        <v/>
      </c>
      <c r="Q485" s="70">
        <f>M485*O485</f>
        <v/>
      </c>
      <c r="R485" s="70">
        <f>N485*O485</f>
        <v/>
      </c>
    </row>
    <row r="486">
      <c r="A486" s="49" t="n">
        <v>3</v>
      </c>
      <c r="B486" s="49" t="n">
        <v>16</v>
      </c>
      <c r="C486" s="72" t="inlineStr">
        <is>
          <t>А500С</t>
        </is>
      </c>
      <c r="D486" s="49" t="n">
        <v>12</v>
      </c>
      <c r="E486" s="69" t="n">
        <v>6.5</v>
      </c>
      <c r="F486" s="51" t="n">
        <v>1</v>
      </c>
      <c r="G486" s="69" t="n">
        <v>3.728</v>
      </c>
      <c r="H486" s="51" t="n">
        <v>1</v>
      </c>
      <c r="I486" s="21" t="n"/>
      <c r="J486" s="21" t="n"/>
      <c r="K486" s="21" t="n"/>
      <c r="L486" s="21" t="n"/>
      <c r="M486" s="37">
        <f>E486*F486+G486*H486+I486*J486+K486*L486</f>
        <v/>
      </c>
      <c r="N486" s="37">
        <f>Исходные!$B$13-M486</f>
        <v/>
      </c>
      <c r="O486" s="51" t="n">
        <v>4</v>
      </c>
      <c r="P486" s="49">
        <f>(F486+H486+J486+L486)*O486</f>
        <v/>
      </c>
      <c r="Q486" s="70">
        <f>M486*O486</f>
        <v/>
      </c>
      <c r="R486" s="70">
        <f>N486*O486</f>
        <v/>
      </c>
    </row>
    <row r="487">
      <c r="A487" s="49" t="n">
        <v>3</v>
      </c>
      <c r="B487" s="49" t="n">
        <v>16</v>
      </c>
      <c r="C487" s="72" t="inlineStr">
        <is>
          <t>А500С</t>
        </is>
      </c>
      <c r="D487" s="49" t="n">
        <v>13</v>
      </c>
      <c r="E487" s="69" t="n">
        <v>1.6</v>
      </c>
      <c r="F487" s="51" t="n">
        <v>3</v>
      </c>
      <c r="G487" s="21" t="n"/>
      <c r="H487" s="21" t="n"/>
      <c r="I487" s="21" t="n"/>
      <c r="J487" s="21" t="n"/>
      <c r="K487" s="21" t="n"/>
      <c r="L487" s="21" t="n"/>
      <c r="M487" s="37">
        <f>E487*F487+G487*H487+I487*J487+K487*L487</f>
        <v/>
      </c>
      <c r="N487" s="37">
        <f>Исходные!$B$13-M487</f>
        <v/>
      </c>
      <c r="O487" s="51" t="n">
        <v>1</v>
      </c>
      <c r="P487" s="49">
        <f>(F487+H487+J487+L487)*O487</f>
        <v/>
      </c>
      <c r="Q487" s="70">
        <f>M487*O487</f>
        <v/>
      </c>
      <c r="R487" s="70">
        <f>N487*O487</f>
        <v/>
      </c>
    </row>
    <row r="488">
      <c r="A488" s="49" t="n">
        <v>3</v>
      </c>
      <c r="B488" s="49" t="n">
        <v>14</v>
      </c>
      <c r="C488" s="72" t="inlineStr">
        <is>
          <t>А500С</t>
        </is>
      </c>
      <c r="D488" s="49" t="n">
        <v>1</v>
      </c>
      <c r="E488" s="69" t="n">
        <v>11.7</v>
      </c>
      <c r="F488" s="51" t="n">
        <v>1</v>
      </c>
      <c r="G488" s="21" t="n"/>
      <c r="H488" s="21" t="n"/>
      <c r="I488" s="21" t="n"/>
      <c r="J488" s="21" t="n"/>
      <c r="K488" s="21" t="n"/>
      <c r="L488" s="21" t="n"/>
      <c r="M488" s="37">
        <f>E488*F488+G488*H488+I488*J488+K488*L488</f>
        <v/>
      </c>
      <c r="N488" s="37">
        <f>Исходные!$B$13-M488</f>
        <v/>
      </c>
      <c r="O488" s="51" t="n">
        <v>6</v>
      </c>
      <c r="P488" s="49">
        <f>(F488+H488+J488+L488)*O488</f>
        <v/>
      </c>
      <c r="Q488" s="70">
        <f>M488*O488</f>
        <v/>
      </c>
      <c r="R488" s="70">
        <f>N488*O488</f>
        <v/>
      </c>
    </row>
    <row r="489">
      <c r="A489" s="49" t="n">
        <v>3</v>
      </c>
      <c r="B489" s="49" t="n">
        <v>14</v>
      </c>
      <c r="C489" s="72" t="inlineStr">
        <is>
          <t>А500С</t>
        </is>
      </c>
      <c r="D489" s="49" t="n">
        <v>2</v>
      </c>
      <c r="E489" s="69" t="n">
        <v>4</v>
      </c>
      <c r="F489" s="51" t="n">
        <v>2</v>
      </c>
      <c r="G489" s="69" t="n">
        <v>3.7</v>
      </c>
      <c r="H489" s="51" t="n">
        <v>1</v>
      </c>
      <c r="I489" s="21" t="n"/>
      <c r="J489" s="21" t="n"/>
      <c r="K489" s="21" t="n"/>
      <c r="L489" s="21" t="n"/>
      <c r="M489" s="37">
        <f>E489*F489+G489*H489+I489*J489+K489*L489</f>
        <v/>
      </c>
      <c r="N489" s="37">
        <f>Исходные!$B$13-M489</f>
        <v/>
      </c>
      <c r="O489" s="51" t="n">
        <v>1</v>
      </c>
      <c r="P489" s="49">
        <f>(F489+H489+J489+L489)*O489</f>
        <v/>
      </c>
      <c r="Q489" s="70">
        <f>M489*O489</f>
        <v/>
      </c>
      <c r="R489" s="70">
        <f>N489*O489</f>
        <v/>
      </c>
    </row>
    <row r="490">
      <c r="A490" s="49" t="n">
        <v>3</v>
      </c>
      <c r="B490" s="49" t="n">
        <v>14</v>
      </c>
      <c r="C490" s="72" t="inlineStr">
        <is>
          <t>А500С</t>
        </is>
      </c>
      <c r="D490" s="49" t="n">
        <v>3</v>
      </c>
      <c r="E490" s="69" t="n">
        <v>1.95</v>
      </c>
      <c r="F490" s="51" t="n">
        <v>6</v>
      </c>
      <c r="G490" s="21" t="n"/>
      <c r="H490" s="21" t="n"/>
      <c r="I490" s="21" t="n"/>
      <c r="J490" s="21" t="n"/>
      <c r="K490" s="21" t="n"/>
      <c r="L490" s="21" t="n"/>
      <c r="M490" s="37">
        <f>E490*F490+G490*H490+I490*J490+K490*L490</f>
        <v/>
      </c>
      <c r="N490" s="37">
        <f>Исходные!$B$13-M490</f>
        <v/>
      </c>
      <c r="O490" s="51" t="n">
        <v>10</v>
      </c>
      <c r="P490" s="49">
        <f>(F490+H490+J490+L490)*O490</f>
        <v/>
      </c>
      <c r="Q490" s="70">
        <f>M490*O490</f>
        <v/>
      </c>
      <c r="R490" s="70">
        <f>N490*O490</f>
        <v/>
      </c>
    </row>
    <row r="491">
      <c r="A491" s="49" t="n">
        <v>3</v>
      </c>
      <c r="B491" s="49" t="n">
        <v>14</v>
      </c>
      <c r="C491" s="72" t="inlineStr">
        <is>
          <t>А500С</t>
        </is>
      </c>
      <c r="D491" s="49" t="n">
        <v>4</v>
      </c>
      <c r="E491" s="69" t="n">
        <v>9.355</v>
      </c>
      <c r="F491" s="51" t="n">
        <v>1</v>
      </c>
      <c r="G491" s="69" t="n">
        <v>2.25</v>
      </c>
      <c r="H491" s="51" t="n">
        <v>1</v>
      </c>
      <c r="I491" s="21" t="n"/>
      <c r="J491" s="21" t="n"/>
      <c r="K491" s="21" t="n"/>
      <c r="L491" s="21" t="n"/>
      <c r="M491" s="37">
        <f>E491*F491+G491*H491+I491*J491+K491*L491</f>
        <v/>
      </c>
      <c r="N491" s="37">
        <f>Исходные!$B$13-M491</f>
        <v/>
      </c>
      <c r="O491" s="51" t="n">
        <v>2</v>
      </c>
      <c r="P491" s="49">
        <f>(F491+H491+J491+L491)*O491</f>
        <v/>
      </c>
      <c r="Q491" s="70">
        <f>M491*O491</f>
        <v/>
      </c>
      <c r="R491" s="70">
        <f>N491*O491</f>
        <v/>
      </c>
    </row>
    <row r="492">
      <c r="A492" s="49" t="n">
        <v>3</v>
      </c>
      <c r="B492" s="49" t="n">
        <v>14</v>
      </c>
      <c r="C492" s="72" t="inlineStr">
        <is>
          <t>А500С</t>
        </is>
      </c>
      <c r="D492" s="49" t="n">
        <v>5</v>
      </c>
      <c r="E492" s="69" t="n">
        <v>1.45</v>
      </c>
      <c r="F492" s="51" t="n">
        <v>8</v>
      </c>
      <c r="G492" s="21" t="n"/>
      <c r="H492" s="21" t="n"/>
      <c r="I492" s="21" t="n"/>
      <c r="J492" s="21" t="n"/>
      <c r="K492" s="21" t="n"/>
      <c r="L492" s="21" t="n"/>
      <c r="M492" s="37">
        <f>E492*F492+G492*H492+I492*J492+K492*L492</f>
        <v/>
      </c>
      <c r="N492" s="37">
        <f>Исходные!$B$13-M492</f>
        <v/>
      </c>
      <c r="O492" s="51" t="n">
        <v>14</v>
      </c>
      <c r="P492" s="49">
        <f>(F492+H492+J492+L492)*O492</f>
        <v/>
      </c>
      <c r="Q492" s="70">
        <f>M492*O492</f>
        <v/>
      </c>
      <c r="R492" s="70">
        <f>N492*O492</f>
        <v/>
      </c>
    </row>
    <row r="493">
      <c r="A493" s="49" t="n">
        <v>3</v>
      </c>
      <c r="B493" s="49" t="n">
        <v>14</v>
      </c>
      <c r="C493" s="72" t="inlineStr">
        <is>
          <t>А500С</t>
        </is>
      </c>
      <c r="D493" s="49" t="n">
        <v>6</v>
      </c>
      <c r="E493" s="69" t="n">
        <v>3.515</v>
      </c>
      <c r="F493" s="51" t="n">
        <v>1</v>
      </c>
      <c r="G493" s="69" t="n">
        <v>3.4</v>
      </c>
      <c r="H493" s="51" t="n">
        <v>2</v>
      </c>
      <c r="I493" s="69" t="n">
        <v>1.25</v>
      </c>
      <c r="J493" s="51" t="n">
        <v>1</v>
      </c>
      <c r="K493" s="21" t="n"/>
      <c r="L493" s="21" t="n"/>
      <c r="M493" s="37">
        <f>E493*F493+G493*H493+I493*J493+K493*L493</f>
        <v/>
      </c>
      <c r="N493" s="37">
        <f>Исходные!$B$13-M493</f>
        <v/>
      </c>
      <c r="O493" s="51" t="n">
        <v>1</v>
      </c>
      <c r="P493" s="49">
        <f>(F493+H493+J493+L493)*O493</f>
        <v/>
      </c>
      <c r="Q493" s="70">
        <f>M493*O493</f>
        <v/>
      </c>
      <c r="R493" s="70">
        <f>N493*O493</f>
        <v/>
      </c>
    </row>
    <row r="494">
      <c r="A494" s="49" t="n">
        <v>3</v>
      </c>
      <c r="B494" s="49" t="n">
        <v>14</v>
      </c>
      <c r="C494" s="72" t="inlineStr">
        <is>
          <t>А500С</t>
        </is>
      </c>
      <c r="D494" s="49" t="n">
        <v>7</v>
      </c>
      <c r="E494" s="69" t="n">
        <v>3.9</v>
      </c>
      <c r="F494" s="51" t="n">
        <v>2</v>
      </c>
      <c r="G494" s="69" t="n">
        <v>3.712</v>
      </c>
      <c r="H494" s="51" t="n">
        <v>1</v>
      </c>
      <c r="I494" s="21" t="n"/>
      <c r="J494" s="21" t="n"/>
      <c r="K494" s="21" t="n"/>
      <c r="L494" s="21" t="n"/>
      <c r="M494" s="37">
        <f>E494*F494+G494*H494+I494*J494+K494*L494</f>
        <v/>
      </c>
      <c r="N494" s="37">
        <f>Исходные!$B$13-M494</f>
        <v/>
      </c>
      <c r="O494" s="51" t="n">
        <v>1</v>
      </c>
      <c r="P494" s="49">
        <f>(F494+H494+J494+L494)*O494</f>
        <v/>
      </c>
      <c r="Q494" s="70">
        <f>M494*O494</f>
        <v/>
      </c>
      <c r="R494" s="70">
        <f>N494*O494</f>
        <v/>
      </c>
    </row>
    <row r="495">
      <c r="A495" s="49" t="n">
        <v>3</v>
      </c>
      <c r="B495" s="49" t="n">
        <v>14</v>
      </c>
      <c r="C495" s="72" t="inlineStr">
        <is>
          <t>А500С</t>
        </is>
      </c>
      <c r="D495" s="49" t="n">
        <v>8</v>
      </c>
      <c r="E495" s="69" t="n">
        <v>9.1</v>
      </c>
      <c r="F495" s="51" t="n">
        <v>1</v>
      </c>
      <c r="G495" s="69" t="n">
        <v>2.4</v>
      </c>
      <c r="H495" s="51" t="n">
        <v>1</v>
      </c>
      <c r="I495" s="21" t="n"/>
      <c r="J495" s="21" t="n"/>
      <c r="K495" s="21" t="n"/>
      <c r="L495" s="21" t="n"/>
      <c r="M495" s="37">
        <f>E495*F495+G495*H495+I495*J495+K495*L495</f>
        <v/>
      </c>
      <c r="N495" s="37">
        <f>Исходные!$B$13-M495</f>
        <v/>
      </c>
      <c r="O495" s="51" t="n">
        <v>2</v>
      </c>
      <c r="P495" s="49">
        <f>(F495+H495+J495+L495)*O495</f>
        <v/>
      </c>
      <c r="Q495" s="70">
        <f>M495*O495</f>
        <v/>
      </c>
      <c r="R495" s="70">
        <f>N495*O495</f>
        <v/>
      </c>
    </row>
    <row r="496">
      <c r="A496" s="49" t="n">
        <v>3</v>
      </c>
      <c r="B496" s="49" t="n">
        <v>14</v>
      </c>
      <c r="C496" s="72" t="inlineStr">
        <is>
          <t>А500С</t>
        </is>
      </c>
      <c r="D496" s="49" t="n">
        <v>9</v>
      </c>
      <c r="E496" s="69" t="n">
        <v>9.1</v>
      </c>
      <c r="F496" s="51" t="n">
        <v>1</v>
      </c>
      <c r="G496" s="69" t="n">
        <v>2.25</v>
      </c>
      <c r="H496" s="51" t="n">
        <v>1</v>
      </c>
      <c r="I496" s="21" t="n"/>
      <c r="J496" s="21" t="n"/>
      <c r="K496" s="21" t="n"/>
      <c r="L496" s="21" t="n"/>
      <c r="M496" s="37">
        <f>E496*F496+G496*H496+I496*J496+K496*L496</f>
        <v/>
      </c>
      <c r="N496" s="37">
        <f>Исходные!$B$13-M496</f>
        <v/>
      </c>
      <c r="O496" s="51" t="n">
        <v>2</v>
      </c>
      <c r="P496" s="49">
        <f>(F496+H496+J496+L496)*O496</f>
        <v/>
      </c>
      <c r="Q496" s="70">
        <f>M496*O496</f>
        <v/>
      </c>
      <c r="R496" s="70">
        <f>N496*O496</f>
        <v/>
      </c>
    </row>
    <row r="497">
      <c r="A497" s="49" t="n">
        <v>3</v>
      </c>
      <c r="B497" s="49" t="n">
        <v>14</v>
      </c>
      <c r="C497" s="72" t="inlineStr">
        <is>
          <t>А500С</t>
        </is>
      </c>
      <c r="D497" s="49" t="n">
        <v>10</v>
      </c>
      <c r="E497" s="69" t="n">
        <v>4.2</v>
      </c>
      <c r="F497" s="51" t="n">
        <v>2</v>
      </c>
      <c r="G497" s="69" t="n">
        <v>2.85</v>
      </c>
      <c r="H497" s="51" t="n">
        <v>1</v>
      </c>
      <c r="I497" s="21" t="n"/>
      <c r="J497" s="21" t="n"/>
      <c r="K497" s="21" t="n"/>
      <c r="L497" s="21" t="n"/>
      <c r="M497" s="37">
        <f>E497*F497+G497*H497+I497*J497+K497*L497</f>
        <v/>
      </c>
      <c r="N497" s="37">
        <f>Исходные!$B$13-M497</f>
        <v/>
      </c>
      <c r="O497" s="51" t="n">
        <v>2</v>
      </c>
      <c r="P497" s="49">
        <f>(F497+H497+J497+L497)*O497</f>
        <v/>
      </c>
      <c r="Q497" s="70">
        <f>M497*O497</f>
        <v/>
      </c>
      <c r="R497" s="70">
        <f>N497*O497</f>
        <v/>
      </c>
    </row>
    <row r="498">
      <c r="A498" s="49" t="n">
        <v>3</v>
      </c>
      <c r="B498" s="49" t="n">
        <v>14</v>
      </c>
      <c r="C498" s="72" t="inlineStr">
        <is>
          <t>А500С</t>
        </is>
      </c>
      <c r="D498" s="49" t="n">
        <v>11</v>
      </c>
      <c r="E498" s="69" t="n">
        <v>2.25</v>
      </c>
      <c r="F498" s="51" t="n">
        <v>5</v>
      </c>
      <c r="G498" s="21" t="n"/>
      <c r="H498" s="21" t="n"/>
      <c r="I498" s="21" t="n"/>
      <c r="J498" s="21" t="n"/>
      <c r="K498" s="21" t="n"/>
      <c r="L498" s="21" t="n"/>
      <c r="M498" s="37">
        <f>E498*F498+G498*H498+I498*J498+K498*L498</f>
        <v/>
      </c>
      <c r="N498" s="37">
        <f>Исходные!$B$13-M498</f>
        <v/>
      </c>
      <c r="O498" s="51" t="n">
        <v>12</v>
      </c>
      <c r="P498" s="49">
        <f>(F498+H498+J498+L498)*O498</f>
        <v/>
      </c>
      <c r="Q498" s="70">
        <f>M498*O498</f>
        <v/>
      </c>
      <c r="R498" s="70">
        <f>N498*O498</f>
        <v/>
      </c>
    </row>
    <row r="499">
      <c r="A499" s="49" t="n">
        <v>3</v>
      </c>
      <c r="B499" s="49" t="n">
        <v>14</v>
      </c>
      <c r="C499" s="72" t="inlineStr">
        <is>
          <t>А500С</t>
        </is>
      </c>
      <c r="D499" s="49" t="n">
        <v>12</v>
      </c>
      <c r="E499" s="69" t="n">
        <v>1.25</v>
      </c>
      <c r="F499" s="51" t="n">
        <v>9</v>
      </c>
      <c r="G499" s="21" t="n"/>
      <c r="H499" s="21" t="n"/>
      <c r="I499" s="21" t="n"/>
      <c r="J499" s="21" t="n"/>
      <c r="K499" s="21" t="n"/>
      <c r="L499" s="21" t="n"/>
      <c r="M499" s="37">
        <f>E499*F499+G499*H499+I499*J499+K499*L499</f>
        <v/>
      </c>
      <c r="N499" s="37">
        <f>Исходные!$B$13-M499</f>
        <v/>
      </c>
      <c r="O499" s="51" t="n">
        <v>3</v>
      </c>
      <c r="P499" s="49">
        <f>(F499+H499+J499+L499)*O499</f>
        <v/>
      </c>
      <c r="Q499" s="70">
        <f>M499*O499</f>
        <v/>
      </c>
      <c r="R499" s="70">
        <f>N499*O499</f>
        <v/>
      </c>
    </row>
    <row r="500">
      <c r="A500" s="49" t="n">
        <v>3</v>
      </c>
      <c r="B500" s="49" t="n">
        <v>14</v>
      </c>
      <c r="C500" s="72" t="inlineStr">
        <is>
          <t>А500С</t>
        </is>
      </c>
      <c r="D500" s="49" t="n">
        <v>13</v>
      </c>
      <c r="E500" s="69" t="n">
        <v>3.712</v>
      </c>
      <c r="F500" s="51" t="n">
        <v>3</v>
      </c>
      <c r="G500" s="21" t="n"/>
      <c r="H500" s="21" t="n"/>
      <c r="I500" s="21" t="n"/>
      <c r="J500" s="21" t="n"/>
      <c r="K500" s="21" t="n"/>
      <c r="L500" s="21" t="n"/>
      <c r="M500" s="37">
        <f>E500*F500+G500*H500+I500*J500+K500*L500</f>
        <v/>
      </c>
      <c r="N500" s="37">
        <f>Исходные!$B$13-M500</f>
        <v/>
      </c>
      <c r="O500" s="51" t="n">
        <v>11</v>
      </c>
      <c r="P500" s="49">
        <f>(F500+H500+J500+L500)*O500</f>
        <v/>
      </c>
      <c r="Q500" s="70">
        <f>M500*O500</f>
        <v/>
      </c>
      <c r="R500" s="70">
        <f>N500*O500</f>
        <v/>
      </c>
    </row>
    <row r="501">
      <c r="A501" s="49" t="n">
        <v>3</v>
      </c>
      <c r="B501" s="49" t="n">
        <v>14</v>
      </c>
      <c r="C501" s="72" t="inlineStr">
        <is>
          <t>А500С</t>
        </is>
      </c>
      <c r="D501" s="49" t="n">
        <v>14</v>
      </c>
      <c r="E501" s="69" t="n">
        <v>3.7</v>
      </c>
      <c r="F501" s="51" t="n">
        <v>3</v>
      </c>
      <c r="G501" s="21" t="n"/>
      <c r="H501" s="21" t="n"/>
      <c r="I501" s="21" t="n"/>
      <c r="J501" s="21" t="n"/>
      <c r="K501" s="21" t="n"/>
      <c r="L501" s="21" t="n"/>
      <c r="M501" s="37">
        <f>E501*F501+G501*H501+I501*J501+K501*L501</f>
        <v/>
      </c>
      <c r="N501" s="37">
        <f>Исходные!$B$13-M501</f>
        <v/>
      </c>
      <c r="O501" s="51" t="n">
        <v>1</v>
      </c>
      <c r="P501" s="49">
        <f>(F501+H501+J501+L501)*O501</f>
        <v/>
      </c>
      <c r="Q501" s="70">
        <f>M501*O501</f>
        <v/>
      </c>
      <c r="R501" s="70">
        <f>N501*O501</f>
        <v/>
      </c>
    </row>
    <row r="502">
      <c r="A502" s="49" t="n">
        <v>3</v>
      </c>
      <c r="B502" s="49" t="n">
        <v>14</v>
      </c>
      <c r="C502" s="72" t="inlineStr">
        <is>
          <t>А500С</t>
        </is>
      </c>
      <c r="D502" s="49" t="n">
        <v>15</v>
      </c>
      <c r="E502" s="69" t="n">
        <v>3.7</v>
      </c>
      <c r="F502" s="51" t="n">
        <v>2</v>
      </c>
      <c r="G502" s="69" t="n">
        <v>3.515</v>
      </c>
      <c r="H502" s="51" t="n">
        <v>1</v>
      </c>
      <c r="I502" s="21" t="n"/>
      <c r="J502" s="21" t="n"/>
      <c r="K502" s="21" t="n"/>
      <c r="L502" s="21" t="n"/>
      <c r="M502" s="37">
        <f>E502*F502+G502*H502+I502*J502+K502*L502</f>
        <v/>
      </c>
      <c r="N502" s="37">
        <f>Исходные!$B$13-M502</f>
        <v/>
      </c>
      <c r="O502" s="51" t="n">
        <v>1</v>
      </c>
      <c r="P502" s="49">
        <f>(F502+H502+J502+L502)*O502</f>
        <v/>
      </c>
      <c r="Q502" s="70">
        <f>M502*O502</f>
        <v/>
      </c>
      <c r="R502" s="70">
        <f>N502*O502</f>
        <v/>
      </c>
    </row>
    <row r="503">
      <c r="A503" s="49" t="n">
        <v>3</v>
      </c>
      <c r="B503" s="49" t="n">
        <v>14</v>
      </c>
      <c r="C503" s="72" t="inlineStr">
        <is>
          <t>А500С</t>
        </is>
      </c>
      <c r="D503" s="49" t="n">
        <v>16</v>
      </c>
      <c r="E503" s="69" t="n">
        <v>2.7</v>
      </c>
      <c r="F503" s="51" t="n">
        <v>4</v>
      </c>
      <c r="G503" s="21" t="n"/>
      <c r="H503" s="21" t="n"/>
      <c r="I503" s="21" t="n"/>
      <c r="J503" s="21" t="n"/>
      <c r="K503" s="21" t="n"/>
      <c r="L503" s="21" t="n"/>
      <c r="M503" s="37">
        <f>E503*F503+G503*H503+I503*J503+K503*L503</f>
        <v/>
      </c>
      <c r="N503" s="37">
        <f>Исходные!$B$13-M503</f>
        <v/>
      </c>
      <c r="O503" s="51" t="n">
        <v>1</v>
      </c>
      <c r="P503" s="49">
        <f>(F503+H503+J503+L503)*O503</f>
        <v/>
      </c>
      <c r="Q503" s="70">
        <f>M503*O503</f>
        <v/>
      </c>
      <c r="R503" s="70">
        <f>N503*O503</f>
        <v/>
      </c>
    </row>
    <row r="504">
      <c r="A504" s="49" t="n">
        <v>3</v>
      </c>
      <c r="B504" s="49" t="n">
        <v>14</v>
      </c>
      <c r="C504" s="72" t="inlineStr">
        <is>
          <t>А500С</t>
        </is>
      </c>
      <c r="D504" s="49" t="n">
        <v>17</v>
      </c>
      <c r="E504" s="69" t="n">
        <v>1.95</v>
      </c>
      <c r="F504" s="51" t="n">
        <v>4</v>
      </c>
      <c r="G504" s="69" t="n">
        <v>1.45</v>
      </c>
      <c r="H504" s="51" t="n">
        <v>2</v>
      </c>
      <c r="I504" s="21" t="n"/>
      <c r="J504" s="21" t="n"/>
      <c r="K504" s="21" t="n"/>
      <c r="L504" s="21" t="n"/>
      <c r="M504" s="37">
        <f>E504*F504+G504*H504+I504*J504+K504*L504</f>
        <v/>
      </c>
      <c r="N504" s="37">
        <f>Исходные!$B$13-M504</f>
        <v/>
      </c>
      <c r="O504" s="51" t="n">
        <v>1</v>
      </c>
      <c r="P504" s="49">
        <f>(F504+H504+J504+L504)*O504</f>
        <v/>
      </c>
      <c r="Q504" s="70">
        <f>M504*O504</f>
        <v/>
      </c>
      <c r="R504" s="70">
        <f>N504*O504</f>
        <v/>
      </c>
    </row>
    <row r="505">
      <c r="A505" s="49" t="n">
        <v>3</v>
      </c>
      <c r="B505" s="49" t="n">
        <v>14</v>
      </c>
      <c r="C505" s="72" t="inlineStr">
        <is>
          <t>А500С</t>
        </is>
      </c>
      <c r="D505" s="49" t="n">
        <v>18</v>
      </c>
      <c r="E505" s="69" t="n">
        <v>1.25</v>
      </c>
      <c r="F505" s="51" t="n">
        <v>4</v>
      </c>
      <c r="G505" s="21" t="n"/>
      <c r="H505" s="21" t="n"/>
      <c r="I505" s="21" t="n"/>
      <c r="J505" s="21" t="n"/>
      <c r="K505" s="21" t="n"/>
      <c r="L505" s="21" t="n"/>
      <c r="M505" s="37">
        <f>E505*F505+G505*H505+I505*J505+K505*L505</f>
        <v/>
      </c>
      <c r="N505" s="37">
        <f>Исходные!$B$13-M505</f>
        <v/>
      </c>
      <c r="O505" s="51" t="n">
        <v>1</v>
      </c>
      <c r="P505" s="49">
        <f>(F505+H505+J505+L505)*O505</f>
        <v/>
      </c>
      <c r="Q505" s="70">
        <f>M505*O505</f>
        <v/>
      </c>
      <c r="R505" s="70">
        <f>N505*O505</f>
        <v/>
      </c>
    </row>
    <row r="506">
      <c r="A506" s="49" t="n">
        <v>3</v>
      </c>
      <c r="B506" s="49" t="n">
        <v>12</v>
      </c>
      <c r="C506" s="72" t="inlineStr">
        <is>
          <t>А500С</t>
        </is>
      </c>
      <c r="D506" s="49" t="n">
        <v>1</v>
      </c>
      <c r="E506" s="69" t="n">
        <v>11.7</v>
      </c>
      <c r="F506" s="51" t="n">
        <v>1</v>
      </c>
      <c r="G506" s="21" t="n"/>
      <c r="H506" s="21" t="n"/>
      <c r="I506" s="21" t="n"/>
      <c r="J506" s="21" t="n"/>
      <c r="K506" s="21" t="n"/>
      <c r="L506" s="21" t="n"/>
      <c r="M506" s="37">
        <f>E506*F506+G506*H506+I506*J506+K506*L506</f>
        <v/>
      </c>
      <c r="N506" s="37">
        <f>Исходные!$B$13-M506</f>
        <v/>
      </c>
      <c r="O506" s="51" t="n">
        <v>8</v>
      </c>
      <c r="P506" s="49">
        <f>(F506+H506+J506+L506)*O506</f>
        <v/>
      </c>
      <c r="Q506" s="70">
        <f>M506*O506</f>
        <v/>
      </c>
      <c r="R506" s="70">
        <f>N506*O506</f>
        <v/>
      </c>
    </row>
    <row r="507">
      <c r="A507" s="49" t="n">
        <v>3</v>
      </c>
      <c r="B507" s="49" t="n">
        <v>12</v>
      </c>
      <c r="C507" s="72" t="inlineStr">
        <is>
          <t>А500С</t>
        </is>
      </c>
      <c r="D507" s="49" t="n">
        <v>2</v>
      </c>
      <c r="E507" s="69" t="n">
        <v>2.05</v>
      </c>
      <c r="F507" s="51" t="n">
        <v>5</v>
      </c>
      <c r="G507" s="69" t="n">
        <v>1.45</v>
      </c>
      <c r="H507" s="51" t="n">
        <v>1</v>
      </c>
      <c r="I507" s="21" t="n"/>
      <c r="J507" s="21" t="n"/>
      <c r="K507" s="21" t="n"/>
      <c r="L507" s="21" t="n"/>
      <c r="M507" s="37">
        <f>E507*F507+G507*H507+I507*J507+K507*L507</f>
        <v/>
      </c>
      <c r="N507" s="37">
        <f>Исходные!$B$13-M507</f>
        <v/>
      </c>
      <c r="O507" s="51" t="n">
        <v>1</v>
      </c>
      <c r="P507" s="49">
        <f>(F507+H507+J507+L507)*O507</f>
        <v/>
      </c>
      <c r="Q507" s="70">
        <f>M507*O507</f>
        <v/>
      </c>
      <c r="R507" s="70">
        <f>N507*O507</f>
        <v/>
      </c>
    </row>
    <row r="508">
      <c r="A508" s="49" t="n">
        <v>3</v>
      </c>
      <c r="B508" s="49" t="n">
        <v>12</v>
      </c>
      <c r="C508" s="72" t="inlineStr">
        <is>
          <t>А500С</t>
        </is>
      </c>
      <c r="D508" s="49" t="n">
        <v>3</v>
      </c>
      <c r="E508" s="69" t="n">
        <v>3.4</v>
      </c>
      <c r="F508" s="51" t="n">
        <v>3</v>
      </c>
      <c r="G508" s="69" t="n">
        <v>1.45</v>
      </c>
      <c r="H508" s="51" t="n">
        <v>1</v>
      </c>
      <c r="I508" s="21" t="n"/>
      <c r="J508" s="21" t="n"/>
      <c r="K508" s="21" t="n"/>
      <c r="L508" s="21" t="n"/>
      <c r="M508" s="37">
        <f>E508*F508+G508*H508+I508*J508+K508*L508</f>
        <v/>
      </c>
      <c r="N508" s="37">
        <f>Исходные!$B$13-M508</f>
        <v/>
      </c>
      <c r="O508" s="51" t="n">
        <v>1</v>
      </c>
      <c r="P508" s="49">
        <f>(F508+H508+J508+L508)*O508</f>
        <v/>
      </c>
      <c r="Q508" s="70">
        <f>M508*O508</f>
        <v/>
      </c>
      <c r="R508" s="70">
        <f>N508*O508</f>
        <v/>
      </c>
    </row>
    <row r="509">
      <c r="A509" s="49" t="n">
        <v>3</v>
      </c>
      <c r="B509" s="49" t="n">
        <v>12</v>
      </c>
      <c r="C509" s="72" t="inlineStr">
        <is>
          <t>А500С</t>
        </is>
      </c>
      <c r="D509" s="49" t="n">
        <v>4</v>
      </c>
      <c r="E509" s="69" t="n">
        <v>2.4</v>
      </c>
      <c r="F509" s="51" t="n">
        <v>1</v>
      </c>
      <c r="G509" s="69" t="n">
        <v>2.3</v>
      </c>
      <c r="H509" s="51" t="n">
        <v>4</v>
      </c>
      <c r="I509" s="21" t="n"/>
      <c r="J509" s="21" t="n"/>
      <c r="K509" s="21" t="n"/>
      <c r="L509" s="21" t="n"/>
      <c r="M509" s="37">
        <f>E509*F509+G509*H509+I509*J509+K509*L509</f>
        <v/>
      </c>
      <c r="N509" s="37">
        <f>Исходные!$B$13-M509</f>
        <v/>
      </c>
      <c r="O509" s="51" t="n">
        <v>1</v>
      </c>
      <c r="P509" s="49">
        <f>(F509+H509+J509+L509)*O509</f>
        <v/>
      </c>
      <c r="Q509" s="70">
        <f>M509*O509</f>
        <v/>
      </c>
      <c r="R509" s="70">
        <f>N509*O509</f>
        <v/>
      </c>
    </row>
    <row r="510">
      <c r="A510" s="49" t="n">
        <v>3</v>
      </c>
      <c r="B510" s="49" t="n">
        <v>12</v>
      </c>
      <c r="C510" s="72" t="inlineStr">
        <is>
          <t>А500С</t>
        </is>
      </c>
      <c r="D510" s="49" t="n">
        <v>5</v>
      </c>
      <c r="E510" s="69" t="n">
        <v>2.05</v>
      </c>
      <c r="F510" s="51" t="n">
        <v>4</v>
      </c>
      <c r="G510" s="69" t="n">
        <v>1.95</v>
      </c>
      <c r="H510" s="51" t="n">
        <v>1</v>
      </c>
      <c r="I510" s="69" t="n">
        <v>1.45</v>
      </c>
      <c r="J510" s="51" t="n">
        <v>1</v>
      </c>
      <c r="K510" s="21" t="n"/>
      <c r="L510" s="21" t="n"/>
      <c r="M510" s="37">
        <f>E510*F510+G510*H510+I510*J510+K510*L510</f>
        <v/>
      </c>
      <c r="N510" s="37">
        <f>Исходные!$B$13-M510</f>
        <v/>
      </c>
      <c r="O510" s="51" t="n">
        <v>1</v>
      </c>
      <c r="P510" s="49">
        <f>(F510+H510+J510+L510)*O510</f>
        <v/>
      </c>
      <c r="Q510" s="70">
        <f>M510*O510</f>
        <v/>
      </c>
      <c r="R510" s="70">
        <f>N510*O510</f>
        <v/>
      </c>
    </row>
    <row r="511">
      <c r="A511" s="49" t="n">
        <v>3</v>
      </c>
      <c r="B511" s="49" t="n">
        <v>12</v>
      </c>
      <c r="C511" s="72" t="inlineStr">
        <is>
          <t>А500С</t>
        </is>
      </c>
      <c r="D511" s="49" t="n">
        <v>6</v>
      </c>
      <c r="E511" s="69" t="n">
        <v>3.8</v>
      </c>
      <c r="F511" s="51" t="n">
        <v>3</v>
      </c>
      <c r="G511" s="21" t="n"/>
      <c r="H511" s="21" t="n"/>
      <c r="I511" s="21" t="n"/>
      <c r="J511" s="21" t="n"/>
      <c r="K511" s="21" t="n"/>
      <c r="L511" s="21" t="n"/>
      <c r="M511" s="37">
        <f>E511*F511+G511*H511+I511*J511+K511*L511</f>
        <v/>
      </c>
      <c r="N511" s="37">
        <f>Исходные!$B$13-M511</f>
        <v/>
      </c>
      <c r="O511" s="51" t="n">
        <v>2</v>
      </c>
      <c r="P511" s="49">
        <f>(F511+H511+J511+L511)*O511</f>
        <v/>
      </c>
      <c r="Q511" s="70">
        <f>M511*O511</f>
        <v/>
      </c>
      <c r="R511" s="70">
        <f>N511*O511</f>
        <v/>
      </c>
    </row>
    <row r="512">
      <c r="A512" s="49" t="n">
        <v>3</v>
      </c>
      <c r="B512" s="49" t="n">
        <v>12</v>
      </c>
      <c r="C512" s="72" t="inlineStr">
        <is>
          <t>А500С</t>
        </is>
      </c>
      <c r="D512" s="49" t="n">
        <v>7</v>
      </c>
      <c r="E512" s="69" t="n">
        <v>1.45</v>
      </c>
      <c r="F512" s="51" t="n">
        <v>2</v>
      </c>
      <c r="G512" s="69" t="n">
        <v>1.4</v>
      </c>
      <c r="H512" s="51" t="n">
        <v>6</v>
      </c>
      <c r="I512" s="21" t="n"/>
      <c r="J512" s="21" t="n"/>
      <c r="K512" s="21" t="n"/>
      <c r="L512" s="21" t="n"/>
      <c r="M512" s="37">
        <f>E512*F512+G512*H512+I512*J512+K512*L512</f>
        <v/>
      </c>
      <c r="N512" s="37">
        <f>Исходные!$B$13-M512</f>
        <v/>
      </c>
      <c r="O512" s="51" t="n">
        <v>1</v>
      </c>
      <c r="P512" s="49">
        <f>(F512+H512+J512+L512)*O512</f>
        <v/>
      </c>
      <c r="Q512" s="70">
        <f>M512*O512</f>
        <v/>
      </c>
      <c r="R512" s="70">
        <f>N512*O512</f>
        <v/>
      </c>
    </row>
    <row r="513">
      <c r="A513" s="49" t="n">
        <v>3</v>
      </c>
      <c r="B513" s="49" t="n">
        <v>12</v>
      </c>
      <c r="C513" s="72" t="inlineStr">
        <is>
          <t>А500С</t>
        </is>
      </c>
      <c r="D513" s="49" t="n">
        <v>8</v>
      </c>
      <c r="E513" s="69" t="n">
        <v>1.25</v>
      </c>
      <c r="F513" s="51" t="n">
        <v>9</v>
      </c>
      <c r="G513" s="21" t="n"/>
      <c r="H513" s="21" t="n"/>
      <c r="I513" s="21" t="n"/>
      <c r="J513" s="21" t="n"/>
      <c r="K513" s="21" t="n"/>
      <c r="L513" s="21" t="n"/>
      <c r="M513" s="37">
        <f>E513*F513+G513*H513+I513*J513+K513*L513</f>
        <v/>
      </c>
      <c r="N513" s="37">
        <f>Исходные!$B$13-M513</f>
        <v/>
      </c>
      <c r="O513" s="51" t="n">
        <v>4</v>
      </c>
      <c r="P513" s="49">
        <f>(F513+H513+J513+L513)*O513</f>
        <v/>
      </c>
      <c r="Q513" s="70">
        <f>M513*O513</f>
        <v/>
      </c>
      <c r="R513" s="70">
        <f>N513*O513</f>
        <v/>
      </c>
    </row>
    <row r="514">
      <c r="A514" s="49" t="n">
        <v>3</v>
      </c>
      <c r="B514" s="49" t="n">
        <v>12</v>
      </c>
      <c r="C514" s="72" t="inlineStr">
        <is>
          <t>А500С</t>
        </is>
      </c>
      <c r="D514" s="49" t="n">
        <v>9</v>
      </c>
      <c r="E514" s="69" t="n">
        <v>3.8</v>
      </c>
      <c r="F514" s="51" t="n">
        <v>2</v>
      </c>
      <c r="G514" s="69" t="n">
        <v>3.6</v>
      </c>
      <c r="H514" s="51" t="n">
        <v>1</v>
      </c>
      <c r="I514" s="21" t="n"/>
      <c r="J514" s="21" t="n"/>
      <c r="K514" s="21" t="n"/>
      <c r="L514" s="21" t="n"/>
      <c r="M514" s="37">
        <f>E514*F514+G514*H514+I514*J514+K514*L514</f>
        <v/>
      </c>
      <c r="N514" s="37">
        <f>Исходные!$B$13-M514</f>
        <v/>
      </c>
      <c r="O514" s="51" t="n">
        <v>1</v>
      </c>
      <c r="P514" s="49">
        <f>(F514+H514+J514+L514)*O514</f>
        <v/>
      </c>
      <c r="Q514" s="70">
        <f>M514*O514</f>
        <v/>
      </c>
      <c r="R514" s="70">
        <f>N514*O514</f>
        <v/>
      </c>
    </row>
    <row r="515">
      <c r="A515" s="49" t="n">
        <v>3</v>
      </c>
      <c r="B515" s="49" t="n">
        <v>12</v>
      </c>
      <c r="C515" s="72" t="inlineStr">
        <is>
          <t>А500С</t>
        </is>
      </c>
      <c r="D515" s="49" t="n">
        <v>10</v>
      </c>
      <c r="E515" s="69" t="n">
        <v>1.95</v>
      </c>
      <c r="F515" s="51" t="n">
        <v>5</v>
      </c>
      <c r="G515" s="69" t="n">
        <v>1.45</v>
      </c>
      <c r="H515" s="51" t="n">
        <v>1</v>
      </c>
      <c r="I515" s="21" t="n"/>
      <c r="J515" s="21" t="n"/>
      <c r="K515" s="21" t="n"/>
      <c r="L515" s="21" t="n"/>
      <c r="M515" s="37">
        <f>E515*F515+G515*H515+I515*J515+K515*L515</f>
        <v/>
      </c>
      <c r="N515" s="37">
        <f>Исходные!$B$13-M515</f>
        <v/>
      </c>
      <c r="O515" s="51" t="n">
        <v>1</v>
      </c>
      <c r="P515" s="49">
        <f>(F515+H515+J515+L515)*O515</f>
        <v/>
      </c>
      <c r="Q515" s="70">
        <f>M515*O515</f>
        <v/>
      </c>
      <c r="R515" s="70">
        <f>N515*O515</f>
        <v/>
      </c>
    </row>
    <row r="516">
      <c r="A516" s="49" t="n">
        <v>3</v>
      </c>
      <c r="B516" s="49" t="n">
        <v>12</v>
      </c>
      <c r="C516" s="72" t="inlineStr">
        <is>
          <t>А500С</t>
        </is>
      </c>
      <c r="D516" s="49" t="n">
        <v>11</v>
      </c>
      <c r="E516" s="69" t="n">
        <v>5.5</v>
      </c>
      <c r="F516" s="51" t="n">
        <v>2</v>
      </c>
      <c r="G516" s="21" t="n"/>
      <c r="H516" s="21" t="n"/>
      <c r="I516" s="21" t="n"/>
      <c r="J516" s="21" t="n"/>
      <c r="K516" s="21" t="n"/>
      <c r="L516" s="21" t="n"/>
      <c r="M516" s="37">
        <f>E516*F516+G516*H516+I516*J516+K516*L516</f>
        <v/>
      </c>
      <c r="N516" s="37">
        <f>Исходные!$B$13-M516</f>
        <v/>
      </c>
      <c r="O516" s="51" t="n">
        <v>1</v>
      </c>
      <c r="P516" s="49">
        <f>(F516+H516+J516+L516)*O516</f>
        <v/>
      </c>
      <c r="Q516" s="70">
        <f>M516*O516</f>
        <v/>
      </c>
      <c r="R516" s="70">
        <f>N516*O516</f>
        <v/>
      </c>
    </row>
    <row r="517">
      <c r="A517" s="49" t="n">
        <v>3</v>
      </c>
      <c r="B517" s="49" t="n">
        <v>12</v>
      </c>
      <c r="C517" s="72" t="inlineStr">
        <is>
          <t>А500С</t>
        </is>
      </c>
      <c r="D517" s="49" t="n">
        <v>12</v>
      </c>
      <c r="E517" s="69" t="n">
        <v>2.2</v>
      </c>
      <c r="F517" s="51" t="n">
        <v>5</v>
      </c>
      <c r="G517" s="21" t="n"/>
      <c r="H517" s="21" t="n"/>
      <c r="I517" s="21" t="n"/>
      <c r="J517" s="21" t="n"/>
      <c r="K517" s="21" t="n"/>
      <c r="L517" s="21" t="n"/>
      <c r="M517" s="37">
        <f>E517*F517+G517*H517+I517*J517+K517*L517</f>
        <v/>
      </c>
      <c r="N517" s="37">
        <f>Исходные!$B$13-M517</f>
        <v/>
      </c>
      <c r="O517" s="51" t="n">
        <v>2</v>
      </c>
      <c r="P517" s="49">
        <f>(F517+H517+J517+L517)*O517</f>
        <v/>
      </c>
      <c r="Q517" s="70">
        <f>M517*O517</f>
        <v/>
      </c>
      <c r="R517" s="70">
        <f>N517*O517</f>
        <v/>
      </c>
    </row>
    <row r="518">
      <c r="A518" s="49" t="n">
        <v>3</v>
      </c>
      <c r="B518" s="49" t="n">
        <v>12</v>
      </c>
      <c r="C518" s="72" t="inlineStr">
        <is>
          <t>А500С</t>
        </is>
      </c>
      <c r="D518" s="49" t="n">
        <v>13</v>
      </c>
      <c r="E518" s="69" t="n">
        <v>5.496</v>
      </c>
      <c r="F518" s="51" t="n">
        <v>2</v>
      </c>
      <c r="G518" s="21" t="n"/>
      <c r="H518" s="21" t="n"/>
      <c r="I518" s="21" t="n"/>
      <c r="J518" s="21" t="n"/>
      <c r="K518" s="21" t="n"/>
      <c r="L518" s="21" t="n"/>
      <c r="M518" s="37">
        <f>E518*F518+G518*H518+I518*J518+K518*L518</f>
        <v/>
      </c>
      <c r="N518" s="37">
        <f>Исходные!$B$13-M518</f>
        <v/>
      </c>
      <c r="O518" s="51" t="n">
        <v>4</v>
      </c>
      <c r="P518" s="49">
        <f>(F518+H518+J518+L518)*O518</f>
        <v/>
      </c>
      <c r="Q518" s="70">
        <f>M518*O518</f>
        <v/>
      </c>
      <c r="R518" s="70">
        <f>N518*O518</f>
        <v/>
      </c>
    </row>
    <row r="519">
      <c r="A519" s="49" t="n">
        <v>3</v>
      </c>
      <c r="B519" s="49" t="n">
        <v>12</v>
      </c>
      <c r="C519" s="72" t="inlineStr">
        <is>
          <t>А500С</t>
        </is>
      </c>
      <c r="D519" s="49" t="n">
        <v>14</v>
      </c>
      <c r="E519" s="69" t="n">
        <v>1.4</v>
      </c>
      <c r="F519" s="51" t="n">
        <v>6</v>
      </c>
      <c r="G519" s="69" t="n">
        <v>1.25</v>
      </c>
      <c r="H519" s="51" t="n">
        <v>2</v>
      </c>
      <c r="I519" s="21" t="n"/>
      <c r="J519" s="21" t="n"/>
      <c r="K519" s="21" t="n"/>
      <c r="L519" s="21" t="n"/>
      <c r="M519" s="37">
        <f>E519*F519+G519*H519+I519*J519+K519*L519</f>
        <v/>
      </c>
      <c r="N519" s="37">
        <f>Исходные!$B$13-M519</f>
        <v/>
      </c>
      <c r="O519" s="51" t="n">
        <v>1</v>
      </c>
      <c r="P519" s="49">
        <f>(F519+H519+J519+L519)*O519</f>
        <v/>
      </c>
      <c r="Q519" s="70">
        <f>M519*O519</f>
        <v/>
      </c>
      <c r="R519" s="70">
        <f>N519*O519</f>
        <v/>
      </c>
    </row>
    <row r="520">
      <c r="A520" s="49" t="n">
        <v>3</v>
      </c>
      <c r="B520" s="49" t="n">
        <v>12</v>
      </c>
      <c r="C520" s="72" t="inlineStr">
        <is>
          <t>А500С</t>
        </is>
      </c>
      <c r="D520" s="49" t="n">
        <v>15</v>
      </c>
      <c r="E520" s="69" t="n">
        <v>3.6</v>
      </c>
      <c r="F520" s="51" t="n">
        <v>3</v>
      </c>
      <c r="G520" s="21" t="n"/>
      <c r="H520" s="21" t="n"/>
      <c r="I520" s="21" t="n"/>
      <c r="J520" s="21" t="n"/>
      <c r="K520" s="21" t="n"/>
      <c r="L520" s="21" t="n"/>
      <c r="M520" s="37">
        <f>E520*F520+G520*H520+I520*J520+K520*L520</f>
        <v/>
      </c>
      <c r="N520" s="37">
        <f>Исходные!$B$13-M520</f>
        <v/>
      </c>
      <c r="O520" s="51" t="n">
        <v>1</v>
      </c>
      <c r="P520" s="49">
        <f>(F520+H520+J520+L520)*O520</f>
        <v/>
      </c>
      <c r="Q520" s="70">
        <f>M520*O520</f>
        <v/>
      </c>
      <c r="R520" s="70">
        <f>N520*O520</f>
        <v/>
      </c>
    </row>
    <row r="521">
      <c r="A521" s="49" t="n">
        <v>3</v>
      </c>
      <c r="B521" s="49" t="n">
        <v>12</v>
      </c>
      <c r="C521" s="72" t="inlineStr">
        <is>
          <t>А500С</t>
        </is>
      </c>
      <c r="D521" s="49" t="n">
        <v>16</v>
      </c>
      <c r="E521" s="69" t="n">
        <v>1.2</v>
      </c>
      <c r="F521" s="51" t="n">
        <v>9</v>
      </c>
      <c r="G521" s="21" t="n"/>
      <c r="H521" s="21" t="n"/>
      <c r="I521" s="21" t="n"/>
      <c r="J521" s="21" t="n"/>
      <c r="K521" s="21" t="n"/>
      <c r="L521" s="21" t="n"/>
      <c r="M521" s="37">
        <f>E521*F521+G521*H521+I521*J521+K521*L521</f>
        <v/>
      </c>
      <c r="N521" s="37">
        <f>Исходные!$B$13-M521</f>
        <v/>
      </c>
      <c r="O521" s="51" t="n">
        <v>1</v>
      </c>
      <c r="P521" s="49">
        <f>(F521+H521+J521+L521)*O521</f>
        <v/>
      </c>
      <c r="Q521" s="70">
        <f>M521*O521</f>
        <v/>
      </c>
      <c r="R521" s="70">
        <f>N521*O521</f>
        <v/>
      </c>
    </row>
    <row r="522">
      <c r="A522" s="49" t="n">
        <v>3</v>
      </c>
      <c r="B522" s="49" t="n">
        <v>12</v>
      </c>
      <c r="C522" s="72" t="inlineStr">
        <is>
          <t>А500С</t>
        </is>
      </c>
      <c r="D522" s="49" t="n">
        <v>17</v>
      </c>
      <c r="E522" s="69" t="n">
        <v>10.6</v>
      </c>
      <c r="F522" s="51" t="n">
        <v>1</v>
      </c>
      <c r="G522" s="21" t="n"/>
      <c r="H522" s="21" t="n"/>
      <c r="I522" s="21" t="n"/>
      <c r="J522" s="21" t="n"/>
      <c r="K522" s="21" t="n"/>
      <c r="L522" s="21" t="n"/>
      <c r="M522" s="37">
        <f>E522*F522+G522*H522+I522*J522+K522*L522</f>
        <v/>
      </c>
      <c r="N522" s="37">
        <f>Исходные!$B$13-M522</f>
        <v/>
      </c>
      <c r="O522" s="51" t="n">
        <v>4</v>
      </c>
      <c r="P522" s="49">
        <f>(F522+H522+J522+L522)*O522</f>
        <v/>
      </c>
      <c r="Q522" s="70">
        <f>M522*O522</f>
        <v/>
      </c>
      <c r="R522" s="70">
        <f>N522*O522</f>
        <v/>
      </c>
    </row>
    <row r="523">
      <c r="A523" s="49" t="n">
        <v>3</v>
      </c>
      <c r="B523" s="49" t="n">
        <v>12</v>
      </c>
      <c r="C523" s="72" t="inlineStr">
        <is>
          <t>А500С</t>
        </is>
      </c>
      <c r="D523" s="49" t="n">
        <v>18</v>
      </c>
      <c r="E523" s="69" t="n">
        <v>3.4</v>
      </c>
      <c r="F523" s="51" t="n">
        <v>1</v>
      </c>
      <c r="G523" s="69" t="n">
        <v>2.4</v>
      </c>
      <c r="H523" s="51" t="n">
        <v>3</v>
      </c>
      <c r="I523" s="21" t="n"/>
      <c r="J523" s="21" t="n"/>
      <c r="K523" s="21" t="n"/>
      <c r="L523" s="21" t="n"/>
      <c r="M523" s="37">
        <f>E523*F523+G523*H523+I523*J523+K523*L523</f>
        <v/>
      </c>
      <c r="N523" s="37">
        <f>Исходные!$B$13-M523</f>
        <v/>
      </c>
      <c r="O523" s="51" t="n">
        <v>1</v>
      </c>
      <c r="P523" s="49">
        <f>(F523+H523+J523+L523)*O523</f>
        <v/>
      </c>
      <c r="Q523" s="70">
        <f>M523*O523</f>
        <v/>
      </c>
      <c r="R523" s="70">
        <f>N523*O523</f>
        <v/>
      </c>
    </row>
    <row r="524">
      <c r="A524" s="49" t="n">
        <v>3</v>
      </c>
      <c r="B524" s="49" t="n">
        <v>12</v>
      </c>
      <c r="C524" s="72" t="inlineStr">
        <is>
          <t>А500С</t>
        </is>
      </c>
      <c r="D524" s="49" t="n">
        <v>19</v>
      </c>
      <c r="E524" s="69" t="n">
        <v>2.2</v>
      </c>
      <c r="F524" s="51" t="n">
        <v>2</v>
      </c>
      <c r="G524" s="69" t="n">
        <v>2.05</v>
      </c>
      <c r="H524" s="51" t="n">
        <v>3</v>
      </c>
      <c r="I524" s="21" t="n"/>
      <c r="J524" s="21" t="n"/>
      <c r="K524" s="21" t="n"/>
      <c r="L524" s="21" t="n"/>
      <c r="M524" s="37">
        <f>E524*F524+G524*H524+I524*J524+K524*L524</f>
        <v/>
      </c>
      <c r="N524" s="37">
        <f>Исходные!$B$13-M524</f>
        <v/>
      </c>
      <c r="O524" s="51" t="n">
        <v>1</v>
      </c>
      <c r="P524" s="49">
        <f>(F524+H524+J524+L524)*O524</f>
        <v/>
      </c>
      <c r="Q524" s="70">
        <f>M524*O524</f>
        <v/>
      </c>
      <c r="R524" s="70">
        <f>N524*O524</f>
        <v/>
      </c>
    </row>
    <row r="525">
      <c r="A525" s="49" t="n">
        <v>3</v>
      </c>
      <c r="B525" s="49" t="n">
        <v>12</v>
      </c>
      <c r="C525" s="72" t="inlineStr">
        <is>
          <t>А500С</t>
        </is>
      </c>
      <c r="D525" s="49" t="n">
        <v>20</v>
      </c>
      <c r="E525" s="69" t="n">
        <v>1.2</v>
      </c>
      <c r="F525" s="51" t="n">
        <v>3</v>
      </c>
      <c r="G525" s="21" t="n"/>
      <c r="H525" s="21" t="n"/>
      <c r="I525" s="21" t="n"/>
      <c r="J525" s="21" t="n"/>
      <c r="K525" s="21" t="n"/>
      <c r="L525" s="21" t="n"/>
      <c r="M525" s="37">
        <f>E525*F525+G525*H525+I525*J525+K525*L525</f>
        <v/>
      </c>
      <c r="N525" s="37">
        <f>Исходные!$B$13-M525</f>
        <v/>
      </c>
      <c r="O525" s="51" t="n">
        <v>1</v>
      </c>
      <c r="P525" s="49">
        <f>(F525+H525+J525+L525)*O525</f>
        <v/>
      </c>
      <c r="Q525" s="70">
        <f>M525*O525</f>
        <v/>
      </c>
      <c r="R525" s="70">
        <f>N525*O525</f>
        <v/>
      </c>
    </row>
    <row r="526">
      <c r="A526" s="49" t="n">
        <v>3</v>
      </c>
      <c r="B526" s="49" t="n">
        <v>10</v>
      </c>
      <c r="C526" s="72" t="inlineStr">
        <is>
          <t>А500С</t>
        </is>
      </c>
      <c r="D526" s="49" t="n">
        <v>1</v>
      </c>
      <c r="E526" s="69" t="n">
        <v>11.7</v>
      </c>
      <c r="F526" s="51" t="n">
        <v>1</v>
      </c>
      <c r="G526" s="21" t="n"/>
      <c r="H526" s="21" t="n"/>
      <c r="I526" s="21" t="n"/>
      <c r="J526" s="21" t="n"/>
      <c r="K526" s="21" t="n"/>
      <c r="L526" s="21" t="n"/>
      <c r="M526" s="37">
        <f>E526*F526+G526*H526+I526*J526+K526*L526</f>
        <v/>
      </c>
      <c r="N526" s="37">
        <f>Исходные!$B$13-M526</f>
        <v/>
      </c>
      <c r="O526" s="51" t="n">
        <v>616</v>
      </c>
      <c r="P526" s="49">
        <f>(F526+H526+J526+L526)*O526</f>
        <v/>
      </c>
      <c r="Q526" s="70">
        <f>M526*O526</f>
        <v/>
      </c>
      <c r="R526" s="70">
        <f>N526*O526</f>
        <v/>
      </c>
    </row>
    <row r="527">
      <c r="A527" s="49" t="n">
        <v>3</v>
      </c>
      <c r="B527" s="49" t="n">
        <v>10</v>
      </c>
      <c r="C527" s="72" t="inlineStr">
        <is>
          <t>А500С</t>
        </is>
      </c>
      <c r="D527" s="49" t="n">
        <v>2</v>
      </c>
      <c r="E527" s="69" t="n">
        <v>9.18</v>
      </c>
      <c r="F527" s="51" t="n">
        <v>1</v>
      </c>
      <c r="G527" s="69" t="n">
        <v>1.95</v>
      </c>
      <c r="H527" s="51" t="n">
        <v>1</v>
      </c>
      <c r="I527" s="69" t="n">
        <v>0.57</v>
      </c>
      <c r="J527" s="51" t="n">
        <v>1</v>
      </c>
      <c r="K527" s="21" t="n"/>
      <c r="L527" s="21" t="n"/>
      <c r="M527" s="37">
        <f>E527*F527+G527*H527+I527*J527+K527*L527</f>
        <v/>
      </c>
      <c r="N527" s="37">
        <f>Исходные!$B$13-M527</f>
        <v/>
      </c>
      <c r="O527" s="51" t="n">
        <v>12</v>
      </c>
      <c r="P527" s="49">
        <f>(F527+H527+J527+L527)*O527</f>
        <v/>
      </c>
      <c r="Q527" s="70">
        <f>M527*O527</f>
        <v/>
      </c>
      <c r="R527" s="70">
        <f>N527*O527</f>
        <v/>
      </c>
    </row>
    <row r="528">
      <c r="A528" s="49" t="n">
        <v>3</v>
      </c>
      <c r="B528" s="49" t="n">
        <v>10</v>
      </c>
      <c r="C528" s="72" t="inlineStr">
        <is>
          <t>А500С</t>
        </is>
      </c>
      <c r="D528" s="49" t="n">
        <v>3</v>
      </c>
      <c r="E528" s="69" t="n">
        <v>3.78</v>
      </c>
      <c r="F528" s="51" t="n">
        <v>2</v>
      </c>
      <c r="G528" s="69" t="n">
        <v>3</v>
      </c>
      <c r="H528" s="51" t="n">
        <v>1</v>
      </c>
      <c r="I528" s="69" t="n">
        <v>0.57</v>
      </c>
      <c r="J528" s="51" t="n">
        <v>2</v>
      </c>
      <c r="K528" s="21" t="n"/>
      <c r="L528" s="21" t="n"/>
      <c r="M528" s="37">
        <f>E528*F528+G528*H528+I528*J528+K528*L528</f>
        <v/>
      </c>
      <c r="N528" s="37">
        <f>Исходные!$B$13-M528</f>
        <v/>
      </c>
      <c r="O528" s="51" t="n">
        <v>1</v>
      </c>
      <c r="P528" s="49">
        <f>(F528+H528+J528+L528)*O528</f>
        <v/>
      </c>
      <c r="Q528" s="70">
        <f>M528*O528</f>
        <v/>
      </c>
      <c r="R528" s="70">
        <f>N528*O528</f>
        <v/>
      </c>
    </row>
    <row r="529">
      <c r="A529" s="49" t="n">
        <v>3</v>
      </c>
      <c r="B529" s="49" t="n">
        <v>10</v>
      </c>
      <c r="C529" s="72" t="inlineStr">
        <is>
          <t>А500С</t>
        </is>
      </c>
      <c r="D529" s="49" t="n">
        <v>4</v>
      </c>
      <c r="E529" s="69" t="n">
        <v>9.18</v>
      </c>
      <c r="F529" s="51" t="n">
        <v>1</v>
      </c>
      <c r="G529" s="69" t="n">
        <v>1.45</v>
      </c>
      <c r="H529" s="51" t="n">
        <v>1</v>
      </c>
      <c r="I529" s="69" t="n">
        <v>0.57</v>
      </c>
      <c r="J529" s="51" t="n">
        <v>1</v>
      </c>
      <c r="K529" s="69" t="n">
        <v>0.48</v>
      </c>
      <c r="L529" s="51" t="n">
        <v>1</v>
      </c>
      <c r="M529" s="37">
        <f>E529*F529+G529*H529+I529*J529+K529*L529</f>
        <v/>
      </c>
      <c r="N529" s="37">
        <f>Исходные!$B$13-M529</f>
        <v/>
      </c>
      <c r="O529" s="51" t="n">
        <v>3</v>
      </c>
      <c r="P529" s="49">
        <f>(F529+H529+J529+L529)*O529</f>
        <v/>
      </c>
      <c r="Q529" s="70">
        <f>M529*O529</f>
        <v/>
      </c>
      <c r="R529" s="70">
        <f>N529*O529</f>
        <v/>
      </c>
    </row>
    <row r="530">
      <c r="A530" s="49" t="n">
        <v>3</v>
      </c>
      <c r="B530" s="49" t="n">
        <v>10</v>
      </c>
      <c r="C530" s="72" t="inlineStr">
        <is>
          <t>А500С</t>
        </is>
      </c>
      <c r="D530" s="49" t="n">
        <v>5</v>
      </c>
      <c r="E530" s="69" t="n">
        <v>1.4</v>
      </c>
      <c r="F530" s="51" t="n">
        <v>8</v>
      </c>
      <c r="G530" s="69" t="n">
        <v>0.48</v>
      </c>
      <c r="H530" s="51" t="n">
        <v>1</v>
      </c>
      <c r="I530" s="21" t="n"/>
      <c r="J530" s="21" t="n"/>
      <c r="K530" s="21" t="n"/>
      <c r="L530" s="21" t="n"/>
      <c r="M530" s="37">
        <f>E530*F530+G530*H530+I530*J530+K530*L530</f>
        <v/>
      </c>
      <c r="N530" s="37">
        <f>Исходные!$B$13-M530</f>
        <v/>
      </c>
      <c r="O530" s="51" t="n">
        <v>5</v>
      </c>
      <c r="P530" s="49">
        <f>(F530+H530+J530+L530)*O530</f>
        <v/>
      </c>
      <c r="Q530" s="70">
        <f>M530*O530</f>
        <v/>
      </c>
      <c r="R530" s="70">
        <f>N530*O530</f>
        <v/>
      </c>
    </row>
    <row r="531">
      <c r="A531" s="49" t="n">
        <v>3</v>
      </c>
      <c r="B531" s="49" t="n">
        <v>10</v>
      </c>
      <c r="C531" s="72" t="inlineStr">
        <is>
          <t>А500С</t>
        </is>
      </c>
      <c r="D531" s="49" t="n">
        <v>6</v>
      </c>
      <c r="E531" s="69" t="n">
        <v>7.17</v>
      </c>
      <c r="F531" s="51" t="n">
        <v>1</v>
      </c>
      <c r="G531" s="69" t="n">
        <v>4.5</v>
      </c>
      <c r="H531" s="51" t="n">
        <v>1</v>
      </c>
      <c r="I531" s="21" t="n"/>
      <c r="J531" s="21" t="n"/>
      <c r="K531" s="21" t="n"/>
      <c r="L531" s="21" t="n"/>
      <c r="M531" s="37">
        <f>E531*F531+G531*H531+I531*J531+K531*L531</f>
        <v/>
      </c>
      <c r="N531" s="37">
        <f>Исходные!$B$13-M531</f>
        <v/>
      </c>
      <c r="O531" s="51" t="n">
        <v>26</v>
      </c>
      <c r="P531" s="49">
        <f>(F531+H531+J531+L531)*O531</f>
        <v/>
      </c>
      <c r="Q531" s="70">
        <f>M531*O531</f>
        <v/>
      </c>
      <c r="R531" s="70">
        <f>N531*O531</f>
        <v/>
      </c>
    </row>
    <row r="532">
      <c r="A532" s="49" t="n">
        <v>3</v>
      </c>
      <c r="B532" s="49" t="n">
        <v>10</v>
      </c>
      <c r="C532" s="72" t="inlineStr">
        <is>
          <t>А500С</t>
        </is>
      </c>
      <c r="D532" s="49" t="n">
        <v>7</v>
      </c>
      <c r="E532" s="69" t="n">
        <v>2.6</v>
      </c>
      <c r="F532" s="51" t="n">
        <v>4</v>
      </c>
      <c r="G532" s="69" t="n">
        <v>1.25</v>
      </c>
      <c r="H532" s="51" t="n">
        <v>1</v>
      </c>
      <c r="I532" s="21" t="n"/>
      <c r="J532" s="21" t="n"/>
      <c r="K532" s="21" t="n"/>
      <c r="L532" s="21" t="n"/>
      <c r="M532" s="37">
        <f>E532*F532+G532*H532+I532*J532+K532*L532</f>
        <v/>
      </c>
      <c r="N532" s="37">
        <f>Исходные!$B$13-M532</f>
        <v/>
      </c>
      <c r="O532" s="51" t="n">
        <v>2</v>
      </c>
      <c r="P532" s="49">
        <f>(F532+H532+J532+L532)*O532</f>
        <v/>
      </c>
      <c r="Q532" s="70">
        <f>M532*O532</f>
        <v/>
      </c>
      <c r="R532" s="70">
        <f>N532*O532</f>
        <v/>
      </c>
    </row>
    <row r="533">
      <c r="A533" s="49" t="n">
        <v>3</v>
      </c>
      <c r="B533" s="49" t="n">
        <v>10</v>
      </c>
      <c r="C533" s="72" t="inlineStr">
        <is>
          <t>А500С</t>
        </is>
      </c>
      <c r="D533" s="49" t="n">
        <v>8</v>
      </c>
      <c r="E533" s="69" t="n">
        <v>4.72</v>
      </c>
      <c r="F533" s="51" t="n">
        <v>2</v>
      </c>
      <c r="G533" s="69" t="n">
        <v>2.2</v>
      </c>
      <c r="H533" s="51" t="n">
        <v>1</v>
      </c>
      <c r="I533" s="21" t="n"/>
      <c r="J533" s="21" t="n"/>
      <c r="K533" s="21" t="n"/>
      <c r="L533" s="21" t="n"/>
      <c r="M533" s="37">
        <f>E533*F533+G533*H533+I533*J533+K533*L533</f>
        <v/>
      </c>
      <c r="N533" s="37">
        <f>Исходные!$B$13-M533</f>
        <v/>
      </c>
      <c r="O533" s="51" t="n">
        <v>26</v>
      </c>
      <c r="P533" s="49">
        <f>(F533+H533+J533+L533)*O533</f>
        <v/>
      </c>
      <c r="Q533" s="70">
        <f>M533*O533</f>
        <v/>
      </c>
      <c r="R533" s="70">
        <f>N533*O533</f>
        <v/>
      </c>
    </row>
    <row r="534">
      <c r="A534" s="49" t="n">
        <v>3</v>
      </c>
      <c r="B534" s="49" t="n">
        <v>10</v>
      </c>
      <c r="C534" s="72" t="inlineStr">
        <is>
          <t>А500С</t>
        </is>
      </c>
      <c r="D534" s="49" t="n">
        <v>9</v>
      </c>
      <c r="E534" s="69" t="n">
        <v>4.32</v>
      </c>
      <c r="F534" s="51" t="n">
        <v>2</v>
      </c>
      <c r="G534" s="69" t="n">
        <v>3</v>
      </c>
      <c r="H534" s="51" t="n">
        <v>1</v>
      </c>
      <c r="I534" s="21" t="n"/>
      <c r="J534" s="21" t="n"/>
      <c r="K534" s="21" t="n"/>
      <c r="L534" s="21" t="n"/>
      <c r="M534" s="37">
        <f>E534*F534+G534*H534+I534*J534+K534*L534</f>
        <v/>
      </c>
      <c r="N534" s="37">
        <f>Исходные!$B$13-M534</f>
        <v/>
      </c>
      <c r="O534" s="51" t="n">
        <v>16</v>
      </c>
      <c r="P534" s="49">
        <f>(F534+H534+J534+L534)*O534</f>
        <v/>
      </c>
      <c r="Q534" s="70">
        <f>M534*O534</f>
        <v/>
      </c>
      <c r="R534" s="70">
        <f>N534*O534</f>
        <v/>
      </c>
    </row>
    <row r="535">
      <c r="A535" s="49" t="n">
        <v>3</v>
      </c>
      <c r="B535" s="49" t="n">
        <v>10</v>
      </c>
      <c r="C535" s="72" t="inlineStr">
        <is>
          <t>А500С</t>
        </is>
      </c>
      <c r="D535" s="49" t="n">
        <v>10</v>
      </c>
      <c r="E535" s="69" t="n">
        <v>5.98</v>
      </c>
      <c r="F535" s="51" t="n">
        <v>1</v>
      </c>
      <c r="G535" s="69" t="n">
        <v>5.05</v>
      </c>
      <c r="H535" s="51" t="n">
        <v>1</v>
      </c>
      <c r="I535" s="69" t="n">
        <v>0.6</v>
      </c>
      <c r="J535" s="51" t="n">
        <v>1</v>
      </c>
      <c r="K535" s="21" t="n"/>
      <c r="L535" s="21" t="n"/>
      <c r="M535" s="37">
        <f>E535*F535+G535*H535+I535*J535+K535*L535</f>
        <v/>
      </c>
      <c r="N535" s="37">
        <f>Исходные!$B$13-M535</f>
        <v/>
      </c>
      <c r="O535" s="51" t="n">
        <v>6</v>
      </c>
      <c r="P535" s="49">
        <f>(F535+H535+J535+L535)*O535</f>
        <v/>
      </c>
      <c r="Q535" s="70">
        <f>M535*O535</f>
        <v/>
      </c>
      <c r="R535" s="70">
        <f>N535*O535</f>
        <v/>
      </c>
    </row>
    <row r="536">
      <c r="A536" s="49" t="n">
        <v>3</v>
      </c>
      <c r="B536" s="49" t="n">
        <v>10</v>
      </c>
      <c r="C536" s="72" t="inlineStr">
        <is>
          <t>А500С</t>
        </is>
      </c>
      <c r="D536" s="49" t="n">
        <v>11</v>
      </c>
      <c r="E536" s="69" t="n">
        <v>11.02</v>
      </c>
      <c r="F536" s="51" t="n">
        <v>1</v>
      </c>
      <c r="G536" s="69" t="n">
        <v>0.6</v>
      </c>
      <c r="H536" s="51" t="n">
        <v>1</v>
      </c>
      <c r="I536" s="21" t="n"/>
      <c r="J536" s="21" t="n"/>
      <c r="K536" s="21" t="n"/>
      <c r="L536" s="21" t="n"/>
      <c r="M536" s="37">
        <f>E536*F536+G536*H536+I536*J536+K536*L536</f>
        <v/>
      </c>
      <c r="N536" s="37">
        <f>Исходные!$B$13-M536</f>
        <v/>
      </c>
      <c r="O536" s="51" t="n">
        <v>66</v>
      </c>
      <c r="P536" s="49">
        <f>(F536+H536+J536+L536)*O536</f>
        <v/>
      </c>
      <c r="Q536" s="70">
        <f>M536*O536</f>
        <v/>
      </c>
      <c r="R536" s="70">
        <f>N536*O536</f>
        <v/>
      </c>
    </row>
    <row r="537">
      <c r="A537" s="49" t="n">
        <v>3</v>
      </c>
      <c r="B537" s="49" t="n">
        <v>10</v>
      </c>
      <c r="C537" s="72" t="inlineStr">
        <is>
          <t>А500С</t>
        </is>
      </c>
      <c r="D537" s="49" t="n">
        <v>12</v>
      </c>
      <c r="E537" s="69" t="n">
        <v>4.5</v>
      </c>
      <c r="F537" s="51" t="n">
        <v>2</v>
      </c>
      <c r="G537" s="69" t="n">
        <v>2.6</v>
      </c>
      <c r="H537" s="51" t="n">
        <v>1</v>
      </c>
      <c r="I537" s="21" t="n"/>
      <c r="J537" s="21" t="n"/>
      <c r="K537" s="21" t="n"/>
      <c r="L537" s="21" t="n"/>
      <c r="M537" s="37">
        <f>E537*F537+G537*H537+I537*J537+K537*L537</f>
        <v/>
      </c>
      <c r="N537" s="37">
        <f>Исходные!$B$13-M537</f>
        <v/>
      </c>
      <c r="O537" s="51" t="n">
        <v>8</v>
      </c>
      <c r="P537" s="49">
        <f>(F537+H537+J537+L537)*O537</f>
        <v/>
      </c>
      <c r="Q537" s="70">
        <f>M537*O537</f>
        <v/>
      </c>
      <c r="R537" s="70">
        <f>N537*O537</f>
        <v/>
      </c>
    </row>
    <row r="538">
      <c r="A538" s="49" t="n">
        <v>3</v>
      </c>
      <c r="B538" s="49" t="n">
        <v>10</v>
      </c>
      <c r="C538" s="72" t="inlineStr">
        <is>
          <t>А500С</t>
        </is>
      </c>
      <c r="D538" s="49" t="n">
        <v>13</v>
      </c>
      <c r="E538" s="69" t="n">
        <v>4.3</v>
      </c>
      <c r="F538" s="51" t="n">
        <v>2</v>
      </c>
      <c r="G538" s="69" t="n">
        <v>3</v>
      </c>
      <c r="H538" s="51" t="n">
        <v>1</v>
      </c>
      <c r="I538" s="21" t="n"/>
      <c r="J538" s="21" t="n"/>
      <c r="K538" s="21" t="n"/>
      <c r="L538" s="21" t="n"/>
      <c r="M538" s="37">
        <f>E538*F538+G538*H538+I538*J538+K538*L538</f>
        <v/>
      </c>
      <c r="N538" s="37">
        <f>Исходные!$B$13-M538</f>
        <v/>
      </c>
      <c r="O538" s="51" t="n">
        <v>17</v>
      </c>
      <c r="P538" s="49">
        <f>(F538+H538+J538+L538)*O538</f>
        <v/>
      </c>
      <c r="Q538" s="70">
        <f>M538*O538</f>
        <v/>
      </c>
      <c r="R538" s="70">
        <f>N538*O538</f>
        <v/>
      </c>
    </row>
    <row r="539">
      <c r="A539" s="49" t="n">
        <v>3</v>
      </c>
      <c r="B539" s="49" t="n">
        <v>10</v>
      </c>
      <c r="C539" s="72" t="inlineStr">
        <is>
          <t>А500С</t>
        </is>
      </c>
      <c r="D539" s="49" t="n">
        <v>14</v>
      </c>
      <c r="E539" s="69" t="n">
        <v>3</v>
      </c>
      <c r="F539" s="51" t="n">
        <v>3</v>
      </c>
      <c r="G539" s="69" t="n">
        <v>2.6</v>
      </c>
      <c r="H539" s="51" t="n">
        <v>1</v>
      </c>
      <c r="I539" s="21" t="n"/>
      <c r="J539" s="21" t="n"/>
      <c r="K539" s="21" t="n"/>
      <c r="L539" s="21" t="n"/>
      <c r="M539" s="37">
        <f>E539*F539+G539*H539+I539*J539+K539*L539</f>
        <v/>
      </c>
      <c r="N539" s="37">
        <f>Исходные!$B$13-M539</f>
        <v/>
      </c>
      <c r="O539" s="51" t="n">
        <v>6</v>
      </c>
      <c r="P539" s="49">
        <f>(F539+H539+J539+L539)*O539</f>
        <v/>
      </c>
      <c r="Q539" s="70">
        <f>M539*O539</f>
        <v/>
      </c>
      <c r="R539" s="70">
        <f>N539*O539</f>
        <v/>
      </c>
    </row>
    <row r="540">
      <c r="A540" s="49" t="n">
        <v>3</v>
      </c>
      <c r="B540" s="49" t="n">
        <v>10</v>
      </c>
      <c r="C540" s="72" t="inlineStr">
        <is>
          <t>А500С</t>
        </is>
      </c>
      <c r="D540" s="49" t="n">
        <v>15</v>
      </c>
      <c r="E540" s="69" t="n">
        <v>7.97</v>
      </c>
      <c r="F540" s="51" t="n">
        <v>1</v>
      </c>
      <c r="G540" s="69" t="n">
        <v>3.625</v>
      </c>
      <c r="H540" s="51" t="n">
        <v>1</v>
      </c>
      <c r="I540" s="21" t="n"/>
      <c r="J540" s="21" t="n"/>
      <c r="K540" s="21" t="n"/>
      <c r="L540" s="21" t="n"/>
      <c r="M540" s="37">
        <f>E540*F540+G540*H540+I540*J540+K540*L540</f>
        <v/>
      </c>
      <c r="N540" s="37">
        <f>Исходные!$B$13-M540</f>
        <v/>
      </c>
      <c r="O540" s="51" t="n">
        <v>20</v>
      </c>
      <c r="P540" s="49">
        <f>(F540+H540+J540+L540)*O540</f>
        <v/>
      </c>
      <c r="Q540" s="70">
        <f>M540*O540</f>
        <v/>
      </c>
      <c r="R540" s="70">
        <f>N540*O540</f>
        <v/>
      </c>
    </row>
    <row r="541">
      <c r="A541" s="49" t="n">
        <v>3</v>
      </c>
      <c r="B541" s="49" t="n">
        <v>10</v>
      </c>
      <c r="C541" s="72" t="inlineStr">
        <is>
          <t>А500С</t>
        </is>
      </c>
      <c r="D541" s="49" t="n">
        <v>16</v>
      </c>
      <c r="E541" s="69" t="n">
        <v>11.02</v>
      </c>
      <c r="F541" s="51" t="n">
        <v>1</v>
      </c>
      <c r="G541" s="69" t="n">
        <v>0.57</v>
      </c>
      <c r="H541" s="51" t="n">
        <v>1</v>
      </c>
      <c r="I541" s="21" t="n"/>
      <c r="J541" s="21" t="n"/>
      <c r="K541" s="21" t="n"/>
      <c r="L541" s="21" t="n"/>
      <c r="M541" s="37">
        <f>E541*F541+G541*H541+I541*J541+K541*L541</f>
        <v/>
      </c>
      <c r="N541" s="37">
        <f>Исходные!$B$13-M541</f>
        <v/>
      </c>
      <c r="O541" s="51" t="n">
        <v>14</v>
      </c>
      <c r="P541" s="49">
        <f>(F541+H541+J541+L541)*O541</f>
        <v/>
      </c>
      <c r="Q541" s="70">
        <f>M541*O541</f>
        <v/>
      </c>
      <c r="R541" s="70">
        <f>N541*O541</f>
        <v/>
      </c>
    </row>
    <row r="542">
      <c r="A542" s="49" t="n">
        <v>3</v>
      </c>
      <c r="B542" s="49" t="n">
        <v>10</v>
      </c>
      <c r="C542" s="72" t="inlineStr">
        <is>
          <t>А500С</t>
        </is>
      </c>
      <c r="D542" s="49" t="n">
        <v>17</v>
      </c>
      <c r="E542" s="69" t="n">
        <v>5.05</v>
      </c>
      <c r="F542" s="51" t="n">
        <v>2</v>
      </c>
      <c r="G542" s="69" t="n">
        <v>1.45</v>
      </c>
      <c r="H542" s="51" t="n">
        <v>1</v>
      </c>
      <c r="I542" s="21" t="n"/>
      <c r="J542" s="21" t="n"/>
      <c r="K542" s="21" t="n"/>
      <c r="L542" s="21" t="n"/>
      <c r="M542" s="37">
        <f>E542*F542+G542*H542+I542*J542+K542*L542</f>
        <v/>
      </c>
      <c r="N542" s="37">
        <f>Исходные!$B$13-M542</f>
        <v/>
      </c>
      <c r="O542" s="51" t="n">
        <v>8</v>
      </c>
      <c r="P542" s="49">
        <f>(F542+H542+J542+L542)*O542</f>
        <v/>
      </c>
      <c r="Q542" s="70">
        <f>M542*O542</f>
        <v/>
      </c>
      <c r="R542" s="70">
        <f>N542*O542</f>
        <v/>
      </c>
    </row>
    <row r="543">
      <c r="A543" s="49" t="n">
        <v>3</v>
      </c>
      <c r="B543" s="49" t="n">
        <v>10</v>
      </c>
      <c r="C543" s="72" t="inlineStr">
        <is>
          <t>А500С</t>
        </is>
      </c>
      <c r="D543" s="49" t="n">
        <v>18</v>
      </c>
      <c r="E543" s="69" t="n">
        <v>7.97</v>
      </c>
      <c r="F543" s="51" t="n">
        <v>1</v>
      </c>
      <c r="G543" s="69" t="n">
        <v>3</v>
      </c>
      <c r="H543" s="51" t="n">
        <v>1</v>
      </c>
      <c r="I543" s="69" t="n">
        <v>0.57</v>
      </c>
      <c r="J543" s="51" t="n">
        <v>1</v>
      </c>
      <c r="K543" s="21" t="n"/>
      <c r="L543" s="21" t="n"/>
      <c r="M543" s="37">
        <f>E543*F543+G543*H543+I543*J543+K543*L543</f>
        <v/>
      </c>
      <c r="N543" s="37">
        <f>Исходные!$B$13-M543</f>
        <v/>
      </c>
      <c r="O543" s="51" t="n">
        <v>8</v>
      </c>
      <c r="P543" s="49">
        <f>(F543+H543+J543+L543)*O543</f>
        <v/>
      </c>
      <c r="Q543" s="70">
        <f>M543*O543</f>
        <v/>
      </c>
      <c r="R543" s="70">
        <f>N543*O543</f>
        <v/>
      </c>
    </row>
    <row r="544">
      <c r="A544" s="49" t="n">
        <v>3</v>
      </c>
      <c r="B544" s="49" t="n">
        <v>10</v>
      </c>
      <c r="C544" s="72" t="inlineStr">
        <is>
          <t>А500С</t>
        </is>
      </c>
      <c r="D544" s="49" t="n">
        <v>19</v>
      </c>
      <c r="E544" s="69" t="n">
        <v>7.95</v>
      </c>
      <c r="F544" s="51" t="n">
        <v>1</v>
      </c>
      <c r="G544" s="69" t="n">
        <v>3</v>
      </c>
      <c r="H544" s="51" t="n">
        <v>1</v>
      </c>
      <c r="I544" s="69" t="n">
        <v>0.57</v>
      </c>
      <c r="J544" s="51" t="n">
        <v>1</v>
      </c>
      <c r="K544" s="21" t="n"/>
      <c r="L544" s="21" t="n"/>
      <c r="M544" s="37">
        <f>E544*F544+G544*H544+I544*J544+K544*L544</f>
        <v/>
      </c>
      <c r="N544" s="37">
        <f>Исходные!$B$13-M544</f>
        <v/>
      </c>
      <c r="O544" s="51" t="n">
        <v>18</v>
      </c>
      <c r="P544" s="49">
        <f>(F544+H544+J544+L544)*O544</f>
        <v/>
      </c>
      <c r="Q544" s="70">
        <f>M544*O544</f>
        <v/>
      </c>
      <c r="R544" s="70">
        <f>N544*O544</f>
        <v/>
      </c>
    </row>
    <row r="545">
      <c r="A545" s="49" t="n">
        <v>3</v>
      </c>
      <c r="B545" s="49" t="n">
        <v>10</v>
      </c>
      <c r="C545" s="72" t="inlineStr">
        <is>
          <t>А500С</t>
        </is>
      </c>
      <c r="D545" s="49" t="n">
        <v>20</v>
      </c>
      <c r="E545" s="69" t="n">
        <v>9.300000000000001</v>
      </c>
      <c r="F545" s="51" t="n">
        <v>1</v>
      </c>
      <c r="G545" s="69" t="n">
        <v>2.2</v>
      </c>
      <c r="H545" s="51" t="n">
        <v>1</v>
      </c>
      <c r="I545" s="21" t="n"/>
      <c r="J545" s="21" t="n"/>
      <c r="K545" s="21" t="n"/>
      <c r="L545" s="21" t="n"/>
      <c r="M545" s="37">
        <f>E545*F545+G545*H545+I545*J545+K545*L545</f>
        <v/>
      </c>
      <c r="N545" s="37">
        <f>Исходные!$B$13-M545</f>
        <v/>
      </c>
      <c r="O545" s="51" t="n">
        <v>71</v>
      </c>
      <c r="P545" s="49">
        <f>(F545+H545+J545+L545)*O545</f>
        <v/>
      </c>
      <c r="Q545" s="70">
        <f>M545*O545</f>
        <v/>
      </c>
      <c r="R545" s="70">
        <f>N545*O545</f>
        <v/>
      </c>
    </row>
    <row r="546">
      <c r="A546" s="49" t="n">
        <v>3</v>
      </c>
      <c r="B546" s="49" t="n">
        <v>10</v>
      </c>
      <c r="C546" s="72" t="inlineStr">
        <is>
          <t>А500С</t>
        </is>
      </c>
      <c r="D546" s="49" t="n">
        <v>21</v>
      </c>
      <c r="E546" s="69" t="n">
        <v>7.71</v>
      </c>
      <c r="F546" s="51" t="n">
        <v>1</v>
      </c>
      <c r="G546" s="69" t="n">
        <v>3.78</v>
      </c>
      <c r="H546" s="51" t="n">
        <v>1</v>
      </c>
      <c r="I546" s="21" t="n"/>
      <c r="J546" s="21" t="n"/>
      <c r="K546" s="21" t="n"/>
      <c r="L546" s="21" t="n"/>
      <c r="M546" s="37">
        <f>E546*F546+G546*H546+I546*J546+K546*L546</f>
        <v/>
      </c>
      <c r="N546" s="37">
        <f>Исходные!$B$13-M546</f>
        <v/>
      </c>
      <c r="O546" s="51" t="n">
        <v>4</v>
      </c>
      <c r="P546" s="49">
        <f>(F546+H546+J546+L546)*O546</f>
        <v/>
      </c>
      <c r="Q546" s="70">
        <f>M546*O546</f>
        <v/>
      </c>
      <c r="R546" s="70">
        <f>N546*O546</f>
        <v/>
      </c>
    </row>
    <row r="547">
      <c r="A547" s="49" t="n">
        <v>3</v>
      </c>
      <c r="B547" s="49" t="n">
        <v>10</v>
      </c>
      <c r="C547" s="72" t="inlineStr">
        <is>
          <t>А500С</t>
        </is>
      </c>
      <c r="D547" s="49" t="n">
        <v>22</v>
      </c>
      <c r="E547" s="69" t="n">
        <v>10.9</v>
      </c>
      <c r="F547" s="51" t="n">
        <v>1</v>
      </c>
      <c r="G547" s="69" t="n">
        <v>0.57</v>
      </c>
      <c r="H547" s="51" t="n">
        <v>1</v>
      </c>
      <c r="I547" s="21" t="n"/>
      <c r="J547" s="21" t="n"/>
      <c r="K547" s="21" t="n"/>
      <c r="L547" s="21" t="n"/>
      <c r="M547" s="37">
        <f>E547*F547+G547*H547+I547*J547+K547*L547</f>
        <v/>
      </c>
      <c r="N547" s="37">
        <f>Исходные!$B$13-M547</f>
        <v/>
      </c>
      <c r="O547" s="51" t="n">
        <v>2</v>
      </c>
      <c r="P547" s="49">
        <f>(F547+H547+J547+L547)*O547</f>
        <v/>
      </c>
      <c r="Q547" s="70">
        <f>M547*O547</f>
        <v/>
      </c>
      <c r="R547" s="70">
        <f>N547*O547</f>
        <v/>
      </c>
    </row>
    <row r="548">
      <c r="A548" s="49" t="n">
        <v>3</v>
      </c>
      <c r="B548" s="49" t="n">
        <v>10</v>
      </c>
      <c r="C548" s="72" t="inlineStr">
        <is>
          <t>А500С</t>
        </is>
      </c>
      <c r="D548" s="49" t="n">
        <v>23</v>
      </c>
      <c r="E548" s="69" t="n">
        <v>1.19</v>
      </c>
      <c r="F548" s="51" t="n">
        <v>1</v>
      </c>
      <c r="G548" s="69" t="n">
        <v>0.57</v>
      </c>
      <c r="H548" s="51" t="n">
        <v>18</v>
      </c>
      <c r="I548" s="21" t="n"/>
      <c r="J548" s="21" t="n"/>
      <c r="K548" s="21" t="n"/>
      <c r="L548" s="21" t="n"/>
      <c r="M548" s="37">
        <f>E548*F548+G548*H548+I548*J548+K548*L548</f>
        <v/>
      </c>
      <c r="N548" s="37">
        <f>Исходные!$B$13-M548</f>
        <v/>
      </c>
      <c r="O548" s="51" t="n">
        <v>1</v>
      </c>
      <c r="P548" s="49">
        <f>(F548+H548+J548+L548)*O548</f>
        <v/>
      </c>
      <c r="Q548" s="70">
        <f>M548*O548</f>
        <v/>
      </c>
      <c r="R548" s="70">
        <f>N548*O548</f>
        <v/>
      </c>
    </row>
    <row r="549">
      <c r="A549" s="49" t="n">
        <v>3</v>
      </c>
      <c r="B549" s="49" t="n">
        <v>10</v>
      </c>
      <c r="C549" s="72" t="inlineStr">
        <is>
          <t>А500С</t>
        </is>
      </c>
      <c r="D549" s="49" t="n">
        <v>24</v>
      </c>
      <c r="E549" s="69" t="n">
        <v>1.25</v>
      </c>
      <c r="F549" s="51" t="n">
        <v>1</v>
      </c>
      <c r="G549" s="69" t="n">
        <v>1.2</v>
      </c>
      <c r="H549" s="51" t="n">
        <v>8</v>
      </c>
      <c r="I549" s="69" t="n">
        <v>0.57</v>
      </c>
      <c r="J549" s="51" t="n">
        <v>1</v>
      </c>
      <c r="K549" s="21" t="n"/>
      <c r="L549" s="21" t="n"/>
      <c r="M549" s="37">
        <f>E549*F549+G549*H549+I549*J549+K549*L549</f>
        <v/>
      </c>
      <c r="N549" s="37">
        <f>Исходные!$B$13-M549</f>
        <v/>
      </c>
      <c r="O549" s="51" t="n">
        <v>1</v>
      </c>
      <c r="P549" s="49">
        <f>(F549+H549+J549+L549)*O549</f>
        <v/>
      </c>
      <c r="Q549" s="70">
        <f>M549*O549</f>
        <v/>
      </c>
      <c r="R549" s="70">
        <f>N549*O549</f>
        <v/>
      </c>
    </row>
    <row r="550">
      <c r="A550" s="49" t="n">
        <v>3</v>
      </c>
      <c r="B550" s="49" t="n">
        <v>10</v>
      </c>
      <c r="C550" s="72" t="inlineStr">
        <is>
          <t>А500С</t>
        </is>
      </c>
      <c r="D550" s="49" t="n">
        <v>25</v>
      </c>
      <c r="E550" s="69" t="n">
        <v>0.57</v>
      </c>
      <c r="F550" s="51" t="n">
        <v>20</v>
      </c>
      <c r="G550" s="21" t="n"/>
      <c r="H550" s="21" t="n"/>
      <c r="I550" s="21" t="n"/>
      <c r="J550" s="21" t="n"/>
      <c r="K550" s="21" t="n"/>
      <c r="L550" s="21" t="n"/>
      <c r="M550" s="37">
        <f>E550*F550+G550*H550+I550*J550+K550*L550</f>
        <v/>
      </c>
      <c r="N550" s="37">
        <f>Исходные!$B$13-M550</f>
        <v/>
      </c>
      <c r="O550" s="51" t="n">
        <v>63</v>
      </c>
      <c r="P550" s="49">
        <f>(F550+H550+J550+L550)*O550</f>
        <v/>
      </c>
      <c r="Q550" s="70">
        <f>M550*O550</f>
        <v/>
      </c>
      <c r="R550" s="70">
        <f>N550*O550</f>
        <v/>
      </c>
    </row>
    <row r="551">
      <c r="A551" s="49" t="n">
        <v>3</v>
      </c>
      <c r="B551" s="49" t="n">
        <v>10</v>
      </c>
      <c r="C551" s="72" t="inlineStr">
        <is>
          <t>А500С</t>
        </is>
      </c>
      <c r="D551" s="49" t="n">
        <v>26</v>
      </c>
      <c r="E551" s="69" t="n">
        <v>1.2</v>
      </c>
      <c r="F551" s="51" t="n">
        <v>9</v>
      </c>
      <c r="G551" s="69" t="n">
        <v>0.57</v>
      </c>
      <c r="H551" s="51" t="n">
        <v>1</v>
      </c>
      <c r="I551" s="21" t="n"/>
      <c r="J551" s="21" t="n"/>
      <c r="K551" s="21" t="n"/>
      <c r="L551" s="21" t="n"/>
      <c r="M551" s="37">
        <f>E551*F551+G551*H551+I551*J551+K551*L551</f>
        <v/>
      </c>
      <c r="N551" s="37">
        <f>Исходные!$B$13-M551</f>
        <v/>
      </c>
      <c r="O551" s="51" t="n">
        <v>17</v>
      </c>
      <c r="P551" s="49">
        <f>(F551+H551+J551+L551)*O551</f>
        <v/>
      </c>
      <c r="Q551" s="70">
        <f>M551*O551</f>
        <v/>
      </c>
      <c r="R551" s="70">
        <f>N551*O551</f>
        <v/>
      </c>
    </row>
    <row r="552">
      <c r="A552" s="49" t="n">
        <v>3</v>
      </c>
      <c r="B552" s="49" t="n">
        <v>10</v>
      </c>
      <c r="C552" s="72" t="inlineStr">
        <is>
          <t>А500С</t>
        </is>
      </c>
      <c r="D552" s="49" t="n">
        <v>27</v>
      </c>
      <c r="E552" s="69" t="n">
        <v>10.77</v>
      </c>
      <c r="F552" s="51" t="n">
        <v>1</v>
      </c>
      <c r="G552" s="69" t="n">
        <v>0.57</v>
      </c>
      <c r="H552" s="51" t="n">
        <v>1</v>
      </c>
      <c r="I552" s="21" t="n"/>
      <c r="J552" s="21" t="n"/>
      <c r="K552" s="21" t="n"/>
      <c r="L552" s="21" t="n"/>
      <c r="M552" s="37">
        <f>E552*F552+G552*H552+I552*J552+K552*L552</f>
        <v/>
      </c>
      <c r="N552" s="37">
        <f>Исходные!$B$13-M552</f>
        <v/>
      </c>
      <c r="O552" s="51" t="n">
        <v>2</v>
      </c>
      <c r="P552" s="49">
        <f>(F552+H552+J552+L552)*O552</f>
        <v/>
      </c>
      <c r="Q552" s="70">
        <f>M552*O552</f>
        <v/>
      </c>
      <c r="R552" s="70">
        <f>N552*O552</f>
        <v/>
      </c>
    </row>
    <row r="553">
      <c r="A553" s="49" t="n">
        <v>3</v>
      </c>
      <c r="B553" s="49" t="n">
        <v>10</v>
      </c>
      <c r="C553" s="72" t="inlineStr">
        <is>
          <t>А500С</t>
        </is>
      </c>
      <c r="D553" s="49" t="n">
        <v>28</v>
      </c>
      <c r="E553" s="69" t="n">
        <v>3.78</v>
      </c>
      <c r="F553" s="51" t="n">
        <v>3</v>
      </c>
      <c r="G553" s="21" t="n"/>
      <c r="H553" s="21" t="n"/>
      <c r="I553" s="21" t="n"/>
      <c r="J553" s="21" t="n"/>
      <c r="K553" s="21" t="n"/>
      <c r="L553" s="21" t="n"/>
      <c r="M553" s="37">
        <f>E553*F553+G553*H553+I553*J553+K553*L553</f>
        <v/>
      </c>
      <c r="N553" s="37">
        <f>Исходные!$B$13-M553</f>
        <v/>
      </c>
      <c r="O553" s="51" t="n">
        <v>4</v>
      </c>
      <c r="P553" s="49">
        <f>(F553+H553+J553+L553)*O553</f>
        <v/>
      </c>
      <c r="Q553" s="70">
        <f>M553*O553</f>
        <v/>
      </c>
      <c r="R553" s="70">
        <f>N553*O553</f>
        <v/>
      </c>
    </row>
    <row r="554">
      <c r="A554" s="49" t="n">
        <v>3</v>
      </c>
      <c r="B554" s="49" t="n">
        <v>10</v>
      </c>
      <c r="C554" s="72" t="inlineStr">
        <is>
          <t>А500С</t>
        </is>
      </c>
      <c r="D554" s="49" t="n">
        <v>29</v>
      </c>
      <c r="E554" s="69" t="n">
        <v>1.2</v>
      </c>
      <c r="F554" s="51" t="n">
        <v>5</v>
      </c>
      <c r="G554" s="69" t="n">
        <v>1.19</v>
      </c>
      <c r="H554" s="51" t="n">
        <v>4</v>
      </c>
      <c r="I554" s="69" t="n">
        <v>0.57</v>
      </c>
      <c r="J554" s="51" t="n">
        <v>1</v>
      </c>
      <c r="K554" s="21" t="n"/>
      <c r="L554" s="21" t="n"/>
      <c r="M554" s="37">
        <f>E554*F554+G554*H554+I554*J554+K554*L554</f>
        <v/>
      </c>
      <c r="N554" s="37">
        <f>Исходные!$B$13-M554</f>
        <v/>
      </c>
      <c r="O554" s="51" t="n">
        <v>1</v>
      </c>
      <c r="P554" s="49">
        <f>(F554+H554+J554+L554)*O554</f>
        <v/>
      </c>
      <c r="Q554" s="70">
        <f>M554*O554</f>
        <v/>
      </c>
      <c r="R554" s="70">
        <f>N554*O554</f>
        <v/>
      </c>
    </row>
    <row r="555">
      <c r="A555" s="49" t="n">
        <v>3</v>
      </c>
      <c r="B555" s="49" t="n">
        <v>10</v>
      </c>
      <c r="C555" s="72" t="inlineStr">
        <is>
          <t>А500С</t>
        </is>
      </c>
      <c r="D555" s="49" t="n">
        <v>30</v>
      </c>
      <c r="E555" s="69" t="n">
        <v>9.300000000000001</v>
      </c>
      <c r="F555" s="51" t="n">
        <v>1</v>
      </c>
      <c r="G555" s="69" t="n">
        <v>2</v>
      </c>
      <c r="H555" s="51" t="n">
        <v>1</v>
      </c>
      <c r="I555" s="21" t="n"/>
      <c r="J555" s="21" t="n"/>
      <c r="K555" s="21" t="n"/>
      <c r="L555" s="21" t="n"/>
      <c r="M555" s="37">
        <f>E555*F555+G555*H555+I555*J555+K555*L555</f>
        <v/>
      </c>
      <c r="N555" s="37">
        <f>Исходные!$B$13-M555</f>
        <v/>
      </c>
      <c r="O555" s="51" t="n">
        <v>11</v>
      </c>
      <c r="P555" s="49">
        <f>(F555+H555+J555+L555)*O555</f>
        <v/>
      </c>
      <c r="Q555" s="70">
        <f>M555*O555</f>
        <v/>
      </c>
      <c r="R555" s="70">
        <f>N555*O555</f>
        <v/>
      </c>
    </row>
    <row r="556">
      <c r="A556" s="49" t="n">
        <v>3</v>
      </c>
      <c r="B556" s="49" t="n">
        <v>10</v>
      </c>
      <c r="C556" s="72" t="inlineStr">
        <is>
          <t>А500С</t>
        </is>
      </c>
      <c r="D556" s="49" t="n">
        <v>31</v>
      </c>
      <c r="E556" s="69" t="n">
        <v>4.15</v>
      </c>
      <c r="F556" s="51" t="n">
        <v>2</v>
      </c>
      <c r="G556" s="69" t="n">
        <v>3</v>
      </c>
      <c r="H556" s="51" t="n">
        <v>1</v>
      </c>
      <c r="I556" s="21" t="n"/>
      <c r="J556" s="21" t="n"/>
      <c r="K556" s="21" t="n"/>
      <c r="L556" s="21" t="n"/>
      <c r="M556" s="37">
        <f>E556*F556+G556*H556+I556*J556+K556*L556</f>
        <v/>
      </c>
      <c r="N556" s="37">
        <f>Исходные!$B$13-M556</f>
        <v/>
      </c>
      <c r="O556" s="51" t="n">
        <v>18</v>
      </c>
      <c r="P556" s="49">
        <f>(F556+H556+J556+L556)*O556</f>
        <v/>
      </c>
      <c r="Q556" s="70">
        <f>M556*O556</f>
        <v/>
      </c>
      <c r="R556" s="70">
        <f>N556*O556</f>
        <v/>
      </c>
    </row>
    <row r="557">
      <c r="A557" s="49" t="n">
        <v>3</v>
      </c>
      <c r="B557" s="49" t="n">
        <v>10</v>
      </c>
      <c r="C557" s="72" t="inlineStr">
        <is>
          <t>А500С</t>
        </is>
      </c>
      <c r="D557" s="49" t="n">
        <v>32</v>
      </c>
      <c r="E557" s="69" t="n">
        <v>1.19</v>
      </c>
      <c r="F557" s="51" t="n">
        <v>9</v>
      </c>
      <c r="G557" s="69" t="n">
        <v>0.57</v>
      </c>
      <c r="H557" s="51" t="n">
        <v>1</v>
      </c>
      <c r="I557" s="21" t="n"/>
      <c r="J557" s="21" t="n"/>
      <c r="K557" s="21" t="n"/>
      <c r="L557" s="21" t="n"/>
      <c r="M557" s="37">
        <f>E557*F557+G557*H557+I557*J557+K557*L557</f>
        <v/>
      </c>
      <c r="N557" s="37">
        <f>Исходные!$B$13-M557</f>
        <v/>
      </c>
      <c r="O557" s="51" t="n">
        <v>19</v>
      </c>
      <c r="P557" s="49">
        <f>(F557+H557+J557+L557)*O557</f>
        <v/>
      </c>
      <c r="Q557" s="70">
        <f>M557*O557</f>
        <v/>
      </c>
      <c r="R557" s="70">
        <f>N557*O557</f>
        <v/>
      </c>
    </row>
    <row r="558">
      <c r="A558" s="49" t="n">
        <v>3</v>
      </c>
      <c r="B558" s="49" t="n">
        <v>10</v>
      </c>
      <c r="C558" s="72" t="inlineStr">
        <is>
          <t>А500С</t>
        </is>
      </c>
      <c r="D558" s="49" t="n">
        <v>33</v>
      </c>
      <c r="E558" s="69" t="n">
        <v>1.25</v>
      </c>
      <c r="F558" s="51" t="n">
        <v>9</v>
      </c>
      <c r="G558" s="21" t="n"/>
      <c r="H558" s="21" t="n"/>
      <c r="I558" s="21" t="n"/>
      <c r="J558" s="21" t="n"/>
      <c r="K558" s="21" t="n"/>
      <c r="L558" s="21" t="n"/>
      <c r="M558" s="37">
        <f>E558*F558+G558*H558+I558*J558+K558*L558</f>
        <v/>
      </c>
      <c r="N558" s="37">
        <f>Исходные!$B$13-M558</f>
        <v/>
      </c>
      <c r="O558" s="51" t="n">
        <v>1</v>
      </c>
      <c r="P558" s="49">
        <f>(F558+H558+J558+L558)*O558</f>
        <v/>
      </c>
      <c r="Q558" s="70">
        <f>M558*O558</f>
        <v/>
      </c>
      <c r="R558" s="70">
        <f>N558*O558</f>
        <v/>
      </c>
    </row>
    <row r="559">
      <c r="A559" s="49" t="n">
        <v>3</v>
      </c>
      <c r="B559" s="49" t="n">
        <v>10</v>
      </c>
      <c r="C559" s="72" t="inlineStr">
        <is>
          <t>А500С</t>
        </is>
      </c>
      <c r="D559" s="49" t="n">
        <v>34</v>
      </c>
      <c r="E559" s="69" t="n">
        <v>9.18</v>
      </c>
      <c r="F559" s="51" t="n">
        <v>1</v>
      </c>
      <c r="G559" s="69" t="n">
        <v>1.45</v>
      </c>
      <c r="H559" s="51" t="n">
        <v>1</v>
      </c>
      <c r="I559" s="69" t="n">
        <v>0.57</v>
      </c>
      <c r="J559" s="51" t="n">
        <v>1</v>
      </c>
      <c r="K559" s="21" t="n"/>
      <c r="L559" s="21" t="n"/>
      <c r="M559" s="37">
        <f>E559*F559+G559*H559+I559*J559+K559*L559</f>
        <v/>
      </c>
      <c r="N559" s="37">
        <f>Исходные!$B$13-M559</f>
        <v/>
      </c>
      <c r="O559" s="51" t="n">
        <v>1</v>
      </c>
      <c r="P559" s="49">
        <f>(F559+H559+J559+L559)*O559</f>
        <v/>
      </c>
      <c r="Q559" s="70">
        <f>M559*O559</f>
        <v/>
      </c>
      <c r="R559" s="70">
        <f>N559*O559</f>
        <v/>
      </c>
    </row>
    <row r="560">
      <c r="A560" s="49" t="n">
        <v>3</v>
      </c>
      <c r="B560" s="49" t="n">
        <v>10</v>
      </c>
      <c r="C560" s="72" t="inlineStr">
        <is>
          <t>А500С</t>
        </is>
      </c>
      <c r="D560" s="49" t="n">
        <v>35</v>
      </c>
      <c r="E560" s="69" t="n">
        <v>3</v>
      </c>
      <c r="F560" s="51" t="n">
        <v>2</v>
      </c>
      <c r="G560" s="69" t="n">
        <v>2.6</v>
      </c>
      <c r="H560" s="51" t="n">
        <v>2</v>
      </c>
      <c r="I560" s="21" t="n"/>
      <c r="J560" s="21" t="n"/>
      <c r="K560" s="21" t="n"/>
      <c r="L560" s="21" t="n"/>
      <c r="M560" s="37">
        <f>E560*F560+G560*H560+I560*J560+K560*L560</f>
        <v/>
      </c>
      <c r="N560" s="37">
        <f>Исходные!$B$13-M560</f>
        <v/>
      </c>
      <c r="O560" s="51" t="n">
        <v>1</v>
      </c>
      <c r="P560" s="49">
        <f>(F560+H560+J560+L560)*O560</f>
        <v/>
      </c>
      <c r="Q560" s="70">
        <f>M560*O560</f>
        <v/>
      </c>
      <c r="R560" s="70">
        <f>N560*O560</f>
        <v/>
      </c>
    </row>
    <row r="561">
      <c r="A561" s="49" t="n">
        <v>3</v>
      </c>
      <c r="B561" s="49" t="n">
        <v>10</v>
      </c>
      <c r="C561" s="72" t="inlineStr">
        <is>
          <t>А500С</t>
        </is>
      </c>
      <c r="D561" s="49" t="n">
        <v>36</v>
      </c>
      <c r="E561" s="69" t="n">
        <v>9.18</v>
      </c>
      <c r="F561" s="51" t="n">
        <v>1</v>
      </c>
      <c r="G561" s="69" t="n">
        <v>2</v>
      </c>
      <c r="H561" s="51" t="n">
        <v>1</v>
      </c>
      <c r="I561" s="21" t="n"/>
      <c r="J561" s="21" t="n"/>
      <c r="K561" s="21" t="n"/>
      <c r="L561" s="21" t="n"/>
      <c r="M561" s="37">
        <f>E561*F561+G561*H561+I561*J561+K561*L561</f>
        <v/>
      </c>
      <c r="N561" s="37">
        <f>Исходные!$B$13-M561</f>
        <v/>
      </c>
      <c r="O561" s="51" t="n">
        <v>14</v>
      </c>
      <c r="P561" s="49">
        <f>(F561+H561+J561+L561)*O561</f>
        <v/>
      </c>
      <c r="Q561" s="70">
        <f>M561*O561</f>
        <v/>
      </c>
      <c r="R561" s="70">
        <f>N561*O561</f>
        <v/>
      </c>
    </row>
    <row r="562">
      <c r="A562" s="49" t="n">
        <v>3</v>
      </c>
      <c r="B562" s="49" t="n">
        <v>10</v>
      </c>
      <c r="C562" s="72" t="inlineStr">
        <is>
          <t>А500С</t>
        </is>
      </c>
      <c r="D562" s="49" t="n">
        <v>37</v>
      </c>
      <c r="E562" s="69" t="n">
        <v>9.18</v>
      </c>
      <c r="F562" s="51" t="n">
        <v>1</v>
      </c>
      <c r="G562" s="69" t="n">
        <v>1.4</v>
      </c>
      <c r="H562" s="51" t="n">
        <v>1</v>
      </c>
      <c r="I562" s="69" t="n">
        <v>0.57</v>
      </c>
      <c r="J562" s="51" t="n">
        <v>1</v>
      </c>
      <c r="K562" s="21" t="n"/>
      <c r="L562" s="21" t="n"/>
      <c r="M562" s="37">
        <f>E562*F562+G562*H562+I562*J562+K562*L562</f>
        <v/>
      </c>
      <c r="N562" s="37">
        <f>Исходные!$B$13-M562</f>
        <v/>
      </c>
      <c r="O562" s="51" t="n">
        <v>22</v>
      </c>
      <c r="P562" s="49">
        <f>(F562+H562+J562+L562)*O562</f>
        <v/>
      </c>
      <c r="Q562" s="70">
        <f>M562*O562</f>
        <v/>
      </c>
      <c r="R562" s="70">
        <f>N562*O562</f>
        <v/>
      </c>
    </row>
    <row r="563">
      <c r="A563" s="49" t="n">
        <v>3</v>
      </c>
      <c r="B563" s="49" t="n">
        <v>16</v>
      </c>
      <c r="C563" s="72" t="inlineStr">
        <is>
          <t>А240</t>
        </is>
      </c>
      <c r="D563" s="49" t="n">
        <v>1</v>
      </c>
      <c r="E563" s="69" t="n">
        <v>0.42</v>
      </c>
      <c r="F563" s="51" t="n">
        <v>2</v>
      </c>
      <c r="G563" s="21" t="n"/>
      <c r="H563" s="21" t="n"/>
      <c r="I563" s="21" t="n"/>
      <c r="J563" s="21" t="n"/>
      <c r="K563" s="21" t="n"/>
      <c r="L563" s="21" t="n"/>
      <c r="M563" s="37">
        <f>E563*F563+G563*H563+I563*J563+K563*L563</f>
        <v/>
      </c>
      <c r="N563" s="37">
        <f>Исходные!$B$13-M563</f>
        <v/>
      </c>
      <c r="O563" s="51" t="n">
        <v>1</v>
      </c>
      <c r="P563" s="49">
        <f>(F563+H563+J563+L563)*O563</f>
        <v/>
      </c>
      <c r="Q563" s="70">
        <f>M563*O563</f>
        <v/>
      </c>
      <c r="R563" s="70">
        <f>N563*O563</f>
        <v/>
      </c>
    </row>
    <row r="564">
      <c r="A564" s="49" t="n">
        <v>3</v>
      </c>
      <c r="B564" s="49" t="n">
        <v>10</v>
      </c>
      <c r="C564" s="72" t="inlineStr">
        <is>
          <t>А240</t>
        </is>
      </c>
      <c r="D564" s="49" t="n">
        <v>1</v>
      </c>
      <c r="E564" s="69" t="n">
        <v>0.52</v>
      </c>
      <c r="F564" s="51" t="n">
        <v>20</v>
      </c>
      <c r="G564" s="69" t="n">
        <v>0.42</v>
      </c>
      <c r="H564" s="51" t="n">
        <v>3</v>
      </c>
      <c r="I564" s="21" t="n"/>
      <c r="J564" s="21" t="n"/>
      <c r="K564" s="21" t="n"/>
      <c r="L564" s="21" t="n"/>
      <c r="M564" s="37">
        <f>E564*F564+G564*H564+I564*J564+K564*L564</f>
        <v/>
      </c>
      <c r="N564" s="37">
        <f>Исходные!$B$13-M564</f>
        <v/>
      </c>
      <c r="O564" s="51" t="n">
        <v>1</v>
      </c>
      <c r="P564" s="49">
        <f>(F564+H564+J564+L564)*O564</f>
        <v/>
      </c>
      <c r="Q564" s="70">
        <f>M564*O564</f>
        <v/>
      </c>
      <c r="R564" s="70">
        <f>N564*O564</f>
        <v/>
      </c>
    </row>
    <row r="565">
      <c r="A565" s="49" t="n">
        <v>3</v>
      </c>
      <c r="B565" s="49" t="n">
        <v>10</v>
      </c>
      <c r="C565" s="72" t="inlineStr">
        <is>
          <t>А240</t>
        </is>
      </c>
      <c r="D565" s="49" t="n">
        <v>2</v>
      </c>
      <c r="E565" s="69" t="n">
        <v>2.06</v>
      </c>
      <c r="F565" s="51" t="n">
        <v>5</v>
      </c>
      <c r="G565" s="69" t="n">
        <v>1.33</v>
      </c>
      <c r="H565" s="51" t="n">
        <v>1</v>
      </c>
      <c r="I565" s="21" t="n"/>
      <c r="J565" s="21" t="n"/>
      <c r="K565" s="21" t="n"/>
      <c r="L565" s="21" t="n"/>
      <c r="M565" s="37">
        <f>E565*F565+G565*H565+I565*J565+K565*L565</f>
        <v/>
      </c>
      <c r="N565" s="37">
        <f>Исходные!$B$13-M565</f>
        <v/>
      </c>
      <c r="O565" s="51" t="n">
        <v>135</v>
      </c>
      <c r="P565" s="49">
        <f>(F565+H565+J565+L565)*O565</f>
        <v/>
      </c>
      <c r="Q565" s="70">
        <f>M565*O565</f>
        <v/>
      </c>
      <c r="R565" s="70">
        <f>N565*O565</f>
        <v/>
      </c>
    </row>
    <row r="566">
      <c r="A566" s="49" t="n">
        <v>3</v>
      </c>
      <c r="B566" s="49" t="n">
        <v>10</v>
      </c>
      <c r="C566" s="72" t="inlineStr">
        <is>
          <t>А240</t>
        </is>
      </c>
      <c r="D566" s="49" t="n">
        <v>3</v>
      </c>
      <c r="E566" s="69" t="n">
        <v>1.6</v>
      </c>
      <c r="F566" s="51" t="n">
        <v>7</v>
      </c>
      <c r="G566" s="69" t="n">
        <v>0.42</v>
      </c>
      <c r="H566" s="51" t="n">
        <v>1</v>
      </c>
      <c r="I566" s="21" t="n"/>
      <c r="J566" s="21" t="n"/>
      <c r="K566" s="21" t="n"/>
      <c r="L566" s="21" t="n"/>
      <c r="M566" s="37">
        <f>E566*F566+G566*H566+I566*J566+K566*L566</f>
        <v/>
      </c>
      <c r="N566" s="37">
        <f>Исходные!$B$13-M566</f>
        <v/>
      </c>
      <c r="O566" s="51" t="n">
        <v>49</v>
      </c>
      <c r="P566" s="49">
        <f>(F566+H566+J566+L566)*O566</f>
        <v/>
      </c>
      <c r="Q566" s="70">
        <f>M566*O566</f>
        <v/>
      </c>
      <c r="R566" s="70">
        <f>N566*O566</f>
        <v/>
      </c>
    </row>
    <row r="567">
      <c r="A567" s="49" t="n">
        <v>3</v>
      </c>
      <c r="B567" s="49" t="n">
        <v>10</v>
      </c>
      <c r="C567" s="72" t="inlineStr">
        <is>
          <t>А240</t>
        </is>
      </c>
      <c r="D567" s="49" t="n">
        <v>4</v>
      </c>
      <c r="E567" s="69" t="n">
        <v>0.7</v>
      </c>
      <c r="F567" s="51" t="n">
        <v>16</v>
      </c>
      <c r="G567" s="69" t="n">
        <v>0.42</v>
      </c>
      <c r="H567" s="51" t="n">
        <v>1</v>
      </c>
      <c r="I567" s="21" t="n"/>
      <c r="J567" s="21" t="n"/>
      <c r="K567" s="21" t="n"/>
      <c r="L567" s="21" t="n"/>
      <c r="M567" s="37">
        <f>E567*F567+G567*H567+I567*J567+K567*L567</f>
        <v/>
      </c>
      <c r="N567" s="37">
        <f>Исходные!$B$13-M567</f>
        <v/>
      </c>
      <c r="O567" s="51" t="n">
        <v>6</v>
      </c>
      <c r="P567" s="49">
        <f>(F567+H567+J567+L567)*O567</f>
        <v/>
      </c>
      <c r="Q567" s="70">
        <f>M567*O567</f>
        <v/>
      </c>
      <c r="R567" s="70">
        <f>N567*O567</f>
        <v/>
      </c>
    </row>
    <row r="568">
      <c r="A568" s="49" t="n">
        <v>3</v>
      </c>
      <c r="B568" s="49" t="n">
        <v>10</v>
      </c>
      <c r="C568" s="72" t="inlineStr">
        <is>
          <t>А240</t>
        </is>
      </c>
      <c r="D568" s="49" t="n">
        <v>5</v>
      </c>
      <c r="E568" s="69" t="n">
        <v>0.7</v>
      </c>
      <c r="F568" s="51" t="n">
        <v>15</v>
      </c>
      <c r="G568" s="69" t="n">
        <v>0.52</v>
      </c>
      <c r="H568" s="51" t="n">
        <v>2</v>
      </c>
      <c r="I568" s="21" t="n"/>
      <c r="J568" s="21" t="n"/>
      <c r="K568" s="21" t="n"/>
      <c r="L568" s="21" t="n"/>
      <c r="M568" s="37">
        <f>E568*F568+G568*H568+I568*J568+K568*L568</f>
        <v/>
      </c>
      <c r="N568" s="37">
        <f>Исходные!$B$13-M568</f>
        <v/>
      </c>
      <c r="O568" s="51" t="n">
        <v>1</v>
      </c>
      <c r="P568" s="49">
        <f>(F568+H568+J568+L568)*O568</f>
        <v/>
      </c>
      <c r="Q568" s="70">
        <f>M568*O568</f>
        <v/>
      </c>
      <c r="R568" s="70">
        <f>N568*O568</f>
        <v/>
      </c>
    </row>
    <row r="569">
      <c r="A569" s="49" t="n">
        <v>3</v>
      </c>
      <c r="B569" s="49" t="n">
        <v>10</v>
      </c>
      <c r="C569" s="72" t="inlineStr">
        <is>
          <t>А240</t>
        </is>
      </c>
      <c r="D569" s="49" t="n">
        <v>6</v>
      </c>
      <c r="E569" s="69" t="n">
        <v>0.52</v>
      </c>
      <c r="F569" s="51" t="n">
        <v>22</v>
      </c>
      <c r="G569" s="21" t="n"/>
      <c r="H569" s="21" t="n"/>
      <c r="I569" s="21" t="n"/>
      <c r="J569" s="21" t="n"/>
      <c r="K569" s="21" t="n"/>
      <c r="L569" s="21" t="n"/>
      <c r="M569" s="37">
        <f>E569*F569+G569*H569+I569*J569+K569*L569</f>
        <v/>
      </c>
      <c r="N569" s="37">
        <f>Исходные!$B$13-M569</f>
        <v/>
      </c>
      <c r="O569" s="51" t="n">
        <v>7</v>
      </c>
      <c r="P569" s="49">
        <f>(F569+H569+J569+L569)*O569</f>
        <v/>
      </c>
      <c r="Q569" s="70">
        <f>M569*O569</f>
        <v/>
      </c>
      <c r="R569" s="70">
        <f>N569*O569</f>
        <v/>
      </c>
    </row>
    <row r="570">
      <c r="A570" s="49" t="n">
        <v>3</v>
      </c>
      <c r="B570" s="49" t="n">
        <v>10</v>
      </c>
      <c r="C570" s="72" t="inlineStr">
        <is>
          <t>А240</t>
        </is>
      </c>
      <c r="D570" s="49" t="n">
        <v>7</v>
      </c>
      <c r="E570" s="69" t="n">
        <v>1.33</v>
      </c>
      <c r="F570" s="51" t="n">
        <v>7</v>
      </c>
      <c r="G570" s="69" t="n">
        <v>0.7</v>
      </c>
      <c r="H570" s="51" t="n">
        <v>3</v>
      </c>
      <c r="I570" s="21" t="n"/>
      <c r="J570" s="21" t="n"/>
      <c r="K570" s="21" t="n"/>
      <c r="L570" s="21" t="n"/>
      <c r="M570" s="37">
        <f>E570*F570+G570*H570+I570*J570+K570*L570</f>
        <v/>
      </c>
      <c r="N570" s="37">
        <f>Исходные!$B$13-M570</f>
        <v/>
      </c>
      <c r="O570" s="51" t="n">
        <v>1</v>
      </c>
      <c r="P570" s="49">
        <f>(F570+H570+J570+L570)*O570</f>
        <v/>
      </c>
      <c r="Q570" s="70">
        <f>M570*O570</f>
        <v/>
      </c>
      <c r="R570" s="70">
        <f>N570*O570</f>
        <v/>
      </c>
    </row>
    <row r="571">
      <c r="A571" s="49" t="n">
        <v>3</v>
      </c>
      <c r="B571" s="49" t="n">
        <v>10</v>
      </c>
      <c r="C571" s="72" t="inlineStr">
        <is>
          <t>А240</t>
        </is>
      </c>
      <c r="D571" s="49" t="n">
        <v>8</v>
      </c>
      <c r="E571" s="69" t="n">
        <v>1.6</v>
      </c>
      <c r="F571" s="51" t="n">
        <v>5</v>
      </c>
      <c r="G571" s="69" t="n">
        <v>1.33</v>
      </c>
      <c r="H571" s="51" t="n">
        <v>2</v>
      </c>
      <c r="I571" s="69" t="n">
        <v>0.7</v>
      </c>
      <c r="J571" s="51" t="n">
        <v>1</v>
      </c>
      <c r="K571" s="21" t="n"/>
      <c r="L571" s="21" t="n"/>
      <c r="M571" s="37">
        <f>E571*F571+G571*H571+I571*J571+K571*L571</f>
        <v/>
      </c>
      <c r="N571" s="37">
        <f>Исходные!$B$13-M571</f>
        <v/>
      </c>
      <c r="O571" s="51" t="n">
        <v>1</v>
      </c>
      <c r="P571" s="49">
        <f>(F571+H571+J571+L571)*O571</f>
        <v/>
      </c>
      <c r="Q571" s="70">
        <f>M571*O571</f>
        <v/>
      </c>
      <c r="R571" s="70">
        <f>N571*O571</f>
        <v/>
      </c>
    </row>
    <row r="572">
      <c r="A572" s="49" t="n">
        <v>3</v>
      </c>
      <c r="B572" s="49" t="n">
        <v>10</v>
      </c>
      <c r="C572" s="72" t="inlineStr">
        <is>
          <t>А240</t>
        </is>
      </c>
      <c r="D572" s="49" t="n">
        <v>9</v>
      </c>
      <c r="E572" s="69" t="n">
        <v>1.33</v>
      </c>
      <c r="F572" s="51" t="n">
        <v>8</v>
      </c>
      <c r="G572" s="69" t="n">
        <v>0.7</v>
      </c>
      <c r="H572" s="51" t="n">
        <v>1</v>
      </c>
      <c r="I572" s="21" t="n"/>
      <c r="J572" s="21" t="n"/>
      <c r="K572" s="21" t="n"/>
      <c r="L572" s="21" t="n"/>
      <c r="M572" s="37">
        <f>E572*F572+G572*H572+I572*J572+K572*L572</f>
        <v/>
      </c>
      <c r="N572" s="37">
        <f>Исходные!$B$13-M572</f>
        <v/>
      </c>
      <c r="O572" s="51" t="n">
        <v>4</v>
      </c>
      <c r="P572" s="49">
        <f>(F572+H572+J572+L572)*O572</f>
        <v/>
      </c>
      <c r="Q572" s="70">
        <f>M572*O572</f>
        <v/>
      </c>
      <c r="R572" s="70">
        <f>N572*O572</f>
        <v/>
      </c>
    </row>
    <row r="573">
      <c r="A573" s="49" t="n">
        <v>3</v>
      </c>
      <c r="B573" s="49" t="n">
        <v>10</v>
      </c>
      <c r="C573" s="72" t="inlineStr">
        <is>
          <t>А240</t>
        </is>
      </c>
      <c r="D573" s="49" t="n">
        <v>10</v>
      </c>
      <c r="E573" s="69" t="n">
        <v>0.42</v>
      </c>
      <c r="F573" s="51" t="n">
        <v>27</v>
      </c>
      <c r="G573" s="21" t="n"/>
      <c r="H573" s="21" t="n"/>
      <c r="I573" s="21" t="n"/>
      <c r="J573" s="21" t="n"/>
      <c r="K573" s="21" t="n"/>
      <c r="L573" s="21" t="n"/>
      <c r="M573" s="37">
        <f>E573*F573+G573*H573+I573*J573+K573*L573</f>
        <v/>
      </c>
      <c r="N573" s="37">
        <f>Исходные!$B$13-M573</f>
        <v/>
      </c>
      <c r="O573" s="51" t="n">
        <v>29</v>
      </c>
      <c r="P573" s="49">
        <f>(F573+H573+J573+L573)*O573</f>
        <v/>
      </c>
      <c r="Q573" s="70">
        <f>M573*O573</f>
        <v/>
      </c>
      <c r="R573" s="70">
        <f>N573*O573</f>
        <v/>
      </c>
    </row>
    <row r="574">
      <c r="A574" s="49" t="n">
        <v>3</v>
      </c>
      <c r="B574" s="49" t="n">
        <v>10</v>
      </c>
      <c r="C574" s="72" t="inlineStr">
        <is>
          <t>А240</t>
        </is>
      </c>
      <c r="D574" s="49" t="n">
        <v>11</v>
      </c>
      <c r="E574" s="69" t="n">
        <v>0.42</v>
      </c>
      <c r="F574" s="51" t="n">
        <v>6</v>
      </c>
      <c r="G574" s="21" t="n"/>
      <c r="H574" s="21" t="n"/>
      <c r="I574" s="21" t="n"/>
      <c r="J574" s="21" t="n"/>
      <c r="K574" s="21" t="n"/>
      <c r="L574" s="21" t="n"/>
      <c r="M574" s="37">
        <f>E574*F574+G574*H574+I574*J574+K574*L574</f>
        <v/>
      </c>
      <c r="N574" s="37">
        <f>Исходные!$B$13-M574</f>
        <v/>
      </c>
      <c r="O574" s="51" t="n">
        <v>1</v>
      </c>
      <c r="P574" s="49">
        <f>(F574+H574+J574+L574)*O574</f>
        <v/>
      </c>
      <c r="Q574" s="70">
        <f>M574*O574</f>
        <v/>
      </c>
      <c r="R574" s="70">
        <f>N574*O574</f>
        <v/>
      </c>
    </row>
    <row r="575">
      <c r="A575" s="49" t="n">
        <v>3</v>
      </c>
      <c r="B575" s="49" t="n">
        <v>8</v>
      </c>
      <c r="C575" s="72" t="inlineStr">
        <is>
          <t>А240</t>
        </is>
      </c>
      <c r="D575" s="49" t="n">
        <v>1</v>
      </c>
      <c r="E575" s="69" t="n">
        <v>1.24</v>
      </c>
      <c r="F575" s="51" t="n">
        <v>9</v>
      </c>
      <c r="G575" s="69" t="n">
        <v>0.53</v>
      </c>
      <c r="H575" s="51" t="n">
        <v>1</v>
      </c>
      <c r="I575" s="21" t="n"/>
      <c r="J575" s="21" t="n"/>
      <c r="K575" s="21" t="n"/>
      <c r="L575" s="21" t="n"/>
      <c r="M575" s="37">
        <f>E575*F575+G575*H575+I575*J575+K575*L575</f>
        <v/>
      </c>
      <c r="N575" s="37">
        <f>Исходные!$B$13-M575</f>
        <v/>
      </c>
      <c r="O575" s="51" t="n">
        <v>85</v>
      </c>
      <c r="P575" s="49">
        <f>(F575+H575+J575+L575)*O575</f>
        <v/>
      </c>
      <c r="Q575" s="70">
        <f>M575*O575</f>
        <v/>
      </c>
      <c r="R575" s="70">
        <f>N575*O575</f>
        <v/>
      </c>
    </row>
    <row r="576">
      <c r="A576" s="49" t="n">
        <v>3</v>
      </c>
      <c r="B576" s="49" t="n">
        <v>8</v>
      </c>
      <c r="C576" s="72" t="inlineStr">
        <is>
          <t>А240</t>
        </is>
      </c>
      <c r="D576" s="49" t="n">
        <v>2</v>
      </c>
      <c r="E576" s="69" t="n">
        <v>0.75</v>
      </c>
      <c r="F576" s="51" t="n">
        <v>15</v>
      </c>
      <c r="G576" s="69" t="n">
        <v>0.22</v>
      </c>
      <c r="H576" s="51" t="n">
        <v>2</v>
      </c>
      <c r="I576" s="21" t="n"/>
      <c r="J576" s="21" t="n"/>
      <c r="K576" s="21" t="n"/>
      <c r="L576" s="21" t="n"/>
      <c r="M576" s="37">
        <f>E576*F576+G576*H576+I576*J576+K576*L576</f>
        <v/>
      </c>
      <c r="N576" s="37">
        <f>Исходные!$B$13-M576</f>
        <v/>
      </c>
      <c r="O576" s="51" t="n">
        <v>48</v>
      </c>
      <c r="P576" s="49">
        <f>(F576+H576+J576+L576)*O576</f>
        <v/>
      </c>
      <c r="Q576" s="70">
        <f>M576*O576</f>
        <v/>
      </c>
      <c r="R576" s="70">
        <f>N576*O576</f>
        <v/>
      </c>
    </row>
    <row r="577">
      <c r="A577" s="49" t="n">
        <v>3</v>
      </c>
      <c r="B577" s="49" t="n">
        <v>8</v>
      </c>
      <c r="C577" s="72" t="inlineStr">
        <is>
          <t>А240</t>
        </is>
      </c>
      <c r="D577" s="49" t="n">
        <v>3</v>
      </c>
      <c r="E577" s="69" t="n">
        <v>0.58</v>
      </c>
      <c r="F577" s="51" t="n">
        <v>13</v>
      </c>
      <c r="G577" s="69" t="n">
        <v>0.53</v>
      </c>
      <c r="H577" s="51" t="n">
        <v>7</v>
      </c>
      <c r="I577" s="69" t="n">
        <v>0.22</v>
      </c>
      <c r="J577" s="51" t="n">
        <v>2</v>
      </c>
      <c r="K577" s="21" t="n"/>
      <c r="L577" s="21" t="n"/>
      <c r="M577" s="37">
        <f>E577*F577+G577*H577+I577*J577+K577*L577</f>
        <v/>
      </c>
      <c r="N577" s="37">
        <f>Исходные!$B$13-M577</f>
        <v/>
      </c>
      <c r="O577" s="51" t="n">
        <v>1</v>
      </c>
      <c r="P577" s="49">
        <f>(F577+H577+J577+L577)*O577</f>
        <v/>
      </c>
      <c r="Q577" s="70">
        <f>M577*O577</f>
        <v/>
      </c>
      <c r="R577" s="70">
        <f>N577*O577</f>
        <v/>
      </c>
    </row>
    <row r="578">
      <c r="A578" s="49" t="n">
        <v>3</v>
      </c>
      <c r="B578" s="49" t="n">
        <v>8</v>
      </c>
      <c r="C578" s="72" t="inlineStr">
        <is>
          <t>А240</t>
        </is>
      </c>
      <c r="D578" s="49" t="n">
        <v>4</v>
      </c>
      <c r="E578" s="69" t="n">
        <v>1.96</v>
      </c>
      <c r="F578" s="51" t="n">
        <v>1</v>
      </c>
      <c r="G578" s="69" t="n">
        <v>1.24</v>
      </c>
      <c r="H578" s="51" t="n">
        <v>7</v>
      </c>
      <c r="I578" s="69" t="n">
        <v>1.04</v>
      </c>
      <c r="J578" s="51" t="n">
        <v>1</v>
      </c>
      <c r="K578" s="21" t="n"/>
      <c r="L578" s="21" t="n"/>
      <c r="M578" s="37">
        <f>E578*F578+G578*H578+I578*J578+K578*L578</f>
        <v/>
      </c>
      <c r="N578" s="37">
        <f>Исходные!$B$13-M578</f>
        <v/>
      </c>
      <c r="O578" s="51" t="n">
        <v>1</v>
      </c>
      <c r="P578" s="49">
        <f>(F578+H578+J578+L578)*O578</f>
        <v/>
      </c>
      <c r="Q578" s="70">
        <f>M578*O578</f>
        <v/>
      </c>
      <c r="R578" s="70">
        <f>N578*O578</f>
        <v/>
      </c>
    </row>
    <row r="579">
      <c r="A579" s="49" t="n">
        <v>3</v>
      </c>
      <c r="B579" s="49" t="n">
        <v>8</v>
      </c>
      <c r="C579" s="72" t="inlineStr">
        <is>
          <t>А240</t>
        </is>
      </c>
      <c r="D579" s="49" t="n">
        <v>5</v>
      </c>
      <c r="E579" s="69" t="n">
        <v>1.04</v>
      </c>
      <c r="F579" s="51" t="n">
        <v>11</v>
      </c>
      <c r="G579" s="69" t="n">
        <v>0.22</v>
      </c>
      <c r="H579" s="51" t="n">
        <v>1</v>
      </c>
      <c r="I579" s="21" t="n"/>
      <c r="J579" s="21" t="n"/>
      <c r="K579" s="21" t="n"/>
      <c r="L579" s="21" t="n"/>
      <c r="M579" s="37">
        <f>E579*F579+G579*H579+I579*J579+K579*L579</f>
        <v/>
      </c>
      <c r="N579" s="37">
        <f>Исходные!$B$13-M579</f>
        <v/>
      </c>
      <c r="O579" s="51" t="n">
        <v>10</v>
      </c>
      <c r="P579" s="49">
        <f>(F579+H579+J579+L579)*O579</f>
        <v/>
      </c>
      <c r="Q579" s="70">
        <f>M579*O579</f>
        <v/>
      </c>
      <c r="R579" s="70">
        <f>N579*O579</f>
        <v/>
      </c>
    </row>
    <row r="580">
      <c r="A580" s="49" t="n">
        <v>3</v>
      </c>
      <c r="B580" s="49" t="n">
        <v>8</v>
      </c>
      <c r="C580" s="72" t="inlineStr">
        <is>
          <t>А240</t>
        </is>
      </c>
      <c r="D580" s="49" t="n">
        <v>6</v>
      </c>
      <c r="E580" s="69" t="n">
        <v>2.06</v>
      </c>
      <c r="F580" s="51" t="n">
        <v>1</v>
      </c>
      <c r="G580" s="69" t="n">
        <v>1.96</v>
      </c>
      <c r="H580" s="51" t="n">
        <v>4</v>
      </c>
      <c r="I580" s="69" t="n">
        <v>1.76</v>
      </c>
      <c r="J580" s="51" t="n">
        <v>1</v>
      </c>
      <c r="K580" s="21" t="n"/>
      <c r="L580" s="21" t="n"/>
      <c r="M580" s="37">
        <f>E580*F580+G580*H580+I580*J580+K580*L580</f>
        <v/>
      </c>
      <c r="N580" s="37">
        <f>Исходные!$B$13-M580</f>
        <v/>
      </c>
      <c r="O580" s="51" t="n">
        <v>1</v>
      </c>
      <c r="P580" s="49">
        <f>(F580+H580+J580+L580)*O580</f>
        <v/>
      </c>
      <c r="Q580" s="70">
        <f>M580*O580</f>
        <v/>
      </c>
      <c r="R580" s="70">
        <f>N580*O580</f>
        <v/>
      </c>
    </row>
    <row r="581">
      <c r="A581" s="49" t="n">
        <v>3</v>
      </c>
      <c r="B581" s="49" t="n">
        <v>8</v>
      </c>
      <c r="C581" s="72" t="inlineStr">
        <is>
          <t>А240</t>
        </is>
      </c>
      <c r="D581" s="49" t="n">
        <v>7</v>
      </c>
      <c r="E581" s="69" t="n">
        <v>0.53</v>
      </c>
      <c r="F581" s="51" t="n">
        <v>22</v>
      </c>
      <c r="G581" s="21" t="n"/>
      <c r="H581" s="21" t="n"/>
      <c r="I581" s="21" t="n"/>
      <c r="J581" s="21" t="n"/>
      <c r="K581" s="21" t="n"/>
      <c r="L581" s="21" t="n"/>
      <c r="M581" s="37">
        <f>E581*F581+G581*H581+I581*J581+K581*L581</f>
        <v/>
      </c>
      <c r="N581" s="37">
        <f>Исходные!$B$13-M581</f>
        <v/>
      </c>
      <c r="O581" s="51" t="n">
        <v>7</v>
      </c>
      <c r="P581" s="49">
        <f>(F581+H581+J581+L581)*O581</f>
        <v/>
      </c>
      <c r="Q581" s="70">
        <f>M581*O581</f>
        <v/>
      </c>
      <c r="R581" s="70">
        <f>N581*O581</f>
        <v/>
      </c>
    </row>
    <row r="582">
      <c r="A582" s="49" t="n">
        <v>3</v>
      </c>
      <c r="B582" s="49" t="n">
        <v>8</v>
      </c>
      <c r="C582" s="72" t="inlineStr">
        <is>
          <t>А240</t>
        </is>
      </c>
      <c r="D582" s="49" t="n">
        <v>8</v>
      </c>
      <c r="E582" s="69" t="n">
        <v>0.22</v>
      </c>
      <c r="F582" s="51" t="n">
        <v>53</v>
      </c>
      <c r="G582" s="21" t="n"/>
      <c r="H582" s="21" t="n"/>
      <c r="I582" s="21" t="n"/>
      <c r="J582" s="21" t="n"/>
      <c r="K582" s="21" t="n"/>
      <c r="L582" s="21" t="n"/>
      <c r="M582" s="37">
        <f>E582*F582+G582*H582+I582*J582+K582*L582</f>
        <v/>
      </c>
      <c r="N582" s="37">
        <f>Исходные!$B$13-M582</f>
        <v/>
      </c>
      <c r="O582" s="51" t="n">
        <v>9</v>
      </c>
      <c r="P582" s="49">
        <f>(F582+H582+J582+L582)*O582</f>
        <v/>
      </c>
      <c r="Q582" s="70">
        <f>M582*O582</f>
        <v/>
      </c>
      <c r="R582" s="70">
        <f>N582*O582</f>
        <v/>
      </c>
    </row>
    <row r="583">
      <c r="A583" s="49" t="n">
        <v>3</v>
      </c>
      <c r="B583" s="49" t="n">
        <v>8</v>
      </c>
      <c r="C583" s="72" t="inlineStr">
        <is>
          <t>А240</t>
        </is>
      </c>
      <c r="D583" s="49" t="n">
        <v>9</v>
      </c>
      <c r="E583" s="69" t="n">
        <v>2.44</v>
      </c>
      <c r="F583" s="51" t="n">
        <v>4</v>
      </c>
      <c r="G583" s="69" t="n">
        <v>1.44</v>
      </c>
      <c r="H583" s="51" t="n">
        <v>1</v>
      </c>
      <c r="I583" s="69" t="n">
        <v>0.22</v>
      </c>
      <c r="J583" s="51" t="n">
        <v>2</v>
      </c>
      <c r="K583" s="21" t="n"/>
      <c r="L583" s="21" t="n"/>
      <c r="M583" s="37">
        <f>E583*F583+G583*H583+I583*J583+K583*L583</f>
        <v/>
      </c>
      <c r="N583" s="37">
        <f>Исходные!$B$13-M583</f>
        <v/>
      </c>
      <c r="O583" s="51" t="n">
        <v>44</v>
      </c>
      <c r="P583" s="49">
        <f>(F583+H583+J583+L583)*O583</f>
        <v/>
      </c>
      <c r="Q583" s="70">
        <f>M583*O583</f>
        <v/>
      </c>
      <c r="R583" s="70">
        <f>N583*O583</f>
        <v/>
      </c>
    </row>
    <row r="584">
      <c r="A584" s="49" t="n">
        <v>3</v>
      </c>
      <c r="B584" s="49" t="n">
        <v>8</v>
      </c>
      <c r="C584" s="72" t="inlineStr">
        <is>
          <t>А240</t>
        </is>
      </c>
      <c r="D584" s="49" t="n">
        <v>10</v>
      </c>
      <c r="E584" s="69" t="n">
        <v>0.53</v>
      </c>
      <c r="F584" s="51" t="n">
        <v>2</v>
      </c>
      <c r="G584" s="69" t="n">
        <v>0.22</v>
      </c>
      <c r="H584" s="51" t="n">
        <v>48</v>
      </c>
      <c r="I584" s="21" t="n"/>
      <c r="J584" s="21" t="n"/>
      <c r="K584" s="21" t="n"/>
      <c r="L584" s="21" t="n"/>
      <c r="M584" s="37">
        <f>E584*F584+G584*H584+I584*J584+K584*L584</f>
        <v/>
      </c>
      <c r="N584" s="37">
        <f>Исходные!$B$13-M584</f>
        <v/>
      </c>
      <c r="O584" s="51" t="n">
        <v>1</v>
      </c>
      <c r="P584" s="49">
        <f>(F584+H584+J584+L584)*O584</f>
        <v/>
      </c>
      <c r="Q584" s="70">
        <f>M584*O584</f>
        <v/>
      </c>
      <c r="R584" s="70">
        <f>N584*O584</f>
        <v/>
      </c>
    </row>
    <row r="585">
      <c r="A585" s="49" t="n">
        <v>3</v>
      </c>
      <c r="B585" s="49" t="n">
        <v>8</v>
      </c>
      <c r="C585" s="72" t="inlineStr">
        <is>
          <t>А240</t>
        </is>
      </c>
      <c r="D585" s="49" t="n">
        <v>11</v>
      </c>
      <c r="E585" s="69" t="n">
        <v>1.14</v>
      </c>
      <c r="F585" s="51" t="n">
        <v>10</v>
      </c>
      <c r="G585" s="69" t="n">
        <v>0.22</v>
      </c>
      <c r="H585" s="51" t="n">
        <v>1</v>
      </c>
      <c r="I585" s="21" t="n"/>
      <c r="J585" s="21" t="n"/>
      <c r="K585" s="21" t="n"/>
      <c r="L585" s="21" t="n"/>
      <c r="M585" s="37">
        <f>E585*F585+G585*H585+I585*J585+K585*L585</f>
        <v/>
      </c>
      <c r="N585" s="37">
        <f>Исходные!$B$13-M585</f>
        <v/>
      </c>
      <c r="O585" s="51" t="n">
        <v>27</v>
      </c>
      <c r="P585" s="49">
        <f>(F585+H585+J585+L585)*O585</f>
        <v/>
      </c>
      <c r="Q585" s="70">
        <f>M585*O585</f>
        <v/>
      </c>
      <c r="R585" s="70">
        <f>N585*O585</f>
        <v/>
      </c>
    </row>
    <row r="586">
      <c r="A586" s="49" t="n">
        <v>3</v>
      </c>
      <c r="B586" s="49" t="n">
        <v>8</v>
      </c>
      <c r="C586" s="72" t="inlineStr">
        <is>
          <t>А240</t>
        </is>
      </c>
      <c r="D586" s="49" t="n">
        <v>12</v>
      </c>
      <c r="E586" s="69" t="n">
        <v>1.16</v>
      </c>
      <c r="F586" s="51" t="n">
        <v>10</v>
      </c>
      <c r="G586" s="21" t="n"/>
      <c r="H586" s="21" t="n"/>
      <c r="I586" s="21" t="n"/>
      <c r="J586" s="21" t="n"/>
      <c r="K586" s="21" t="n"/>
      <c r="L586" s="21" t="n"/>
      <c r="M586" s="37">
        <f>E586*F586+G586*H586+I586*J586+K586*L586</f>
        <v/>
      </c>
      <c r="N586" s="37">
        <f>Исходные!$B$13-M586</f>
        <v/>
      </c>
      <c r="O586" s="51" t="n">
        <v>1</v>
      </c>
      <c r="P586" s="49">
        <f>(F586+H586+J586+L586)*O586</f>
        <v/>
      </c>
      <c r="Q586" s="70">
        <f>M586*O586</f>
        <v/>
      </c>
      <c r="R586" s="70">
        <f>N586*O586</f>
        <v/>
      </c>
    </row>
    <row r="587">
      <c r="A587" s="49" t="n">
        <v>3</v>
      </c>
      <c r="B587" s="49" t="n">
        <v>8</v>
      </c>
      <c r="C587" s="72" t="inlineStr">
        <is>
          <t>А240</t>
        </is>
      </c>
      <c r="D587" s="49" t="n">
        <v>13</v>
      </c>
      <c r="E587" s="69" t="n">
        <v>0.58</v>
      </c>
      <c r="F587" s="51" t="n">
        <v>20</v>
      </c>
      <c r="G587" s="21" t="n"/>
      <c r="H587" s="21" t="n"/>
      <c r="I587" s="21" t="n"/>
      <c r="J587" s="21" t="n"/>
      <c r="K587" s="21" t="n"/>
      <c r="L587" s="21" t="n"/>
      <c r="M587" s="37">
        <f>E587*F587+G587*H587+I587*J587+K587*L587</f>
        <v/>
      </c>
      <c r="N587" s="37">
        <f>Исходные!$B$13-M587</f>
        <v/>
      </c>
      <c r="O587" s="51" t="n">
        <v>26</v>
      </c>
      <c r="P587" s="49">
        <f>(F587+H587+J587+L587)*O587</f>
        <v/>
      </c>
      <c r="Q587" s="70">
        <f>M587*O587</f>
        <v/>
      </c>
      <c r="R587" s="70">
        <f>N587*O587</f>
        <v/>
      </c>
    </row>
    <row r="588">
      <c r="A588" s="49" t="n">
        <v>3</v>
      </c>
      <c r="B588" s="49" t="n">
        <v>8</v>
      </c>
      <c r="C588" s="72" t="inlineStr">
        <is>
          <t>А240</t>
        </is>
      </c>
      <c r="D588" s="49" t="n">
        <v>14</v>
      </c>
      <c r="E588" s="69" t="n">
        <v>1.24</v>
      </c>
      <c r="F588" s="51" t="n">
        <v>5</v>
      </c>
      <c r="G588" s="69" t="n">
        <v>1.16</v>
      </c>
      <c r="H588" s="51" t="n">
        <v>4</v>
      </c>
      <c r="I588" s="69" t="n">
        <v>0.75</v>
      </c>
      <c r="J588" s="51" t="n">
        <v>1</v>
      </c>
      <c r="K588" s="21" t="n"/>
      <c r="L588" s="21" t="n"/>
      <c r="M588" s="37">
        <f>E588*F588+G588*H588+I588*J588+K588*L588</f>
        <v/>
      </c>
      <c r="N588" s="37">
        <f>Исходные!$B$13-M588</f>
        <v/>
      </c>
      <c r="O588" s="51" t="n">
        <v>1</v>
      </c>
      <c r="P588" s="49">
        <f>(F588+H588+J588+L588)*O588</f>
        <v/>
      </c>
      <c r="Q588" s="70">
        <f>M588*O588</f>
        <v/>
      </c>
      <c r="R588" s="70">
        <f>N588*O588</f>
        <v/>
      </c>
    </row>
    <row r="589">
      <c r="A589" s="49" t="n">
        <v>3</v>
      </c>
      <c r="B589" s="49" t="n">
        <v>8</v>
      </c>
      <c r="C589" s="72" t="inlineStr">
        <is>
          <t>А240</t>
        </is>
      </c>
      <c r="D589" s="49" t="n">
        <v>15</v>
      </c>
      <c r="E589" s="69" t="n">
        <v>2.44</v>
      </c>
      <c r="F589" s="51" t="n">
        <v>4</v>
      </c>
      <c r="G589" s="69" t="n">
        <v>1.24</v>
      </c>
      <c r="H589" s="51" t="n">
        <v>1</v>
      </c>
      <c r="I589" s="69" t="n">
        <v>0.58</v>
      </c>
      <c r="J589" s="51" t="n">
        <v>1</v>
      </c>
      <c r="K589" s="21" t="n"/>
      <c r="L589" s="21" t="n"/>
      <c r="M589" s="37">
        <f>E589*F589+G589*H589+I589*J589+K589*L589</f>
        <v/>
      </c>
      <c r="N589" s="37">
        <f>Исходные!$B$13-M589</f>
        <v/>
      </c>
      <c r="O589" s="51" t="n">
        <v>48</v>
      </c>
      <c r="P589" s="49">
        <f>(F589+H589+J589+L589)*O589</f>
        <v/>
      </c>
      <c r="Q589" s="70">
        <f>M589*O589</f>
        <v/>
      </c>
      <c r="R589" s="70">
        <f>N589*O589</f>
        <v/>
      </c>
    </row>
    <row r="590">
      <c r="A590" s="49" t="n">
        <v>3</v>
      </c>
      <c r="B590" s="49" t="n">
        <v>8</v>
      </c>
      <c r="C590" s="72" t="inlineStr">
        <is>
          <t>А240</t>
        </is>
      </c>
      <c r="D590" s="49" t="n">
        <v>16</v>
      </c>
      <c r="E590" s="69" t="n">
        <v>2.06</v>
      </c>
      <c r="F590" s="51" t="n">
        <v>5</v>
      </c>
      <c r="G590" s="69" t="n">
        <v>1.28</v>
      </c>
      <c r="H590" s="51" t="n">
        <v>1</v>
      </c>
      <c r="I590" s="21" t="n"/>
      <c r="J590" s="21" t="n"/>
      <c r="K590" s="21" t="n"/>
      <c r="L590" s="21" t="n"/>
      <c r="M590" s="37">
        <f>E590*F590+G590*H590+I590*J590+K590*L590</f>
        <v/>
      </c>
      <c r="N590" s="37">
        <f>Исходные!$B$13-M590</f>
        <v/>
      </c>
      <c r="O590" s="51" t="n">
        <v>14</v>
      </c>
      <c r="P590" s="49">
        <f>(F590+H590+J590+L590)*O590</f>
        <v/>
      </c>
      <c r="Q590" s="70">
        <f>M590*O590</f>
        <v/>
      </c>
      <c r="R590" s="70">
        <f>N590*O590</f>
        <v/>
      </c>
    </row>
    <row r="591">
      <c r="A591" s="49" t="n">
        <v>3</v>
      </c>
      <c r="B591" s="49" t="n">
        <v>8</v>
      </c>
      <c r="C591" s="72" t="inlineStr">
        <is>
          <t>А240</t>
        </is>
      </c>
      <c r="D591" s="49" t="n">
        <v>17</v>
      </c>
      <c r="E591" s="69" t="n">
        <v>1.96</v>
      </c>
      <c r="F591" s="51" t="n">
        <v>5</v>
      </c>
      <c r="G591" s="69" t="n">
        <v>1.56</v>
      </c>
      <c r="H591" s="51" t="n">
        <v>1</v>
      </c>
      <c r="I591" s="69" t="n">
        <v>0.22</v>
      </c>
      <c r="J591" s="51" t="n">
        <v>1</v>
      </c>
      <c r="K591" s="21" t="n"/>
      <c r="L591" s="21" t="n"/>
      <c r="M591" s="37">
        <f>E591*F591+G591*H591+I591*J591+K591*L591</f>
        <v/>
      </c>
      <c r="N591" s="37">
        <f>Исходные!$B$13-M591</f>
        <v/>
      </c>
      <c r="O591" s="51" t="n">
        <v>48</v>
      </c>
      <c r="P591" s="49">
        <f>(F591+H591+J591+L591)*O591</f>
        <v/>
      </c>
      <c r="Q591" s="70">
        <f>M591*O591</f>
        <v/>
      </c>
      <c r="R591" s="70">
        <f>N591*O591</f>
        <v/>
      </c>
    </row>
    <row r="592">
      <c r="A592" s="49" t="n">
        <v>3</v>
      </c>
      <c r="B592" s="49" t="n">
        <v>8</v>
      </c>
      <c r="C592" s="72" t="inlineStr">
        <is>
          <t>А240</t>
        </is>
      </c>
      <c r="D592" s="49" t="n">
        <v>18</v>
      </c>
      <c r="E592" s="69" t="n">
        <v>1.96</v>
      </c>
      <c r="F592" s="51" t="n">
        <v>5</v>
      </c>
      <c r="G592" s="69" t="n">
        <v>1.76</v>
      </c>
      <c r="H592" s="51" t="n">
        <v>1</v>
      </c>
      <c r="I592" s="21" t="n"/>
      <c r="J592" s="21" t="n"/>
      <c r="K592" s="21" t="n"/>
      <c r="L592" s="21" t="n"/>
      <c r="M592" s="37">
        <f>E592*F592+G592*H592+I592*J592+K592*L592</f>
        <v/>
      </c>
      <c r="N592" s="37">
        <f>Исходные!$B$13-M592</f>
        <v/>
      </c>
      <c r="O592" s="51" t="n">
        <v>79</v>
      </c>
      <c r="P592" s="49">
        <f>(F592+H592+J592+L592)*O592</f>
        <v/>
      </c>
      <c r="Q592" s="70">
        <f>M592*O592</f>
        <v/>
      </c>
      <c r="R592" s="70">
        <f>N592*O592</f>
        <v/>
      </c>
    </row>
    <row r="593">
      <c r="A593" s="49" t="n">
        <v>3</v>
      </c>
      <c r="B593" s="49" t="n">
        <v>8</v>
      </c>
      <c r="C593" s="72" t="inlineStr">
        <is>
          <t>А240</t>
        </is>
      </c>
      <c r="D593" s="49" t="n">
        <v>19</v>
      </c>
      <c r="E593" s="69" t="n">
        <v>1.16</v>
      </c>
      <c r="F593" s="51" t="n">
        <v>8</v>
      </c>
      <c r="G593" s="69" t="n">
        <v>1.14</v>
      </c>
      <c r="H593" s="51" t="n">
        <v>2</v>
      </c>
      <c r="I593" s="21" t="n"/>
      <c r="J593" s="21" t="n"/>
      <c r="K593" s="21" t="n"/>
      <c r="L593" s="21" t="n"/>
      <c r="M593" s="37">
        <f>E593*F593+G593*H593+I593*J593+K593*L593</f>
        <v/>
      </c>
      <c r="N593" s="37">
        <f>Исходные!$B$13-M593</f>
        <v/>
      </c>
      <c r="O593" s="51" t="n">
        <v>1</v>
      </c>
      <c r="P593" s="49">
        <f>(F593+H593+J593+L593)*O593</f>
        <v/>
      </c>
      <c r="Q593" s="70">
        <f>M593*O593</f>
        <v/>
      </c>
      <c r="R593" s="70">
        <f>N593*O593</f>
        <v/>
      </c>
    </row>
    <row r="594">
      <c r="A594" s="49" t="n">
        <v>3</v>
      </c>
      <c r="B594" s="49" t="n">
        <v>8</v>
      </c>
      <c r="C594" s="72" t="inlineStr">
        <is>
          <t>А240</t>
        </is>
      </c>
      <c r="D594" s="49" t="n">
        <v>20</v>
      </c>
      <c r="E594" s="69" t="n">
        <v>2.06</v>
      </c>
      <c r="F594" s="51" t="n">
        <v>5</v>
      </c>
      <c r="G594" s="69" t="n">
        <v>1.24</v>
      </c>
      <c r="H594" s="51" t="n">
        <v>1</v>
      </c>
      <c r="I594" s="21" t="n"/>
      <c r="J594" s="21" t="n"/>
      <c r="K594" s="21" t="n"/>
      <c r="L594" s="21" t="n"/>
      <c r="M594" s="37">
        <f>E594*F594+G594*H594+I594*J594+K594*L594</f>
        <v/>
      </c>
      <c r="N594" s="37">
        <f>Исходные!$B$13-M594</f>
        <v/>
      </c>
      <c r="O594" s="51" t="n">
        <v>144</v>
      </c>
      <c r="P594" s="49">
        <f>(F594+H594+J594+L594)*O594</f>
        <v/>
      </c>
      <c r="Q594" s="70">
        <f>M594*O594</f>
        <v/>
      </c>
      <c r="R594" s="70">
        <f>N594*O594</f>
        <v/>
      </c>
    </row>
    <row r="595">
      <c r="A595" s="49" t="n">
        <v>3</v>
      </c>
      <c r="B595" s="49" t="n">
        <v>8</v>
      </c>
      <c r="C595" s="72" t="inlineStr">
        <is>
          <t>А240</t>
        </is>
      </c>
      <c r="D595" s="49" t="n">
        <v>21</v>
      </c>
      <c r="E595" s="69" t="n">
        <v>2.44</v>
      </c>
      <c r="F595" s="51" t="n">
        <v>4</v>
      </c>
      <c r="G595" s="69" t="n">
        <v>1.56</v>
      </c>
      <c r="H595" s="51" t="n">
        <v>1</v>
      </c>
      <c r="I595" s="69" t="n">
        <v>0.22</v>
      </c>
      <c r="J595" s="51" t="n">
        <v>1</v>
      </c>
      <c r="K595" s="21" t="n"/>
      <c r="L595" s="21" t="n"/>
      <c r="M595" s="37">
        <f>E595*F595+G595*H595+I595*J595+K595*L595</f>
        <v/>
      </c>
      <c r="N595" s="37">
        <f>Исходные!$B$13-M595</f>
        <v/>
      </c>
      <c r="O595" s="51" t="n">
        <v>48</v>
      </c>
      <c r="P595" s="49">
        <f>(F595+H595+J595+L595)*O595</f>
        <v/>
      </c>
      <c r="Q595" s="70">
        <f>M595*O595</f>
        <v/>
      </c>
      <c r="R595" s="70">
        <f>N595*O595</f>
        <v/>
      </c>
    </row>
    <row r="596">
      <c r="A596" s="49" t="n">
        <v>3</v>
      </c>
      <c r="B596" s="49" t="n">
        <v>8</v>
      </c>
      <c r="C596" s="72" t="inlineStr">
        <is>
          <t>А240</t>
        </is>
      </c>
      <c r="D596" s="49" t="n">
        <v>22</v>
      </c>
      <c r="E596" s="69" t="n">
        <v>0.75</v>
      </c>
      <c r="F596" s="51" t="n">
        <v>12</v>
      </c>
      <c r="G596" s="69" t="n">
        <v>0.58</v>
      </c>
      <c r="H596" s="51" t="n">
        <v>4</v>
      </c>
      <c r="I596" s="69" t="n">
        <v>0.22</v>
      </c>
      <c r="J596" s="51" t="n">
        <v>1</v>
      </c>
      <c r="K596" s="21" t="n"/>
      <c r="L596" s="21" t="n"/>
      <c r="M596" s="37">
        <f>E596*F596+G596*H596+I596*J596+K596*L596</f>
        <v/>
      </c>
      <c r="N596" s="37">
        <f>Исходные!$B$13-M596</f>
        <v/>
      </c>
      <c r="O596" s="51" t="n">
        <v>1</v>
      </c>
      <c r="P596" s="49">
        <f>(F596+H596+J596+L596)*O596</f>
        <v/>
      </c>
      <c r="Q596" s="70">
        <f>M596*O596</f>
        <v/>
      </c>
      <c r="R596" s="70">
        <f>N596*O596</f>
        <v/>
      </c>
    </row>
    <row r="597">
      <c r="A597" s="49" t="n">
        <v>3</v>
      </c>
      <c r="B597" s="49" t="n">
        <v>8</v>
      </c>
      <c r="C597" s="72" t="inlineStr">
        <is>
          <t>А240</t>
        </is>
      </c>
      <c r="D597" s="49" t="n">
        <v>23</v>
      </c>
      <c r="E597" s="69" t="n">
        <v>0.22</v>
      </c>
      <c r="F597" s="51" t="n">
        <v>2</v>
      </c>
      <c r="G597" s="21" t="n"/>
      <c r="H597" s="21" t="n"/>
      <c r="I597" s="21" t="n"/>
      <c r="J597" s="21" t="n"/>
      <c r="K597" s="21" t="n"/>
      <c r="L597" s="21" t="n"/>
      <c r="M597" s="37">
        <f>E597*F597+G597*H597+I597*J597+K597*L597</f>
        <v/>
      </c>
      <c r="N597" s="37">
        <f>Исходные!$B$13-M597</f>
        <v/>
      </c>
      <c r="O597" s="51" t="n">
        <v>1</v>
      </c>
      <c r="P597" s="49">
        <f>(F597+H597+J597+L597)*O597</f>
        <v/>
      </c>
      <c r="Q597" s="70">
        <f>M597*O597</f>
        <v/>
      </c>
      <c r="R597" s="70">
        <f>N597*O597</f>
        <v/>
      </c>
    </row>
    <row r="598">
      <c r="A598" s="49" t="n">
        <v>3</v>
      </c>
      <c r="B598" s="49" t="n">
        <v>6</v>
      </c>
      <c r="C598" s="72" t="inlineStr">
        <is>
          <t>А240</t>
        </is>
      </c>
      <c r="D598" s="49" t="n">
        <v>1</v>
      </c>
      <c r="E598" s="69" t="n">
        <v>0.28</v>
      </c>
      <c r="F598" s="51" t="n">
        <v>41</v>
      </c>
      <c r="G598" s="21" t="n"/>
      <c r="H598" s="21" t="n"/>
      <c r="I598" s="21" t="n"/>
      <c r="J598" s="21" t="n"/>
      <c r="K598" s="21" t="n"/>
      <c r="L598" s="21" t="n"/>
      <c r="M598" s="37">
        <f>E598*F598+G598*H598+I598*J598+K598*L598</f>
        <v/>
      </c>
      <c r="N598" s="37">
        <f>Исходные!$B$13-M598</f>
        <v/>
      </c>
      <c r="O598" s="51" t="n">
        <v>2</v>
      </c>
      <c r="P598" s="49">
        <f>(F598+H598+J598+L598)*O598</f>
        <v/>
      </c>
      <c r="Q598" s="70">
        <f>M598*O598</f>
        <v/>
      </c>
      <c r="R598" s="70">
        <f>N598*O598</f>
        <v/>
      </c>
    </row>
    <row r="599">
      <c r="A599" s="49" t="n">
        <v>3</v>
      </c>
      <c r="B599" s="49" t="n">
        <v>6</v>
      </c>
      <c r="C599" s="72" t="inlineStr">
        <is>
          <t>А240</t>
        </is>
      </c>
      <c r="D599" s="49" t="n">
        <v>2</v>
      </c>
      <c r="E599" s="69" t="n">
        <v>0.28</v>
      </c>
      <c r="F599" s="51" t="n">
        <v>22</v>
      </c>
      <c r="G599" s="21" t="n"/>
      <c r="H599" s="21" t="n"/>
      <c r="I599" s="21" t="n"/>
      <c r="J599" s="21" t="n"/>
      <c r="K599" s="21" t="n"/>
      <c r="L599" s="21" t="n"/>
      <c r="M599" s="37">
        <f>E599*F599+G599*H599+I599*J599+K599*L599</f>
        <v/>
      </c>
      <c r="N599" s="37">
        <f>Исходные!$B$13-M599</f>
        <v/>
      </c>
      <c r="O599" s="51" t="n">
        <v>1</v>
      </c>
      <c r="P599" s="49">
        <f>(F599+H599+J599+L599)*O599</f>
        <v/>
      </c>
      <c r="Q599" s="70">
        <f>M599*O599</f>
        <v/>
      </c>
      <c r="R599" s="70">
        <f>N599*O599</f>
        <v/>
      </c>
    </row>
    <row r="601">
      <c r="A601" s="28" t="inlineStr">
        <is>
          <t>Сводка раскроя — 1 этаж</t>
        </is>
      </c>
    </row>
    <row r="602" ht="42" customHeight="1">
      <c r="A602" s="5" t="inlineStr">
        <is>
          <t>Этаж</t>
        </is>
      </c>
      <c r="B602" s="5" t="inlineStr">
        <is>
          <t>Ø</t>
        </is>
      </c>
      <c r="C602" s="5" t="inlineStr">
        <is>
          <t>Класс</t>
        </is>
      </c>
      <c r="D602" s="5" t="inlineStr">
        <is>
          <t>Длина по ведомости (с нахлёстами), м</t>
        </is>
      </c>
      <c r="E602" s="5" t="inlineStr">
        <is>
          <t>Длина деталей в раскрое, м</t>
        </is>
      </c>
      <c r="F602" s="5" t="inlineStr">
        <is>
          <t>Проверка (разница), м</t>
        </is>
      </c>
      <c r="G602" s="5" t="inlineStr">
        <is>
          <t>Прутков 11,7 м, шт</t>
        </is>
      </c>
      <c r="H602" s="5" t="inlineStr">
        <is>
          <t>Длина заказа, м</t>
        </is>
      </c>
      <c r="I602" s="5" t="inlineStr">
        <is>
          <t>кг/м</t>
        </is>
      </c>
      <c r="J602" s="5" t="inlineStr">
        <is>
          <t>Масса заказа, кг</t>
        </is>
      </c>
      <c r="K602" s="5" t="inlineStr">
        <is>
          <t>Проектная масса, кг</t>
        </is>
      </c>
      <c r="L602" s="5" t="inlineStr">
        <is>
          <t>Отход, кг</t>
        </is>
      </c>
      <c r="M602" s="5" t="inlineStr">
        <is>
          <t>Отход, %</t>
        </is>
      </c>
    </row>
    <row r="603">
      <c r="A603" s="49" t="n">
        <v>1</v>
      </c>
      <c r="B603" s="49" t="n">
        <v>32</v>
      </c>
      <c r="C603" s="72" t="inlineStr">
        <is>
          <t>А500С</t>
        </is>
      </c>
      <c r="D603" s="70">
        <f>SUMIFS(Ведомость!$N$5:$N$1270,Ведомость!$W$5:$W$1270,A603,Ведомость!$H$5:$H$1270,B603,Ведомость!$I$5:$I$1270,C603)</f>
        <v/>
      </c>
      <c r="E603" s="70">
        <f>SUMIFS('Раскрой 11,7м'!$Q$5:$Q$599,'Раскрой 11,7м'!$A$5:$A$599,A603,'Раскрой 11,7м'!$B$5:$B$599,B603,'Раскрой 11,7м'!$C$5:$C$599,C603)</f>
        <v/>
      </c>
      <c r="F603" s="70">
        <f>ROUND(D603-E603,2)</f>
        <v/>
      </c>
      <c r="G603" s="81">
        <f>SUMIFS('Раскрой 11,7м'!$O$5:$O$599,'Раскрой 11,7м'!$A$5:$A$599,A603,'Раскрой 11,7м'!$B$5:$B$599,B603,'Раскрой 11,7м'!$C$5:$C$599,C603)</f>
        <v/>
      </c>
      <c r="H603" s="76">
        <f>G603*Исходные!$B$13</f>
        <v/>
      </c>
      <c r="I603" s="37">
        <f>IFERROR(INDEX(Исходные!$B$19:$B$31,MATCH(B603,Исходные!$A$19:$A$31,0)),0)</f>
        <v/>
      </c>
      <c r="J603" s="22">
        <f>H603*I603</f>
        <v/>
      </c>
      <c r="K603" s="76">
        <f>SUMIFS(Ведомость!$P$5:$P$1270,Ведомость!$W$5:$W$1270,A603,Ведомость!$H$5:$H$1270,B603,Ведомость!$I$5:$I$1270,C603)</f>
        <v/>
      </c>
      <c r="L603" s="76">
        <f>J603-K603</f>
        <v/>
      </c>
      <c r="M603" s="82">
        <f>IF(J603&gt;0,L603/J603,0)</f>
        <v/>
      </c>
    </row>
    <row r="604">
      <c r="A604" s="49" t="n">
        <v>1</v>
      </c>
      <c r="B604" s="49" t="n">
        <v>28</v>
      </c>
      <c r="C604" s="72" t="inlineStr">
        <is>
          <t>А500С</t>
        </is>
      </c>
      <c r="D604" s="70">
        <f>SUMIFS(Ведомость!$N$5:$N$1270,Ведомость!$W$5:$W$1270,A604,Ведомость!$H$5:$H$1270,B604,Ведомость!$I$5:$I$1270,C604)</f>
        <v/>
      </c>
      <c r="E604" s="70">
        <f>SUMIFS('Раскрой 11,7м'!$Q$5:$Q$599,'Раскрой 11,7м'!$A$5:$A$599,A604,'Раскрой 11,7м'!$B$5:$B$599,B604,'Раскрой 11,7м'!$C$5:$C$599,C604)</f>
        <v/>
      </c>
      <c r="F604" s="70">
        <f>ROUND(D604-E604,2)</f>
        <v/>
      </c>
      <c r="G604" s="81">
        <f>SUMIFS('Раскрой 11,7м'!$O$5:$O$599,'Раскрой 11,7м'!$A$5:$A$599,A604,'Раскрой 11,7м'!$B$5:$B$599,B604,'Раскрой 11,7м'!$C$5:$C$599,C604)</f>
        <v/>
      </c>
      <c r="H604" s="76">
        <f>G604*Исходные!$B$13</f>
        <v/>
      </c>
      <c r="I604" s="37">
        <f>IFERROR(INDEX(Исходные!$B$19:$B$31,MATCH(B604,Исходные!$A$19:$A$31,0)),0)</f>
        <v/>
      </c>
      <c r="J604" s="22">
        <f>H604*I604</f>
        <v/>
      </c>
      <c r="K604" s="76">
        <f>SUMIFS(Ведомость!$P$5:$P$1270,Ведомость!$W$5:$W$1270,A604,Ведомость!$H$5:$H$1270,B604,Ведомость!$I$5:$I$1270,C604)</f>
        <v/>
      </c>
      <c r="L604" s="76">
        <f>J604-K604</f>
        <v/>
      </c>
      <c r="M604" s="82">
        <f>IF(J604&gt;0,L604/J604,0)</f>
        <v/>
      </c>
    </row>
    <row r="605">
      <c r="A605" s="49" t="n">
        <v>1</v>
      </c>
      <c r="B605" s="49" t="n">
        <v>25</v>
      </c>
      <c r="C605" s="72" t="inlineStr">
        <is>
          <t>А500С</t>
        </is>
      </c>
      <c r="D605" s="70">
        <f>SUMIFS(Ведомость!$N$5:$N$1270,Ведомость!$W$5:$W$1270,A605,Ведомость!$H$5:$H$1270,B605,Ведомость!$I$5:$I$1270,C605)</f>
        <v/>
      </c>
      <c r="E605" s="70">
        <f>SUMIFS('Раскрой 11,7м'!$Q$5:$Q$599,'Раскрой 11,7м'!$A$5:$A$599,A605,'Раскрой 11,7м'!$B$5:$B$599,B605,'Раскрой 11,7м'!$C$5:$C$599,C605)</f>
        <v/>
      </c>
      <c r="F605" s="70">
        <f>ROUND(D605-E605,2)</f>
        <v/>
      </c>
      <c r="G605" s="81">
        <f>SUMIFS('Раскрой 11,7м'!$O$5:$O$599,'Раскрой 11,7м'!$A$5:$A$599,A605,'Раскрой 11,7м'!$B$5:$B$599,B605,'Раскрой 11,7м'!$C$5:$C$599,C605)</f>
        <v/>
      </c>
      <c r="H605" s="76">
        <f>G605*Исходные!$B$13</f>
        <v/>
      </c>
      <c r="I605" s="37">
        <f>IFERROR(INDEX(Исходные!$B$19:$B$31,MATCH(B605,Исходные!$A$19:$A$31,0)),0)</f>
        <v/>
      </c>
      <c r="J605" s="22">
        <f>H605*I605</f>
        <v/>
      </c>
      <c r="K605" s="76">
        <f>SUMIFS(Ведомость!$P$5:$P$1270,Ведомость!$W$5:$W$1270,A605,Ведомость!$H$5:$H$1270,B605,Ведомость!$I$5:$I$1270,C605)</f>
        <v/>
      </c>
      <c r="L605" s="76">
        <f>J605-K605</f>
        <v/>
      </c>
      <c r="M605" s="82">
        <f>IF(J605&gt;0,L605/J605,0)</f>
        <v/>
      </c>
    </row>
    <row r="606">
      <c r="A606" s="49" t="n">
        <v>1</v>
      </c>
      <c r="B606" s="49" t="n">
        <v>22</v>
      </c>
      <c r="C606" s="72" t="inlineStr">
        <is>
          <t>А500С</t>
        </is>
      </c>
      <c r="D606" s="70">
        <f>SUMIFS(Ведомость!$N$5:$N$1270,Ведомость!$W$5:$W$1270,A606,Ведомость!$H$5:$H$1270,B606,Ведомость!$I$5:$I$1270,C606)</f>
        <v/>
      </c>
      <c r="E606" s="70">
        <f>SUMIFS('Раскрой 11,7м'!$Q$5:$Q$599,'Раскрой 11,7м'!$A$5:$A$599,A606,'Раскрой 11,7м'!$B$5:$B$599,B606,'Раскрой 11,7м'!$C$5:$C$599,C606)</f>
        <v/>
      </c>
      <c r="F606" s="70">
        <f>ROUND(D606-E606,2)</f>
        <v/>
      </c>
      <c r="G606" s="81">
        <f>SUMIFS('Раскрой 11,7м'!$O$5:$O$599,'Раскрой 11,7м'!$A$5:$A$599,A606,'Раскрой 11,7м'!$B$5:$B$599,B606,'Раскрой 11,7м'!$C$5:$C$599,C606)</f>
        <v/>
      </c>
      <c r="H606" s="76">
        <f>G606*Исходные!$B$13</f>
        <v/>
      </c>
      <c r="I606" s="37">
        <f>IFERROR(INDEX(Исходные!$B$19:$B$31,MATCH(B606,Исходные!$A$19:$A$31,0)),0)</f>
        <v/>
      </c>
      <c r="J606" s="22">
        <f>H606*I606</f>
        <v/>
      </c>
      <c r="K606" s="76">
        <f>SUMIFS(Ведомость!$P$5:$P$1270,Ведомость!$W$5:$W$1270,A606,Ведомость!$H$5:$H$1270,B606,Ведомость!$I$5:$I$1270,C606)</f>
        <v/>
      </c>
      <c r="L606" s="76">
        <f>J606-K606</f>
        <v/>
      </c>
      <c r="M606" s="82">
        <f>IF(J606&gt;0,L606/J606,0)</f>
        <v/>
      </c>
    </row>
    <row r="607">
      <c r="A607" s="49" t="n">
        <v>1</v>
      </c>
      <c r="B607" s="49" t="n">
        <v>20</v>
      </c>
      <c r="C607" s="72" t="inlineStr">
        <is>
          <t>А500С</t>
        </is>
      </c>
      <c r="D607" s="70">
        <f>SUMIFS(Ведомость!$N$5:$N$1270,Ведомость!$W$5:$W$1270,A607,Ведомость!$H$5:$H$1270,B607,Ведомость!$I$5:$I$1270,C607)</f>
        <v/>
      </c>
      <c r="E607" s="70">
        <f>SUMIFS('Раскрой 11,7м'!$Q$5:$Q$599,'Раскрой 11,7м'!$A$5:$A$599,A607,'Раскрой 11,7м'!$B$5:$B$599,B607,'Раскрой 11,7м'!$C$5:$C$599,C607)</f>
        <v/>
      </c>
      <c r="F607" s="70">
        <f>ROUND(D607-E607,2)</f>
        <v/>
      </c>
      <c r="G607" s="81">
        <f>SUMIFS('Раскрой 11,7м'!$O$5:$O$599,'Раскрой 11,7м'!$A$5:$A$599,A607,'Раскрой 11,7м'!$B$5:$B$599,B607,'Раскрой 11,7м'!$C$5:$C$599,C607)</f>
        <v/>
      </c>
      <c r="H607" s="76">
        <f>G607*Исходные!$B$13</f>
        <v/>
      </c>
      <c r="I607" s="37">
        <f>IFERROR(INDEX(Исходные!$B$19:$B$31,MATCH(B607,Исходные!$A$19:$A$31,0)),0)</f>
        <v/>
      </c>
      <c r="J607" s="22">
        <f>H607*I607</f>
        <v/>
      </c>
      <c r="K607" s="76">
        <f>SUMIFS(Ведомость!$P$5:$P$1270,Ведомость!$W$5:$W$1270,A607,Ведомость!$H$5:$H$1270,B607,Ведомость!$I$5:$I$1270,C607)</f>
        <v/>
      </c>
      <c r="L607" s="76">
        <f>J607-K607</f>
        <v/>
      </c>
      <c r="M607" s="82">
        <f>IF(J607&gt;0,L607/J607,0)</f>
        <v/>
      </c>
    </row>
    <row r="608">
      <c r="A608" s="49" t="n">
        <v>1</v>
      </c>
      <c r="B608" s="49" t="n">
        <v>18</v>
      </c>
      <c r="C608" s="72" t="inlineStr">
        <is>
          <t>А500С</t>
        </is>
      </c>
      <c r="D608" s="70">
        <f>SUMIFS(Ведомость!$N$5:$N$1270,Ведомость!$W$5:$W$1270,A608,Ведомость!$H$5:$H$1270,B608,Ведомость!$I$5:$I$1270,C608)</f>
        <v/>
      </c>
      <c r="E608" s="70">
        <f>SUMIFS('Раскрой 11,7м'!$Q$5:$Q$599,'Раскрой 11,7м'!$A$5:$A$599,A608,'Раскрой 11,7м'!$B$5:$B$599,B608,'Раскрой 11,7м'!$C$5:$C$599,C608)</f>
        <v/>
      </c>
      <c r="F608" s="70">
        <f>ROUND(D608-E608,2)</f>
        <v/>
      </c>
      <c r="G608" s="81">
        <f>SUMIFS('Раскрой 11,7м'!$O$5:$O$599,'Раскрой 11,7м'!$A$5:$A$599,A608,'Раскрой 11,7м'!$B$5:$B$599,B608,'Раскрой 11,7м'!$C$5:$C$599,C608)</f>
        <v/>
      </c>
      <c r="H608" s="76">
        <f>G608*Исходные!$B$13</f>
        <v/>
      </c>
      <c r="I608" s="37">
        <f>IFERROR(INDEX(Исходные!$B$19:$B$31,MATCH(B608,Исходные!$A$19:$A$31,0)),0)</f>
        <v/>
      </c>
      <c r="J608" s="22">
        <f>H608*I608</f>
        <v/>
      </c>
      <c r="K608" s="76">
        <f>SUMIFS(Ведомость!$P$5:$P$1270,Ведомость!$W$5:$W$1270,A608,Ведомость!$H$5:$H$1270,B608,Ведомость!$I$5:$I$1270,C608)</f>
        <v/>
      </c>
      <c r="L608" s="76">
        <f>J608-K608</f>
        <v/>
      </c>
      <c r="M608" s="82">
        <f>IF(J608&gt;0,L608/J608,0)</f>
        <v/>
      </c>
    </row>
    <row r="609">
      <c r="A609" s="49" t="n">
        <v>1</v>
      </c>
      <c r="B609" s="49" t="n">
        <v>16</v>
      </c>
      <c r="C609" s="72" t="inlineStr">
        <is>
          <t>А500С</t>
        </is>
      </c>
      <c r="D609" s="70">
        <f>SUMIFS(Ведомость!$N$5:$N$1270,Ведомость!$W$5:$W$1270,A609,Ведомость!$H$5:$H$1270,B609,Ведомость!$I$5:$I$1270,C609)</f>
        <v/>
      </c>
      <c r="E609" s="70">
        <f>SUMIFS('Раскрой 11,7м'!$Q$5:$Q$599,'Раскрой 11,7м'!$A$5:$A$599,A609,'Раскрой 11,7м'!$B$5:$B$599,B609,'Раскрой 11,7м'!$C$5:$C$599,C609)</f>
        <v/>
      </c>
      <c r="F609" s="70">
        <f>ROUND(D609-E609,2)</f>
        <v/>
      </c>
      <c r="G609" s="81">
        <f>SUMIFS('Раскрой 11,7м'!$O$5:$O$599,'Раскрой 11,7м'!$A$5:$A$599,A609,'Раскрой 11,7м'!$B$5:$B$599,B609,'Раскрой 11,7м'!$C$5:$C$599,C609)</f>
        <v/>
      </c>
      <c r="H609" s="76">
        <f>G609*Исходные!$B$13</f>
        <v/>
      </c>
      <c r="I609" s="37">
        <f>IFERROR(INDEX(Исходные!$B$19:$B$31,MATCH(B609,Исходные!$A$19:$A$31,0)),0)</f>
        <v/>
      </c>
      <c r="J609" s="22">
        <f>H609*I609</f>
        <v/>
      </c>
      <c r="K609" s="76">
        <f>SUMIFS(Ведомость!$P$5:$P$1270,Ведомость!$W$5:$W$1270,A609,Ведомость!$H$5:$H$1270,B609,Ведомость!$I$5:$I$1270,C609)</f>
        <v/>
      </c>
      <c r="L609" s="76">
        <f>J609-K609</f>
        <v/>
      </c>
      <c r="M609" s="82">
        <f>IF(J609&gt;0,L609/J609,0)</f>
        <v/>
      </c>
    </row>
    <row r="610">
      <c r="A610" s="49" t="n">
        <v>1</v>
      </c>
      <c r="B610" s="49" t="n">
        <v>14</v>
      </c>
      <c r="C610" s="72" t="inlineStr">
        <is>
          <t>А500С</t>
        </is>
      </c>
      <c r="D610" s="70">
        <f>SUMIFS(Ведомость!$N$5:$N$1270,Ведомость!$W$5:$W$1270,A610,Ведомость!$H$5:$H$1270,B610,Ведомость!$I$5:$I$1270,C610)</f>
        <v/>
      </c>
      <c r="E610" s="70">
        <f>SUMIFS('Раскрой 11,7м'!$Q$5:$Q$599,'Раскрой 11,7м'!$A$5:$A$599,A610,'Раскрой 11,7м'!$B$5:$B$599,B610,'Раскрой 11,7м'!$C$5:$C$599,C610)</f>
        <v/>
      </c>
      <c r="F610" s="70">
        <f>ROUND(D610-E610,2)</f>
        <v/>
      </c>
      <c r="G610" s="81">
        <f>SUMIFS('Раскрой 11,7м'!$O$5:$O$599,'Раскрой 11,7м'!$A$5:$A$599,A610,'Раскрой 11,7м'!$B$5:$B$599,B610,'Раскрой 11,7м'!$C$5:$C$599,C610)</f>
        <v/>
      </c>
      <c r="H610" s="76">
        <f>G610*Исходные!$B$13</f>
        <v/>
      </c>
      <c r="I610" s="37">
        <f>IFERROR(INDEX(Исходные!$B$19:$B$31,MATCH(B610,Исходные!$A$19:$A$31,0)),0)</f>
        <v/>
      </c>
      <c r="J610" s="22">
        <f>H610*I610</f>
        <v/>
      </c>
      <c r="K610" s="76">
        <f>SUMIFS(Ведомость!$P$5:$P$1270,Ведомость!$W$5:$W$1270,A610,Ведомость!$H$5:$H$1270,B610,Ведомость!$I$5:$I$1270,C610)</f>
        <v/>
      </c>
      <c r="L610" s="76">
        <f>J610-K610</f>
        <v/>
      </c>
      <c r="M610" s="82">
        <f>IF(J610&gt;0,L610/J610,0)</f>
        <v/>
      </c>
    </row>
    <row r="611">
      <c r="A611" s="49" t="n">
        <v>1</v>
      </c>
      <c r="B611" s="49" t="n">
        <v>12</v>
      </c>
      <c r="C611" s="72" t="inlineStr">
        <is>
          <t>А500С</t>
        </is>
      </c>
      <c r="D611" s="70">
        <f>SUMIFS(Ведомость!$N$5:$N$1270,Ведомость!$W$5:$W$1270,A611,Ведомость!$H$5:$H$1270,B611,Ведомость!$I$5:$I$1270,C611)</f>
        <v/>
      </c>
      <c r="E611" s="70">
        <f>SUMIFS('Раскрой 11,7м'!$Q$5:$Q$599,'Раскрой 11,7м'!$A$5:$A$599,A611,'Раскрой 11,7м'!$B$5:$B$599,B611,'Раскрой 11,7м'!$C$5:$C$599,C611)</f>
        <v/>
      </c>
      <c r="F611" s="70">
        <f>ROUND(D611-E611,2)</f>
        <v/>
      </c>
      <c r="G611" s="81">
        <f>SUMIFS('Раскрой 11,7м'!$O$5:$O$599,'Раскрой 11,7м'!$A$5:$A$599,A611,'Раскрой 11,7м'!$B$5:$B$599,B611,'Раскрой 11,7м'!$C$5:$C$599,C611)</f>
        <v/>
      </c>
      <c r="H611" s="76">
        <f>G611*Исходные!$B$13</f>
        <v/>
      </c>
      <c r="I611" s="37">
        <f>IFERROR(INDEX(Исходные!$B$19:$B$31,MATCH(B611,Исходные!$A$19:$A$31,0)),0)</f>
        <v/>
      </c>
      <c r="J611" s="22">
        <f>H611*I611</f>
        <v/>
      </c>
      <c r="K611" s="76">
        <f>SUMIFS(Ведомость!$P$5:$P$1270,Ведомость!$W$5:$W$1270,A611,Ведомость!$H$5:$H$1270,B611,Ведомость!$I$5:$I$1270,C611)</f>
        <v/>
      </c>
      <c r="L611" s="76">
        <f>J611-K611</f>
        <v/>
      </c>
      <c r="M611" s="82">
        <f>IF(J611&gt;0,L611/J611,0)</f>
        <v/>
      </c>
    </row>
    <row r="612">
      <c r="A612" s="49" t="n">
        <v>1</v>
      </c>
      <c r="B612" s="49" t="n">
        <v>10</v>
      </c>
      <c r="C612" s="72" t="inlineStr">
        <is>
          <t>А500С</t>
        </is>
      </c>
      <c r="D612" s="70">
        <f>SUMIFS(Ведомость!$N$5:$N$1270,Ведомость!$W$5:$W$1270,A612,Ведомость!$H$5:$H$1270,B612,Ведомость!$I$5:$I$1270,C612)</f>
        <v/>
      </c>
      <c r="E612" s="70">
        <f>SUMIFS('Раскрой 11,7м'!$Q$5:$Q$599,'Раскрой 11,7м'!$A$5:$A$599,A612,'Раскрой 11,7м'!$B$5:$B$599,B612,'Раскрой 11,7м'!$C$5:$C$599,C612)</f>
        <v/>
      </c>
      <c r="F612" s="70">
        <f>ROUND(D612-E612,2)</f>
        <v/>
      </c>
      <c r="G612" s="81">
        <f>SUMIFS('Раскрой 11,7м'!$O$5:$O$599,'Раскрой 11,7м'!$A$5:$A$599,A612,'Раскрой 11,7м'!$B$5:$B$599,B612,'Раскрой 11,7м'!$C$5:$C$599,C612)</f>
        <v/>
      </c>
      <c r="H612" s="76">
        <f>G612*Исходные!$B$13</f>
        <v/>
      </c>
      <c r="I612" s="37">
        <f>IFERROR(INDEX(Исходные!$B$19:$B$31,MATCH(B612,Исходные!$A$19:$A$31,0)),0)</f>
        <v/>
      </c>
      <c r="J612" s="22">
        <f>H612*I612</f>
        <v/>
      </c>
      <c r="K612" s="76">
        <f>SUMIFS(Ведомость!$P$5:$P$1270,Ведомость!$W$5:$W$1270,A612,Ведомость!$H$5:$H$1270,B612,Ведомость!$I$5:$I$1270,C612)</f>
        <v/>
      </c>
      <c r="L612" s="76">
        <f>J612-K612</f>
        <v/>
      </c>
      <c r="M612" s="82">
        <f>IF(J612&gt;0,L612/J612,0)</f>
        <v/>
      </c>
    </row>
    <row r="613">
      <c r="A613" s="49" t="n">
        <v>1</v>
      </c>
      <c r="B613" s="49" t="n">
        <v>8</v>
      </c>
      <c r="C613" s="72" t="inlineStr">
        <is>
          <t>А500С</t>
        </is>
      </c>
      <c r="D613" s="70">
        <f>SUMIFS(Ведомость!$N$5:$N$1270,Ведомость!$W$5:$W$1270,A613,Ведомость!$H$5:$H$1270,B613,Ведомость!$I$5:$I$1270,C613)</f>
        <v/>
      </c>
      <c r="E613" s="70">
        <f>SUMIFS('Раскрой 11,7м'!$Q$5:$Q$599,'Раскрой 11,7м'!$A$5:$A$599,A613,'Раскрой 11,7м'!$B$5:$B$599,B613,'Раскрой 11,7м'!$C$5:$C$599,C613)</f>
        <v/>
      </c>
      <c r="F613" s="70">
        <f>ROUND(D613-E613,2)</f>
        <v/>
      </c>
      <c r="G613" s="81">
        <f>SUMIFS('Раскрой 11,7м'!$O$5:$O$599,'Раскрой 11,7м'!$A$5:$A$599,A613,'Раскрой 11,7м'!$B$5:$B$599,B613,'Раскрой 11,7м'!$C$5:$C$599,C613)</f>
        <v/>
      </c>
      <c r="H613" s="76">
        <f>G613*Исходные!$B$13</f>
        <v/>
      </c>
      <c r="I613" s="37">
        <f>IFERROR(INDEX(Исходные!$B$19:$B$31,MATCH(B613,Исходные!$A$19:$A$31,0)),0)</f>
        <v/>
      </c>
      <c r="J613" s="22">
        <f>H613*I613</f>
        <v/>
      </c>
      <c r="K613" s="76">
        <f>SUMIFS(Ведомость!$P$5:$P$1270,Ведомость!$W$5:$W$1270,A613,Ведомость!$H$5:$H$1270,B613,Ведомость!$I$5:$I$1270,C613)</f>
        <v/>
      </c>
      <c r="L613" s="76">
        <f>J613-K613</f>
        <v/>
      </c>
      <c r="M613" s="82">
        <f>IF(J613&gt;0,L613/J613,0)</f>
        <v/>
      </c>
    </row>
    <row r="614">
      <c r="A614" s="49" t="n">
        <v>1</v>
      </c>
      <c r="B614" s="49" t="n">
        <v>16</v>
      </c>
      <c r="C614" s="72" t="inlineStr">
        <is>
          <t>А240</t>
        </is>
      </c>
      <c r="D614" s="70">
        <f>SUMIFS(Ведомость!$N$5:$N$1270,Ведомость!$W$5:$W$1270,A614,Ведомость!$H$5:$H$1270,B614,Ведомость!$I$5:$I$1270,C614)</f>
        <v/>
      </c>
      <c r="E614" s="70">
        <f>SUMIFS('Раскрой 11,7м'!$Q$5:$Q$599,'Раскрой 11,7м'!$A$5:$A$599,A614,'Раскрой 11,7м'!$B$5:$B$599,B614,'Раскрой 11,7м'!$C$5:$C$599,C614)</f>
        <v/>
      </c>
      <c r="F614" s="70">
        <f>ROUND(D614-E614,2)</f>
        <v/>
      </c>
      <c r="G614" s="81">
        <f>SUMIFS('Раскрой 11,7м'!$O$5:$O$599,'Раскрой 11,7м'!$A$5:$A$599,A614,'Раскрой 11,7м'!$B$5:$B$599,B614,'Раскрой 11,7м'!$C$5:$C$599,C614)</f>
        <v/>
      </c>
      <c r="H614" s="76">
        <f>G614*Исходные!$B$13</f>
        <v/>
      </c>
      <c r="I614" s="37">
        <f>IFERROR(INDEX(Исходные!$B$19:$B$31,MATCH(B614,Исходные!$A$19:$A$31,0)),0)</f>
        <v/>
      </c>
      <c r="J614" s="22">
        <f>H614*I614</f>
        <v/>
      </c>
      <c r="K614" s="76">
        <f>SUMIFS(Ведомость!$P$5:$P$1270,Ведомость!$W$5:$W$1270,A614,Ведомость!$H$5:$H$1270,B614,Ведомость!$I$5:$I$1270,C614)</f>
        <v/>
      </c>
      <c r="L614" s="76">
        <f>J614-K614</f>
        <v/>
      </c>
      <c r="M614" s="82">
        <f>IF(J614&gt;0,L614/J614,0)</f>
        <v/>
      </c>
    </row>
    <row r="615">
      <c r="A615" s="49" t="n">
        <v>1</v>
      </c>
      <c r="B615" s="49" t="n">
        <v>12</v>
      </c>
      <c r="C615" s="72" t="inlineStr">
        <is>
          <t>А240</t>
        </is>
      </c>
      <c r="D615" s="70">
        <f>SUMIFS(Ведомость!$N$5:$N$1270,Ведомость!$W$5:$W$1270,A615,Ведомость!$H$5:$H$1270,B615,Ведомость!$I$5:$I$1270,C615)</f>
        <v/>
      </c>
      <c r="E615" s="70">
        <f>SUMIFS('Раскрой 11,7м'!$Q$5:$Q$599,'Раскрой 11,7м'!$A$5:$A$599,A615,'Раскрой 11,7м'!$B$5:$B$599,B615,'Раскрой 11,7м'!$C$5:$C$599,C615)</f>
        <v/>
      </c>
      <c r="F615" s="70">
        <f>ROUND(D615-E615,2)</f>
        <v/>
      </c>
      <c r="G615" s="81">
        <f>SUMIFS('Раскрой 11,7м'!$O$5:$O$599,'Раскрой 11,7м'!$A$5:$A$599,A615,'Раскрой 11,7м'!$B$5:$B$599,B615,'Раскрой 11,7м'!$C$5:$C$599,C615)</f>
        <v/>
      </c>
      <c r="H615" s="76">
        <f>G615*Исходные!$B$13</f>
        <v/>
      </c>
      <c r="I615" s="37">
        <f>IFERROR(INDEX(Исходные!$B$19:$B$31,MATCH(B615,Исходные!$A$19:$A$31,0)),0)</f>
        <v/>
      </c>
      <c r="J615" s="22">
        <f>H615*I615</f>
        <v/>
      </c>
      <c r="K615" s="76">
        <f>SUMIFS(Ведомость!$P$5:$P$1270,Ведомость!$W$5:$W$1270,A615,Ведомость!$H$5:$H$1270,B615,Ведомость!$I$5:$I$1270,C615)</f>
        <v/>
      </c>
      <c r="L615" s="76">
        <f>J615-K615</f>
        <v/>
      </c>
      <c r="M615" s="82">
        <f>IF(J615&gt;0,L615/J615,0)</f>
        <v/>
      </c>
    </row>
    <row r="616">
      <c r="A616" s="49" t="n">
        <v>1</v>
      </c>
      <c r="B616" s="49" t="n">
        <v>10</v>
      </c>
      <c r="C616" s="72" t="inlineStr">
        <is>
          <t>А240</t>
        </is>
      </c>
      <c r="D616" s="70">
        <f>SUMIFS(Ведомость!$N$5:$N$1270,Ведомость!$W$5:$W$1270,A616,Ведомость!$H$5:$H$1270,B616,Ведомость!$I$5:$I$1270,C616)</f>
        <v/>
      </c>
      <c r="E616" s="70">
        <f>SUMIFS('Раскрой 11,7м'!$Q$5:$Q$599,'Раскрой 11,7м'!$A$5:$A$599,A616,'Раскрой 11,7м'!$B$5:$B$599,B616,'Раскрой 11,7м'!$C$5:$C$599,C616)</f>
        <v/>
      </c>
      <c r="F616" s="70">
        <f>ROUND(D616-E616,2)</f>
        <v/>
      </c>
      <c r="G616" s="81">
        <f>SUMIFS('Раскрой 11,7м'!$O$5:$O$599,'Раскрой 11,7м'!$A$5:$A$599,A616,'Раскрой 11,7м'!$B$5:$B$599,B616,'Раскрой 11,7м'!$C$5:$C$599,C616)</f>
        <v/>
      </c>
      <c r="H616" s="76">
        <f>G616*Исходные!$B$13</f>
        <v/>
      </c>
      <c r="I616" s="37">
        <f>IFERROR(INDEX(Исходные!$B$19:$B$31,MATCH(B616,Исходные!$A$19:$A$31,0)),0)</f>
        <v/>
      </c>
      <c r="J616" s="22">
        <f>H616*I616</f>
        <v/>
      </c>
      <c r="K616" s="76">
        <f>SUMIFS(Ведомость!$P$5:$P$1270,Ведомость!$W$5:$W$1270,A616,Ведомость!$H$5:$H$1270,B616,Ведомость!$I$5:$I$1270,C616)</f>
        <v/>
      </c>
      <c r="L616" s="76">
        <f>J616-K616</f>
        <v/>
      </c>
      <c r="M616" s="82">
        <f>IF(J616&gt;0,L616/J616,0)</f>
        <v/>
      </c>
    </row>
    <row r="617">
      <c r="A617" s="49" t="n">
        <v>1</v>
      </c>
      <c r="B617" s="49" t="n">
        <v>8</v>
      </c>
      <c r="C617" s="72" t="inlineStr">
        <is>
          <t>А240</t>
        </is>
      </c>
      <c r="D617" s="70">
        <f>SUMIFS(Ведомость!$N$5:$N$1270,Ведомость!$W$5:$W$1270,A617,Ведомость!$H$5:$H$1270,B617,Ведомость!$I$5:$I$1270,C617)</f>
        <v/>
      </c>
      <c r="E617" s="70">
        <f>SUMIFS('Раскрой 11,7м'!$Q$5:$Q$599,'Раскрой 11,7м'!$A$5:$A$599,A617,'Раскрой 11,7м'!$B$5:$B$599,B617,'Раскрой 11,7м'!$C$5:$C$599,C617)</f>
        <v/>
      </c>
      <c r="F617" s="70">
        <f>ROUND(D617-E617,2)</f>
        <v/>
      </c>
      <c r="G617" s="81">
        <f>SUMIFS('Раскрой 11,7м'!$O$5:$O$599,'Раскрой 11,7м'!$A$5:$A$599,A617,'Раскрой 11,7м'!$B$5:$B$599,B617,'Раскрой 11,7м'!$C$5:$C$599,C617)</f>
        <v/>
      </c>
      <c r="H617" s="76">
        <f>G617*Исходные!$B$13</f>
        <v/>
      </c>
      <c r="I617" s="37">
        <f>IFERROR(INDEX(Исходные!$B$19:$B$31,MATCH(B617,Исходные!$A$19:$A$31,0)),0)</f>
        <v/>
      </c>
      <c r="J617" s="22">
        <f>H617*I617</f>
        <v/>
      </c>
      <c r="K617" s="76">
        <f>SUMIFS(Ведомость!$P$5:$P$1270,Ведомость!$W$5:$W$1270,A617,Ведомость!$H$5:$H$1270,B617,Ведомость!$I$5:$I$1270,C617)</f>
        <v/>
      </c>
      <c r="L617" s="76">
        <f>J617-K617</f>
        <v/>
      </c>
      <c r="M617" s="82">
        <f>IF(J617&gt;0,L617/J617,0)</f>
        <v/>
      </c>
    </row>
    <row r="618">
      <c r="A618" s="49" t="n">
        <v>1</v>
      </c>
      <c r="B618" s="49" t="n">
        <v>6</v>
      </c>
      <c r="C618" s="72" t="inlineStr">
        <is>
          <t>А240</t>
        </is>
      </c>
      <c r="D618" s="70">
        <f>SUMIFS(Ведомость!$N$5:$N$1270,Ведомость!$W$5:$W$1270,A618,Ведомость!$H$5:$H$1270,B618,Ведомость!$I$5:$I$1270,C618)</f>
        <v/>
      </c>
      <c r="E618" s="70">
        <f>SUMIFS('Раскрой 11,7м'!$Q$5:$Q$599,'Раскрой 11,7м'!$A$5:$A$599,A618,'Раскрой 11,7м'!$B$5:$B$599,B618,'Раскрой 11,7м'!$C$5:$C$599,C618)</f>
        <v/>
      </c>
      <c r="F618" s="70">
        <f>ROUND(D618-E618,2)</f>
        <v/>
      </c>
      <c r="G618" s="81">
        <f>SUMIFS('Раскрой 11,7м'!$O$5:$O$599,'Раскрой 11,7м'!$A$5:$A$599,A618,'Раскрой 11,7м'!$B$5:$B$599,B618,'Раскрой 11,7м'!$C$5:$C$599,C618)</f>
        <v/>
      </c>
      <c r="H618" s="76">
        <f>G618*Исходные!$B$13</f>
        <v/>
      </c>
      <c r="I618" s="37">
        <f>IFERROR(INDEX(Исходные!$B$19:$B$31,MATCH(B618,Исходные!$A$19:$A$31,0)),0)</f>
        <v/>
      </c>
      <c r="J618" s="22">
        <f>H618*I618</f>
        <v/>
      </c>
      <c r="K618" s="76">
        <f>SUMIFS(Ведомость!$P$5:$P$1270,Ведомость!$W$5:$W$1270,A618,Ведомость!$H$5:$H$1270,B618,Ведомость!$I$5:$I$1270,C618)</f>
        <v/>
      </c>
      <c r="L618" s="76">
        <f>J618-K618</f>
        <v/>
      </c>
      <c r="M618" s="82">
        <f>IF(J618&gt;0,L618/J618,0)</f>
        <v/>
      </c>
    </row>
    <row r="619">
      <c r="A619" s="49" t="n">
        <v>1</v>
      </c>
      <c r="B619" s="49" t="n">
        <v>5</v>
      </c>
      <c r="C619" s="72" t="inlineStr">
        <is>
          <t>Вр-I</t>
        </is>
      </c>
      <c r="D619" s="70">
        <f>SUMIFS(Ведомость!$N$5:$N$1270,Ведомость!$W$5:$W$1270,A619,Ведомость!$H$5:$H$1270,B619,Ведомость!$I$5:$I$1270,C619)</f>
        <v/>
      </c>
      <c r="E619" s="70">
        <f>D619</f>
        <v/>
      </c>
      <c r="F619" s="70">
        <f>ROUND(D619-E619,2)</f>
        <v/>
      </c>
      <c r="G619" s="81" t="n">
        <v>0</v>
      </c>
      <c r="H619" s="76">
        <f>G619*Исходные!$B$13</f>
        <v/>
      </c>
      <c r="I619" s="37">
        <f>IFERROR(INDEX(Исходные!$B$19:$B$31,MATCH(B619,Исходные!$A$19:$A$31,0)),0)</f>
        <v/>
      </c>
      <c r="J619" s="22">
        <f>K619</f>
        <v/>
      </c>
      <c r="K619" s="76">
        <f>SUMIFS(Ведомость!$P$5:$P$1270,Ведомость!$W$5:$W$1270,A619,Ведомость!$H$5:$H$1270,B619,Ведомость!$I$5:$I$1270,C619)</f>
        <v/>
      </c>
      <c r="L619" s="76">
        <f>J619-K619</f>
        <v/>
      </c>
      <c r="M619" s="82">
        <f>IF(J619&gt;0,L619/J619,0)</f>
        <v/>
      </c>
      <c r="N619" s="23" t="inlineStr">
        <is>
          <t>сетка С-1 лестницы — заказ в м² сетки, не раскраивается</t>
        </is>
      </c>
    </row>
    <row r="620">
      <c r="C620" s="4" t="inlineStr">
        <is>
          <t>ИТОГО</t>
        </is>
      </c>
      <c r="D620" s="80">
        <f>SUM(D603:D619)</f>
        <v/>
      </c>
      <c r="E620" s="80">
        <f>SUM(E603:E619)</f>
        <v/>
      </c>
      <c r="F620" s="80">
        <f>SUM(F603:F619)</f>
        <v/>
      </c>
      <c r="G620" s="45">
        <f>SUM(G603:G619)</f>
        <v/>
      </c>
      <c r="H620" s="80">
        <f>SUM(H603:H619)</f>
        <v/>
      </c>
      <c r="J620" s="80">
        <f>SUM(J603:J619)</f>
        <v/>
      </c>
      <c r="K620" s="80">
        <f>SUM(K603:K619)</f>
        <v/>
      </c>
      <c r="L620" s="80">
        <f>SUM(L603:L619)</f>
        <v/>
      </c>
      <c r="M620" s="83">
        <f>IF(J620&gt;0,L620/J620,0)</f>
        <v/>
      </c>
    </row>
    <row r="622">
      <c r="A622" s="28" t="inlineStr">
        <is>
          <t>Сводка раскроя — 2 этаж</t>
        </is>
      </c>
    </row>
    <row r="623" ht="42" customHeight="1">
      <c r="A623" s="5" t="inlineStr">
        <is>
          <t>Этаж</t>
        </is>
      </c>
      <c r="B623" s="5" t="inlineStr">
        <is>
          <t>Ø</t>
        </is>
      </c>
      <c r="C623" s="5" t="inlineStr">
        <is>
          <t>Класс</t>
        </is>
      </c>
      <c r="D623" s="5" t="inlineStr">
        <is>
          <t>Длина по ведомости (с нахлёстами), м</t>
        </is>
      </c>
      <c r="E623" s="5" t="inlineStr">
        <is>
          <t>Длина деталей в раскрое, м</t>
        </is>
      </c>
      <c r="F623" s="5" t="inlineStr">
        <is>
          <t>Проверка (разница), м</t>
        </is>
      </c>
      <c r="G623" s="5" t="inlineStr">
        <is>
          <t>Прутков 11,7 м, шт</t>
        </is>
      </c>
      <c r="H623" s="5" t="inlineStr">
        <is>
          <t>Длина заказа, м</t>
        </is>
      </c>
      <c r="I623" s="5" t="inlineStr">
        <is>
          <t>кг/м</t>
        </is>
      </c>
      <c r="J623" s="5" t="inlineStr">
        <is>
          <t>Масса заказа, кг</t>
        </is>
      </c>
      <c r="K623" s="5" t="inlineStr">
        <is>
          <t>Проектная масса, кг</t>
        </is>
      </c>
      <c r="L623" s="5" t="inlineStr">
        <is>
          <t>Отход, кг</t>
        </is>
      </c>
      <c r="M623" s="5" t="inlineStr">
        <is>
          <t>Отход, %</t>
        </is>
      </c>
    </row>
    <row r="624">
      <c r="A624" s="49" t="n">
        <v>2</v>
      </c>
      <c r="B624" s="49" t="n">
        <v>32</v>
      </c>
      <c r="C624" s="72" t="inlineStr">
        <is>
          <t>А500С</t>
        </is>
      </c>
      <c r="D624" s="70">
        <f>SUMIFS(Ведомость!$N$5:$N$1270,Ведомость!$W$5:$W$1270,A624,Ведомость!$H$5:$H$1270,B624,Ведомость!$I$5:$I$1270,C624)</f>
        <v/>
      </c>
      <c r="E624" s="70">
        <f>SUMIFS('Раскрой 11,7м'!$Q$5:$Q$599,'Раскрой 11,7м'!$A$5:$A$599,A624,'Раскрой 11,7м'!$B$5:$B$599,B624,'Раскрой 11,7м'!$C$5:$C$599,C624)</f>
        <v/>
      </c>
      <c r="F624" s="70">
        <f>ROUND(D624-E624,2)</f>
        <v/>
      </c>
      <c r="G624" s="81">
        <f>SUMIFS('Раскрой 11,7м'!$O$5:$O$599,'Раскрой 11,7м'!$A$5:$A$599,A624,'Раскрой 11,7м'!$B$5:$B$599,B624,'Раскрой 11,7м'!$C$5:$C$599,C624)</f>
        <v/>
      </c>
      <c r="H624" s="76">
        <f>G624*Исходные!$B$13</f>
        <v/>
      </c>
      <c r="I624" s="37">
        <f>IFERROR(INDEX(Исходные!$B$19:$B$31,MATCH(B624,Исходные!$A$19:$A$31,0)),0)</f>
        <v/>
      </c>
      <c r="J624" s="22">
        <f>H624*I624</f>
        <v/>
      </c>
      <c r="K624" s="76">
        <f>SUMIFS(Ведомость!$P$5:$P$1270,Ведомость!$W$5:$W$1270,A624,Ведомость!$H$5:$H$1270,B624,Ведомость!$I$5:$I$1270,C624)</f>
        <v/>
      </c>
      <c r="L624" s="76">
        <f>J624-K624</f>
        <v/>
      </c>
      <c r="M624" s="82">
        <f>IF(J624&gt;0,L624/J624,0)</f>
        <v/>
      </c>
    </row>
    <row r="625">
      <c r="A625" s="49" t="n">
        <v>2</v>
      </c>
      <c r="B625" s="49" t="n">
        <v>28</v>
      </c>
      <c r="C625" s="72" t="inlineStr">
        <is>
          <t>А500С</t>
        </is>
      </c>
      <c r="D625" s="70">
        <f>SUMIFS(Ведомость!$N$5:$N$1270,Ведомость!$W$5:$W$1270,A625,Ведомость!$H$5:$H$1270,B625,Ведомость!$I$5:$I$1270,C625)</f>
        <v/>
      </c>
      <c r="E625" s="70">
        <f>SUMIFS('Раскрой 11,7м'!$Q$5:$Q$599,'Раскрой 11,7м'!$A$5:$A$599,A625,'Раскрой 11,7м'!$B$5:$B$599,B625,'Раскрой 11,7м'!$C$5:$C$599,C625)</f>
        <v/>
      </c>
      <c r="F625" s="70">
        <f>ROUND(D625-E625,2)</f>
        <v/>
      </c>
      <c r="G625" s="81">
        <f>SUMIFS('Раскрой 11,7м'!$O$5:$O$599,'Раскрой 11,7м'!$A$5:$A$599,A625,'Раскрой 11,7м'!$B$5:$B$599,B625,'Раскрой 11,7м'!$C$5:$C$599,C625)</f>
        <v/>
      </c>
      <c r="H625" s="76">
        <f>G625*Исходные!$B$13</f>
        <v/>
      </c>
      <c r="I625" s="37">
        <f>IFERROR(INDEX(Исходные!$B$19:$B$31,MATCH(B625,Исходные!$A$19:$A$31,0)),0)</f>
        <v/>
      </c>
      <c r="J625" s="22">
        <f>H625*I625</f>
        <v/>
      </c>
      <c r="K625" s="76">
        <f>SUMIFS(Ведомость!$P$5:$P$1270,Ведомость!$W$5:$W$1270,A625,Ведомость!$H$5:$H$1270,B625,Ведомость!$I$5:$I$1270,C625)</f>
        <v/>
      </c>
      <c r="L625" s="76">
        <f>J625-K625</f>
        <v/>
      </c>
      <c r="M625" s="82">
        <f>IF(J625&gt;0,L625/J625,0)</f>
        <v/>
      </c>
    </row>
    <row r="626">
      <c r="A626" s="49" t="n">
        <v>2</v>
      </c>
      <c r="B626" s="49" t="n">
        <v>25</v>
      </c>
      <c r="C626" s="72" t="inlineStr">
        <is>
          <t>А500С</t>
        </is>
      </c>
      <c r="D626" s="70">
        <f>SUMIFS(Ведомость!$N$5:$N$1270,Ведомость!$W$5:$W$1270,A626,Ведомость!$H$5:$H$1270,B626,Ведомость!$I$5:$I$1270,C626)</f>
        <v/>
      </c>
      <c r="E626" s="70">
        <f>SUMIFS('Раскрой 11,7м'!$Q$5:$Q$599,'Раскрой 11,7м'!$A$5:$A$599,A626,'Раскрой 11,7м'!$B$5:$B$599,B626,'Раскрой 11,7м'!$C$5:$C$599,C626)</f>
        <v/>
      </c>
      <c r="F626" s="70">
        <f>ROUND(D626-E626,2)</f>
        <v/>
      </c>
      <c r="G626" s="81">
        <f>SUMIFS('Раскрой 11,7м'!$O$5:$O$599,'Раскрой 11,7м'!$A$5:$A$599,A626,'Раскрой 11,7м'!$B$5:$B$599,B626,'Раскрой 11,7м'!$C$5:$C$599,C626)</f>
        <v/>
      </c>
      <c r="H626" s="76">
        <f>G626*Исходные!$B$13</f>
        <v/>
      </c>
      <c r="I626" s="37">
        <f>IFERROR(INDEX(Исходные!$B$19:$B$31,MATCH(B626,Исходные!$A$19:$A$31,0)),0)</f>
        <v/>
      </c>
      <c r="J626" s="22">
        <f>H626*I626</f>
        <v/>
      </c>
      <c r="K626" s="76">
        <f>SUMIFS(Ведомость!$P$5:$P$1270,Ведомость!$W$5:$W$1270,A626,Ведомость!$H$5:$H$1270,B626,Ведомость!$I$5:$I$1270,C626)</f>
        <v/>
      </c>
      <c r="L626" s="76">
        <f>J626-K626</f>
        <v/>
      </c>
      <c r="M626" s="82">
        <f>IF(J626&gt;0,L626/J626,0)</f>
        <v/>
      </c>
    </row>
    <row r="627">
      <c r="A627" s="49" t="n">
        <v>2</v>
      </c>
      <c r="B627" s="49" t="n">
        <v>22</v>
      </c>
      <c r="C627" s="72" t="inlineStr">
        <is>
          <t>А500С</t>
        </is>
      </c>
      <c r="D627" s="70">
        <f>SUMIFS(Ведомость!$N$5:$N$1270,Ведомость!$W$5:$W$1270,A627,Ведомость!$H$5:$H$1270,B627,Ведомость!$I$5:$I$1270,C627)</f>
        <v/>
      </c>
      <c r="E627" s="70">
        <f>SUMIFS('Раскрой 11,7м'!$Q$5:$Q$599,'Раскрой 11,7м'!$A$5:$A$599,A627,'Раскрой 11,7м'!$B$5:$B$599,B627,'Раскрой 11,7м'!$C$5:$C$599,C627)</f>
        <v/>
      </c>
      <c r="F627" s="70">
        <f>ROUND(D627-E627,2)</f>
        <v/>
      </c>
      <c r="G627" s="81">
        <f>SUMIFS('Раскрой 11,7м'!$O$5:$O$599,'Раскрой 11,7м'!$A$5:$A$599,A627,'Раскрой 11,7м'!$B$5:$B$599,B627,'Раскрой 11,7м'!$C$5:$C$599,C627)</f>
        <v/>
      </c>
      <c r="H627" s="76">
        <f>G627*Исходные!$B$13</f>
        <v/>
      </c>
      <c r="I627" s="37">
        <f>IFERROR(INDEX(Исходные!$B$19:$B$31,MATCH(B627,Исходные!$A$19:$A$31,0)),0)</f>
        <v/>
      </c>
      <c r="J627" s="22">
        <f>H627*I627</f>
        <v/>
      </c>
      <c r="K627" s="76">
        <f>SUMIFS(Ведомость!$P$5:$P$1270,Ведомость!$W$5:$W$1270,A627,Ведомость!$H$5:$H$1270,B627,Ведомость!$I$5:$I$1270,C627)</f>
        <v/>
      </c>
      <c r="L627" s="76">
        <f>J627-K627</f>
        <v/>
      </c>
      <c r="M627" s="82">
        <f>IF(J627&gt;0,L627/J627,0)</f>
        <v/>
      </c>
    </row>
    <row r="628">
      <c r="A628" s="49" t="n">
        <v>2</v>
      </c>
      <c r="B628" s="49" t="n">
        <v>20</v>
      </c>
      <c r="C628" s="72" t="inlineStr">
        <is>
          <t>А500С</t>
        </is>
      </c>
      <c r="D628" s="70">
        <f>SUMIFS(Ведомость!$N$5:$N$1270,Ведомость!$W$5:$W$1270,A628,Ведомость!$H$5:$H$1270,B628,Ведомость!$I$5:$I$1270,C628)</f>
        <v/>
      </c>
      <c r="E628" s="70">
        <f>SUMIFS('Раскрой 11,7м'!$Q$5:$Q$599,'Раскрой 11,7м'!$A$5:$A$599,A628,'Раскрой 11,7м'!$B$5:$B$599,B628,'Раскрой 11,7м'!$C$5:$C$599,C628)</f>
        <v/>
      </c>
      <c r="F628" s="70">
        <f>ROUND(D628-E628,2)</f>
        <v/>
      </c>
      <c r="G628" s="81">
        <f>SUMIFS('Раскрой 11,7м'!$O$5:$O$599,'Раскрой 11,7м'!$A$5:$A$599,A628,'Раскрой 11,7м'!$B$5:$B$599,B628,'Раскрой 11,7м'!$C$5:$C$599,C628)</f>
        <v/>
      </c>
      <c r="H628" s="76">
        <f>G628*Исходные!$B$13</f>
        <v/>
      </c>
      <c r="I628" s="37">
        <f>IFERROR(INDEX(Исходные!$B$19:$B$31,MATCH(B628,Исходные!$A$19:$A$31,0)),0)</f>
        <v/>
      </c>
      <c r="J628" s="22">
        <f>H628*I628</f>
        <v/>
      </c>
      <c r="K628" s="76">
        <f>SUMIFS(Ведомость!$P$5:$P$1270,Ведомость!$W$5:$W$1270,A628,Ведомость!$H$5:$H$1270,B628,Ведомость!$I$5:$I$1270,C628)</f>
        <v/>
      </c>
      <c r="L628" s="76">
        <f>J628-K628</f>
        <v/>
      </c>
      <c r="M628" s="82">
        <f>IF(J628&gt;0,L628/J628,0)</f>
        <v/>
      </c>
    </row>
    <row r="629">
      <c r="A629" s="49" t="n">
        <v>2</v>
      </c>
      <c r="B629" s="49" t="n">
        <v>18</v>
      </c>
      <c r="C629" s="72" t="inlineStr">
        <is>
          <t>А500С</t>
        </is>
      </c>
      <c r="D629" s="70">
        <f>SUMIFS(Ведомость!$N$5:$N$1270,Ведомость!$W$5:$W$1270,A629,Ведомость!$H$5:$H$1270,B629,Ведомость!$I$5:$I$1270,C629)</f>
        <v/>
      </c>
      <c r="E629" s="70">
        <f>SUMIFS('Раскрой 11,7м'!$Q$5:$Q$599,'Раскрой 11,7м'!$A$5:$A$599,A629,'Раскрой 11,7м'!$B$5:$B$599,B629,'Раскрой 11,7м'!$C$5:$C$599,C629)</f>
        <v/>
      </c>
      <c r="F629" s="70">
        <f>ROUND(D629-E629,2)</f>
        <v/>
      </c>
      <c r="G629" s="81">
        <f>SUMIFS('Раскрой 11,7м'!$O$5:$O$599,'Раскрой 11,7м'!$A$5:$A$599,A629,'Раскрой 11,7м'!$B$5:$B$599,B629,'Раскрой 11,7м'!$C$5:$C$599,C629)</f>
        <v/>
      </c>
      <c r="H629" s="76">
        <f>G629*Исходные!$B$13</f>
        <v/>
      </c>
      <c r="I629" s="37">
        <f>IFERROR(INDEX(Исходные!$B$19:$B$31,MATCH(B629,Исходные!$A$19:$A$31,0)),0)</f>
        <v/>
      </c>
      <c r="J629" s="22">
        <f>H629*I629</f>
        <v/>
      </c>
      <c r="K629" s="76">
        <f>SUMIFS(Ведомость!$P$5:$P$1270,Ведомость!$W$5:$W$1270,A629,Ведомость!$H$5:$H$1270,B629,Ведомость!$I$5:$I$1270,C629)</f>
        <v/>
      </c>
      <c r="L629" s="76">
        <f>J629-K629</f>
        <v/>
      </c>
      <c r="M629" s="82">
        <f>IF(J629&gt;0,L629/J629,0)</f>
        <v/>
      </c>
    </row>
    <row r="630">
      <c r="A630" s="49" t="n">
        <v>2</v>
      </c>
      <c r="B630" s="49" t="n">
        <v>16</v>
      </c>
      <c r="C630" s="72" t="inlineStr">
        <is>
          <t>А500С</t>
        </is>
      </c>
      <c r="D630" s="70">
        <f>SUMIFS(Ведомость!$N$5:$N$1270,Ведомость!$W$5:$W$1270,A630,Ведомость!$H$5:$H$1270,B630,Ведомость!$I$5:$I$1270,C630)</f>
        <v/>
      </c>
      <c r="E630" s="70">
        <f>SUMIFS('Раскрой 11,7м'!$Q$5:$Q$599,'Раскрой 11,7м'!$A$5:$A$599,A630,'Раскрой 11,7м'!$B$5:$B$599,B630,'Раскрой 11,7м'!$C$5:$C$599,C630)</f>
        <v/>
      </c>
      <c r="F630" s="70">
        <f>ROUND(D630-E630,2)</f>
        <v/>
      </c>
      <c r="G630" s="81">
        <f>SUMIFS('Раскрой 11,7м'!$O$5:$O$599,'Раскрой 11,7м'!$A$5:$A$599,A630,'Раскрой 11,7м'!$B$5:$B$599,B630,'Раскрой 11,7м'!$C$5:$C$599,C630)</f>
        <v/>
      </c>
      <c r="H630" s="76">
        <f>G630*Исходные!$B$13</f>
        <v/>
      </c>
      <c r="I630" s="37">
        <f>IFERROR(INDEX(Исходные!$B$19:$B$31,MATCH(B630,Исходные!$A$19:$A$31,0)),0)</f>
        <v/>
      </c>
      <c r="J630" s="22">
        <f>H630*I630</f>
        <v/>
      </c>
      <c r="K630" s="76">
        <f>SUMIFS(Ведомость!$P$5:$P$1270,Ведомость!$W$5:$W$1270,A630,Ведомость!$H$5:$H$1270,B630,Ведомость!$I$5:$I$1270,C630)</f>
        <v/>
      </c>
      <c r="L630" s="76">
        <f>J630-K630</f>
        <v/>
      </c>
      <c r="M630" s="82">
        <f>IF(J630&gt;0,L630/J630,0)</f>
        <v/>
      </c>
    </row>
    <row r="631">
      <c r="A631" s="49" t="n">
        <v>2</v>
      </c>
      <c r="B631" s="49" t="n">
        <v>14</v>
      </c>
      <c r="C631" s="72" t="inlineStr">
        <is>
          <t>А500С</t>
        </is>
      </c>
      <c r="D631" s="70">
        <f>SUMIFS(Ведомость!$N$5:$N$1270,Ведомость!$W$5:$W$1270,A631,Ведомость!$H$5:$H$1270,B631,Ведомость!$I$5:$I$1270,C631)</f>
        <v/>
      </c>
      <c r="E631" s="70">
        <f>SUMIFS('Раскрой 11,7м'!$Q$5:$Q$599,'Раскрой 11,7м'!$A$5:$A$599,A631,'Раскрой 11,7м'!$B$5:$B$599,B631,'Раскрой 11,7м'!$C$5:$C$599,C631)</f>
        <v/>
      </c>
      <c r="F631" s="70">
        <f>ROUND(D631-E631,2)</f>
        <v/>
      </c>
      <c r="G631" s="81">
        <f>SUMIFS('Раскрой 11,7м'!$O$5:$O$599,'Раскрой 11,7м'!$A$5:$A$599,A631,'Раскрой 11,7м'!$B$5:$B$599,B631,'Раскрой 11,7м'!$C$5:$C$599,C631)</f>
        <v/>
      </c>
      <c r="H631" s="76">
        <f>G631*Исходные!$B$13</f>
        <v/>
      </c>
      <c r="I631" s="37">
        <f>IFERROR(INDEX(Исходные!$B$19:$B$31,MATCH(B631,Исходные!$A$19:$A$31,0)),0)</f>
        <v/>
      </c>
      <c r="J631" s="22">
        <f>H631*I631</f>
        <v/>
      </c>
      <c r="K631" s="76">
        <f>SUMIFS(Ведомость!$P$5:$P$1270,Ведомость!$W$5:$W$1270,A631,Ведомость!$H$5:$H$1270,B631,Ведомость!$I$5:$I$1270,C631)</f>
        <v/>
      </c>
      <c r="L631" s="76">
        <f>J631-K631</f>
        <v/>
      </c>
      <c r="M631" s="82">
        <f>IF(J631&gt;0,L631/J631,0)</f>
        <v/>
      </c>
    </row>
    <row r="632">
      <c r="A632" s="49" t="n">
        <v>2</v>
      </c>
      <c r="B632" s="49" t="n">
        <v>12</v>
      </c>
      <c r="C632" s="72" t="inlineStr">
        <is>
          <t>А500С</t>
        </is>
      </c>
      <c r="D632" s="70">
        <f>SUMIFS(Ведомость!$N$5:$N$1270,Ведомость!$W$5:$W$1270,A632,Ведомость!$H$5:$H$1270,B632,Ведомость!$I$5:$I$1270,C632)</f>
        <v/>
      </c>
      <c r="E632" s="70">
        <f>SUMIFS('Раскрой 11,7м'!$Q$5:$Q$599,'Раскрой 11,7м'!$A$5:$A$599,A632,'Раскрой 11,7м'!$B$5:$B$599,B632,'Раскрой 11,7м'!$C$5:$C$599,C632)</f>
        <v/>
      </c>
      <c r="F632" s="70">
        <f>ROUND(D632-E632,2)</f>
        <v/>
      </c>
      <c r="G632" s="81">
        <f>SUMIFS('Раскрой 11,7м'!$O$5:$O$599,'Раскрой 11,7м'!$A$5:$A$599,A632,'Раскрой 11,7м'!$B$5:$B$599,B632,'Раскрой 11,7м'!$C$5:$C$599,C632)</f>
        <v/>
      </c>
      <c r="H632" s="76">
        <f>G632*Исходные!$B$13</f>
        <v/>
      </c>
      <c r="I632" s="37">
        <f>IFERROR(INDEX(Исходные!$B$19:$B$31,MATCH(B632,Исходные!$A$19:$A$31,0)),0)</f>
        <v/>
      </c>
      <c r="J632" s="22">
        <f>H632*I632</f>
        <v/>
      </c>
      <c r="K632" s="76">
        <f>SUMIFS(Ведомость!$P$5:$P$1270,Ведомость!$W$5:$W$1270,A632,Ведомость!$H$5:$H$1270,B632,Ведомость!$I$5:$I$1270,C632)</f>
        <v/>
      </c>
      <c r="L632" s="76">
        <f>J632-K632</f>
        <v/>
      </c>
      <c r="M632" s="82">
        <f>IF(J632&gt;0,L632/J632,0)</f>
        <v/>
      </c>
    </row>
    <row r="633">
      <c r="A633" s="49" t="n">
        <v>2</v>
      </c>
      <c r="B633" s="49" t="n">
        <v>10</v>
      </c>
      <c r="C633" s="72" t="inlineStr">
        <is>
          <t>А500С</t>
        </is>
      </c>
      <c r="D633" s="70">
        <f>SUMIFS(Ведомость!$N$5:$N$1270,Ведомость!$W$5:$W$1270,A633,Ведомость!$H$5:$H$1270,B633,Ведомость!$I$5:$I$1270,C633)</f>
        <v/>
      </c>
      <c r="E633" s="70">
        <f>SUMIFS('Раскрой 11,7м'!$Q$5:$Q$599,'Раскрой 11,7м'!$A$5:$A$599,A633,'Раскрой 11,7м'!$B$5:$B$599,B633,'Раскрой 11,7м'!$C$5:$C$599,C633)</f>
        <v/>
      </c>
      <c r="F633" s="70">
        <f>ROUND(D633-E633,2)</f>
        <v/>
      </c>
      <c r="G633" s="81">
        <f>SUMIFS('Раскрой 11,7м'!$O$5:$O$599,'Раскрой 11,7м'!$A$5:$A$599,A633,'Раскрой 11,7м'!$B$5:$B$599,B633,'Раскрой 11,7м'!$C$5:$C$599,C633)</f>
        <v/>
      </c>
      <c r="H633" s="76">
        <f>G633*Исходные!$B$13</f>
        <v/>
      </c>
      <c r="I633" s="37">
        <f>IFERROR(INDEX(Исходные!$B$19:$B$31,MATCH(B633,Исходные!$A$19:$A$31,0)),0)</f>
        <v/>
      </c>
      <c r="J633" s="22">
        <f>H633*I633</f>
        <v/>
      </c>
      <c r="K633" s="76">
        <f>SUMIFS(Ведомость!$P$5:$P$1270,Ведомость!$W$5:$W$1270,A633,Ведомость!$H$5:$H$1270,B633,Ведомость!$I$5:$I$1270,C633)</f>
        <v/>
      </c>
      <c r="L633" s="76">
        <f>J633-K633</f>
        <v/>
      </c>
      <c r="M633" s="82">
        <f>IF(J633&gt;0,L633/J633,0)</f>
        <v/>
      </c>
    </row>
    <row r="634">
      <c r="A634" s="49" t="n">
        <v>2</v>
      </c>
      <c r="B634" s="49" t="n">
        <v>8</v>
      </c>
      <c r="C634" s="72" t="inlineStr">
        <is>
          <t>А500С</t>
        </is>
      </c>
      <c r="D634" s="70">
        <f>SUMIFS(Ведомость!$N$5:$N$1270,Ведомость!$W$5:$W$1270,A634,Ведомость!$H$5:$H$1270,B634,Ведомость!$I$5:$I$1270,C634)</f>
        <v/>
      </c>
      <c r="E634" s="70">
        <f>SUMIFS('Раскрой 11,7м'!$Q$5:$Q$599,'Раскрой 11,7м'!$A$5:$A$599,A634,'Раскрой 11,7м'!$B$5:$B$599,B634,'Раскрой 11,7м'!$C$5:$C$599,C634)</f>
        <v/>
      </c>
      <c r="F634" s="70">
        <f>ROUND(D634-E634,2)</f>
        <v/>
      </c>
      <c r="G634" s="81">
        <f>SUMIFS('Раскрой 11,7м'!$O$5:$O$599,'Раскрой 11,7м'!$A$5:$A$599,A634,'Раскрой 11,7м'!$B$5:$B$599,B634,'Раскрой 11,7м'!$C$5:$C$599,C634)</f>
        <v/>
      </c>
      <c r="H634" s="76">
        <f>G634*Исходные!$B$13</f>
        <v/>
      </c>
      <c r="I634" s="37">
        <f>IFERROR(INDEX(Исходные!$B$19:$B$31,MATCH(B634,Исходные!$A$19:$A$31,0)),0)</f>
        <v/>
      </c>
      <c r="J634" s="22">
        <f>H634*I634</f>
        <v/>
      </c>
      <c r="K634" s="76">
        <f>SUMIFS(Ведомость!$P$5:$P$1270,Ведомость!$W$5:$W$1270,A634,Ведомость!$H$5:$H$1270,B634,Ведомость!$I$5:$I$1270,C634)</f>
        <v/>
      </c>
      <c r="L634" s="76">
        <f>J634-K634</f>
        <v/>
      </c>
      <c r="M634" s="82">
        <f>IF(J634&gt;0,L634/J634,0)</f>
        <v/>
      </c>
    </row>
    <row r="635">
      <c r="A635" s="49" t="n">
        <v>2</v>
      </c>
      <c r="B635" s="49" t="n">
        <v>16</v>
      </c>
      <c r="C635" s="72" t="inlineStr">
        <is>
          <t>А240</t>
        </is>
      </c>
      <c r="D635" s="70">
        <f>SUMIFS(Ведомость!$N$5:$N$1270,Ведомость!$W$5:$W$1270,A635,Ведомость!$H$5:$H$1270,B635,Ведомость!$I$5:$I$1270,C635)</f>
        <v/>
      </c>
      <c r="E635" s="70">
        <f>SUMIFS('Раскрой 11,7м'!$Q$5:$Q$599,'Раскрой 11,7м'!$A$5:$A$599,A635,'Раскрой 11,7м'!$B$5:$B$599,B635,'Раскрой 11,7м'!$C$5:$C$599,C635)</f>
        <v/>
      </c>
      <c r="F635" s="70">
        <f>ROUND(D635-E635,2)</f>
        <v/>
      </c>
      <c r="G635" s="81">
        <f>SUMIFS('Раскрой 11,7м'!$O$5:$O$599,'Раскрой 11,7м'!$A$5:$A$599,A635,'Раскрой 11,7м'!$B$5:$B$599,B635,'Раскрой 11,7м'!$C$5:$C$599,C635)</f>
        <v/>
      </c>
      <c r="H635" s="76">
        <f>G635*Исходные!$B$13</f>
        <v/>
      </c>
      <c r="I635" s="37">
        <f>IFERROR(INDEX(Исходные!$B$19:$B$31,MATCH(B635,Исходные!$A$19:$A$31,0)),0)</f>
        <v/>
      </c>
      <c r="J635" s="22">
        <f>H635*I635</f>
        <v/>
      </c>
      <c r="K635" s="76">
        <f>SUMIFS(Ведомость!$P$5:$P$1270,Ведомость!$W$5:$W$1270,A635,Ведомость!$H$5:$H$1270,B635,Ведомость!$I$5:$I$1270,C635)</f>
        <v/>
      </c>
      <c r="L635" s="76">
        <f>J635-K635</f>
        <v/>
      </c>
      <c r="M635" s="82">
        <f>IF(J635&gt;0,L635/J635,0)</f>
        <v/>
      </c>
    </row>
    <row r="636">
      <c r="A636" s="49" t="n">
        <v>2</v>
      </c>
      <c r="B636" s="49" t="n">
        <v>12</v>
      </c>
      <c r="C636" s="72" t="inlineStr">
        <is>
          <t>А240</t>
        </is>
      </c>
      <c r="D636" s="70">
        <f>SUMIFS(Ведомость!$N$5:$N$1270,Ведомость!$W$5:$W$1270,A636,Ведомость!$H$5:$H$1270,B636,Ведомость!$I$5:$I$1270,C636)</f>
        <v/>
      </c>
      <c r="E636" s="70">
        <f>SUMIFS('Раскрой 11,7м'!$Q$5:$Q$599,'Раскрой 11,7м'!$A$5:$A$599,A636,'Раскрой 11,7м'!$B$5:$B$599,B636,'Раскрой 11,7м'!$C$5:$C$599,C636)</f>
        <v/>
      </c>
      <c r="F636" s="70">
        <f>ROUND(D636-E636,2)</f>
        <v/>
      </c>
      <c r="G636" s="81">
        <f>SUMIFS('Раскрой 11,7м'!$O$5:$O$599,'Раскрой 11,7м'!$A$5:$A$599,A636,'Раскрой 11,7м'!$B$5:$B$599,B636,'Раскрой 11,7м'!$C$5:$C$599,C636)</f>
        <v/>
      </c>
      <c r="H636" s="76">
        <f>G636*Исходные!$B$13</f>
        <v/>
      </c>
      <c r="I636" s="37">
        <f>IFERROR(INDEX(Исходные!$B$19:$B$31,MATCH(B636,Исходные!$A$19:$A$31,0)),0)</f>
        <v/>
      </c>
      <c r="J636" s="22">
        <f>H636*I636</f>
        <v/>
      </c>
      <c r="K636" s="76">
        <f>SUMIFS(Ведомость!$P$5:$P$1270,Ведомость!$W$5:$W$1270,A636,Ведомость!$H$5:$H$1270,B636,Ведомость!$I$5:$I$1270,C636)</f>
        <v/>
      </c>
      <c r="L636" s="76">
        <f>J636-K636</f>
        <v/>
      </c>
      <c r="M636" s="82">
        <f>IF(J636&gt;0,L636/J636,0)</f>
        <v/>
      </c>
    </row>
    <row r="637">
      <c r="A637" s="49" t="n">
        <v>2</v>
      </c>
      <c r="B637" s="49" t="n">
        <v>10</v>
      </c>
      <c r="C637" s="72" t="inlineStr">
        <is>
          <t>А240</t>
        </is>
      </c>
      <c r="D637" s="70">
        <f>SUMIFS(Ведомость!$N$5:$N$1270,Ведомость!$W$5:$W$1270,A637,Ведомость!$H$5:$H$1270,B637,Ведомость!$I$5:$I$1270,C637)</f>
        <v/>
      </c>
      <c r="E637" s="70">
        <f>SUMIFS('Раскрой 11,7м'!$Q$5:$Q$599,'Раскрой 11,7м'!$A$5:$A$599,A637,'Раскрой 11,7м'!$B$5:$B$599,B637,'Раскрой 11,7м'!$C$5:$C$599,C637)</f>
        <v/>
      </c>
      <c r="F637" s="70">
        <f>ROUND(D637-E637,2)</f>
        <v/>
      </c>
      <c r="G637" s="81">
        <f>SUMIFS('Раскрой 11,7м'!$O$5:$O$599,'Раскрой 11,7м'!$A$5:$A$599,A637,'Раскрой 11,7м'!$B$5:$B$599,B637,'Раскрой 11,7м'!$C$5:$C$599,C637)</f>
        <v/>
      </c>
      <c r="H637" s="76">
        <f>G637*Исходные!$B$13</f>
        <v/>
      </c>
      <c r="I637" s="37">
        <f>IFERROR(INDEX(Исходные!$B$19:$B$31,MATCH(B637,Исходные!$A$19:$A$31,0)),0)</f>
        <v/>
      </c>
      <c r="J637" s="22">
        <f>H637*I637</f>
        <v/>
      </c>
      <c r="K637" s="76">
        <f>SUMIFS(Ведомость!$P$5:$P$1270,Ведомость!$W$5:$W$1270,A637,Ведомость!$H$5:$H$1270,B637,Ведомость!$I$5:$I$1270,C637)</f>
        <v/>
      </c>
      <c r="L637" s="76">
        <f>J637-K637</f>
        <v/>
      </c>
      <c r="M637" s="82">
        <f>IF(J637&gt;0,L637/J637,0)</f>
        <v/>
      </c>
    </row>
    <row r="638">
      <c r="A638" s="49" t="n">
        <v>2</v>
      </c>
      <c r="B638" s="49" t="n">
        <v>8</v>
      </c>
      <c r="C638" s="72" t="inlineStr">
        <is>
          <t>А240</t>
        </is>
      </c>
      <c r="D638" s="70">
        <f>SUMIFS(Ведомость!$N$5:$N$1270,Ведомость!$W$5:$W$1270,A638,Ведомость!$H$5:$H$1270,B638,Ведомость!$I$5:$I$1270,C638)</f>
        <v/>
      </c>
      <c r="E638" s="70">
        <f>SUMIFS('Раскрой 11,7м'!$Q$5:$Q$599,'Раскрой 11,7м'!$A$5:$A$599,A638,'Раскрой 11,7м'!$B$5:$B$599,B638,'Раскрой 11,7м'!$C$5:$C$599,C638)</f>
        <v/>
      </c>
      <c r="F638" s="70">
        <f>ROUND(D638-E638,2)</f>
        <v/>
      </c>
      <c r="G638" s="81">
        <f>SUMIFS('Раскрой 11,7м'!$O$5:$O$599,'Раскрой 11,7м'!$A$5:$A$599,A638,'Раскрой 11,7м'!$B$5:$B$599,B638,'Раскрой 11,7м'!$C$5:$C$599,C638)</f>
        <v/>
      </c>
      <c r="H638" s="76">
        <f>G638*Исходные!$B$13</f>
        <v/>
      </c>
      <c r="I638" s="37">
        <f>IFERROR(INDEX(Исходные!$B$19:$B$31,MATCH(B638,Исходные!$A$19:$A$31,0)),0)</f>
        <v/>
      </c>
      <c r="J638" s="22">
        <f>H638*I638</f>
        <v/>
      </c>
      <c r="K638" s="76">
        <f>SUMIFS(Ведомость!$P$5:$P$1270,Ведомость!$W$5:$W$1270,A638,Ведомость!$H$5:$H$1270,B638,Ведомость!$I$5:$I$1270,C638)</f>
        <v/>
      </c>
      <c r="L638" s="76">
        <f>J638-K638</f>
        <v/>
      </c>
      <c r="M638" s="82">
        <f>IF(J638&gt;0,L638/J638,0)</f>
        <v/>
      </c>
    </row>
    <row r="639">
      <c r="A639" s="49" t="n">
        <v>2</v>
      </c>
      <c r="B639" s="49" t="n">
        <v>6</v>
      </c>
      <c r="C639" s="72" t="inlineStr">
        <is>
          <t>А240</t>
        </is>
      </c>
      <c r="D639" s="70">
        <f>SUMIFS(Ведомость!$N$5:$N$1270,Ведомость!$W$5:$W$1270,A639,Ведомость!$H$5:$H$1270,B639,Ведомость!$I$5:$I$1270,C639)</f>
        <v/>
      </c>
      <c r="E639" s="70">
        <f>SUMIFS('Раскрой 11,7м'!$Q$5:$Q$599,'Раскрой 11,7м'!$A$5:$A$599,A639,'Раскрой 11,7м'!$B$5:$B$599,B639,'Раскрой 11,7м'!$C$5:$C$599,C639)</f>
        <v/>
      </c>
      <c r="F639" s="70">
        <f>ROUND(D639-E639,2)</f>
        <v/>
      </c>
      <c r="G639" s="81">
        <f>SUMIFS('Раскрой 11,7м'!$O$5:$O$599,'Раскрой 11,7м'!$A$5:$A$599,A639,'Раскрой 11,7м'!$B$5:$B$599,B639,'Раскрой 11,7м'!$C$5:$C$599,C639)</f>
        <v/>
      </c>
      <c r="H639" s="76">
        <f>G639*Исходные!$B$13</f>
        <v/>
      </c>
      <c r="I639" s="37">
        <f>IFERROR(INDEX(Исходные!$B$19:$B$31,MATCH(B639,Исходные!$A$19:$A$31,0)),0)</f>
        <v/>
      </c>
      <c r="J639" s="22">
        <f>H639*I639</f>
        <v/>
      </c>
      <c r="K639" s="76">
        <f>SUMIFS(Ведомость!$P$5:$P$1270,Ведомость!$W$5:$W$1270,A639,Ведомость!$H$5:$H$1270,B639,Ведомость!$I$5:$I$1270,C639)</f>
        <v/>
      </c>
      <c r="L639" s="76">
        <f>J639-K639</f>
        <v/>
      </c>
      <c r="M639" s="82">
        <f>IF(J639&gt;0,L639/J639,0)</f>
        <v/>
      </c>
    </row>
    <row r="640">
      <c r="A640" s="49" t="n">
        <v>2</v>
      </c>
      <c r="B640" s="49" t="n">
        <v>5</v>
      </c>
      <c r="C640" s="72" t="inlineStr">
        <is>
          <t>Вр-I</t>
        </is>
      </c>
      <c r="D640" s="70">
        <f>SUMIFS(Ведомость!$N$5:$N$1270,Ведомость!$W$5:$W$1270,A640,Ведомость!$H$5:$H$1270,B640,Ведомость!$I$5:$I$1270,C640)</f>
        <v/>
      </c>
      <c r="E640" s="70">
        <f>D640</f>
        <v/>
      </c>
      <c r="F640" s="70">
        <f>ROUND(D640-E640,2)</f>
        <v/>
      </c>
      <c r="G640" s="81" t="n">
        <v>0</v>
      </c>
      <c r="H640" s="76">
        <f>G640*Исходные!$B$13</f>
        <v/>
      </c>
      <c r="I640" s="37">
        <f>IFERROR(INDEX(Исходные!$B$19:$B$31,MATCH(B640,Исходные!$A$19:$A$31,0)),0)</f>
        <v/>
      </c>
      <c r="J640" s="22">
        <f>K640</f>
        <v/>
      </c>
      <c r="K640" s="76">
        <f>SUMIFS(Ведомость!$P$5:$P$1270,Ведомость!$W$5:$W$1270,A640,Ведомость!$H$5:$H$1270,B640,Ведомость!$I$5:$I$1270,C640)</f>
        <v/>
      </c>
      <c r="L640" s="76">
        <f>J640-K640</f>
        <v/>
      </c>
      <c r="M640" s="82">
        <f>IF(J640&gt;0,L640/J640,0)</f>
        <v/>
      </c>
      <c r="N640" s="23" t="inlineStr">
        <is>
          <t>сетка С-1 лестницы — заказ в м² сетки, не раскраивается</t>
        </is>
      </c>
    </row>
    <row r="641">
      <c r="C641" s="4" t="inlineStr">
        <is>
          <t>ИТОГО</t>
        </is>
      </c>
      <c r="D641" s="80">
        <f>SUM(D624:D640)</f>
        <v/>
      </c>
      <c r="E641" s="80">
        <f>SUM(E624:E640)</f>
        <v/>
      </c>
      <c r="F641" s="80">
        <f>SUM(F624:F640)</f>
        <v/>
      </c>
      <c r="G641" s="45">
        <f>SUM(G624:G640)</f>
        <v/>
      </c>
      <c r="H641" s="80">
        <f>SUM(H624:H640)</f>
        <v/>
      </c>
      <c r="J641" s="80">
        <f>SUM(J624:J640)</f>
        <v/>
      </c>
      <c r="K641" s="80">
        <f>SUM(K624:K640)</f>
        <v/>
      </c>
      <c r="L641" s="80">
        <f>SUM(L624:L640)</f>
        <v/>
      </c>
      <c r="M641" s="83">
        <f>IF(J641&gt;0,L641/J641,0)</f>
        <v/>
      </c>
    </row>
    <row r="643">
      <c r="A643" s="28" t="inlineStr">
        <is>
          <t>Сводка раскроя — 3 этаж</t>
        </is>
      </c>
    </row>
    <row r="644" ht="42" customHeight="1">
      <c r="A644" s="5" t="inlineStr">
        <is>
          <t>Этаж</t>
        </is>
      </c>
      <c r="B644" s="5" t="inlineStr">
        <is>
          <t>Ø</t>
        </is>
      </c>
      <c r="C644" s="5" t="inlineStr">
        <is>
          <t>Класс</t>
        </is>
      </c>
      <c r="D644" s="5" t="inlineStr">
        <is>
          <t>Длина по ведомости (с нахлёстами), м</t>
        </is>
      </c>
      <c r="E644" s="5" t="inlineStr">
        <is>
          <t>Длина деталей в раскрое, м</t>
        </is>
      </c>
      <c r="F644" s="5" t="inlineStr">
        <is>
          <t>Проверка (разница), м</t>
        </is>
      </c>
      <c r="G644" s="5" t="inlineStr">
        <is>
          <t>Прутков 11,7 м, шт</t>
        </is>
      </c>
      <c r="H644" s="5" t="inlineStr">
        <is>
          <t>Длина заказа, м</t>
        </is>
      </c>
      <c r="I644" s="5" t="inlineStr">
        <is>
          <t>кг/м</t>
        </is>
      </c>
      <c r="J644" s="5" t="inlineStr">
        <is>
          <t>Масса заказа, кг</t>
        </is>
      </c>
      <c r="K644" s="5" t="inlineStr">
        <is>
          <t>Проектная масса, кг</t>
        </is>
      </c>
      <c r="L644" s="5" t="inlineStr">
        <is>
          <t>Отход, кг</t>
        </is>
      </c>
      <c r="M644" s="5" t="inlineStr">
        <is>
          <t>Отход, %</t>
        </is>
      </c>
    </row>
    <row r="645">
      <c r="A645" s="49" t="n">
        <v>3</v>
      </c>
      <c r="B645" s="49" t="n">
        <v>32</v>
      </c>
      <c r="C645" s="72" t="inlineStr">
        <is>
          <t>А500С</t>
        </is>
      </c>
      <c r="D645" s="70">
        <f>SUMIFS(Ведомость!$N$5:$N$1270,Ведомость!$W$5:$W$1270,A645,Ведомость!$H$5:$H$1270,B645,Ведомость!$I$5:$I$1270,C645)</f>
        <v/>
      </c>
      <c r="E645" s="70">
        <f>SUMIFS('Раскрой 11,7м'!$Q$5:$Q$599,'Раскрой 11,7м'!$A$5:$A$599,A645,'Раскрой 11,7м'!$B$5:$B$599,B645,'Раскрой 11,7м'!$C$5:$C$599,C645)</f>
        <v/>
      </c>
      <c r="F645" s="70">
        <f>ROUND(D645-E645,2)</f>
        <v/>
      </c>
      <c r="G645" s="81">
        <f>SUMIFS('Раскрой 11,7м'!$O$5:$O$599,'Раскрой 11,7м'!$A$5:$A$599,A645,'Раскрой 11,7м'!$B$5:$B$599,B645,'Раскрой 11,7м'!$C$5:$C$599,C645)</f>
        <v/>
      </c>
      <c r="H645" s="76">
        <f>G645*Исходные!$B$13</f>
        <v/>
      </c>
      <c r="I645" s="37">
        <f>IFERROR(INDEX(Исходные!$B$19:$B$31,MATCH(B645,Исходные!$A$19:$A$31,0)),0)</f>
        <v/>
      </c>
      <c r="J645" s="22">
        <f>H645*I645</f>
        <v/>
      </c>
      <c r="K645" s="76">
        <f>SUMIFS(Ведомость!$P$5:$P$1270,Ведомость!$W$5:$W$1270,A645,Ведомость!$H$5:$H$1270,B645,Ведомость!$I$5:$I$1270,C645)</f>
        <v/>
      </c>
      <c r="L645" s="76">
        <f>J645-K645</f>
        <v/>
      </c>
      <c r="M645" s="82">
        <f>IF(J645&gt;0,L645/J645,0)</f>
        <v/>
      </c>
    </row>
    <row r="646">
      <c r="A646" s="49" t="n">
        <v>3</v>
      </c>
      <c r="B646" s="49" t="n">
        <v>28</v>
      </c>
      <c r="C646" s="72" t="inlineStr">
        <is>
          <t>А500С</t>
        </is>
      </c>
      <c r="D646" s="70">
        <f>SUMIFS(Ведомость!$N$5:$N$1270,Ведомость!$W$5:$W$1270,A646,Ведомость!$H$5:$H$1270,B646,Ведомость!$I$5:$I$1270,C646)</f>
        <v/>
      </c>
      <c r="E646" s="70">
        <f>SUMIFS('Раскрой 11,7м'!$Q$5:$Q$599,'Раскрой 11,7м'!$A$5:$A$599,A646,'Раскрой 11,7м'!$B$5:$B$599,B646,'Раскрой 11,7м'!$C$5:$C$599,C646)</f>
        <v/>
      </c>
      <c r="F646" s="70">
        <f>ROUND(D646-E646,2)</f>
        <v/>
      </c>
      <c r="G646" s="81">
        <f>SUMIFS('Раскрой 11,7м'!$O$5:$O$599,'Раскрой 11,7м'!$A$5:$A$599,A646,'Раскрой 11,7м'!$B$5:$B$599,B646,'Раскрой 11,7м'!$C$5:$C$599,C646)</f>
        <v/>
      </c>
      <c r="H646" s="76">
        <f>G646*Исходные!$B$13</f>
        <v/>
      </c>
      <c r="I646" s="37">
        <f>IFERROR(INDEX(Исходные!$B$19:$B$31,MATCH(B646,Исходные!$A$19:$A$31,0)),0)</f>
        <v/>
      </c>
      <c r="J646" s="22">
        <f>H646*I646</f>
        <v/>
      </c>
      <c r="K646" s="76">
        <f>SUMIFS(Ведомость!$P$5:$P$1270,Ведомость!$W$5:$W$1270,A646,Ведомость!$H$5:$H$1270,B646,Ведомость!$I$5:$I$1270,C646)</f>
        <v/>
      </c>
      <c r="L646" s="76">
        <f>J646-K646</f>
        <v/>
      </c>
      <c r="M646" s="82">
        <f>IF(J646&gt;0,L646/J646,0)</f>
        <v/>
      </c>
    </row>
    <row r="647">
      <c r="A647" s="49" t="n">
        <v>3</v>
      </c>
      <c r="B647" s="49" t="n">
        <v>25</v>
      </c>
      <c r="C647" s="72" t="inlineStr">
        <is>
          <t>А500С</t>
        </is>
      </c>
      <c r="D647" s="70">
        <f>SUMIFS(Ведомость!$N$5:$N$1270,Ведомость!$W$5:$W$1270,A647,Ведомость!$H$5:$H$1270,B647,Ведомость!$I$5:$I$1270,C647)</f>
        <v/>
      </c>
      <c r="E647" s="70">
        <f>SUMIFS('Раскрой 11,7м'!$Q$5:$Q$599,'Раскрой 11,7м'!$A$5:$A$599,A647,'Раскрой 11,7м'!$B$5:$B$599,B647,'Раскрой 11,7м'!$C$5:$C$599,C647)</f>
        <v/>
      </c>
      <c r="F647" s="70">
        <f>ROUND(D647-E647,2)</f>
        <v/>
      </c>
      <c r="G647" s="81">
        <f>SUMIFS('Раскрой 11,7м'!$O$5:$O$599,'Раскрой 11,7м'!$A$5:$A$599,A647,'Раскрой 11,7м'!$B$5:$B$599,B647,'Раскрой 11,7м'!$C$5:$C$599,C647)</f>
        <v/>
      </c>
      <c r="H647" s="76">
        <f>G647*Исходные!$B$13</f>
        <v/>
      </c>
      <c r="I647" s="37">
        <f>IFERROR(INDEX(Исходные!$B$19:$B$31,MATCH(B647,Исходные!$A$19:$A$31,0)),0)</f>
        <v/>
      </c>
      <c r="J647" s="22">
        <f>H647*I647</f>
        <v/>
      </c>
      <c r="K647" s="76">
        <f>SUMIFS(Ведомость!$P$5:$P$1270,Ведомость!$W$5:$W$1270,A647,Ведомость!$H$5:$H$1270,B647,Ведомость!$I$5:$I$1270,C647)</f>
        <v/>
      </c>
      <c r="L647" s="76">
        <f>J647-K647</f>
        <v/>
      </c>
      <c r="M647" s="82">
        <f>IF(J647&gt;0,L647/J647,0)</f>
        <v/>
      </c>
    </row>
    <row r="648">
      <c r="A648" s="49" t="n">
        <v>3</v>
      </c>
      <c r="B648" s="49" t="n">
        <v>22</v>
      </c>
      <c r="C648" s="72" t="inlineStr">
        <is>
          <t>А500С</t>
        </is>
      </c>
      <c r="D648" s="70">
        <f>SUMIFS(Ведомость!$N$5:$N$1270,Ведомость!$W$5:$W$1270,A648,Ведомость!$H$5:$H$1270,B648,Ведомость!$I$5:$I$1270,C648)</f>
        <v/>
      </c>
      <c r="E648" s="70">
        <f>SUMIFS('Раскрой 11,7м'!$Q$5:$Q$599,'Раскрой 11,7м'!$A$5:$A$599,A648,'Раскрой 11,7м'!$B$5:$B$599,B648,'Раскрой 11,7м'!$C$5:$C$599,C648)</f>
        <v/>
      </c>
      <c r="F648" s="70">
        <f>ROUND(D648-E648,2)</f>
        <v/>
      </c>
      <c r="G648" s="81">
        <f>SUMIFS('Раскрой 11,7м'!$O$5:$O$599,'Раскрой 11,7м'!$A$5:$A$599,A648,'Раскрой 11,7м'!$B$5:$B$599,B648,'Раскрой 11,7м'!$C$5:$C$599,C648)</f>
        <v/>
      </c>
      <c r="H648" s="76">
        <f>G648*Исходные!$B$13</f>
        <v/>
      </c>
      <c r="I648" s="37">
        <f>IFERROR(INDEX(Исходные!$B$19:$B$31,MATCH(B648,Исходные!$A$19:$A$31,0)),0)</f>
        <v/>
      </c>
      <c r="J648" s="22">
        <f>H648*I648</f>
        <v/>
      </c>
      <c r="K648" s="76">
        <f>SUMIFS(Ведомость!$P$5:$P$1270,Ведомость!$W$5:$W$1270,A648,Ведомость!$H$5:$H$1270,B648,Ведомость!$I$5:$I$1270,C648)</f>
        <v/>
      </c>
      <c r="L648" s="76">
        <f>J648-K648</f>
        <v/>
      </c>
      <c r="M648" s="82">
        <f>IF(J648&gt;0,L648/J648,0)</f>
        <v/>
      </c>
    </row>
    <row r="649">
      <c r="A649" s="49" t="n">
        <v>3</v>
      </c>
      <c r="B649" s="49" t="n">
        <v>20</v>
      </c>
      <c r="C649" s="72" t="inlineStr">
        <is>
          <t>А500С</t>
        </is>
      </c>
      <c r="D649" s="70">
        <f>SUMIFS(Ведомость!$N$5:$N$1270,Ведомость!$W$5:$W$1270,A649,Ведомость!$H$5:$H$1270,B649,Ведомость!$I$5:$I$1270,C649)</f>
        <v/>
      </c>
      <c r="E649" s="70">
        <f>SUMIFS('Раскрой 11,7м'!$Q$5:$Q$599,'Раскрой 11,7м'!$A$5:$A$599,A649,'Раскрой 11,7м'!$B$5:$B$599,B649,'Раскрой 11,7м'!$C$5:$C$599,C649)</f>
        <v/>
      </c>
      <c r="F649" s="70">
        <f>ROUND(D649-E649,2)</f>
        <v/>
      </c>
      <c r="G649" s="81">
        <f>SUMIFS('Раскрой 11,7м'!$O$5:$O$599,'Раскрой 11,7м'!$A$5:$A$599,A649,'Раскрой 11,7м'!$B$5:$B$599,B649,'Раскрой 11,7м'!$C$5:$C$599,C649)</f>
        <v/>
      </c>
      <c r="H649" s="76">
        <f>G649*Исходные!$B$13</f>
        <v/>
      </c>
      <c r="I649" s="37">
        <f>IFERROR(INDEX(Исходные!$B$19:$B$31,MATCH(B649,Исходные!$A$19:$A$31,0)),0)</f>
        <v/>
      </c>
      <c r="J649" s="22">
        <f>H649*I649</f>
        <v/>
      </c>
      <c r="K649" s="76">
        <f>SUMIFS(Ведомость!$P$5:$P$1270,Ведомость!$W$5:$W$1270,A649,Ведомость!$H$5:$H$1270,B649,Ведомость!$I$5:$I$1270,C649)</f>
        <v/>
      </c>
      <c r="L649" s="76">
        <f>J649-K649</f>
        <v/>
      </c>
      <c r="M649" s="82">
        <f>IF(J649&gt;0,L649/J649,0)</f>
        <v/>
      </c>
    </row>
    <row r="650">
      <c r="A650" s="49" t="n">
        <v>3</v>
      </c>
      <c r="B650" s="49" t="n">
        <v>18</v>
      </c>
      <c r="C650" s="72" t="inlineStr">
        <is>
          <t>А500С</t>
        </is>
      </c>
      <c r="D650" s="70">
        <f>SUMIFS(Ведомость!$N$5:$N$1270,Ведомость!$W$5:$W$1270,A650,Ведомость!$H$5:$H$1270,B650,Ведомость!$I$5:$I$1270,C650)</f>
        <v/>
      </c>
      <c r="E650" s="70">
        <f>SUMIFS('Раскрой 11,7м'!$Q$5:$Q$599,'Раскрой 11,7м'!$A$5:$A$599,A650,'Раскрой 11,7м'!$B$5:$B$599,B650,'Раскрой 11,7м'!$C$5:$C$599,C650)</f>
        <v/>
      </c>
      <c r="F650" s="70">
        <f>ROUND(D650-E650,2)</f>
        <v/>
      </c>
      <c r="G650" s="81">
        <f>SUMIFS('Раскрой 11,7м'!$O$5:$O$599,'Раскрой 11,7м'!$A$5:$A$599,A650,'Раскрой 11,7м'!$B$5:$B$599,B650,'Раскрой 11,7м'!$C$5:$C$599,C650)</f>
        <v/>
      </c>
      <c r="H650" s="76">
        <f>G650*Исходные!$B$13</f>
        <v/>
      </c>
      <c r="I650" s="37">
        <f>IFERROR(INDEX(Исходные!$B$19:$B$31,MATCH(B650,Исходные!$A$19:$A$31,0)),0)</f>
        <v/>
      </c>
      <c r="J650" s="22">
        <f>H650*I650</f>
        <v/>
      </c>
      <c r="K650" s="76">
        <f>SUMIFS(Ведомость!$P$5:$P$1270,Ведомость!$W$5:$W$1270,A650,Ведомость!$H$5:$H$1270,B650,Ведомость!$I$5:$I$1270,C650)</f>
        <v/>
      </c>
      <c r="L650" s="76">
        <f>J650-K650</f>
        <v/>
      </c>
      <c r="M650" s="82">
        <f>IF(J650&gt;0,L650/J650,0)</f>
        <v/>
      </c>
    </row>
    <row r="651">
      <c r="A651" s="49" t="n">
        <v>3</v>
      </c>
      <c r="B651" s="49" t="n">
        <v>16</v>
      </c>
      <c r="C651" s="72" t="inlineStr">
        <is>
          <t>А500С</t>
        </is>
      </c>
      <c r="D651" s="70">
        <f>SUMIFS(Ведомость!$N$5:$N$1270,Ведомость!$W$5:$W$1270,A651,Ведомость!$H$5:$H$1270,B651,Ведомость!$I$5:$I$1270,C651)</f>
        <v/>
      </c>
      <c r="E651" s="70">
        <f>SUMIFS('Раскрой 11,7м'!$Q$5:$Q$599,'Раскрой 11,7м'!$A$5:$A$599,A651,'Раскрой 11,7м'!$B$5:$B$599,B651,'Раскрой 11,7м'!$C$5:$C$599,C651)</f>
        <v/>
      </c>
      <c r="F651" s="70">
        <f>ROUND(D651-E651,2)</f>
        <v/>
      </c>
      <c r="G651" s="81">
        <f>SUMIFS('Раскрой 11,7м'!$O$5:$O$599,'Раскрой 11,7м'!$A$5:$A$599,A651,'Раскрой 11,7м'!$B$5:$B$599,B651,'Раскрой 11,7м'!$C$5:$C$599,C651)</f>
        <v/>
      </c>
      <c r="H651" s="76">
        <f>G651*Исходные!$B$13</f>
        <v/>
      </c>
      <c r="I651" s="37">
        <f>IFERROR(INDEX(Исходные!$B$19:$B$31,MATCH(B651,Исходные!$A$19:$A$31,0)),0)</f>
        <v/>
      </c>
      <c r="J651" s="22">
        <f>H651*I651</f>
        <v/>
      </c>
      <c r="K651" s="76">
        <f>SUMIFS(Ведомость!$P$5:$P$1270,Ведомость!$W$5:$W$1270,A651,Ведомость!$H$5:$H$1270,B651,Ведомость!$I$5:$I$1270,C651)</f>
        <v/>
      </c>
      <c r="L651" s="76">
        <f>J651-K651</f>
        <v/>
      </c>
      <c r="M651" s="82">
        <f>IF(J651&gt;0,L651/J651,0)</f>
        <v/>
      </c>
    </row>
    <row r="652">
      <c r="A652" s="49" t="n">
        <v>3</v>
      </c>
      <c r="B652" s="49" t="n">
        <v>14</v>
      </c>
      <c r="C652" s="72" t="inlineStr">
        <is>
          <t>А500С</t>
        </is>
      </c>
      <c r="D652" s="70">
        <f>SUMIFS(Ведомость!$N$5:$N$1270,Ведомость!$W$5:$W$1270,A652,Ведомость!$H$5:$H$1270,B652,Ведомость!$I$5:$I$1270,C652)</f>
        <v/>
      </c>
      <c r="E652" s="70">
        <f>SUMIFS('Раскрой 11,7м'!$Q$5:$Q$599,'Раскрой 11,7м'!$A$5:$A$599,A652,'Раскрой 11,7м'!$B$5:$B$599,B652,'Раскрой 11,7м'!$C$5:$C$599,C652)</f>
        <v/>
      </c>
      <c r="F652" s="70">
        <f>ROUND(D652-E652,2)</f>
        <v/>
      </c>
      <c r="G652" s="81">
        <f>SUMIFS('Раскрой 11,7м'!$O$5:$O$599,'Раскрой 11,7м'!$A$5:$A$599,A652,'Раскрой 11,7м'!$B$5:$B$599,B652,'Раскрой 11,7м'!$C$5:$C$599,C652)</f>
        <v/>
      </c>
      <c r="H652" s="76">
        <f>G652*Исходные!$B$13</f>
        <v/>
      </c>
      <c r="I652" s="37">
        <f>IFERROR(INDEX(Исходные!$B$19:$B$31,MATCH(B652,Исходные!$A$19:$A$31,0)),0)</f>
        <v/>
      </c>
      <c r="J652" s="22">
        <f>H652*I652</f>
        <v/>
      </c>
      <c r="K652" s="76">
        <f>SUMIFS(Ведомость!$P$5:$P$1270,Ведомость!$W$5:$W$1270,A652,Ведомость!$H$5:$H$1270,B652,Ведомость!$I$5:$I$1270,C652)</f>
        <v/>
      </c>
      <c r="L652" s="76">
        <f>J652-K652</f>
        <v/>
      </c>
      <c r="M652" s="82">
        <f>IF(J652&gt;0,L652/J652,0)</f>
        <v/>
      </c>
    </row>
    <row r="653">
      <c r="A653" s="49" t="n">
        <v>3</v>
      </c>
      <c r="B653" s="49" t="n">
        <v>12</v>
      </c>
      <c r="C653" s="72" t="inlineStr">
        <is>
          <t>А500С</t>
        </is>
      </c>
      <c r="D653" s="70">
        <f>SUMIFS(Ведомость!$N$5:$N$1270,Ведомость!$W$5:$W$1270,A653,Ведомость!$H$5:$H$1270,B653,Ведомость!$I$5:$I$1270,C653)</f>
        <v/>
      </c>
      <c r="E653" s="70">
        <f>SUMIFS('Раскрой 11,7м'!$Q$5:$Q$599,'Раскрой 11,7м'!$A$5:$A$599,A653,'Раскрой 11,7м'!$B$5:$B$599,B653,'Раскрой 11,7м'!$C$5:$C$599,C653)</f>
        <v/>
      </c>
      <c r="F653" s="70">
        <f>ROUND(D653-E653,2)</f>
        <v/>
      </c>
      <c r="G653" s="81">
        <f>SUMIFS('Раскрой 11,7м'!$O$5:$O$599,'Раскрой 11,7м'!$A$5:$A$599,A653,'Раскрой 11,7м'!$B$5:$B$599,B653,'Раскрой 11,7м'!$C$5:$C$599,C653)</f>
        <v/>
      </c>
      <c r="H653" s="76">
        <f>G653*Исходные!$B$13</f>
        <v/>
      </c>
      <c r="I653" s="37">
        <f>IFERROR(INDEX(Исходные!$B$19:$B$31,MATCH(B653,Исходные!$A$19:$A$31,0)),0)</f>
        <v/>
      </c>
      <c r="J653" s="22">
        <f>H653*I653</f>
        <v/>
      </c>
      <c r="K653" s="76">
        <f>SUMIFS(Ведомость!$P$5:$P$1270,Ведомость!$W$5:$W$1270,A653,Ведомость!$H$5:$H$1270,B653,Ведомость!$I$5:$I$1270,C653)</f>
        <v/>
      </c>
      <c r="L653" s="76">
        <f>J653-K653</f>
        <v/>
      </c>
      <c r="M653" s="82">
        <f>IF(J653&gt;0,L653/J653,0)</f>
        <v/>
      </c>
    </row>
    <row r="654">
      <c r="A654" s="49" t="n">
        <v>3</v>
      </c>
      <c r="B654" s="49" t="n">
        <v>10</v>
      </c>
      <c r="C654" s="72" t="inlineStr">
        <is>
          <t>А500С</t>
        </is>
      </c>
      <c r="D654" s="70">
        <f>SUMIFS(Ведомость!$N$5:$N$1270,Ведомость!$W$5:$W$1270,A654,Ведомость!$H$5:$H$1270,B654,Ведомость!$I$5:$I$1270,C654)</f>
        <v/>
      </c>
      <c r="E654" s="70">
        <f>SUMIFS('Раскрой 11,7м'!$Q$5:$Q$599,'Раскрой 11,7м'!$A$5:$A$599,A654,'Раскрой 11,7м'!$B$5:$B$599,B654,'Раскрой 11,7м'!$C$5:$C$599,C654)</f>
        <v/>
      </c>
      <c r="F654" s="70">
        <f>ROUND(D654-E654,2)</f>
        <v/>
      </c>
      <c r="G654" s="81">
        <f>SUMIFS('Раскрой 11,7м'!$O$5:$O$599,'Раскрой 11,7м'!$A$5:$A$599,A654,'Раскрой 11,7м'!$B$5:$B$599,B654,'Раскрой 11,7м'!$C$5:$C$599,C654)</f>
        <v/>
      </c>
      <c r="H654" s="76">
        <f>G654*Исходные!$B$13</f>
        <v/>
      </c>
      <c r="I654" s="37">
        <f>IFERROR(INDEX(Исходные!$B$19:$B$31,MATCH(B654,Исходные!$A$19:$A$31,0)),0)</f>
        <v/>
      </c>
      <c r="J654" s="22">
        <f>H654*I654</f>
        <v/>
      </c>
      <c r="K654" s="76">
        <f>SUMIFS(Ведомость!$P$5:$P$1270,Ведомость!$W$5:$W$1270,A654,Ведомость!$H$5:$H$1270,B654,Ведомость!$I$5:$I$1270,C654)</f>
        <v/>
      </c>
      <c r="L654" s="76">
        <f>J654-K654</f>
        <v/>
      </c>
      <c r="M654" s="82">
        <f>IF(J654&gt;0,L654/J654,0)</f>
        <v/>
      </c>
    </row>
    <row r="655">
      <c r="A655" s="49" t="n">
        <v>3</v>
      </c>
      <c r="B655" s="49" t="n">
        <v>8</v>
      </c>
      <c r="C655" s="72" t="inlineStr">
        <is>
          <t>А500С</t>
        </is>
      </c>
      <c r="D655" s="70">
        <f>SUMIFS(Ведомость!$N$5:$N$1270,Ведомость!$W$5:$W$1270,A655,Ведомость!$H$5:$H$1270,B655,Ведомость!$I$5:$I$1270,C655)</f>
        <v/>
      </c>
      <c r="E655" s="70">
        <f>SUMIFS('Раскрой 11,7м'!$Q$5:$Q$599,'Раскрой 11,7м'!$A$5:$A$599,A655,'Раскрой 11,7м'!$B$5:$B$599,B655,'Раскрой 11,7м'!$C$5:$C$599,C655)</f>
        <v/>
      </c>
      <c r="F655" s="70">
        <f>ROUND(D655-E655,2)</f>
        <v/>
      </c>
      <c r="G655" s="81">
        <f>SUMIFS('Раскрой 11,7м'!$O$5:$O$599,'Раскрой 11,7м'!$A$5:$A$599,A655,'Раскрой 11,7м'!$B$5:$B$599,B655,'Раскрой 11,7м'!$C$5:$C$599,C655)</f>
        <v/>
      </c>
      <c r="H655" s="76">
        <f>G655*Исходные!$B$13</f>
        <v/>
      </c>
      <c r="I655" s="37">
        <f>IFERROR(INDEX(Исходные!$B$19:$B$31,MATCH(B655,Исходные!$A$19:$A$31,0)),0)</f>
        <v/>
      </c>
      <c r="J655" s="22">
        <f>H655*I655</f>
        <v/>
      </c>
      <c r="K655" s="76">
        <f>SUMIFS(Ведомость!$P$5:$P$1270,Ведомость!$W$5:$W$1270,A655,Ведомость!$H$5:$H$1270,B655,Ведомость!$I$5:$I$1270,C655)</f>
        <v/>
      </c>
      <c r="L655" s="76">
        <f>J655-K655</f>
        <v/>
      </c>
      <c r="M655" s="82">
        <f>IF(J655&gt;0,L655/J655,0)</f>
        <v/>
      </c>
    </row>
    <row r="656">
      <c r="A656" s="49" t="n">
        <v>3</v>
      </c>
      <c r="B656" s="49" t="n">
        <v>16</v>
      </c>
      <c r="C656" s="72" t="inlineStr">
        <is>
          <t>А240</t>
        </is>
      </c>
      <c r="D656" s="70">
        <f>SUMIFS(Ведомость!$N$5:$N$1270,Ведомость!$W$5:$W$1270,A656,Ведомость!$H$5:$H$1270,B656,Ведомость!$I$5:$I$1270,C656)</f>
        <v/>
      </c>
      <c r="E656" s="70">
        <f>SUMIFS('Раскрой 11,7м'!$Q$5:$Q$599,'Раскрой 11,7м'!$A$5:$A$599,A656,'Раскрой 11,7м'!$B$5:$B$599,B656,'Раскрой 11,7м'!$C$5:$C$599,C656)</f>
        <v/>
      </c>
      <c r="F656" s="70">
        <f>ROUND(D656-E656,2)</f>
        <v/>
      </c>
      <c r="G656" s="81">
        <f>SUMIFS('Раскрой 11,7м'!$O$5:$O$599,'Раскрой 11,7м'!$A$5:$A$599,A656,'Раскрой 11,7м'!$B$5:$B$599,B656,'Раскрой 11,7м'!$C$5:$C$599,C656)</f>
        <v/>
      </c>
      <c r="H656" s="76">
        <f>G656*Исходные!$B$13</f>
        <v/>
      </c>
      <c r="I656" s="37">
        <f>IFERROR(INDEX(Исходные!$B$19:$B$31,MATCH(B656,Исходные!$A$19:$A$31,0)),0)</f>
        <v/>
      </c>
      <c r="J656" s="22">
        <f>H656*I656</f>
        <v/>
      </c>
      <c r="K656" s="76">
        <f>SUMIFS(Ведомость!$P$5:$P$1270,Ведомость!$W$5:$W$1270,A656,Ведомость!$H$5:$H$1270,B656,Ведомость!$I$5:$I$1270,C656)</f>
        <v/>
      </c>
      <c r="L656" s="76">
        <f>J656-K656</f>
        <v/>
      </c>
      <c r="M656" s="82">
        <f>IF(J656&gt;0,L656/J656,0)</f>
        <v/>
      </c>
    </row>
    <row r="657">
      <c r="A657" s="49" t="n">
        <v>3</v>
      </c>
      <c r="B657" s="49" t="n">
        <v>12</v>
      </c>
      <c r="C657" s="72" t="inlineStr">
        <is>
          <t>А240</t>
        </is>
      </c>
      <c r="D657" s="70">
        <f>SUMIFS(Ведомость!$N$5:$N$1270,Ведомость!$W$5:$W$1270,A657,Ведомость!$H$5:$H$1270,B657,Ведомость!$I$5:$I$1270,C657)</f>
        <v/>
      </c>
      <c r="E657" s="70">
        <f>SUMIFS('Раскрой 11,7м'!$Q$5:$Q$599,'Раскрой 11,7м'!$A$5:$A$599,A657,'Раскрой 11,7м'!$B$5:$B$599,B657,'Раскрой 11,7м'!$C$5:$C$599,C657)</f>
        <v/>
      </c>
      <c r="F657" s="70">
        <f>ROUND(D657-E657,2)</f>
        <v/>
      </c>
      <c r="G657" s="81">
        <f>SUMIFS('Раскрой 11,7м'!$O$5:$O$599,'Раскрой 11,7м'!$A$5:$A$599,A657,'Раскрой 11,7м'!$B$5:$B$599,B657,'Раскрой 11,7м'!$C$5:$C$599,C657)</f>
        <v/>
      </c>
      <c r="H657" s="76">
        <f>G657*Исходные!$B$13</f>
        <v/>
      </c>
      <c r="I657" s="37">
        <f>IFERROR(INDEX(Исходные!$B$19:$B$31,MATCH(B657,Исходные!$A$19:$A$31,0)),0)</f>
        <v/>
      </c>
      <c r="J657" s="22">
        <f>H657*I657</f>
        <v/>
      </c>
      <c r="K657" s="76">
        <f>SUMIFS(Ведомость!$P$5:$P$1270,Ведомость!$W$5:$W$1270,A657,Ведомость!$H$5:$H$1270,B657,Ведомость!$I$5:$I$1270,C657)</f>
        <v/>
      </c>
      <c r="L657" s="76">
        <f>J657-K657</f>
        <v/>
      </c>
      <c r="M657" s="82">
        <f>IF(J657&gt;0,L657/J657,0)</f>
        <v/>
      </c>
    </row>
    <row r="658">
      <c r="A658" s="49" t="n">
        <v>3</v>
      </c>
      <c r="B658" s="49" t="n">
        <v>10</v>
      </c>
      <c r="C658" s="72" t="inlineStr">
        <is>
          <t>А240</t>
        </is>
      </c>
      <c r="D658" s="70">
        <f>SUMIFS(Ведомость!$N$5:$N$1270,Ведомость!$W$5:$W$1270,A658,Ведомость!$H$5:$H$1270,B658,Ведомость!$I$5:$I$1270,C658)</f>
        <v/>
      </c>
      <c r="E658" s="70">
        <f>SUMIFS('Раскрой 11,7м'!$Q$5:$Q$599,'Раскрой 11,7м'!$A$5:$A$599,A658,'Раскрой 11,7м'!$B$5:$B$599,B658,'Раскрой 11,7м'!$C$5:$C$599,C658)</f>
        <v/>
      </c>
      <c r="F658" s="70">
        <f>ROUND(D658-E658,2)</f>
        <v/>
      </c>
      <c r="G658" s="81">
        <f>SUMIFS('Раскрой 11,7м'!$O$5:$O$599,'Раскрой 11,7м'!$A$5:$A$599,A658,'Раскрой 11,7м'!$B$5:$B$599,B658,'Раскрой 11,7м'!$C$5:$C$599,C658)</f>
        <v/>
      </c>
      <c r="H658" s="76">
        <f>G658*Исходные!$B$13</f>
        <v/>
      </c>
      <c r="I658" s="37">
        <f>IFERROR(INDEX(Исходные!$B$19:$B$31,MATCH(B658,Исходные!$A$19:$A$31,0)),0)</f>
        <v/>
      </c>
      <c r="J658" s="22">
        <f>H658*I658</f>
        <v/>
      </c>
      <c r="K658" s="76">
        <f>SUMIFS(Ведомость!$P$5:$P$1270,Ведомость!$W$5:$W$1270,A658,Ведомость!$H$5:$H$1270,B658,Ведомость!$I$5:$I$1270,C658)</f>
        <v/>
      </c>
      <c r="L658" s="76">
        <f>J658-K658</f>
        <v/>
      </c>
      <c r="M658" s="82">
        <f>IF(J658&gt;0,L658/J658,0)</f>
        <v/>
      </c>
    </row>
    <row r="659">
      <c r="A659" s="49" t="n">
        <v>3</v>
      </c>
      <c r="B659" s="49" t="n">
        <v>8</v>
      </c>
      <c r="C659" s="72" t="inlineStr">
        <is>
          <t>А240</t>
        </is>
      </c>
      <c r="D659" s="70">
        <f>SUMIFS(Ведомость!$N$5:$N$1270,Ведомость!$W$5:$W$1270,A659,Ведомость!$H$5:$H$1270,B659,Ведомость!$I$5:$I$1270,C659)</f>
        <v/>
      </c>
      <c r="E659" s="70">
        <f>SUMIFS('Раскрой 11,7м'!$Q$5:$Q$599,'Раскрой 11,7м'!$A$5:$A$599,A659,'Раскрой 11,7м'!$B$5:$B$599,B659,'Раскрой 11,7м'!$C$5:$C$599,C659)</f>
        <v/>
      </c>
      <c r="F659" s="70">
        <f>ROUND(D659-E659,2)</f>
        <v/>
      </c>
      <c r="G659" s="81">
        <f>SUMIFS('Раскрой 11,7м'!$O$5:$O$599,'Раскрой 11,7м'!$A$5:$A$599,A659,'Раскрой 11,7м'!$B$5:$B$599,B659,'Раскрой 11,7м'!$C$5:$C$599,C659)</f>
        <v/>
      </c>
      <c r="H659" s="76">
        <f>G659*Исходные!$B$13</f>
        <v/>
      </c>
      <c r="I659" s="37">
        <f>IFERROR(INDEX(Исходные!$B$19:$B$31,MATCH(B659,Исходные!$A$19:$A$31,0)),0)</f>
        <v/>
      </c>
      <c r="J659" s="22">
        <f>H659*I659</f>
        <v/>
      </c>
      <c r="K659" s="76">
        <f>SUMIFS(Ведомость!$P$5:$P$1270,Ведомость!$W$5:$W$1270,A659,Ведомость!$H$5:$H$1270,B659,Ведомость!$I$5:$I$1270,C659)</f>
        <v/>
      </c>
      <c r="L659" s="76">
        <f>J659-K659</f>
        <v/>
      </c>
      <c r="M659" s="82">
        <f>IF(J659&gt;0,L659/J659,0)</f>
        <v/>
      </c>
    </row>
    <row r="660">
      <c r="A660" s="49" t="n">
        <v>3</v>
      </c>
      <c r="B660" s="49" t="n">
        <v>6</v>
      </c>
      <c r="C660" s="72" t="inlineStr">
        <is>
          <t>А240</t>
        </is>
      </c>
      <c r="D660" s="70">
        <f>SUMIFS(Ведомость!$N$5:$N$1270,Ведомость!$W$5:$W$1270,A660,Ведомость!$H$5:$H$1270,B660,Ведомость!$I$5:$I$1270,C660)</f>
        <v/>
      </c>
      <c r="E660" s="70">
        <f>SUMIFS('Раскрой 11,7м'!$Q$5:$Q$599,'Раскрой 11,7м'!$A$5:$A$599,A660,'Раскрой 11,7м'!$B$5:$B$599,B660,'Раскрой 11,7м'!$C$5:$C$599,C660)</f>
        <v/>
      </c>
      <c r="F660" s="70">
        <f>ROUND(D660-E660,2)</f>
        <v/>
      </c>
      <c r="G660" s="81">
        <f>SUMIFS('Раскрой 11,7м'!$O$5:$O$599,'Раскрой 11,7м'!$A$5:$A$599,A660,'Раскрой 11,7м'!$B$5:$B$599,B660,'Раскрой 11,7м'!$C$5:$C$599,C660)</f>
        <v/>
      </c>
      <c r="H660" s="76">
        <f>G660*Исходные!$B$13</f>
        <v/>
      </c>
      <c r="I660" s="37">
        <f>IFERROR(INDEX(Исходные!$B$19:$B$31,MATCH(B660,Исходные!$A$19:$A$31,0)),0)</f>
        <v/>
      </c>
      <c r="J660" s="22">
        <f>H660*I660</f>
        <v/>
      </c>
      <c r="K660" s="76">
        <f>SUMIFS(Ведомость!$P$5:$P$1270,Ведомость!$W$5:$W$1270,A660,Ведомость!$H$5:$H$1270,B660,Ведомость!$I$5:$I$1270,C660)</f>
        <v/>
      </c>
      <c r="L660" s="76">
        <f>J660-K660</f>
        <v/>
      </c>
      <c r="M660" s="82">
        <f>IF(J660&gt;0,L660/J660,0)</f>
        <v/>
      </c>
    </row>
    <row r="661">
      <c r="A661" s="49" t="n">
        <v>3</v>
      </c>
      <c r="B661" s="49" t="n">
        <v>5</v>
      </c>
      <c r="C661" s="72" t="inlineStr">
        <is>
          <t>Вр-I</t>
        </is>
      </c>
      <c r="D661" s="70">
        <f>SUMIFS(Ведомость!$N$5:$N$1270,Ведомость!$W$5:$W$1270,A661,Ведомость!$H$5:$H$1270,B661,Ведомость!$I$5:$I$1270,C661)</f>
        <v/>
      </c>
      <c r="E661" s="70">
        <f>D661</f>
        <v/>
      </c>
      <c r="F661" s="70">
        <f>ROUND(D661-E661,2)</f>
        <v/>
      </c>
      <c r="G661" s="81" t="n">
        <v>0</v>
      </c>
      <c r="H661" s="76">
        <f>G661*Исходные!$B$13</f>
        <v/>
      </c>
      <c r="I661" s="37">
        <f>IFERROR(INDEX(Исходные!$B$19:$B$31,MATCH(B661,Исходные!$A$19:$A$31,0)),0)</f>
        <v/>
      </c>
      <c r="J661" s="22">
        <f>K661</f>
        <v/>
      </c>
      <c r="K661" s="76">
        <f>SUMIFS(Ведомость!$P$5:$P$1270,Ведомость!$W$5:$W$1270,A661,Ведомость!$H$5:$H$1270,B661,Ведомость!$I$5:$I$1270,C661)</f>
        <v/>
      </c>
      <c r="L661" s="76">
        <f>J661-K661</f>
        <v/>
      </c>
      <c r="M661" s="82">
        <f>IF(J661&gt;0,L661/J661,0)</f>
        <v/>
      </c>
      <c r="N661" s="23" t="inlineStr">
        <is>
          <t>сетка С-1 лестницы — заказ в м² сетки, не раскраивается</t>
        </is>
      </c>
    </row>
    <row r="662">
      <c r="C662" s="4" t="inlineStr">
        <is>
          <t>ИТОГО</t>
        </is>
      </c>
      <c r="D662" s="80">
        <f>SUM(D645:D661)</f>
        <v/>
      </c>
      <c r="E662" s="80">
        <f>SUM(E645:E661)</f>
        <v/>
      </c>
      <c r="F662" s="80">
        <f>SUM(F645:F661)</f>
        <v/>
      </c>
      <c r="G662" s="45">
        <f>SUM(G645:G661)</f>
        <v/>
      </c>
      <c r="H662" s="80">
        <f>SUM(H645:H661)</f>
        <v/>
      </c>
      <c r="J662" s="80">
        <f>SUM(J645:J661)</f>
        <v/>
      </c>
      <c r="K662" s="80">
        <f>SUM(K645:K661)</f>
        <v/>
      </c>
      <c r="L662" s="80">
        <f>SUM(L645:L661)</f>
        <v/>
      </c>
      <c r="M662" s="83">
        <f>IF(J662&gt;0,L662/J662,0)</f>
        <v/>
      </c>
    </row>
    <row r="664">
      <c r="A664" s="28" t="inlineStr">
        <is>
          <t>Сводка раскроя — 1–3 этаж (сумма поэтажных заказов)</t>
        </is>
      </c>
    </row>
    <row r="665" ht="54" customHeight="1">
      <c r="A665" s="5" t="inlineStr"/>
      <c r="B665" s="5" t="inlineStr">
        <is>
          <t>Ø</t>
        </is>
      </c>
      <c r="C665" s="5" t="inlineStr">
        <is>
          <t>Класс</t>
        </is>
      </c>
      <c r="D665" s="5" t="inlineStr">
        <is>
          <t>Прутков 11,7 м (поэтажно), шт</t>
        </is>
      </c>
      <c r="E665" s="5" t="inlineStr">
        <is>
          <t>Масса заказа, кг</t>
        </is>
      </c>
      <c r="F665" s="5" t="inlineStr">
        <is>
          <t>Проектная масса, кг</t>
        </is>
      </c>
      <c r="G665" s="5" t="inlineStr">
        <is>
          <t>Отход, кг</t>
        </is>
      </c>
      <c r="H665" s="5" t="inlineStr">
        <is>
          <t>Отход, %</t>
        </is>
      </c>
      <c r="I665" s="5" t="inlineStr">
        <is>
          <t>Справочно: прутков при совместном раскрое 1–3 этаж, шт</t>
        </is>
      </c>
      <c r="J665" s="5" t="inlineStr">
        <is>
          <t>Экономия, прутков</t>
        </is>
      </c>
    </row>
    <row r="666">
      <c r="A666" s="21" t="n"/>
      <c r="B666" s="49" t="n">
        <v>32</v>
      </c>
      <c r="C666" s="72" t="inlineStr">
        <is>
          <t>А500С</t>
        </is>
      </c>
      <c r="D666" s="81">
        <f>G603+G624+G645</f>
        <v/>
      </c>
      <c r="E666" s="22">
        <f>J603+J624+J645</f>
        <v/>
      </c>
      <c r="F666" s="76">
        <f>K603+K624+K645</f>
        <v/>
      </c>
      <c r="G666" s="76">
        <f>E666-F666</f>
        <v/>
      </c>
      <c r="H666" s="82">
        <f>IF(E666&gt;0,G666/E666,0)</f>
        <v/>
      </c>
      <c r="I666" s="51" t="n">
        <v>56</v>
      </c>
      <c r="J666" s="50">
        <f>IF(I666="","",D666-I666)</f>
        <v/>
      </c>
    </row>
    <row r="667">
      <c r="A667" s="21" t="n"/>
      <c r="B667" s="49" t="n">
        <v>28</v>
      </c>
      <c r="C667" s="72" t="inlineStr">
        <is>
          <t>А500С</t>
        </is>
      </c>
      <c r="D667" s="81">
        <f>G604+G625+G646</f>
        <v/>
      </c>
      <c r="E667" s="22">
        <f>J604+J625+J646</f>
        <v/>
      </c>
      <c r="F667" s="76">
        <f>K604+K625+K646</f>
        <v/>
      </c>
      <c r="G667" s="76">
        <f>E667-F667</f>
        <v/>
      </c>
      <c r="H667" s="82">
        <f>IF(E667&gt;0,G667/E667,0)</f>
        <v/>
      </c>
      <c r="I667" s="51" t="n">
        <v>341</v>
      </c>
      <c r="J667" s="50">
        <f>IF(I667="","",D667-I667)</f>
        <v/>
      </c>
    </row>
    <row r="668">
      <c r="A668" s="21" t="n"/>
      <c r="B668" s="49" t="n">
        <v>25</v>
      </c>
      <c r="C668" s="72" t="inlineStr">
        <is>
          <t>А500С</t>
        </is>
      </c>
      <c r="D668" s="81">
        <f>G605+G626+G647</f>
        <v/>
      </c>
      <c r="E668" s="22">
        <f>J605+J626+J647</f>
        <v/>
      </c>
      <c r="F668" s="76">
        <f>K605+K626+K647</f>
        <v/>
      </c>
      <c r="G668" s="76">
        <f>E668-F668</f>
        <v/>
      </c>
      <c r="H668" s="82">
        <f>IF(E668&gt;0,G668/E668,0)</f>
        <v/>
      </c>
      <c r="I668" s="51" t="n">
        <v>247</v>
      </c>
      <c r="J668" s="50">
        <f>IF(I668="","",D668-I668)</f>
        <v/>
      </c>
    </row>
    <row r="669">
      <c r="A669" s="21" t="n"/>
      <c r="B669" s="49" t="n">
        <v>22</v>
      </c>
      <c r="C669" s="72" t="inlineStr">
        <is>
          <t>А500С</t>
        </is>
      </c>
      <c r="D669" s="81">
        <f>G606+G627+G648</f>
        <v/>
      </c>
      <c r="E669" s="22">
        <f>J606+J627+J648</f>
        <v/>
      </c>
      <c r="F669" s="76">
        <f>K606+K627+K648</f>
        <v/>
      </c>
      <c r="G669" s="76">
        <f>E669-F669</f>
        <v/>
      </c>
      <c r="H669" s="82">
        <f>IF(E669&gt;0,G669/E669,0)</f>
        <v/>
      </c>
      <c r="I669" s="51" t="n">
        <v>82</v>
      </c>
      <c r="J669" s="50">
        <f>IF(I669="","",D669-I669)</f>
        <v/>
      </c>
    </row>
    <row r="670">
      <c r="A670" s="21" t="n"/>
      <c r="B670" s="49" t="n">
        <v>20</v>
      </c>
      <c r="C670" s="72" t="inlineStr">
        <is>
          <t>А500С</t>
        </is>
      </c>
      <c r="D670" s="81">
        <f>G607+G628+G649</f>
        <v/>
      </c>
      <c r="E670" s="22">
        <f>J607+J628+J649</f>
        <v/>
      </c>
      <c r="F670" s="76">
        <f>K607+K628+K649</f>
        <v/>
      </c>
      <c r="G670" s="76">
        <f>E670-F670</f>
        <v/>
      </c>
      <c r="H670" s="82">
        <f>IF(E670&gt;0,G670/E670,0)</f>
        <v/>
      </c>
      <c r="I670" s="51" t="n">
        <v>196</v>
      </c>
      <c r="J670" s="50">
        <f>IF(I670="","",D670-I670)</f>
        <v/>
      </c>
    </row>
    <row r="671">
      <c r="A671" s="21" t="n"/>
      <c r="B671" s="49" t="n">
        <v>18</v>
      </c>
      <c r="C671" s="72" t="inlineStr">
        <is>
          <t>А500С</t>
        </is>
      </c>
      <c r="D671" s="81">
        <f>G608+G629+G650</f>
        <v/>
      </c>
      <c r="E671" s="22">
        <f>J608+J629+J650</f>
        <v/>
      </c>
      <c r="F671" s="76">
        <f>K608+K629+K650</f>
        <v/>
      </c>
      <c r="G671" s="76">
        <f>E671-F671</f>
        <v/>
      </c>
      <c r="H671" s="82">
        <f>IF(E671&gt;0,G671/E671,0)</f>
        <v/>
      </c>
      <c r="I671" s="51" t="n">
        <v>216</v>
      </c>
      <c r="J671" s="50">
        <f>IF(I671="","",D671-I671)</f>
        <v/>
      </c>
    </row>
    <row r="672">
      <c r="A672" s="21" t="n"/>
      <c r="B672" s="49" t="n">
        <v>16</v>
      </c>
      <c r="C672" s="72" t="inlineStr">
        <is>
          <t>А500С</t>
        </is>
      </c>
      <c r="D672" s="81">
        <f>G609+G630+G651</f>
        <v/>
      </c>
      <c r="E672" s="22">
        <f>J609+J630+J651</f>
        <v/>
      </c>
      <c r="F672" s="76">
        <f>K609+K630+K651</f>
        <v/>
      </c>
      <c r="G672" s="76">
        <f>E672-F672</f>
        <v/>
      </c>
      <c r="H672" s="82">
        <f>IF(E672&gt;0,G672/E672,0)</f>
        <v/>
      </c>
      <c r="I672" s="51" t="n">
        <v>203</v>
      </c>
      <c r="J672" s="50">
        <f>IF(I672="","",D672-I672)</f>
        <v/>
      </c>
    </row>
    <row r="673">
      <c r="A673" s="21" t="n"/>
      <c r="B673" s="49" t="n">
        <v>14</v>
      </c>
      <c r="C673" s="72" t="inlineStr">
        <is>
          <t>А500С</t>
        </is>
      </c>
      <c r="D673" s="81">
        <f>G610+G631+G652</f>
        <v/>
      </c>
      <c r="E673" s="22">
        <f>J610+J631+J652</f>
        <v/>
      </c>
      <c r="F673" s="76">
        <f>K610+K631+K652</f>
        <v/>
      </c>
      <c r="G673" s="76">
        <f>E673-F673</f>
        <v/>
      </c>
      <c r="H673" s="82">
        <f>IF(E673&gt;0,G673/E673,0)</f>
        <v/>
      </c>
      <c r="I673" s="51" t="n">
        <v>146</v>
      </c>
      <c r="J673" s="50">
        <f>IF(I673="","",D673-I673)</f>
        <v/>
      </c>
    </row>
    <row r="674">
      <c r="A674" s="21" t="n"/>
      <c r="B674" s="49" t="n">
        <v>12</v>
      </c>
      <c r="C674" s="72" t="inlineStr">
        <is>
          <t>А500С</t>
        </is>
      </c>
      <c r="D674" s="81">
        <f>G611+G632+G653</f>
        <v/>
      </c>
      <c r="E674" s="22">
        <f>J611+J632+J653</f>
        <v/>
      </c>
      <c r="F674" s="76">
        <f>K611+K632+K653</f>
        <v/>
      </c>
      <c r="G674" s="76">
        <f>E674-F674</f>
        <v/>
      </c>
      <c r="H674" s="82">
        <f>IF(E674&gt;0,G674/E674,0)</f>
        <v/>
      </c>
      <c r="I674" s="51" t="n">
        <v>94</v>
      </c>
      <c r="J674" s="50">
        <f>IF(I674="","",D674-I674)</f>
        <v/>
      </c>
    </row>
    <row r="675">
      <c r="A675" s="21" t="n"/>
      <c r="B675" s="49" t="n">
        <v>10</v>
      </c>
      <c r="C675" s="72" t="inlineStr">
        <is>
          <t>А500С</t>
        </is>
      </c>
      <c r="D675" s="81">
        <f>G612+G633+G654</f>
        <v/>
      </c>
      <c r="E675" s="22">
        <f>J612+J633+J654</f>
        <v/>
      </c>
      <c r="F675" s="76">
        <f>K612+K633+K654</f>
        <v/>
      </c>
      <c r="G675" s="76">
        <f>E675-F675</f>
        <v/>
      </c>
      <c r="H675" s="82">
        <f>IF(E675&gt;0,G675/E675,0)</f>
        <v/>
      </c>
      <c r="I675" s="51" t="n">
        <v>3386</v>
      </c>
      <c r="J675" s="50">
        <f>IF(I675="","",D675-I675)</f>
        <v/>
      </c>
    </row>
    <row r="676">
      <c r="A676" s="21" t="n"/>
      <c r="B676" s="49" t="n">
        <v>8</v>
      </c>
      <c r="C676" s="72" t="inlineStr">
        <is>
          <t>А500С</t>
        </is>
      </c>
      <c r="D676" s="81">
        <f>G613+G634+G655</f>
        <v/>
      </c>
      <c r="E676" s="22">
        <f>J613+J634+J655</f>
        <v/>
      </c>
      <c r="F676" s="76">
        <f>K613+K634+K655</f>
        <v/>
      </c>
      <c r="G676" s="76">
        <f>E676-F676</f>
        <v/>
      </c>
      <c r="H676" s="82">
        <f>IF(E676&gt;0,G676/E676,0)</f>
        <v/>
      </c>
      <c r="I676" s="51" t="n"/>
      <c r="J676" s="50" t="n"/>
    </row>
    <row r="677">
      <c r="A677" s="21" t="n"/>
      <c r="B677" s="49" t="n">
        <v>16</v>
      </c>
      <c r="C677" s="72" t="inlineStr">
        <is>
          <t>А240</t>
        </is>
      </c>
      <c r="D677" s="81">
        <f>G614+G635+G656</f>
        <v/>
      </c>
      <c r="E677" s="22">
        <f>J614+J635+J656</f>
        <v/>
      </c>
      <c r="F677" s="76">
        <f>K614+K635+K656</f>
        <v/>
      </c>
      <c r="G677" s="76">
        <f>E677-F677</f>
        <v/>
      </c>
      <c r="H677" s="82">
        <f>IF(E677&gt;0,G677/E677,0)</f>
        <v/>
      </c>
      <c r="I677" s="51" t="n">
        <v>1</v>
      </c>
      <c r="J677" s="50">
        <f>IF(I677="","",D677-I677)</f>
        <v/>
      </c>
    </row>
    <row r="678">
      <c r="A678" s="21" t="n"/>
      <c r="B678" s="49" t="n">
        <v>12</v>
      </c>
      <c r="C678" s="72" t="inlineStr">
        <is>
          <t>А240</t>
        </is>
      </c>
      <c r="D678" s="81">
        <f>G615+G636+G657</f>
        <v/>
      </c>
      <c r="E678" s="22">
        <f>J615+J636+J657</f>
        <v/>
      </c>
      <c r="F678" s="76">
        <f>K615+K636+K657</f>
        <v/>
      </c>
      <c r="G678" s="76">
        <f>E678-F678</f>
        <v/>
      </c>
      <c r="H678" s="82">
        <f>IF(E678&gt;0,G678/E678,0)</f>
        <v/>
      </c>
      <c r="I678" s="51" t="n"/>
      <c r="J678" s="50" t="n"/>
    </row>
    <row r="679">
      <c r="A679" s="21" t="n"/>
      <c r="B679" s="49" t="n">
        <v>10</v>
      </c>
      <c r="C679" s="72" t="inlineStr">
        <is>
          <t>А240</t>
        </is>
      </c>
      <c r="D679" s="81">
        <f>G616+G637+G658</f>
        <v/>
      </c>
      <c r="E679" s="22">
        <f>J616+J637+J658</f>
        <v/>
      </c>
      <c r="F679" s="76">
        <f>K616+K637+K658</f>
        <v/>
      </c>
      <c r="G679" s="76">
        <f>E679-F679</f>
        <v/>
      </c>
      <c r="H679" s="82">
        <f>IF(E679&gt;0,G679/E679,0)</f>
        <v/>
      </c>
      <c r="I679" s="51" t="n">
        <v>727</v>
      </c>
      <c r="J679" s="50">
        <f>IF(I679="","",D679-I679)</f>
        <v/>
      </c>
    </row>
    <row r="680">
      <c r="A680" s="21" t="n"/>
      <c r="B680" s="49" t="n">
        <v>8</v>
      </c>
      <c r="C680" s="72" t="inlineStr">
        <is>
          <t>А240</t>
        </is>
      </c>
      <c r="D680" s="81">
        <f>G617+G638+G659</f>
        <v/>
      </c>
      <c r="E680" s="22">
        <f>J617+J638+J659</f>
        <v/>
      </c>
      <c r="F680" s="76">
        <f>K617+K638+K659</f>
        <v/>
      </c>
      <c r="G680" s="76">
        <f>E680-F680</f>
        <v/>
      </c>
      <c r="H680" s="82">
        <f>IF(E680&gt;0,G680/E680,0)</f>
        <v/>
      </c>
      <c r="I680" s="51" t="n">
        <v>1935</v>
      </c>
      <c r="J680" s="50">
        <f>IF(I680="","",D680-I680)</f>
        <v/>
      </c>
    </row>
    <row r="681">
      <c r="A681" s="21" t="n"/>
      <c r="B681" s="49" t="n">
        <v>6</v>
      </c>
      <c r="C681" s="72" t="inlineStr">
        <is>
          <t>А240</t>
        </is>
      </c>
      <c r="D681" s="81">
        <f>G618+G639+G660</f>
        <v/>
      </c>
      <c r="E681" s="22">
        <f>J618+J639+J660</f>
        <v/>
      </c>
      <c r="F681" s="76">
        <f>K618+K639+K660</f>
        <v/>
      </c>
      <c r="G681" s="76">
        <f>E681-F681</f>
        <v/>
      </c>
      <c r="H681" s="82">
        <f>IF(E681&gt;0,G681/E681,0)</f>
        <v/>
      </c>
      <c r="I681" s="51" t="n">
        <v>8</v>
      </c>
      <c r="J681" s="50">
        <f>IF(I681="","",D681-I681)</f>
        <v/>
      </c>
    </row>
    <row r="682">
      <c r="A682" s="21" t="n"/>
      <c r="B682" s="49" t="n">
        <v>5</v>
      </c>
      <c r="C682" s="72" t="inlineStr">
        <is>
          <t>Вр-I</t>
        </is>
      </c>
      <c r="D682" s="81">
        <f>G619+G640+G661</f>
        <v/>
      </c>
      <c r="E682" s="22">
        <f>J619+J640+J661</f>
        <v/>
      </c>
      <c r="F682" s="76">
        <f>K619+K640+K661</f>
        <v/>
      </c>
      <c r="G682" s="76">
        <f>E682-F682</f>
        <v/>
      </c>
      <c r="H682" s="82">
        <f>IF(E682&gt;0,G682/E682,0)</f>
        <v/>
      </c>
      <c r="I682" s="51" t="n"/>
      <c r="J682" s="50" t="n"/>
    </row>
    <row r="683">
      <c r="C683" s="4" t="inlineStr">
        <is>
          <t>ИТОГО</t>
        </is>
      </c>
      <c r="D683" s="45">
        <f>SUM(D666:D682)</f>
        <v/>
      </c>
      <c r="E683" s="80">
        <f>SUM(E666:E682)</f>
        <v/>
      </c>
      <c r="F683" s="80">
        <f>SUM(F666:F682)</f>
        <v/>
      </c>
      <c r="G683" s="80">
        <f>SUM(G666:G682)</f>
        <v/>
      </c>
      <c r="H683" s="83">
        <f>IF(E683&gt;0,G683/E683,0)</f>
        <v/>
      </c>
      <c r="I683" s="45">
        <f>SUM(I666:I682)</f>
        <v/>
      </c>
      <c r="J683" s="45">
        <f>SUM(J666:J682)</f>
        <v/>
      </c>
    </row>
    <row r="685" ht="15" customHeight="1">
      <c r="A685" s="71" t="inlineStr">
        <is>
          <t>Примечания к раскрою:</t>
        </is>
      </c>
    </row>
    <row r="686" ht="30" customHeight="1">
      <c r="A686" s="67" t="inlineStr">
        <is>
          <t>1. Вертикали Дм и колонн 1 этажа L=4,0 м: из прутка 11,7 м — 2 детали + остаток 3,7 м (отход Ø32/Ø20 18–23 %). Остаток 3,7 м подходит под вертикали 2–3 этажей L=3,6 м — поэтому при совместном заказе нескольких этажей прутков меньше (колонка «Справочно»).</t>
        </is>
      </c>
    </row>
    <row r="687" ht="30" customHeight="1">
      <c r="A687" s="67" t="inlineStr">
        <is>
          <t>2. Стыки балок Ø25 (ванная сварка) по проекту — на 1/3 пролёта (АС-57): при нарезке проверить, чтобы стык не попал в зону у опоры.</t>
        </is>
      </c>
    </row>
    <row r="688" ht="30" customHeight="1">
      <c r="A688" s="67" t="inlineStr">
        <is>
          <t>3. Стыки сеток вразбежку (АС-58): не более 50 % стержней в одном сечении.</t>
        </is>
      </c>
    </row>
  </sheetData>
  <mergeCells count="4">
    <mergeCell ref="A686:R686"/>
    <mergeCell ref="A688:R688"/>
    <mergeCell ref="A685:R685"/>
    <mergeCell ref="A687:R687"/>
  </mergeCells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257"/>
  <sheetViews>
    <sheetView zoomScale="90" workbookViewId="0">
      <selection activeCell="A1" sqref="A1"/>
    </sheetView>
  </sheetViews>
  <sheetFormatPr baseColWidth="8" defaultRowHeight="15"/>
  <cols>
    <col width="50" customWidth="1" min="1" max="1"/>
    <col width="130" customWidth="1" min="2" max="2"/>
  </cols>
  <sheetData>
    <row r="1">
      <c r="A1" s="54" t="inlineStr">
        <is>
          <t>Проверки, чек-листы и сомнительные места (1–3 этаж)</t>
        </is>
      </c>
    </row>
    <row r="3">
      <c r="A3" s="2" t="inlineStr">
        <is>
          <t>ПРОВЕРКА НА ДВОЙНОЙ УЧЁТ (1 этаж; для 2 этажа — то же)</t>
        </is>
      </c>
      <c r="B3" s="34" t="n"/>
    </row>
    <row r="4">
      <c r="A4" s="84" t="inlineStr">
        <is>
          <t>Выпуски вертикалей Дм</t>
        </is>
      </c>
      <c r="B4" s="21" t="inlineStr">
        <is>
          <t>Каждый вертикальный стержень считан один раз длиной 4,0 м «стык–стык» (выпуск +800/+500 над +3.950 входит в стержень 1 этажа, нижний выпуск — в стержень подвала). ✔</t>
        </is>
      </c>
    </row>
    <row r="5">
      <c r="A5" s="84" t="inlineStr">
        <is>
          <t>Колонны внутри Дм</t>
        </is>
      </c>
      <c r="B5" s="21" t="inlineStr">
        <is>
          <t>Колонны в составе Дм (А/2, А/4, Г/2, Г/3, Г/4) учтены ТОЛЬКО в Дм; отдельно посчитаны остальные 15 колонн. ✔</t>
        </is>
      </c>
    </row>
    <row r="6">
      <c r="A6" s="84" t="inlineStr">
        <is>
          <t>Ригели и диафрагмы</t>
        </is>
      </c>
      <c r="B6" s="21" t="inlineStr">
        <is>
          <t>Продольные стержни ригелей проходят через Дм и считаны в ригелях; хомуты ригелей — только в пролётах в свету между гранями колонн и Дм; горизонтали Дм в зоне ригеля (600 мм) не ставились. ✔</t>
        </is>
      </c>
    </row>
    <row r="7">
      <c r="A7" s="84" t="inlineStr">
        <is>
          <t>Ригели и С-1</t>
        </is>
      </c>
      <c r="B7" s="21" t="inlineStr">
        <is>
          <t>В узле колонна–ригель хомутов ригеля и колонны нет — там С-1 (посчитаны отдельно). ✔</t>
        </is>
      </c>
    </row>
    <row r="8">
      <c r="A8" s="84" t="inlineStr">
        <is>
          <t>Доп. зоны сеток vs основная сетка</t>
        </is>
      </c>
      <c r="B8" s="21" t="inlineStr">
        <is>
          <t>Доп. стержни АС-50/51 считаны отдельно от основной сетки Ø10/200 (это стержни сверх основной сетки). ✔</t>
        </is>
      </c>
    </row>
    <row r="9">
      <c r="A9" s="84" t="inlineStr">
        <is>
          <t>Доп. нижние/верхние Ø12 и Ø10 в одной зоне</t>
        </is>
      </c>
      <c r="B9" s="21" t="inlineStr">
        <is>
          <t>12 стержней Ø12 (по выноске) вычтены из числа Ø10 той же зоны (30 = 12 + 18). ✔</t>
        </is>
      </c>
    </row>
    <row r="10">
      <c r="A10" s="84" t="inlineStr">
        <is>
          <t>Балки и сетка</t>
        </is>
      </c>
      <c r="B10" s="21" t="inlineStr">
        <is>
          <t>Сетка плиты проходит над ригелями и балками непрерывно (по проекту); продольные стержни и хомуты балок и ригелей — отдельные строки. ✔</t>
        </is>
      </c>
    </row>
    <row r="11">
      <c r="A11" s="84" t="inlineStr">
        <is>
          <t>С-1 и хомуты колонн</t>
        </is>
      </c>
      <c r="B11" s="21" t="inlineStr">
        <is>
          <t>В зоне узла (630 мм) хомутов колонн нет — там С-1; хомуты колонн Дм считаны только в пределах этажа (зоны 100×12 + 200). ✔</t>
        </is>
      </c>
    </row>
    <row r="12">
      <c r="A12" s="84" t="inlineStr">
        <is>
          <t>Нахлёсты</t>
        </is>
      </c>
      <c r="B12" s="21" t="inlineStr">
        <is>
          <t>Нахлёсты стыковки прутков 11,7 м добавлены отдельными строками только для Ø10/Ø14 длиной &gt;11,7 м; в длинах основных позиций их нет. Для Ø≥20 — ванная сварка, нахлёст не добавлялся. ✔</t>
        </is>
      </c>
    </row>
    <row r="13">
      <c r="A13" s="84" t="inlineStr">
        <is>
          <t>Вертикальные Ø18 Дм</t>
        </is>
      </c>
      <c r="B13" s="21" t="inlineStr">
        <is>
          <t>+8d (144 мм) к длине — один раз на стержень (один стык на этаж). ✔</t>
        </is>
      </c>
    </row>
    <row r="14">
      <c r="A14" s="84" t="inlineStr">
        <is>
          <t>Доп. стержни «по 4Ø16 L=1600» Дм-3 у +3.950</t>
        </is>
      </c>
      <c r="B14" s="21" t="inlineStr">
        <is>
          <t>Отнесены к 1 этажу (устанавливаются до бетонирования перекрытия +3.950); на 2 этаже их не считать. ⚠</t>
        </is>
      </c>
    </row>
    <row r="15">
      <c r="A15" s="84" t="inlineStr">
        <is>
          <t>Короткие стержни сетки &lt; 300 мм</t>
        </is>
      </c>
      <c r="B15" s="21" t="inlineStr">
        <is>
          <t>Отрезки сетки в полосах 200–300 мм между проёмами (зона балок 4-4) не включены — там работает арматура балок.</t>
        </is>
      </c>
    </row>
    <row r="17">
      <c r="A17" s="2" t="inlineStr">
        <is>
          <t>УЧТЕНО (чек-лист)</t>
        </is>
      </c>
      <c r="B17" s="34" t="n"/>
    </row>
    <row r="18">
      <c r="A18" s="21" t="inlineStr">
        <is>
          <t>☑ нижняя арматура</t>
        </is>
      </c>
      <c r="B18" s="21" t="inlineStr">
        <is>
          <t>сетка плиты низ X и Y, доп. нижние зоны АС-50, нижние стержни балок</t>
        </is>
      </c>
    </row>
    <row r="19">
      <c r="A19" s="21" t="inlineStr">
        <is>
          <t>☑ верхняя</t>
        </is>
      </c>
      <c r="B19" s="21" t="inlineStr">
        <is>
          <t>сетка верх X и Y, доп. верхние зоны АС-51 (в т.ч. Ø12), верхние стержни балок, 1Ø20 L=3000</t>
        </is>
      </c>
    </row>
    <row r="20">
      <c r="A20" s="21" t="inlineStr">
        <is>
          <t>☑ направление X / Y</t>
        </is>
      </c>
      <c r="B20" s="21" t="inlineStr">
        <is>
          <t>каждая сетка — отдельными строками по X и по Y</t>
        </is>
      </c>
    </row>
    <row r="21">
      <c r="A21" s="21" t="inlineStr">
        <is>
          <t>☑ дополнительные зоны</t>
        </is>
      </c>
      <c r="B21" s="21" t="inlineStr">
        <is>
          <t>16 зон верх, 5 зон низ — число стержней по штриховке (шаг 200)</t>
        </is>
      </c>
    </row>
    <row r="22">
      <c r="A22" s="21" t="inlineStr">
        <is>
          <t>☑ проёмы</t>
        </is>
      </c>
      <c r="B22" s="21" t="inlineStr">
        <is>
          <t>проёмы лестницы/лифта О1…О4 вычтены из сетки; обрамление — балки 2-2, 4-4, 5-5</t>
        </is>
      </c>
    </row>
    <row r="23">
      <c r="A23" s="21" t="inlineStr">
        <is>
          <t>☑ выпуски</t>
        </is>
      </c>
      <c r="B23" s="21" t="inlineStr">
        <is>
          <t>выпуски вертикалей Дм (в длине 4,0 м); выпуски для лестниц/ЛРМ (АС-55 прим.10) — не детализированы в проекте</t>
        </is>
      </c>
    </row>
    <row r="24">
      <c r="A24" s="21" t="inlineStr">
        <is>
          <t>☑ нахлёсты</t>
        </is>
      </c>
      <c r="B24" s="21" t="inlineStr">
        <is>
          <t>только при длине &gt;11,7 м (Ø10: 400, Ø14: 560 мм); Ø18 Дм — 8d</t>
        </is>
      </c>
    </row>
    <row r="25">
      <c r="A25" s="21" t="inlineStr">
        <is>
          <t>☑ анкеровка</t>
        </is>
      </c>
      <c r="B25" s="21" t="inlineStr">
        <is>
          <t>балки — до наружной грани ригеля (узел «1», 425 мм); горизонтали Дм — до торцов (П-стержни поз.14)</t>
        </is>
      </c>
    </row>
    <row r="26">
      <c r="A26" s="21" t="inlineStr">
        <is>
          <t>☑ хомуты</t>
        </is>
      </c>
      <c r="B26" s="21" t="inlineStr">
        <is>
          <t>колонны Дм (поз.10, 11), торцевые элементы Дм (12*, 15/15*), балки (поз.10–13 АС-58) по зонам шага</t>
        </is>
      </c>
    </row>
    <row r="27">
      <c r="A27" s="21" t="inlineStr">
        <is>
          <t>☑ шпильки</t>
        </is>
      </c>
      <c r="B27" s="21" t="inlineStr">
        <is>
          <t>Дм поз.13 ш.400 шахм.; плита Ø8 ш.800 шахм. (длина принята)</t>
        </is>
      </c>
    </row>
    <row r="28">
      <c r="A28" s="21" t="inlineStr">
        <is>
          <t>☑ углы</t>
        </is>
      </c>
      <c r="B28" s="21" t="inlineStr">
        <is>
          <t>угловые Г-стержни Ø18 L=1200 (узлы Б, В, Г)</t>
        </is>
      </c>
    </row>
    <row r="29">
      <c r="A29" s="21" t="inlineStr">
        <is>
          <t>☑ пересечения</t>
        </is>
      </c>
      <c r="B29" s="21" t="inlineStr">
        <is>
          <t>сгущение хомутов 100×3 у пересечений балок (узел «Д»)</t>
        </is>
      </c>
    </row>
    <row r="30">
      <c r="A30" s="21" t="inlineStr">
        <is>
          <t>☑ защитный слой</t>
        </is>
      </c>
      <c r="B30" s="21" t="inlineStr">
        <is>
          <t>20 мм (сетки), 25 мм торцы; хомуты — по ведомости деталей</t>
        </is>
      </c>
    </row>
    <row r="31">
      <c r="A31" s="21" t="inlineStr">
        <is>
          <t>☑ повторяющиеся элементы</t>
        </is>
      </c>
      <c r="B31" s="21" t="inlineStr">
        <is>
          <t>Дм-1…Дм-5 — все разные, считались индивидуально по 1 шт.; С-1 — 20 узлов</t>
        </is>
      </c>
    </row>
    <row r="32">
      <c r="A32" s="21" t="inlineStr">
        <is>
          <t>☑ двойной учёт проверен</t>
        </is>
      </c>
      <c r="B32" s="21" t="inlineStr">
        <is>
          <t>см. блок выше</t>
        </is>
      </c>
    </row>
    <row r="33">
      <c r="A33" s="21" t="inlineStr">
        <is>
          <t>☑ лестница ЛВ-1</t>
        </is>
      </c>
      <c r="B33" s="21" t="inlineStr">
        <is>
          <t>марши 1 и 2, площадка 1.920, Лрм-1, анкеры А-1, Зд-1, сетка С-1 (АС-67…69)</t>
        </is>
      </c>
    </row>
    <row r="34">
      <c r="A34" s="21" t="inlineStr">
        <is>
          <t>☒ спецификация/ведомость расхода стали</t>
        </is>
      </c>
      <c r="B34" s="21" t="inlineStr">
        <is>
          <t>Не обнаружено в предоставленных чертежах — сравнение невозможно</t>
        </is>
      </c>
    </row>
    <row r="36">
      <c r="A36" s="2" t="inlineStr">
        <is>
          <t>СОМНИТЕЛЬНЫЕ МЕСТА — 1 ЭТАЖ</t>
        </is>
      </c>
      <c r="B36" s="34" t="n"/>
    </row>
    <row r="37">
      <c r="A37" s="84" t="inlineStr">
        <is>
          <t>1. Симметричные стержни Дм (АС-34…41, сечения 1-1)</t>
        </is>
      </c>
      <c r="B37" s="21" t="inlineStr">
        <is>
          <t>Выносками подписана только одна грань (напр. «6Ø28» на 6 из 11 стержней торцевого элемента). Симметричные стержни без выноски УЧТЕНЫ по тому же диаметру. Если проектировщик имел в виду иное — масса меньше на ≈1 621 кг (Ø28 −49 шт, Ø25 −18, Ø22 −18, Ø20 −15, Ø18 −4).</t>
        </is>
      </c>
    </row>
    <row r="38">
      <c r="A38" s="84" t="inlineStr">
        <is>
          <t>2. ОБНАРУЖЕНО ПРОТИВОРЕЧИЕ: поз.12* Дм</t>
        </is>
      </c>
      <c r="B38" s="21" t="inlineStr">
        <is>
          <t>лист АС-34…41 (сечения) показывает «12* хом.Ø10 А240»; лист АС-42 (ведомость деталей) — «12,(12*) Хомут Ø8 А240 L=1560». Принято Ø10 по сечению. Требуется уточнение.</t>
        </is>
      </c>
    </row>
    <row r="39">
      <c r="A39" s="84" t="inlineStr">
        <is>
          <t>3. ОБНАРУЖЕНО ПРОТИВОРЕЧИЕ: масса С-1</t>
        </is>
      </c>
      <c r="B39" s="21" t="inlineStr">
        <is>
          <t>лист АС-30 указывает «вес 4,22 кг»; по геометрии 7Ø10 × 0,57 м = 3,99 м × 0,617 = 2,46 кг. Принято по геометрии. При массе 4,22 кг итог С-1 был бы 844 кг вместо 492 кг на перекрытие.</t>
        </is>
      </c>
    </row>
    <row r="40">
      <c r="A40" s="84" t="inlineStr">
        <is>
          <t>4. Количество С-1</t>
        </is>
      </c>
      <c r="B40" s="21" t="inlineStr">
        <is>
          <t>АС-29 узел «2»: в зоне узла 630 нарисовано 5 рядов С-1, каждый отмечен выноской «установить попарно шаг 90» → 5 × 2 = 10 шт/узел (ранее было принято 6 рядов по шагу 90 = 12 шт; исправлено по замечанию проверки — по чертежу). Узлов на +3.950 — 20 (все колонны сетки 5×4, вкл. 5 колонн в Дм; на узлах «5» и «7» выноски С-1 нет, но изображение то же).</t>
        </is>
      </c>
    </row>
    <row r="41">
      <c r="A41" s="84" t="inlineStr">
        <is>
          <t>5. Горизонтальные стержни Дм</t>
        </is>
      </c>
      <c r="B41" s="21" t="inlineStr">
        <is>
          <t>Длина в проекте не указана — принята = длина стены по наружным граням − 2×25 мм (совпадает с L доп. стержней тех же стен 1950/1250/1450). Ряды — по цепочке «200x16+100» (18 рядов), в зоне ригеля 600 мм не ставятся.</t>
        </is>
      </c>
    </row>
    <row r="42">
      <c r="A42" s="84" t="inlineStr">
        <is>
          <t>6. Шпильки Дм поз.13 «ш.400 в шахм. порядке»</t>
        </is>
      </c>
      <c r="B42" s="21" t="inlineStr">
        <is>
          <t>Принято: показанные на сечении места × 9 рядов (каждый 2-й горизонтальный ряд). Шпильки внутри торцевых элементов отнесены к поз.13.</t>
        </is>
      </c>
    </row>
    <row r="43">
      <c r="A43" s="84" t="inlineStr">
        <is>
          <t>7. Фиксаторы Ф-1 и шпильки плиты</t>
        </is>
      </c>
      <c r="B43" s="21" t="inlineStr">
        <is>
          <t>Длины в проекте не указаны: приняты 0,42 м (Ф-1 Ø10) и 0,22 м (шп. Ø8); количество — площадь / 0,64 м² (сетка 800×800). Уточнить у проектировщика/по ППР.</t>
        </is>
      </c>
    </row>
    <row r="44">
      <c r="A44" s="84" t="inlineStr">
        <is>
          <t>8. Угловые Ø18 L=1200 (узлы Б, В, Г)</t>
        </is>
      </c>
      <c r="B44" s="21" t="inlineStr">
        <is>
          <t>Узлы обозначены на плане выборочно; принято по всем аналогичным местам: Б — 11, Г — 8 (по 2 стержня), В — 1 (4 стержня) = 42 шт.</t>
        </is>
      </c>
    </row>
    <row r="45">
      <c r="A45" s="84" t="inlineStr">
        <is>
          <t>9. Полоса 200 мм между проёмами О2/О3 (АС-47)</t>
        </is>
      </c>
      <c r="B45" s="21" t="inlineStr">
        <is>
          <t>Сечение не указано — принята балка 4-4 (200×300, 2Ø20+2Ø20).</t>
        </is>
      </c>
    </row>
    <row r="46">
      <c r="A46" s="84" t="inlineStr">
        <is>
          <t>10. Балка 4-4 под ригелем В (оси 3–4, Y≈12 965)</t>
        </is>
      </c>
      <c r="B46" s="21" t="inlineStr">
        <is>
          <t>Принята по плану АС-47 (сечение 4-4), длина 3400 + анкеровка.</t>
        </is>
      </c>
    </row>
    <row r="47">
      <c r="A47" s="84" t="inlineStr">
        <is>
          <t>11. Привязка контура плиты</t>
        </is>
      </c>
      <c r="B47" s="21" t="inlineStr">
        <is>
          <t>Края: по оси Г — +450 (до X=20 300), далее +300; по оси 5 — +450; по осям 1 и А — по грани ригеля (225 мм). Низ проёмов О2/О4 и верх эркера Э2 — В+200 (по размеру 425 на АС-47).</t>
        </is>
      </c>
    </row>
    <row r="48">
      <c r="A48" s="84" t="inlineStr">
        <is>
          <t>12. Лестница ЛВ-1 — длины поз.1</t>
        </is>
      </c>
      <c r="B48" s="21" t="inlineStr">
        <is>
          <t>Листы АС-67…69 получены скриншотами низкого разрешения. Поз.1 18Ø18 приняты непрерывными от опоры до опоры через площадку: марш 1 — 0,50 (заход в балку, узел «2», принят) + 4,080 + 1,35 (площадка) = 5,93 м; марш 2 — 1,35 + 4,158 + 1,00 (заход в плиту, узлы «3», «4») = 6,51 м. В узлах «5», «6» показан заход 500 мм за перелом — если стержни в переломе не гнутые, а перекрещиваются, добавится ≈0,5 м на стержень.</t>
        </is>
      </c>
    </row>
    <row r="49">
      <c r="A49" s="84" t="inlineStr">
        <is>
          <t>12а. ЛВ-1 — шпильки поз.3 и сетка С-1</t>
        </is>
      </c>
      <c r="B49" s="21" t="inlineStr">
        <is>
          <t>Поз.3 Ø6 «ш.300 в шахм. порядке» — по площади (0,9 м ширины между краевыми каркасами / 0,09 м²). Сетка С-1 5/5/100/100 — по развёртке ступеней × 1,25 м = 14,0 м² (3,08 кг/м²).</t>
        </is>
      </c>
    </row>
    <row r="50">
      <c r="A50" s="84" t="inlineStr">
        <is>
          <t>12б. ОБНАРУЖЕНО ПРОТИВОРЕЧИЕ: анкер А-1</t>
        </is>
      </c>
      <c r="B50" s="21" t="inlineStr">
        <is>
          <t>АС-67 узел «1» и «Вид в-в» — «Анкер А-1 Ø16 А240 L=420»; АС-69 сеч.2-2 — «Ø16 А240 L=310». Принято 420. Кол-во А-1 и Зд-1 — по 2 шт (по привязке «Анкер А-1» на АС-69) — уточнить.</t>
        </is>
      </c>
    </row>
    <row r="51">
      <c r="A51" s="84" t="inlineStr">
        <is>
          <t>12в. ОБНАРУЖЕНО ПРОТИВОРЕЧИЕ: Аш в узле «2»</t>
        </is>
      </c>
      <c r="B51" s="21" t="inlineStr">
        <is>
          <t>Узел «2» АС-68: на концах стержней Ø18 указано «Аш-6», а по таблице АС-33 Аш-6 — для Ø25 (для Ø18 — Аш-3). Посчитано 18 шт как Аш-6 по узлу — уточнить марку.</t>
        </is>
      </c>
    </row>
    <row r="52">
      <c r="A52" s="84" t="inlineStr">
        <is>
          <t>13. Стр. 1 PDF (лист АС-18)</t>
        </is>
      </c>
      <c r="B52" s="21" t="inlineStr">
        <is>
          <t>Относится к другому объекту (адм. здание, ул. Турусбекова–Пушкина) — не использовался.</t>
        </is>
      </c>
    </row>
    <row r="53">
      <c r="A53" s="84" t="inlineStr">
        <is>
          <t>14. Отметка «1 этаж» для плиты</t>
        </is>
      </c>
      <c r="B53" s="21" t="inlineStr">
        <is>
          <t>Принята плита +3.950 (перекрытие над 1 этажом), как в вашем примере «1 этаж — на отм. +2,950». Плита -0.050 (над подвалом) имеет своё армирование (АС-43…46) и сюда НЕ включена.</t>
        </is>
      </c>
    </row>
    <row r="54">
      <c r="A54" s="84" t="inlineStr">
        <is>
          <t>15. Отсутствующие листы</t>
        </is>
      </c>
      <c r="B54" s="21" t="inlineStr">
        <is>
          <t>В PDF нет АС-44, АС-49, АС-53 (вероятно сечения/спецификации перекрытий) — при наличии сверить.</t>
        </is>
      </c>
    </row>
    <row r="55">
      <c r="A55" s="84" t="inlineStr">
        <is>
          <t>16. Сечение колонн на 1 этаже</t>
        </is>
      </c>
      <c r="B55" s="21" t="inlineStr">
        <is>
          <t>На рамах АС-20…23 сечение «1-1 (4Ø32+8Ø20)» подписано в подвале, «2-2 (4Ø28+8Ø20)» — со 2 этажа; на 1 этаже подписи нет. Принято 1-1 (как у Дм: «Подвал, 1 этаж»). Если на 1 этаже 2-2 — Ø32 меняется на Ø28 (−354 кг Ø32, +271 кг Ø28).</t>
        </is>
      </c>
    </row>
    <row r="56">
      <c r="A56" s="84" t="inlineStr">
        <is>
          <t>17. Длины ОС ригелей</t>
        </is>
      </c>
      <c r="B56" s="21" t="inlineStr">
        <is>
          <t>Сняты с чертежа по выноскам и цепочке «Привязка отдельных стержней» с округлением до 100 мм; у торцов рам стержень доведён до наружной грани колонны (+250 мм от оси, защитный слой 50).</t>
        </is>
      </c>
    </row>
    <row r="57">
      <c r="A57" s="84" t="inlineStr">
        <is>
          <t>18. «ств.» в выносках ОС</t>
        </is>
      </c>
      <c r="B57" s="21" t="inlineStr">
        <is>
          <t>Например «2Ø25 + 2Ø22 ств.» — принято как 2 дополнительных стержня второго ряда той же длины.</t>
        </is>
      </c>
    </row>
    <row r="58">
      <c r="A58" s="84" t="inlineStr">
        <is>
          <t>19. Зоны хомутов Ø10 (штриховка «100×15»)</t>
        </is>
      </c>
      <c r="B58" s="21" t="inlineStr">
        <is>
          <t>Границы одинарной/двойной штриховки сняты с чертежа рам по масштабу (±100 мм). На раме В двойные хомуты по всей длине между осями 2 и 4, на раме 2 — между Б и В.</t>
        </is>
      </c>
    </row>
    <row r="59">
      <c r="A59" s="84" t="inlineStr">
        <is>
          <t>20. Шпильки ригелей</t>
        </is>
      </c>
      <c r="B59" s="21" t="inlineStr">
        <is>
          <t>Поз.17 «ш.200 у опор и ш.150 в пролёте» — принято буквально; горизонтальная шпилька «шп.Ø8 ш.300» без номера — принята поз.16 (L=580).</t>
        </is>
      </c>
    </row>
    <row r="60">
      <c r="A60" s="84" t="inlineStr">
        <is>
          <t>21. Анкерные шайбы Аш</t>
        </is>
      </c>
      <c r="B60" s="21" t="inlineStr">
        <is>
          <t>Посчитаны по правилу Б-Б АС-31 «Аш-… свыше Ø20»: концы 4Ø28 и ОС Ø&gt;20 у торцов рам. Аш балок плиты (узел «1» АС-57) не считались.</t>
        </is>
      </c>
    </row>
    <row r="61">
      <c r="A61" s="84" t="inlineStr">
        <is>
          <t>22. Рама «1, 5»</t>
        </is>
      </c>
      <c r="B61" s="21" t="inlineStr">
        <is>
          <t>Лист АС-24 — одна рама на две оси; посчитана ×2.</t>
        </is>
      </c>
    </row>
    <row r="63">
      <c r="A63" s="2" t="inlineStr">
        <is>
          <t>2 ЭТАЖ — ПРИНЯТЫЕ РЕШЕНИЯ И СОМНИТЕЛЬНЫЕ МЕСТА</t>
        </is>
      </c>
      <c r="B63" s="34" t="n"/>
    </row>
    <row r="64">
      <c r="A64" s="84" t="inlineStr">
        <is>
          <t>2.1. Сечения Дм 2 этажа</t>
        </is>
      </c>
      <c r="B64" s="21" t="inlineStr">
        <is>
          <t>Дм-1, Дм-3, Дм-4, Дм-5 — сечение 2-2 «2-этаж», Дм-2 — сечение 3-3 (АС-34…41). Колонна в Дм 4Ø28+8Ø20. Симметричные стержни без выноски учтены по тому же диаметру (как на 1 этаже).</t>
        </is>
      </c>
    </row>
    <row r="65">
      <c r="A65" s="84" t="inlineStr">
        <is>
          <t>2.2. Высота этажа и длины вертикалей</t>
        </is>
      </c>
      <c r="B65" s="21" t="inlineStr">
        <is>
          <t>+3.950…+7.550 = 3,6 м. Ø≥20 — L=3,6 м (ванная сварка встык); Ø≤18 — 3,6 м + 8d (нахлёст со сваркой). Выпуски 800/500 входят в длину этажа.</t>
        </is>
      </c>
    </row>
    <row r="66">
      <c r="A66" s="84" t="inlineStr">
        <is>
          <t>2.3. Горизонтали Дм 2 этажа</t>
        </is>
      </c>
      <c r="B66" s="21" t="inlineStr">
        <is>
          <t>Ряды по цепочке «200×14+100» → 16 рядов × 2 грани; длины — как на 1 этаже (по наружным граням − 2×25). Диаметры — по «Осн. стержни» развёрток 2 этажа: Дм-1 А Ø14 / 4 Ø16; Дм-2 Ø14 / Ø16; Дм-3 Ø14 / Ø14; Дм-4 Ø14; Дм-5 Ø12 / Ø14.</t>
        </is>
      </c>
    </row>
    <row r="67">
      <c r="A67" s="84" t="inlineStr">
        <is>
          <t>2.4. Доп. стержни Дм</t>
        </is>
      </c>
      <c r="B67" s="21" t="inlineStr">
        <is>
          <t>Группы над +3.950 и под ригелем +7.550 отнесены ко 2 этажу (группы под +3.950 — в 1 этаже, над +7.550 — 3 этаж). Двойного учёта нет.</t>
        </is>
      </c>
    </row>
    <row r="68">
      <c r="A68" s="84" t="inlineStr">
        <is>
          <t>2.5. ТРЕБУЕТСЯ УТОЧНЕНИЕ: Дм-5 «12Ø12»</t>
        </is>
      </c>
      <c r="B68" s="21" t="inlineStr">
        <is>
          <t>Выноска «Доп. стержень 12Ø12 L=1250» на развёртке Дм-5 (ось Г) указывает на два яруса (под ригелем +7.550 и над ним) — во 2 этаж взято 6 шт (половина).</t>
        </is>
      </c>
    </row>
    <row r="69">
      <c r="A69" s="84" t="inlineStr">
        <is>
          <t>2.6. ТРЕБУЕТСЯ УТОЧНЕНИЕ: Дм-5 сечение 2-2</t>
        </is>
      </c>
      <c r="B69" s="21" t="inlineStr">
        <is>
          <t>В торцевом элементе ребра показаны мелкие точки с выноской «Доп. стержни» — отдельными вертикалями не считались (приняты как доп. стержни развёртки).</t>
        </is>
      </c>
    </row>
    <row r="70">
      <c r="A70" s="84" t="inlineStr">
        <is>
          <t>2.7. Колонны 2 этажа</t>
        </is>
      </c>
      <c r="B70" s="21" t="inlineStr">
        <is>
          <t>15 колонн вне Дм, сечение 2-2: 4Ø28 + 8Ø20, L=3,6 м; хомуты поз.10 — 28 шт (АС-32 «2÷4 этаж»: 100×12 у опор + 200 в середине), поз.11 — 2 × 16 рядов.</t>
        </is>
      </c>
    </row>
    <row r="71">
      <c r="A71" s="84" t="inlineStr">
        <is>
          <t>2.8. Ригели +7.550</t>
        </is>
      </c>
      <c r="B71" s="21" t="inlineStr">
        <is>
          <t>ОС и Ос (бок) — по рамам АС-20…27 (верхний ярус, отм. 7.550), привязки сняты с чертежа ±100 мм; зоны одинарной/двойной штриховки хомутов Ø10 — по чертежу (±100 мм).</t>
        </is>
      </c>
    </row>
    <row r="72">
      <c r="A72" s="84" t="inlineStr">
        <is>
          <t>2.9. Плита +7.550 (АС-48)</t>
        </is>
      </c>
      <c r="B72" s="21" t="inlineStr">
        <is>
          <t>Отличия от +3.950: край плиты 420 (вместо 450), проём лестницы до Y=18 200 (на 300 короче); доп. в верхней зоне 2Ø20 L=3000 × 4 места (на +3.950 — 1Ø20), 1Ø18 L=3000 и 1Ø18 L=1700; балка 4-4 L≈3,78 м (4Ø20) — новая. Сетки и доп. зоны — АС-50/51 (одни для 3.950÷14.750).</t>
        </is>
      </c>
    </row>
    <row r="73">
      <c r="A73" s="84" t="inlineStr">
        <is>
          <t>2.10. Угловые Ø18 L=1200 на +7.550</t>
        </is>
      </c>
      <c r="B73" s="21" t="inlineStr">
        <is>
          <t>Приняты как на +3.950 (42 шт) — узлы «Б», «В», «Г» на АС-48 те же. Уточнить.</t>
        </is>
      </c>
    </row>
    <row r="74">
      <c r="A74" s="84" t="inlineStr">
        <is>
          <t>2.11. Лестница 2 этажа</t>
        </is>
      </c>
      <c r="B74" s="21" t="inlineStr">
        <is>
          <t>Марши 3 (4.000→5.800) и 4 (5.800→7.600): 12 подступенков × 150, 11 проступей × 300 (АС-67). Поз.1 18Ø18: 1,00 (заход в плиту) + 3,766 (наклон √(3,3²+1,8²)) + 1,35 (площадка) = 6,11 м на марш. Остальное армирование маршей и площадки 5.800 — как на 1 этаже. Лрм-2 — по АС-69 «Рама Лрм-1 (Лрм-2)»: стойка 1700 + заход 550.</t>
        </is>
      </c>
    </row>
    <row r="75">
      <c r="A75" s="84" t="inlineStr">
        <is>
          <t>2.12. Аш на 2 этаже</t>
        </is>
      </c>
      <c r="B75" s="21" t="inlineStr">
        <is>
          <t>Ригели +7.550 — по тому же правилу (Ø&gt;20 у торцов рам); марш 3 опирается на плиту (Аш не считались); Лрм-2 — 16 шт Аш-6.</t>
        </is>
      </c>
    </row>
    <row r="76">
      <c r="A76" s="84" t="inlineStr">
        <is>
          <t>2.13. С-1 на +7.550</t>
        </is>
      </c>
      <c r="B76" s="21" t="inlineStr">
        <is>
          <t>200 шт (20 узлов × 5 рядов × 2) — как на +3.950.</t>
        </is>
      </c>
    </row>
    <row r="78">
      <c r="A78" s="2" t="inlineStr">
        <is>
          <t>3 ЭТАЖ — ПРИНЯТЫЕ РЕШЕНИЯ И СОМНИТЕЛЬНЫЕ МЕСТА</t>
        </is>
      </c>
      <c r="B78" s="34" t="n"/>
    </row>
    <row r="79">
      <c r="A79" s="84" t="inlineStr">
        <is>
          <t>3.1. Сечения Дм 3 этажа</t>
        </is>
      </c>
      <c r="B79" s="21" t="inlineStr">
        <is>
          <t>Дм-1 — сеч.3-3 «3÷5 этаж» (АС-35), Дм-2 — сеч.4-4 «3÷5 этаж» (АС-37), Дм-3 — сеч.2-2 «2, 3 этаж» (АС-39), Дм-4 — сеч.2-2 «2÷5 этаж» (АС-40), Дм-5 — сеч.3-3 «3÷5 этаж» (АС-42). Колонна в Дм 4Ø28+8Ø20. Симметричные стержни без выноски учтены.</t>
        </is>
      </c>
    </row>
    <row r="80">
      <c r="A80" s="84" t="inlineStr">
        <is>
          <t>3.2. Вертикальные доп. «по 4Ø16 L-1600»</t>
        </is>
      </c>
      <c r="B80" s="21" t="inlineStr">
        <is>
          <t>На развёртках Дм-1 (ось А), Дм-2 (ось 2), Дм-3 (ось Г) у отм. +11.150 — вертикальные стержни L=1600 ниже перекрытия; на сечениях 3 этажа это мелкие точки «Доп. стержни». Отнесены к 3 этажу: Дм-1 — 2 места × 4 = 8, Дм-2 — 4, Дм-3 — 8 шт Ø16.</t>
        </is>
      </c>
    </row>
    <row r="81">
      <c r="A81" s="84" t="inlineStr">
        <is>
          <t>3.3. Выноски доп. стержней на две группы</t>
        </is>
      </c>
      <c r="B81" s="21" t="inlineStr">
        <is>
          <t>Выноски «12Ø10» (Дм-2 ось А, Дм-3 ось Г, Дм-5 ось Г), «12Ø12» (Дм-2 ось 2, Дм-5 ось Г у +7.550) указывают на группы над и под перекрытием — по 6 шт на группу (3 ряда × 2 грани); в 3 этаж — группы над +7.550 и под +11.150.</t>
        </is>
      </c>
    </row>
    <row r="82">
      <c r="A82" s="84" t="inlineStr">
        <is>
          <t>3.4. ОБНАРУЖЕНО ПРОТИВОРЕЧИЕ: Дм-1, ось 4, «3Ø12 L=1200»</t>
        </is>
      </c>
      <c r="B82" s="21" t="inlineStr">
        <is>
          <t>Выноска указывает на две группы по 3 ряда (под +11.150 и над ним). При подписи «3» на две группы не делится; по аналогии со всеми остальными группами (3 ряда × 2 грани = 6) принято 6 шт на 3 этаж. Уточнить у проектировщика (разница 3,2 кг).</t>
        </is>
      </c>
    </row>
    <row r="83">
      <c r="A83" s="84" t="inlineStr">
        <is>
          <t>3.5. Колонны 3 этажа</t>
        </is>
      </c>
      <c r="B83" s="21" t="inlineStr">
        <is>
          <t>На рамах АС-20…27 между +7.550 и +11.150 выносок сечения колонн нет — принято сечение 2-2 (4Ø28 + 8Ø20), как на 2 этаже. Сечение 3-3 (4Ø32 + 10Ø20) по АС-28 на рамах подписано только на 5 этаже (рама Б).</t>
        </is>
      </c>
    </row>
    <row r="84">
      <c r="A84" s="84" t="inlineStr">
        <is>
          <t>3.6. Ригели +11.150</t>
        </is>
      </c>
      <c r="B84" s="21" t="inlineStr">
        <is>
          <t>Сняты с рам АС-20…27 по ярусу 11.150 (8 рам, рама «1, 5» ×2). На раме по оси 3 на +11.150 есть второй пунктирный ряд «Ос 4Ø12» (на +3.950 и +7.550 его нет) — учтён отдельно от «4Ø12 (бок)». На раме В выноска «Ос 2Ø14» одной полкой указывает и на верхний 2-й ряд +11.150, и на нижний 2-й ряд +14.750 — в 3 этаж взят только ряд +11.150.</t>
        </is>
      </c>
    </row>
    <row r="85">
      <c r="A85" s="84" t="inlineStr">
        <is>
          <t>3.7. Плита +11.150</t>
        </is>
      </c>
      <c r="B85" s="21" t="inlineStr">
        <is>
          <t>АС-48 — «План перекрытия на отм. 7.550÷14.750»: армирование плиты, балок, края, доп. стержней — как на +7.550; сетки АС-50/51 «3.950÷14.750».</t>
        </is>
      </c>
    </row>
    <row r="86">
      <c r="A86" s="84" t="inlineStr">
        <is>
          <t>3.8. Лестница 3 этажа</t>
        </is>
      </c>
      <c r="B86" s="21" t="inlineStr">
        <is>
          <t>По разрезу АС-67: марши 5 (7.600→9.400) и 6 (9.400→11.200) по 12×150 и 11×300, площадка 9.400, рама Лрм-2 — армирование как на 2 этаже (те же допущения по длинам поз.1 и площадке).</t>
        </is>
      </c>
    </row>
    <row r="88">
      <c r="A88" s="2" t="inlineStr">
        <is>
          <t>НЕЗАВИСИМАЯ ПРОВЕРКА (агент-критик) — ЧТО НАЙДЕНО И ЧТО СДЕЛАНО</t>
        </is>
      </c>
      <c r="B88" s="34" t="n"/>
    </row>
    <row r="89">
      <c r="A89" s="84" t="inlineStr">
        <is>
          <t>Объём проверки</t>
        </is>
      </c>
      <c r="B89" s="21" t="inlineStr">
        <is>
          <t>3 этаж целиком: все 5 Дм (сечения, развёртки, доп. стержни), 15 колонн, 8 рам на +11.150 (каждая выноска и зона штриховки), плита +11.150, лестница; логика 2 → 3 этаж; арифметика всех строк пересчитана отдельно — расхождений нет.</t>
        </is>
      </c>
    </row>
    <row r="90">
      <c r="A90" s="84" t="inlineStr">
        <is>
          <t>ИСПРАВЛЕНО: С-1</t>
        </is>
      </c>
      <c r="B90" s="21" t="inlineStr">
        <is>
          <t>По узлу «2» АС-29 нарисовано 5 рядов С-1 (а не 6) → 200 шт на перекрытие вместо 240. Изменение на всех трёх этажах: −98,5 кг на этаж.</t>
        </is>
      </c>
    </row>
    <row r="91">
      <c r="A91" s="84" t="inlineStr">
        <is>
          <t>ИСПРАВЛЕНО: Дм-2 шпильки поз.13</t>
        </is>
      </c>
      <c r="B91" s="21" t="inlineStr">
        <is>
          <t>В сечениях 3-3 «2 этаж» и 4-4 «3÷5 этаж» — 6 мест (внутренняя шпилька торцевого элемента полки, как в Дм-1, Дм-3, Дм-5), было 5. +1,7 кг на этаж (2 и 3 этаж).</t>
        </is>
      </c>
    </row>
    <row r="92">
      <c r="A92" s="84" t="inlineStr">
        <is>
          <t>Не ошибка: «двойной учёт С-1»</t>
        </is>
      </c>
      <c r="B92" s="21" t="inlineStr">
        <is>
          <t>Критик прочитал «6 ярусов» как 6 этажей; на самом деле это ряды по высоте одного узла. С-1 считаются один раз на каждое перекрытие (+3.950, +7.550, +11.150).</t>
        </is>
      </c>
    </row>
    <row r="93">
      <c r="A93" s="84" t="inlineStr">
        <is>
          <t>Подтверждено критиком</t>
        </is>
      </c>
      <c r="B93" s="21" t="inlineStr">
        <is>
          <t>Сечения Дм 3 этажа, симметричные стержни, хомуты/П-образные; горизонтали Ø14/Ø12; все группы доп. стержней 3 этажа (группы 2 и 4 этажа не взяты); «по 4Ø16 L-1600»: Дм-1 — 8, Дм-2 — 4, Дм-3 — 8; ригели +11.150 по всем 8 рамам; колонны 2-2; плита = +7.550; лестница по АС-67.</t>
        </is>
      </c>
    </row>
    <row r="94">
      <c r="A94" s="84" t="inlineStr">
        <is>
          <t>Спорно (оставлено как есть)</t>
        </is>
      </c>
      <c r="B94" s="21" t="inlineStr">
        <is>
          <t>• «3Ø12» Дм-1 — принято 6 шт (критик согласен). • Z-образный стержень внутри торцевого элемента ребра — это сам хомут поз.15 (выноска «15 хом.Ø8» указывает на него), отдельной шпилькой не считается. • Хомуты колонн: АС-32 — 28 шт, узел «2» — «100×10» (27 шт); принят АС-32. • Масса С-1 «4,22 кг» по штампу против 2,46 кг по геометрии. • Анкер А-1: L=420 (АС-67) против 310 (АС-69). • Штамп АС-48 «3.950÷14.750» при заголовке «7.550÷14.750» — на расчёт не влияет. • Закладные МН в колоннах (АС-32) — не арматура, в этот расчёт не входят.</t>
        </is>
      </c>
    </row>
    <row r="96">
      <c r="A96" s="2" t="inlineStr">
        <is>
          <t>ЗАМЕЧАНИЯ К ВАШЕЙ ТАБЛИЦЕ (раскладка 1 этажа в «Лист1»)</t>
        </is>
      </c>
      <c r="B96" s="34" t="n"/>
    </row>
    <row r="97">
      <c r="A97" s="84" t="inlineStr">
        <is>
          <t>1. E8 (ригель А, Ø32)</t>
        </is>
      </c>
      <c r="B97" s="21" t="inlineStr">
        <is>
          <t>Записано 16 м.п., по расчёту 6,6 м.п. → лишние 9,4 м = +59 кг.</t>
        </is>
      </c>
    </row>
    <row r="98">
      <c r="A98" s="84" t="inlineStr">
        <is>
          <t>2. C17 = 957 (Ø10 А500С в колонке Дм-2)</t>
        </is>
      </c>
      <c r="B98" s="21" t="inlineStr">
        <is>
          <t>Это сетки-гребёнки С-1 (957,6 м). В общей сумме не теряются, но в «потребности» попадают в «Колонны, стены». Здесь — отдельная колонка «С-1».</t>
        </is>
      </c>
    </row>
    <row r="99">
      <c r="A99" s="84" t="inlineStr">
        <is>
          <t>3. Формула AJ8:AJ23 (сумма «Ригели, балки, плита»)</t>
        </is>
      </c>
      <c r="B99" s="21" t="inlineStr">
        <is>
          <t>В формуле SUM(E,G,S:Z,N:R) пропущена колонка I (ригель по оси В), и в AG её тоже нет. В «потребность» не попадает 1 346,6 кг (с К 1,07 — 1 440,9 кг). Здесь суммы по группам собраны так, что каждая колонка входит ровно в одну группу.</t>
        </is>
      </c>
    </row>
    <row r="100">
      <c r="A100" s="84" t="inlineStr">
        <is>
          <t>4. Не перенесено из моего расчёта</t>
        </is>
      </c>
      <c r="B100" s="21" t="inlineStr">
        <is>
          <t>площадка лестницы 1.920 (Ø10 А500С 87,3 м, Ø10 А240 29,1 м; Ø6 7,8 м попал в «Рама»), П-образные марша 2 (Ø10 А240 33,3 м), анкер А-1 Ø16 А240 (0,8 м), сетка С-1 лестницы (14,0 м²), край плиты 2Ø14 (96,1 м) и пешки Ø10 А240 (83,3 м). Итого в таблице на 249 кг меньше расчёта (без К).</t>
        </is>
      </c>
    </row>
    <row r="102">
      <c r="A102" s="2" t="inlineStr">
        <is>
          <t>ФИНАЛЬНЫЙ АУДИТ</t>
        </is>
      </c>
      <c r="B102" s="34" t="n"/>
    </row>
    <row r="103">
      <c r="A103" s="84" t="inlineStr">
        <is>
          <t>Все листы по конструкциям просмотрены?</t>
        </is>
      </c>
      <c r="B103" s="21" t="inlineStr">
        <is>
          <t>Да: Дм — АС-19, 28, 32, 34–42 (сечения 1-1, 2-2, 3-3, 4-4, развёртки трёх этажей); колонны и ригели — АС-19…33; плиты — АС-47, АС-48, 50, 51, 55–58; С-1 — АС-29–31; ЛВ-1 — АС-67…69.</t>
        </is>
      </c>
    </row>
    <row r="104">
      <c r="A104" s="84" t="inlineStr">
        <is>
          <t>Стержни «подписано 4, а их 8»?</t>
        </is>
      </c>
      <c r="B104" s="21" t="inlineStr">
        <is>
          <t>Да — по каждому сечению Дм обоих этажей симметричные стержни добавлены.</t>
        </is>
      </c>
    </row>
    <row r="105">
      <c r="A105" s="84" t="inlineStr">
        <is>
          <t>Оба направления, верх и низ сетки?</t>
        </is>
      </c>
      <c r="B105" s="21" t="inlineStr">
        <is>
          <t>Да — по каждому этажу 4 группы строк (низ X, низ Y, верх X, верх Y).</t>
        </is>
      </c>
    </row>
    <row r="106">
      <c r="A106" s="84" t="inlineStr">
        <is>
          <t>Нахлёсты только где нужны?</t>
        </is>
      </c>
      <c r="B106" s="21" t="inlineStr">
        <is>
          <t>Да — Ø10/Ø12/Ø14 и Ø16/Ø18 ригелей при L&gt;11,7 м; Ø≥20 — встык; вертикали Ø≤18 Дм — 8d.</t>
        </is>
      </c>
    </row>
    <row r="107">
      <c r="A107" s="84" t="inlineStr">
        <is>
          <t>Этажи не перепутаны?</t>
        </is>
      </c>
      <c r="B107" s="21" t="inlineStr">
        <is>
          <t>Сечения 1-1 → 1 этаж, 2-2 / 3-3 «2 этаж» → 2 этаж, «3÷5 этаж» / «2, 3 этаж» / «2÷5 этаж» → 3 этаж; доп. стержни распределены по уровню групп; «переход 2-2» коллеги = 2 этаж этой книги.</t>
        </is>
      </c>
    </row>
    <row r="108">
      <c r="A108" s="84" t="inlineStr">
        <is>
          <t>Перевод м → кг?</t>
        </is>
      </c>
      <c r="B108" s="21" t="inlineStr">
        <is>
          <t>Формулой «Общая длина × кг/м» (ГОСТ 34028, лист «Исходные»); контроль на листах «По осям» и «потребность» (разница с ведомостью = 0).</t>
        </is>
      </c>
    </row>
    <row r="110">
      <c r="A110" s="2" t="inlineStr">
        <is>
          <t>КОНТРОЛЬНЫЕ ЦИФРЫ</t>
        </is>
      </c>
      <c r="B110" s="34" t="n"/>
    </row>
    <row r="111">
      <c r="A111" s="84" t="inlineStr">
        <is>
          <t>Чистая масса, 1 этаж, кг</t>
        </is>
      </c>
      <c r="B111" s="85">
        <f>Ведомость!P1271</f>
        <v/>
      </c>
    </row>
    <row r="112">
      <c r="A112" s="84" t="inlineStr">
        <is>
          <t>Чистая масса, 2 этаж, кг</t>
        </is>
      </c>
      <c r="B112" s="85">
        <f>Ведомость!P1272</f>
        <v/>
      </c>
    </row>
    <row r="113">
      <c r="A113" s="84" t="inlineStr">
        <is>
          <t>Чистая масса, 3 этаж, кг</t>
        </is>
      </c>
      <c r="B113" s="85">
        <f>Ведомость!P1273</f>
        <v/>
      </c>
    </row>
    <row r="114">
      <c r="A114" s="84" t="inlineStr">
        <is>
          <t>Чистая масса, 1–3 этаж, кг</t>
        </is>
      </c>
      <c r="B114" s="85">
        <f>Ведомость!P1274</f>
        <v/>
      </c>
    </row>
    <row r="115">
      <c r="A115" s="84" t="inlineStr">
        <is>
          <t>Сумма всех контрольных разниц (должна быть 0)</t>
        </is>
      </c>
      <c r="B115" s="86">
        <f>ABS('По осям'!AI28)+ABS('По осям'!AI74)+ABS('По осям'!AI120)+ABS(потребность!L25)+ABS('Сверка ПТО'!H47)+ABS('Раскрой 11,7м'!F620)+ABS('Раскрой 11,7м'!F641)+ABS('Раскрой 11,7м'!F662)</f>
        <v/>
      </c>
    </row>
    <row r="117">
      <c r="A117" s="84" t="inlineStr">
        <is>
          <t>Проект (ведомость расхода стали), кг</t>
        </is>
      </c>
      <c r="B117" s="21" t="inlineStr">
        <is>
          <t>в предоставленных листах отсутствует — сравнение не выполнено</t>
        </is>
      </c>
    </row>
    <row r="119">
      <c r="A119" s="2" t="inlineStr">
        <is>
          <t>РАСШИФРОВКА ХОМУТОВ БАЛОК — 1 этаж</t>
        </is>
      </c>
      <c r="B119" s="34" t="n"/>
    </row>
    <row r="120">
      <c r="A120" s="4" t="inlineStr">
        <is>
          <t>Балка / сечение</t>
        </is>
      </c>
      <c r="B120" s="4" t="inlineStr">
        <is>
          <t>Чистый пролёт, мм | зона 100 у опор | пересечений | хомутов, шт</t>
        </is>
      </c>
    </row>
    <row r="121">
      <c r="A121" s="21" t="inlineStr">
        <is>
          <t>VB1 (1-1)</t>
        </is>
      </c>
      <c r="B121" s="21" t="inlineStr">
        <is>
          <t>6050 | 1000 (10×100) | 1 | 42</t>
        </is>
      </c>
    </row>
    <row r="122">
      <c r="A122" s="21" t="inlineStr">
        <is>
          <t>VB1 (1-1)</t>
        </is>
      </c>
      <c r="B122" s="21" t="inlineStr">
        <is>
          <t>6550 | 1000 (10×100) | 1 | 46</t>
        </is>
      </c>
    </row>
    <row r="123">
      <c r="A123" s="21" t="inlineStr">
        <is>
          <t>VB1 (1-1)</t>
        </is>
      </c>
      <c r="B123" s="21" t="inlineStr">
        <is>
          <t>6050 | 1000 (10×100) | 1 | 42</t>
        </is>
      </c>
    </row>
    <row r="124">
      <c r="A124" s="21" t="inlineStr">
        <is>
          <t>VB2 (1-1)</t>
        </is>
      </c>
      <c r="B124" s="21" t="inlineStr">
        <is>
          <t>6050 | 1000 (10×100) | 1 | 42</t>
        </is>
      </c>
    </row>
    <row r="125">
      <c r="A125" s="21" t="inlineStr">
        <is>
          <t>VB2 (1-1)</t>
        </is>
      </c>
      <c r="B125" s="21" t="inlineStr">
        <is>
          <t>6550 | 1000 (10×100) | 1 | 46</t>
        </is>
      </c>
    </row>
    <row r="126">
      <c r="A126" s="21" t="inlineStr">
        <is>
          <t>VB2 (1-1)</t>
        </is>
      </c>
      <c r="B126" s="21" t="inlineStr">
        <is>
          <t>6050 | 1000 (10×100) | 1 | 42</t>
        </is>
      </c>
    </row>
    <row r="127">
      <c r="A127" s="21" t="inlineStr">
        <is>
          <t>VB4 (1-1)</t>
        </is>
      </c>
      <c r="B127" s="21" t="inlineStr">
        <is>
          <t>6050 | 1000 (10×100) | 1 | 42</t>
        </is>
      </c>
    </row>
    <row r="128">
      <c r="A128" s="21" t="inlineStr">
        <is>
          <t>VB4 (1-1)</t>
        </is>
      </c>
      <c r="B128" s="21" t="inlineStr">
        <is>
          <t>6550 | 1000 (10×100) | 1 | 46</t>
        </is>
      </c>
    </row>
    <row r="129">
      <c r="A129" s="21" t="inlineStr">
        <is>
          <t>VB4 (1-1)</t>
        </is>
      </c>
      <c r="B129" s="21" t="inlineStr">
        <is>
          <t>6050 | 1000 (10×100) | 1 | 42</t>
        </is>
      </c>
    </row>
    <row r="130">
      <c r="A130" s="21" t="inlineStr">
        <is>
          <t>VB3 (1-1)</t>
        </is>
      </c>
      <c r="B130" s="21" t="inlineStr">
        <is>
          <t>6050 | 1000 (10×100) | 1 | 42</t>
        </is>
      </c>
    </row>
    <row r="131">
      <c r="A131" s="21" t="inlineStr">
        <is>
          <t>VB3 (1-1)</t>
        </is>
      </c>
      <c r="B131" s="21" t="inlineStr">
        <is>
          <t>6550 | 1000 (10×100) | 1 | 46</t>
        </is>
      </c>
    </row>
    <row r="132">
      <c r="A132" s="21" t="inlineStr">
        <is>
          <t>HB1 (1-1)</t>
        </is>
      </c>
      <c r="B132" s="21" t="inlineStr">
        <is>
          <t>6050 | 1000 (10×100) | 1 | 43</t>
        </is>
      </c>
    </row>
    <row r="133">
      <c r="A133" s="21" t="inlineStr">
        <is>
          <t>HB1 (1-1)</t>
        </is>
      </c>
      <c r="B133" s="21" t="inlineStr">
        <is>
          <t>6550 | 1000 (10×100) | 1 | 46</t>
        </is>
      </c>
    </row>
    <row r="134">
      <c r="A134" s="21" t="inlineStr">
        <is>
          <t>HB1 (1-1)</t>
        </is>
      </c>
      <c r="B134" s="21" t="inlineStr">
        <is>
          <t>6050 | 1000 (10×100) | 1 | 42</t>
        </is>
      </c>
    </row>
    <row r="135">
      <c r="A135" s="21" t="inlineStr">
        <is>
          <t>HB1 (1-1)</t>
        </is>
      </c>
      <c r="B135" s="21" t="inlineStr">
        <is>
          <t>4550 | 700 (7×100) | 1 | 32</t>
        </is>
      </c>
    </row>
    <row r="136">
      <c r="A136" s="21" t="inlineStr">
        <is>
          <t>HB2 (1-1)</t>
        </is>
      </c>
      <c r="B136" s="21" t="inlineStr">
        <is>
          <t>6050 | 1000 (10×100) | 1 | 43</t>
        </is>
      </c>
    </row>
    <row r="137">
      <c r="A137" s="21" t="inlineStr">
        <is>
          <t>HB2 (1-1)</t>
        </is>
      </c>
      <c r="B137" s="21" t="inlineStr">
        <is>
          <t>6550 | 1000 (10×100) | 1 | 46</t>
        </is>
      </c>
    </row>
    <row r="138">
      <c r="A138" s="21" t="inlineStr">
        <is>
          <t>HB2 (1-1)</t>
        </is>
      </c>
      <c r="B138" s="21" t="inlineStr">
        <is>
          <t>6050 | 1000 (10×100) | 1 | 42</t>
        </is>
      </c>
    </row>
    <row r="139">
      <c r="A139" s="21" t="inlineStr">
        <is>
          <t>HB2 (1-1)</t>
        </is>
      </c>
      <c r="B139" s="21" t="inlineStr">
        <is>
          <t>4550 | 700 (7×100) | 1 | 32</t>
        </is>
      </c>
    </row>
    <row r="140">
      <c r="A140" s="21" t="inlineStr">
        <is>
          <t>HB3a (1-1)</t>
        </is>
      </c>
      <c r="B140" s="21" t="inlineStr">
        <is>
          <t>6050 | 1000 (10×100) | 1 | 43</t>
        </is>
      </c>
    </row>
    <row r="141">
      <c r="A141" s="21" t="inlineStr">
        <is>
          <t>HB3a (1-1)</t>
        </is>
      </c>
      <c r="B141" s="21" t="inlineStr">
        <is>
          <t>6550 | 1000 (10×100) | 1 | 46</t>
        </is>
      </c>
    </row>
    <row r="142">
      <c r="A142" s="21" t="inlineStr">
        <is>
          <t>HB3b (5-5)</t>
        </is>
      </c>
      <c r="B142" s="21" t="inlineStr">
        <is>
          <t>6050 | 1000 (10×100) | 3 | 44</t>
        </is>
      </c>
    </row>
    <row r="143">
      <c r="A143" s="21" t="inlineStr">
        <is>
          <t>HB3b (1-1)</t>
        </is>
      </c>
      <c r="B143" s="21" t="inlineStr">
        <is>
          <t>4550 | 700 (7×100) | 1 | 32</t>
        </is>
      </c>
    </row>
    <row r="144">
      <c r="A144" s="21" t="inlineStr">
        <is>
          <t>B2a (2-2)</t>
        </is>
      </c>
      <c r="B144" s="21" t="inlineStr">
        <is>
          <t>3085 | 700 (7×100) | 0 | 23</t>
        </is>
      </c>
    </row>
    <row r="145">
      <c r="A145" s="21" t="inlineStr">
        <is>
          <t>B2b (2-2)</t>
        </is>
      </c>
      <c r="B145" s="21" t="inlineStr">
        <is>
          <t>2665 | 700 (7×100) | 0 | 21</t>
        </is>
      </c>
    </row>
    <row r="146">
      <c r="A146" s="21" t="inlineStr">
        <is>
          <t>B4a (4-4)</t>
        </is>
      </c>
      <c r="B146" s="21" t="inlineStr">
        <is>
          <t>2600 | 700 (7×100) | 0 | 20</t>
        </is>
      </c>
    </row>
    <row r="147">
      <c r="A147" s="21" t="inlineStr">
        <is>
          <t>B4b (4-4)</t>
        </is>
      </c>
      <c r="B147" s="21" t="inlineStr">
        <is>
          <t>3085 | 700 (7×100) | 0 | 23</t>
        </is>
      </c>
    </row>
    <row r="148">
      <c r="A148" s="21" t="inlineStr">
        <is>
          <t>B4c (4-4)</t>
        </is>
      </c>
      <c r="B148" s="21" t="inlineStr">
        <is>
          <t>3400 | 700 (7×100) | 0 | 24</t>
        </is>
      </c>
    </row>
    <row r="149">
      <c r="A149" s="21" t="inlineStr">
        <is>
          <t>B4d (4-4)</t>
        </is>
      </c>
      <c r="B149" s="21" t="inlineStr">
        <is>
          <t>2625 | 700 (7×100) | 0 | 21</t>
        </is>
      </c>
    </row>
    <row r="150">
      <c r="A150" s="21" t="inlineStr">
        <is>
          <t>Э1 (3-3)</t>
        </is>
      </c>
      <c r="B150" s="21" t="inlineStr">
        <is>
          <t>1475 | 700 (7×100) | 0 | 16</t>
        </is>
      </c>
    </row>
    <row r="151">
      <c r="A151" s="21" t="inlineStr">
        <is>
          <t>Э1 (3-3)</t>
        </is>
      </c>
      <c r="B151" s="21" t="inlineStr">
        <is>
          <t>3700 | 700 (7×100) | 0 | 26</t>
        </is>
      </c>
    </row>
    <row r="152">
      <c r="A152" s="21" t="inlineStr">
        <is>
          <t>Э1 (3-3)</t>
        </is>
      </c>
      <c r="B152" s="21" t="inlineStr">
        <is>
          <t>1475 | 700 (7×100) | 0 | 16</t>
        </is>
      </c>
    </row>
    <row r="153">
      <c r="A153" s="21" t="inlineStr">
        <is>
          <t>Э2 (3-3)</t>
        </is>
      </c>
      <c r="B153" s="21" t="inlineStr">
        <is>
          <t>1475 | 700 (7×100) | 0 | 16</t>
        </is>
      </c>
    </row>
    <row r="154">
      <c r="A154" s="21" t="inlineStr">
        <is>
          <t>Э2 (3-3)</t>
        </is>
      </c>
      <c r="B154" s="21" t="inlineStr">
        <is>
          <t>3700 | 700 (7×100) | 0 | 26</t>
        </is>
      </c>
    </row>
    <row r="155">
      <c r="A155" s="21" t="inlineStr">
        <is>
          <t>Э2 (3-3)</t>
        </is>
      </c>
      <c r="B155" s="21" t="inlineStr">
        <is>
          <t>1475 | 700 (7×100) | 0 | 16</t>
        </is>
      </c>
    </row>
    <row r="156">
      <c r="A156" s="21" t="inlineStr">
        <is>
          <t>Э3 (3-3)</t>
        </is>
      </c>
      <c r="B156" s="21" t="inlineStr">
        <is>
          <t>1475 | 700 (7×100) | 0 | 16</t>
        </is>
      </c>
    </row>
    <row r="157">
      <c r="A157" s="21" t="inlineStr">
        <is>
          <t>Э3 (3-3)</t>
        </is>
      </c>
      <c r="B157" s="21" t="inlineStr">
        <is>
          <t>3325 | 700 (7×100) | 0 | 24</t>
        </is>
      </c>
    </row>
    <row r="158">
      <c r="A158" s="21" t="inlineStr">
        <is>
          <t>Э3 (3-3)</t>
        </is>
      </c>
      <c r="B158" s="21" t="inlineStr">
        <is>
          <t>1475 | 700 (7×100) | 0 | 16</t>
        </is>
      </c>
    </row>
    <row r="159">
      <c r="A159" s="21" t="inlineStr">
        <is>
          <t>Э4 (3-3)</t>
        </is>
      </c>
      <c r="B159" s="21" t="inlineStr">
        <is>
          <t>1475 | 700 (7×100) | 0 | 16</t>
        </is>
      </c>
    </row>
    <row r="160">
      <c r="A160" s="21" t="inlineStr">
        <is>
          <t>Э4 (3-3)</t>
        </is>
      </c>
      <c r="B160" s="21" t="inlineStr">
        <is>
          <t>3625 | 700 (7×100) | 0 | 26</t>
        </is>
      </c>
    </row>
    <row r="161">
      <c r="A161" s="21" t="inlineStr">
        <is>
          <t>Э4 (3-3)</t>
        </is>
      </c>
      <c r="B161" s="21" t="inlineStr">
        <is>
          <t>3625 | 700 (7×100) | 0 | 26</t>
        </is>
      </c>
    </row>
    <row r="162">
      <c r="A162" s="21" t="inlineStr">
        <is>
          <t>Э4 (3-3)</t>
        </is>
      </c>
      <c r="B162" s="21" t="inlineStr">
        <is>
          <t>1475 | 700 (7×100) | 0 | 16</t>
        </is>
      </c>
    </row>
    <row r="163">
      <c r="A163" s="21" t="inlineStr">
        <is>
          <t>Э4 (3-3)</t>
        </is>
      </c>
      <c r="B163" s="21" t="inlineStr">
        <is>
          <t>1475 | 700 (7×100) | 0 | 16</t>
        </is>
      </c>
    </row>
    <row r="165">
      <c r="A165" s="2" t="inlineStr">
        <is>
          <t>РАСШИФРОВКА ХОМУТОВ БАЛОК — 2 этаж</t>
        </is>
      </c>
      <c r="B165" s="34" t="n"/>
    </row>
    <row r="166">
      <c r="A166" s="4" t="inlineStr">
        <is>
          <t>Балка / сечение</t>
        </is>
      </c>
      <c r="B166" s="4" t="inlineStr">
        <is>
          <t>Чистый пролёт, мм | зона 100 у опор | пересечений | хомутов, шт</t>
        </is>
      </c>
    </row>
    <row r="167">
      <c r="A167" s="21" t="inlineStr">
        <is>
          <t>VB1 (1-1)</t>
        </is>
      </c>
      <c r="B167" s="21" t="inlineStr">
        <is>
          <t>6050 | 1000 (10×100) | 1 | 42</t>
        </is>
      </c>
    </row>
    <row r="168">
      <c r="A168" s="21" t="inlineStr">
        <is>
          <t>VB1 (1-1)</t>
        </is>
      </c>
      <c r="B168" s="21" t="inlineStr">
        <is>
          <t>6550 | 1000 (10×100) | 1 | 46</t>
        </is>
      </c>
    </row>
    <row r="169">
      <c r="A169" s="21" t="inlineStr">
        <is>
          <t>VB1 (1-1)</t>
        </is>
      </c>
      <c r="B169" s="21" t="inlineStr">
        <is>
          <t>6050 | 1000 (10×100) | 1 | 42</t>
        </is>
      </c>
    </row>
    <row r="170">
      <c r="A170" s="21" t="inlineStr">
        <is>
          <t>VB2 (1-1)</t>
        </is>
      </c>
      <c r="B170" s="21" t="inlineStr">
        <is>
          <t>6050 | 1000 (10×100) | 1 | 42</t>
        </is>
      </c>
    </row>
    <row r="171">
      <c r="A171" s="21" t="inlineStr">
        <is>
          <t>VB2 (1-1)</t>
        </is>
      </c>
      <c r="B171" s="21" t="inlineStr">
        <is>
          <t>6550 | 1000 (10×100) | 1 | 46</t>
        </is>
      </c>
    </row>
    <row r="172">
      <c r="A172" s="21" t="inlineStr">
        <is>
          <t>VB2 (1-1)</t>
        </is>
      </c>
      <c r="B172" s="21" t="inlineStr">
        <is>
          <t>6050 | 1000 (10×100) | 1 | 42</t>
        </is>
      </c>
    </row>
    <row r="173">
      <c r="A173" s="21" t="inlineStr">
        <is>
          <t>VB4 (1-1)</t>
        </is>
      </c>
      <c r="B173" s="21" t="inlineStr">
        <is>
          <t>6050 | 1000 (10×100) | 1 | 42</t>
        </is>
      </c>
    </row>
    <row r="174">
      <c r="A174" s="21" t="inlineStr">
        <is>
          <t>VB4 (1-1)</t>
        </is>
      </c>
      <c r="B174" s="21" t="inlineStr">
        <is>
          <t>6550 | 1000 (10×100) | 1 | 46</t>
        </is>
      </c>
    </row>
    <row r="175">
      <c r="A175" s="21" t="inlineStr">
        <is>
          <t>VB4 (1-1)</t>
        </is>
      </c>
      <c r="B175" s="21" t="inlineStr">
        <is>
          <t>6050 | 1000 (10×100) | 1 | 42</t>
        </is>
      </c>
    </row>
    <row r="176">
      <c r="A176" s="21" t="inlineStr">
        <is>
          <t>VB3 (1-1)</t>
        </is>
      </c>
      <c r="B176" s="21" t="inlineStr">
        <is>
          <t>6050 | 1000 (10×100) | 1 | 42</t>
        </is>
      </c>
    </row>
    <row r="177">
      <c r="A177" s="21" t="inlineStr">
        <is>
          <t>VB3 (1-1)</t>
        </is>
      </c>
      <c r="B177" s="21" t="inlineStr">
        <is>
          <t>6550 | 1000 (10×100) | 1 | 46</t>
        </is>
      </c>
    </row>
    <row r="178">
      <c r="A178" s="21" t="inlineStr">
        <is>
          <t>HB1 (1-1)</t>
        </is>
      </c>
      <c r="B178" s="21" t="inlineStr">
        <is>
          <t>6050 | 1000 (10×100) | 1 | 43</t>
        </is>
      </c>
    </row>
    <row r="179">
      <c r="A179" s="21" t="inlineStr">
        <is>
          <t>HB1 (1-1)</t>
        </is>
      </c>
      <c r="B179" s="21" t="inlineStr">
        <is>
          <t>6550 | 1000 (10×100) | 1 | 46</t>
        </is>
      </c>
    </row>
    <row r="180">
      <c r="A180" s="21" t="inlineStr">
        <is>
          <t>HB1 (1-1)</t>
        </is>
      </c>
      <c r="B180" s="21" t="inlineStr">
        <is>
          <t>6050 | 1000 (10×100) | 1 | 42</t>
        </is>
      </c>
    </row>
    <row r="181">
      <c r="A181" s="21" t="inlineStr">
        <is>
          <t>HB1 (1-1)</t>
        </is>
      </c>
      <c r="B181" s="21" t="inlineStr">
        <is>
          <t>4550 | 700 (7×100) | 1 | 32</t>
        </is>
      </c>
    </row>
    <row r="182">
      <c r="A182" s="21" t="inlineStr">
        <is>
          <t>HB2 (1-1)</t>
        </is>
      </c>
      <c r="B182" s="21" t="inlineStr">
        <is>
          <t>6050 | 1000 (10×100) | 1 | 43</t>
        </is>
      </c>
    </row>
    <row r="183">
      <c r="A183" s="21" t="inlineStr">
        <is>
          <t>HB2 (1-1)</t>
        </is>
      </c>
      <c r="B183" s="21" t="inlineStr">
        <is>
          <t>6550 | 1000 (10×100) | 1 | 46</t>
        </is>
      </c>
    </row>
    <row r="184">
      <c r="A184" s="21" t="inlineStr">
        <is>
          <t>HB2 (1-1)</t>
        </is>
      </c>
      <c r="B184" s="21" t="inlineStr">
        <is>
          <t>6050 | 1000 (10×100) | 1 | 42</t>
        </is>
      </c>
    </row>
    <row r="185">
      <c r="A185" s="21" t="inlineStr">
        <is>
          <t>HB2 (1-1)</t>
        </is>
      </c>
      <c r="B185" s="21" t="inlineStr">
        <is>
          <t>4550 | 700 (7×100) | 1 | 32</t>
        </is>
      </c>
    </row>
    <row r="186">
      <c r="A186" s="21" t="inlineStr">
        <is>
          <t>HB3a (1-1)</t>
        </is>
      </c>
      <c r="B186" s="21" t="inlineStr">
        <is>
          <t>6050 | 1000 (10×100) | 1 | 43</t>
        </is>
      </c>
    </row>
    <row r="187">
      <c r="A187" s="21" t="inlineStr">
        <is>
          <t>HB3a (1-1)</t>
        </is>
      </c>
      <c r="B187" s="21" t="inlineStr">
        <is>
          <t>6550 | 1000 (10×100) | 1 | 46</t>
        </is>
      </c>
    </row>
    <row r="188">
      <c r="A188" s="21" t="inlineStr">
        <is>
          <t>HB3b (5-5)</t>
        </is>
      </c>
      <c r="B188" s="21" t="inlineStr">
        <is>
          <t>6050 | 1000 (10×100) | 3 | 44</t>
        </is>
      </c>
    </row>
    <row r="189">
      <c r="A189" s="21" t="inlineStr">
        <is>
          <t>HB3b (1-1)</t>
        </is>
      </c>
      <c r="B189" s="21" t="inlineStr">
        <is>
          <t>4550 | 700 (7×100) | 1 | 32</t>
        </is>
      </c>
    </row>
    <row r="190">
      <c r="A190" s="21" t="inlineStr">
        <is>
          <t>B2a (2-2)</t>
        </is>
      </c>
      <c r="B190" s="21" t="inlineStr">
        <is>
          <t>3085 | 700 (7×100) | 0 | 23</t>
        </is>
      </c>
    </row>
    <row r="191">
      <c r="A191" s="21" t="inlineStr">
        <is>
          <t>B2b (2-2)</t>
        </is>
      </c>
      <c r="B191" s="21" t="inlineStr">
        <is>
          <t>2665 | 700 (7×100) | 0 | 21</t>
        </is>
      </c>
    </row>
    <row r="192">
      <c r="A192" s="21" t="inlineStr">
        <is>
          <t>B4a (4-4)</t>
        </is>
      </c>
      <c r="B192" s="21" t="inlineStr">
        <is>
          <t>2600 | 700 (7×100) | 0 | 20</t>
        </is>
      </c>
    </row>
    <row r="193">
      <c r="A193" s="21" t="inlineStr">
        <is>
          <t>B4b (4-4)</t>
        </is>
      </c>
      <c r="B193" s="21" t="inlineStr">
        <is>
          <t>3085 | 700 (7×100) | 0 | 23</t>
        </is>
      </c>
    </row>
    <row r="194">
      <c r="A194" s="21" t="inlineStr">
        <is>
          <t>B4c (4-4)</t>
        </is>
      </c>
      <c r="B194" s="21" t="inlineStr">
        <is>
          <t>3400 | 700 (7×100) | 0 | 24</t>
        </is>
      </c>
    </row>
    <row r="195">
      <c r="A195" s="21" t="inlineStr">
        <is>
          <t>B4d (4-4)</t>
        </is>
      </c>
      <c r="B195" s="21" t="inlineStr">
        <is>
          <t>2625 | 700 (7×100) | 0 | 21</t>
        </is>
      </c>
    </row>
    <row r="196">
      <c r="A196" s="21" t="inlineStr">
        <is>
          <t>B4e (4-4)</t>
        </is>
      </c>
      <c r="B196" s="21" t="inlineStr">
        <is>
          <t>3080 | 700 (7×100) | 0 | 23</t>
        </is>
      </c>
    </row>
    <row r="197">
      <c r="A197" s="21" t="inlineStr">
        <is>
          <t>Э1 (3-3)</t>
        </is>
      </c>
      <c r="B197" s="21" t="inlineStr">
        <is>
          <t>1475 | 700 (7×100) | 0 | 16</t>
        </is>
      </c>
    </row>
    <row r="198">
      <c r="A198" s="21" t="inlineStr">
        <is>
          <t>Э1 (3-3)</t>
        </is>
      </c>
      <c r="B198" s="21" t="inlineStr">
        <is>
          <t>3700 | 700 (7×100) | 0 | 26</t>
        </is>
      </c>
    </row>
    <row r="199">
      <c r="A199" s="21" t="inlineStr">
        <is>
          <t>Э1 (3-3)</t>
        </is>
      </c>
      <c r="B199" s="21" t="inlineStr">
        <is>
          <t>1475 | 700 (7×100) | 0 | 16</t>
        </is>
      </c>
    </row>
    <row r="200">
      <c r="A200" s="21" t="inlineStr">
        <is>
          <t>Э2 (3-3)</t>
        </is>
      </c>
      <c r="B200" s="21" t="inlineStr">
        <is>
          <t>1475 | 700 (7×100) | 0 | 16</t>
        </is>
      </c>
    </row>
    <row r="201">
      <c r="A201" s="21" t="inlineStr">
        <is>
          <t>Э2 (3-3)</t>
        </is>
      </c>
      <c r="B201" s="21" t="inlineStr">
        <is>
          <t>3700 | 700 (7×100) | 0 | 26</t>
        </is>
      </c>
    </row>
    <row r="202">
      <c r="A202" s="21" t="inlineStr">
        <is>
          <t>Э2 (3-3)</t>
        </is>
      </c>
      <c r="B202" s="21" t="inlineStr">
        <is>
          <t>1475 | 700 (7×100) | 0 | 16</t>
        </is>
      </c>
    </row>
    <row r="203">
      <c r="A203" s="21" t="inlineStr">
        <is>
          <t>Э3 (3-3)</t>
        </is>
      </c>
      <c r="B203" s="21" t="inlineStr">
        <is>
          <t>1475 | 700 (7×100) | 0 | 16</t>
        </is>
      </c>
    </row>
    <row r="204">
      <c r="A204" s="21" t="inlineStr">
        <is>
          <t>Э3 (3-3)</t>
        </is>
      </c>
      <c r="B204" s="21" t="inlineStr">
        <is>
          <t>3325 | 700 (7×100) | 0 | 24</t>
        </is>
      </c>
    </row>
    <row r="205">
      <c r="A205" s="21" t="inlineStr">
        <is>
          <t>Э3 (3-3)</t>
        </is>
      </c>
      <c r="B205" s="21" t="inlineStr">
        <is>
          <t>1475 | 700 (7×100) | 0 | 16</t>
        </is>
      </c>
    </row>
    <row r="206">
      <c r="A206" s="21" t="inlineStr">
        <is>
          <t>Э4 (3-3)</t>
        </is>
      </c>
      <c r="B206" s="21" t="inlineStr">
        <is>
          <t>1475 | 700 (7×100) | 0 | 16</t>
        </is>
      </c>
    </row>
    <row r="207">
      <c r="A207" s="21" t="inlineStr">
        <is>
          <t>Э4 (3-3)</t>
        </is>
      </c>
      <c r="B207" s="21" t="inlineStr">
        <is>
          <t>3625 | 700 (7×100) | 0 | 26</t>
        </is>
      </c>
    </row>
    <row r="208">
      <c r="A208" s="21" t="inlineStr">
        <is>
          <t>Э4 (3-3)</t>
        </is>
      </c>
      <c r="B208" s="21" t="inlineStr">
        <is>
          <t>3625 | 700 (7×100) | 0 | 26</t>
        </is>
      </c>
    </row>
    <row r="209">
      <c r="A209" s="21" t="inlineStr">
        <is>
          <t>Э4 (3-3)</t>
        </is>
      </c>
      <c r="B209" s="21" t="inlineStr">
        <is>
          <t>1475 | 700 (7×100) | 0 | 16</t>
        </is>
      </c>
    </row>
    <row r="210">
      <c r="A210" s="21" t="inlineStr">
        <is>
          <t>Э4 (3-3)</t>
        </is>
      </c>
      <c r="B210" s="21" t="inlineStr">
        <is>
          <t>1475 | 700 (7×100) | 0 | 16</t>
        </is>
      </c>
    </row>
    <row r="212">
      <c r="A212" s="2" t="inlineStr">
        <is>
          <t>РАСШИФРОВКА ХОМУТОВ БАЛОК — 3 этаж</t>
        </is>
      </c>
      <c r="B212" s="34" t="n"/>
    </row>
    <row r="213">
      <c r="A213" s="4" t="inlineStr">
        <is>
          <t>Балка / сечение</t>
        </is>
      </c>
      <c r="B213" s="4" t="inlineStr">
        <is>
          <t>Чистый пролёт, мм | зона 100 у опор | пересечений | хомутов, шт</t>
        </is>
      </c>
    </row>
    <row r="214">
      <c r="A214" s="21" t="inlineStr">
        <is>
          <t>VB1 (1-1)</t>
        </is>
      </c>
      <c r="B214" s="21" t="inlineStr">
        <is>
          <t>6050 | 1000 (10×100) | 1 | 42</t>
        </is>
      </c>
    </row>
    <row r="215">
      <c r="A215" s="21" t="inlineStr">
        <is>
          <t>VB1 (1-1)</t>
        </is>
      </c>
      <c r="B215" s="21" t="inlineStr">
        <is>
          <t>6550 | 1000 (10×100) | 1 | 46</t>
        </is>
      </c>
    </row>
    <row r="216">
      <c r="A216" s="21" t="inlineStr">
        <is>
          <t>VB1 (1-1)</t>
        </is>
      </c>
      <c r="B216" s="21" t="inlineStr">
        <is>
          <t>6050 | 1000 (10×100) | 1 | 42</t>
        </is>
      </c>
    </row>
    <row r="217">
      <c r="A217" s="21" t="inlineStr">
        <is>
          <t>VB2 (1-1)</t>
        </is>
      </c>
      <c r="B217" s="21" t="inlineStr">
        <is>
          <t>6050 | 1000 (10×100) | 1 | 42</t>
        </is>
      </c>
    </row>
    <row r="218">
      <c r="A218" s="21" t="inlineStr">
        <is>
          <t>VB2 (1-1)</t>
        </is>
      </c>
      <c r="B218" s="21" t="inlineStr">
        <is>
          <t>6550 | 1000 (10×100) | 1 | 46</t>
        </is>
      </c>
    </row>
    <row r="219">
      <c r="A219" s="21" t="inlineStr">
        <is>
          <t>VB2 (1-1)</t>
        </is>
      </c>
      <c r="B219" s="21" t="inlineStr">
        <is>
          <t>6050 | 1000 (10×100) | 1 | 42</t>
        </is>
      </c>
    </row>
    <row r="220">
      <c r="A220" s="21" t="inlineStr">
        <is>
          <t>VB4 (1-1)</t>
        </is>
      </c>
      <c r="B220" s="21" t="inlineStr">
        <is>
          <t>6050 | 1000 (10×100) | 1 | 42</t>
        </is>
      </c>
    </row>
    <row r="221">
      <c r="A221" s="21" t="inlineStr">
        <is>
          <t>VB4 (1-1)</t>
        </is>
      </c>
      <c r="B221" s="21" t="inlineStr">
        <is>
          <t>6550 | 1000 (10×100) | 1 | 46</t>
        </is>
      </c>
    </row>
    <row r="222">
      <c r="A222" s="21" t="inlineStr">
        <is>
          <t>VB4 (1-1)</t>
        </is>
      </c>
      <c r="B222" s="21" t="inlineStr">
        <is>
          <t>6050 | 1000 (10×100) | 1 | 42</t>
        </is>
      </c>
    </row>
    <row r="223">
      <c r="A223" s="21" t="inlineStr">
        <is>
          <t>VB3 (1-1)</t>
        </is>
      </c>
      <c r="B223" s="21" t="inlineStr">
        <is>
          <t>6050 | 1000 (10×100) | 1 | 42</t>
        </is>
      </c>
    </row>
    <row r="224">
      <c r="A224" s="21" t="inlineStr">
        <is>
          <t>VB3 (1-1)</t>
        </is>
      </c>
      <c r="B224" s="21" t="inlineStr">
        <is>
          <t>6550 | 1000 (10×100) | 1 | 46</t>
        </is>
      </c>
    </row>
    <row r="225">
      <c r="A225" s="21" t="inlineStr">
        <is>
          <t>HB1 (1-1)</t>
        </is>
      </c>
      <c r="B225" s="21" t="inlineStr">
        <is>
          <t>6050 | 1000 (10×100) | 1 | 43</t>
        </is>
      </c>
    </row>
    <row r="226">
      <c r="A226" s="21" t="inlineStr">
        <is>
          <t>HB1 (1-1)</t>
        </is>
      </c>
      <c r="B226" s="21" t="inlineStr">
        <is>
          <t>6550 | 1000 (10×100) | 1 | 46</t>
        </is>
      </c>
    </row>
    <row r="227">
      <c r="A227" s="21" t="inlineStr">
        <is>
          <t>HB1 (1-1)</t>
        </is>
      </c>
      <c r="B227" s="21" t="inlineStr">
        <is>
          <t>6050 | 1000 (10×100) | 1 | 42</t>
        </is>
      </c>
    </row>
    <row r="228">
      <c r="A228" s="21" t="inlineStr">
        <is>
          <t>HB1 (1-1)</t>
        </is>
      </c>
      <c r="B228" s="21" t="inlineStr">
        <is>
          <t>4550 | 700 (7×100) | 1 | 32</t>
        </is>
      </c>
    </row>
    <row r="229">
      <c r="A229" s="21" t="inlineStr">
        <is>
          <t>HB2 (1-1)</t>
        </is>
      </c>
      <c r="B229" s="21" t="inlineStr">
        <is>
          <t>6050 | 1000 (10×100) | 1 | 43</t>
        </is>
      </c>
    </row>
    <row r="230">
      <c r="A230" s="21" t="inlineStr">
        <is>
          <t>HB2 (1-1)</t>
        </is>
      </c>
      <c r="B230" s="21" t="inlineStr">
        <is>
          <t>6550 | 1000 (10×100) | 1 | 46</t>
        </is>
      </c>
    </row>
    <row r="231">
      <c r="A231" s="21" t="inlineStr">
        <is>
          <t>HB2 (1-1)</t>
        </is>
      </c>
      <c r="B231" s="21" t="inlineStr">
        <is>
          <t>6050 | 1000 (10×100) | 1 | 42</t>
        </is>
      </c>
    </row>
    <row r="232">
      <c r="A232" s="21" t="inlineStr">
        <is>
          <t>HB2 (1-1)</t>
        </is>
      </c>
      <c r="B232" s="21" t="inlineStr">
        <is>
          <t>4550 | 700 (7×100) | 1 | 32</t>
        </is>
      </c>
    </row>
    <row r="233">
      <c r="A233" s="21" t="inlineStr">
        <is>
          <t>HB3a (1-1)</t>
        </is>
      </c>
      <c r="B233" s="21" t="inlineStr">
        <is>
          <t>6050 | 1000 (10×100) | 1 | 43</t>
        </is>
      </c>
    </row>
    <row r="234">
      <c r="A234" s="21" t="inlineStr">
        <is>
          <t>HB3a (1-1)</t>
        </is>
      </c>
      <c r="B234" s="21" t="inlineStr">
        <is>
          <t>6550 | 1000 (10×100) | 1 | 46</t>
        </is>
      </c>
    </row>
    <row r="235">
      <c r="A235" s="21" t="inlineStr">
        <is>
          <t>HB3b (5-5)</t>
        </is>
      </c>
      <c r="B235" s="21" t="inlineStr">
        <is>
          <t>6050 | 1000 (10×100) | 3 | 44</t>
        </is>
      </c>
    </row>
    <row r="236">
      <c r="A236" s="21" t="inlineStr">
        <is>
          <t>HB3b (1-1)</t>
        </is>
      </c>
      <c r="B236" s="21" t="inlineStr">
        <is>
          <t>4550 | 700 (7×100) | 1 | 32</t>
        </is>
      </c>
    </row>
    <row r="237">
      <c r="A237" s="21" t="inlineStr">
        <is>
          <t>B2a (2-2)</t>
        </is>
      </c>
      <c r="B237" s="21" t="inlineStr">
        <is>
          <t>3085 | 700 (7×100) | 0 | 23</t>
        </is>
      </c>
    </row>
    <row r="238">
      <c r="A238" s="21" t="inlineStr">
        <is>
          <t>B2b (2-2)</t>
        </is>
      </c>
      <c r="B238" s="21" t="inlineStr">
        <is>
          <t>2665 | 700 (7×100) | 0 | 21</t>
        </is>
      </c>
    </row>
    <row r="239">
      <c r="A239" s="21" t="inlineStr">
        <is>
          <t>B4a (4-4)</t>
        </is>
      </c>
      <c r="B239" s="21" t="inlineStr">
        <is>
          <t>2600 | 700 (7×100) | 0 | 20</t>
        </is>
      </c>
    </row>
    <row r="240">
      <c r="A240" s="21" t="inlineStr">
        <is>
          <t>B4b (4-4)</t>
        </is>
      </c>
      <c r="B240" s="21" t="inlineStr">
        <is>
          <t>3085 | 700 (7×100) | 0 | 23</t>
        </is>
      </c>
    </row>
    <row r="241">
      <c r="A241" s="21" t="inlineStr">
        <is>
          <t>B4c (4-4)</t>
        </is>
      </c>
      <c r="B241" s="21" t="inlineStr">
        <is>
          <t>3400 | 700 (7×100) | 0 | 24</t>
        </is>
      </c>
    </row>
    <row r="242">
      <c r="A242" s="21" t="inlineStr">
        <is>
          <t>B4d (4-4)</t>
        </is>
      </c>
      <c r="B242" s="21" t="inlineStr">
        <is>
          <t>2625 | 700 (7×100) | 0 | 21</t>
        </is>
      </c>
    </row>
    <row r="243">
      <c r="A243" s="21" t="inlineStr">
        <is>
          <t>B4e (4-4)</t>
        </is>
      </c>
      <c r="B243" s="21" t="inlineStr">
        <is>
          <t>3080 | 700 (7×100) | 0 | 23</t>
        </is>
      </c>
    </row>
    <row r="244">
      <c r="A244" s="21" t="inlineStr">
        <is>
          <t>Э1 (3-3)</t>
        </is>
      </c>
      <c r="B244" s="21" t="inlineStr">
        <is>
          <t>1475 | 700 (7×100) | 0 | 16</t>
        </is>
      </c>
    </row>
    <row r="245">
      <c r="A245" s="21" t="inlineStr">
        <is>
          <t>Э1 (3-3)</t>
        </is>
      </c>
      <c r="B245" s="21" t="inlineStr">
        <is>
          <t>3700 | 700 (7×100) | 0 | 26</t>
        </is>
      </c>
    </row>
    <row r="246">
      <c r="A246" s="21" t="inlineStr">
        <is>
          <t>Э1 (3-3)</t>
        </is>
      </c>
      <c r="B246" s="21" t="inlineStr">
        <is>
          <t>1475 | 700 (7×100) | 0 | 16</t>
        </is>
      </c>
    </row>
    <row r="247">
      <c r="A247" s="21" t="inlineStr">
        <is>
          <t>Э2 (3-3)</t>
        </is>
      </c>
      <c r="B247" s="21" t="inlineStr">
        <is>
          <t>1475 | 700 (7×100) | 0 | 16</t>
        </is>
      </c>
    </row>
    <row r="248">
      <c r="A248" s="21" t="inlineStr">
        <is>
          <t>Э2 (3-3)</t>
        </is>
      </c>
      <c r="B248" s="21" t="inlineStr">
        <is>
          <t>3700 | 700 (7×100) | 0 | 26</t>
        </is>
      </c>
    </row>
    <row r="249">
      <c r="A249" s="21" t="inlineStr">
        <is>
          <t>Э2 (3-3)</t>
        </is>
      </c>
      <c r="B249" s="21" t="inlineStr">
        <is>
          <t>1475 | 700 (7×100) | 0 | 16</t>
        </is>
      </c>
    </row>
    <row r="250">
      <c r="A250" s="21" t="inlineStr">
        <is>
          <t>Э3 (3-3)</t>
        </is>
      </c>
      <c r="B250" s="21" t="inlineStr">
        <is>
          <t>1475 | 700 (7×100) | 0 | 16</t>
        </is>
      </c>
    </row>
    <row r="251">
      <c r="A251" s="21" t="inlineStr">
        <is>
          <t>Э3 (3-3)</t>
        </is>
      </c>
      <c r="B251" s="21" t="inlineStr">
        <is>
          <t>3325 | 700 (7×100) | 0 | 24</t>
        </is>
      </c>
    </row>
    <row r="252">
      <c r="A252" s="21" t="inlineStr">
        <is>
          <t>Э3 (3-3)</t>
        </is>
      </c>
      <c r="B252" s="21" t="inlineStr">
        <is>
          <t>1475 | 700 (7×100) | 0 | 16</t>
        </is>
      </c>
    </row>
    <row r="253">
      <c r="A253" s="21" t="inlineStr">
        <is>
          <t>Э4 (3-3)</t>
        </is>
      </c>
      <c r="B253" s="21" t="inlineStr">
        <is>
          <t>1475 | 700 (7×100) | 0 | 16</t>
        </is>
      </c>
    </row>
    <row r="254">
      <c r="A254" s="21" t="inlineStr">
        <is>
          <t>Э4 (3-3)</t>
        </is>
      </c>
      <c r="B254" s="21" t="inlineStr">
        <is>
          <t>3625 | 700 (7×100) | 0 | 26</t>
        </is>
      </c>
    </row>
    <row r="255">
      <c r="A255" s="21" t="inlineStr">
        <is>
          <t>Э4 (3-3)</t>
        </is>
      </c>
      <c r="B255" s="21" t="inlineStr">
        <is>
          <t>3625 | 700 (7×100) | 0 | 26</t>
        </is>
      </c>
    </row>
    <row r="256">
      <c r="A256" s="21" t="inlineStr">
        <is>
          <t>Э4 (3-3)</t>
        </is>
      </c>
      <c r="B256" s="21" t="inlineStr">
        <is>
          <t>1475 | 700 (7×100) | 0 | 16</t>
        </is>
      </c>
    </row>
    <row r="257">
      <c r="A257" s="21" t="inlineStr">
        <is>
          <t>Э4 (3-3)</t>
        </is>
      </c>
      <c r="B257" s="21" t="inlineStr">
        <is>
          <t>1475 | 700 (7×100) | 0 | 16</t>
        </is>
      </c>
    </row>
  </sheetData>
  <mergeCells count="12">
    <mergeCell ref="A78:B78"/>
    <mergeCell ref="A96:B96"/>
    <mergeCell ref="A165:B165"/>
    <mergeCell ref="A212:B212"/>
    <mergeCell ref="A63:B63"/>
    <mergeCell ref="A36:B36"/>
    <mergeCell ref="A102:B102"/>
    <mergeCell ref="A88:B88"/>
    <mergeCell ref="A17:B17"/>
    <mergeCell ref="A110:B110"/>
    <mergeCell ref="A119:B119"/>
    <mergeCell ref="A3:B3"/>
  </mergeCells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2026-10-08T04:55:28Z</dcterms:created>
  <dcterms:modified xmlns:dcterms="http://purl.org/dc/terms/" xmlns:xsi="http://www.w3.org/2001/XMLSchema-instance" xsi:type="dcterms:W3CDTF">2026-10-08T04:55:29Z</dcterms:modified>
</cp:coreProperties>
</file>